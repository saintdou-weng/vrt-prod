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chea\Desktop\Report\"/>
    </mc:Choice>
  </mc:AlternateContent>
  <xr:revisionPtr revIDLastSave="0" documentId="13_ncr:1_{40402E62-332E-4994-8810-1E678EC34B01}" xr6:coauthVersionLast="47" xr6:coauthVersionMax="47" xr10:uidLastSave="{00000000-0000-0000-0000-000000000000}"/>
  <bookViews>
    <workbookView xWindow="-120" yWindow="-120" windowWidth="24240" windowHeight="13020" firstSheet="30" activeTab="38" xr2:uid="{B3241B1B-2336-41D8-BF8B-B3E48CCB2B88}"/>
  </bookViews>
  <sheets>
    <sheet name="03.10.25" sheetId="1" state="hidden" r:id="rId1"/>
    <sheet name="10.10.25 " sheetId="2" state="hidden" r:id="rId2"/>
    <sheet name="17.10.25 " sheetId="3" state="hidden" r:id="rId3"/>
    <sheet name="24.10.25 " sheetId="4" state="hidden" r:id="rId4"/>
    <sheet name="31.10.25 " sheetId="5" state="hidden" r:id="rId5"/>
    <sheet name="07.11.25 " sheetId="6" state="hidden" r:id="rId6"/>
    <sheet name="14.11.25 " sheetId="7" state="hidden" r:id="rId7"/>
    <sheet name="21.11.25" sheetId="8" state="hidden" r:id="rId8"/>
    <sheet name="28.11.25 " sheetId="9" state="hidden" r:id="rId9"/>
    <sheet name="05.12.25 " sheetId="10" state="hidden" r:id="rId10"/>
    <sheet name="12.12.25 " sheetId="11" state="hidden" r:id="rId11"/>
    <sheet name="19.12.25" sheetId="12" state="hidden" r:id="rId12"/>
    <sheet name="26.12.25 " sheetId="13" state="hidden" r:id="rId13"/>
    <sheet name="02.01.26 " sheetId="14" r:id="rId14"/>
    <sheet name="Sumary " sheetId="15" state="hidden" r:id="rId15"/>
    <sheet name="09.01.26" sheetId="17" r:id="rId16"/>
    <sheet name="16.01.26" sheetId="18" r:id="rId17"/>
    <sheet name="23.01.26 " sheetId="19" r:id="rId18"/>
    <sheet name="30.01.26 " sheetId="20" r:id="rId19"/>
    <sheet name="06.02.26" sheetId="22" r:id="rId20"/>
    <sheet name="13.02.26 " sheetId="23" r:id="rId21"/>
    <sheet name="20.02.26" sheetId="24" r:id="rId22"/>
    <sheet name="27.02.26 " sheetId="25" r:id="rId23"/>
    <sheet name="06.03.26 " sheetId="26" r:id="rId24"/>
    <sheet name="13.03.26 " sheetId="27" r:id="rId25"/>
    <sheet name="20.03.26 " sheetId="28" r:id="rId26"/>
    <sheet name="27.03.26 " sheetId="29" r:id="rId27"/>
    <sheet name="03.04.26 " sheetId="30" r:id="rId28"/>
    <sheet name="10.04.26" sheetId="31" r:id="rId29"/>
    <sheet name="24.04.26 " sheetId="33" r:id="rId30"/>
    <sheet name="01.05.26 " sheetId="34" r:id="rId31"/>
    <sheet name="08.05.26 " sheetId="35" r:id="rId32"/>
    <sheet name="15.05.26" sheetId="36" r:id="rId33"/>
    <sheet name="22.05.26 " sheetId="37" r:id="rId34"/>
    <sheet name="29.05.26 " sheetId="38" r:id="rId35"/>
    <sheet name="05.06.26 " sheetId="39" r:id="rId36"/>
    <sheet name="12.06.26 " sheetId="40" r:id="rId37"/>
    <sheet name="19.06.26 " sheetId="41" r:id="rId38"/>
    <sheet name="26.06.26 " sheetId="42" r:id="rId39"/>
    <sheet name="Sheet2" sheetId="16" state="hidden" r:id="rId40"/>
  </sheets>
  <definedNames>
    <definedName name="_xlnm._FilterDatabase" localSheetId="39" hidden="1">Sheet2!$A$3:$I$3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2" l="1"/>
  <c r="F7" i="41"/>
  <c r="F13" i="40"/>
  <c r="F9" i="39"/>
  <c r="F10" i="38"/>
  <c r="F15" i="37"/>
  <c r="F5" i="36"/>
  <c r="F9" i="35"/>
  <c r="F12" i="34"/>
  <c r="F12" i="33" l="1"/>
  <c r="F11" i="31"/>
  <c r="F12" i="30"/>
  <c r="F16" i="29"/>
  <c r="F7" i="28"/>
  <c r="F10" i="27"/>
  <c r="F8" i="26"/>
  <c r="F12" i="25"/>
  <c r="F7" i="24"/>
  <c r="F7" i="23"/>
  <c r="F15" i="22" l="1"/>
  <c r="F13" i="20"/>
  <c r="F8" i="19"/>
  <c r="F6" i="18"/>
  <c r="F6" i="17"/>
  <c r="F94" i="16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4" i="15"/>
  <c r="F6" i="14"/>
  <c r="F5" i="13"/>
  <c r="F9" i="12"/>
  <c r="F6" i="11"/>
  <c r="F8" i="10"/>
  <c r="F52" i="15" l="1"/>
  <c r="F30" i="9"/>
  <c r="F9" i="8"/>
  <c r="F14" i="7"/>
  <c r="F7" i="6" l="1"/>
  <c r="F12" i="5"/>
  <c r="F9" i="4"/>
  <c r="F12" i="3"/>
  <c r="F15" i="2"/>
  <c r="F10" i="1"/>
</calcChain>
</file>

<file path=xl/sharedStrings.xml><?xml version="1.0" encoding="utf-8"?>
<sst xmlns="http://schemas.openxmlformats.org/spreadsheetml/2006/main" count="2511" uniqueCount="396">
  <si>
    <t>No</t>
  </si>
  <si>
    <t>Item Code</t>
  </si>
  <si>
    <t>Description</t>
  </si>
  <si>
    <t>Customer</t>
  </si>
  <si>
    <t>Quantity</t>
  </si>
  <si>
    <t>Unit</t>
  </si>
  <si>
    <t>FABRIC OLD STOCK CUTTING</t>
  </si>
  <si>
    <t>TCF0130</t>
  </si>
  <si>
    <t>4.5OZ/T150-72.5" (OB26*OB26) #ALSCO WHITE</t>
  </si>
  <si>
    <t>YEAR</t>
  </si>
  <si>
    <t>TA CHIANG SPINNING</t>
  </si>
  <si>
    <t>YARD</t>
  </si>
  <si>
    <t>PO</t>
  </si>
  <si>
    <t>STYLE</t>
  </si>
  <si>
    <t>TCF0525</t>
  </si>
  <si>
    <t>7.1OZ-64.5" (SD12*SD12) #MAG003 BLACK</t>
  </si>
  <si>
    <t>CP123,BLACK</t>
  </si>
  <si>
    <t>TCF0362</t>
  </si>
  <si>
    <t>7.1OZ/SDHV-67" (SD12*OB12) NAVY/WHITE STRIPE</t>
  </si>
  <si>
    <t>SORD44542</t>
  </si>
  <si>
    <t>AP154-NWP</t>
  </si>
  <si>
    <t>TCF0692</t>
  </si>
  <si>
    <t>6.35OZ-64.5" (SD12*300D) NAVY BLUE-WPL</t>
  </si>
  <si>
    <t>O1113KNBL</t>
  </si>
  <si>
    <t>TF0654</t>
  </si>
  <si>
    <t>6.35OZ-73" (SD12*300D) RED-WPL</t>
  </si>
  <si>
    <t>O1125GRED</t>
  </si>
  <si>
    <t>TCF0717</t>
  </si>
  <si>
    <t>6.35OZ-91.5" (SD12*300D) NAVY BLUE-WPL</t>
  </si>
  <si>
    <t>TOTAL:</t>
  </si>
  <si>
    <t>TCF0027</t>
  </si>
  <si>
    <t>5.5OZ/SD135-66.5" (OB20*OB20) #AR WHITE</t>
  </si>
  <si>
    <t>TCF0744</t>
  </si>
  <si>
    <t>6.35OZ-109.5" (SD12*300D) NAVY BLUE-WPL</t>
  </si>
  <si>
    <t>TCF0708</t>
  </si>
  <si>
    <t>6.35OZ-54" (SD12*300D) RED-WPL</t>
  </si>
  <si>
    <t>TCF0745</t>
  </si>
  <si>
    <t>3.5OZ/SD170-67" (SD30*T100D) #AR L.PINK</t>
  </si>
  <si>
    <t>TCF0293</t>
  </si>
  <si>
    <t>3.5OZ-SD170-67" (OB30*T100D) #AR WHITE</t>
  </si>
  <si>
    <t>TCF0182</t>
  </si>
  <si>
    <t>3.5OZ/SD170-67" (SD30*T75D) #AR YELLOW</t>
  </si>
  <si>
    <t>TCF0144</t>
  </si>
  <si>
    <t>3.5OZ/SD170-66" (SD30*T75D) #AR APUA</t>
  </si>
  <si>
    <t>8.46OZ/FH21-64.5" (300D/1*SP12/1) YELLOW</t>
  </si>
  <si>
    <t>TCF0040</t>
  </si>
  <si>
    <t>TES</t>
  </si>
  <si>
    <t>6137-R</t>
  </si>
  <si>
    <t>A416222</t>
  </si>
  <si>
    <t>GO2134</t>
  </si>
  <si>
    <t>GSC978</t>
  </si>
  <si>
    <t>DI-8VPU</t>
  </si>
  <si>
    <t>RECUT</t>
  </si>
  <si>
    <t>TCF0714</t>
  </si>
  <si>
    <t>6.35OZ-73" (SD12*300D) NAVY BLUE-WPL</t>
  </si>
  <si>
    <t>S26-1107</t>
  </si>
  <si>
    <t>TCF0075</t>
  </si>
  <si>
    <t>SORD44550</t>
  </si>
  <si>
    <t>P207-BG</t>
  </si>
  <si>
    <t>TCF0124</t>
  </si>
  <si>
    <t>SFOR1404</t>
  </si>
  <si>
    <t>201147-03</t>
  </si>
  <si>
    <t>7.1OZ/SDHV-55.5" (OB12*OB12) #ALSCO WHITE</t>
  </si>
  <si>
    <t>GRB0001</t>
  </si>
  <si>
    <t>GRB0010</t>
  </si>
  <si>
    <t>GRB0020</t>
  </si>
  <si>
    <t>7.1OZ/SDHV-92.5" (OB12*OB12) #ALSCO WHITE</t>
  </si>
  <si>
    <t>7.1OZ/SDHV-121" (OB12*OB12) #ALSCO WHITE</t>
  </si>
  <si>
    <t>TCF0061</t>
  </si>
  <si>
    <t>7.1OZ/SDHV-111" (SD12*SD12) #0614 DARK GREY</t>
  </si>
  <si>
    <t>SORD44594</t>
  </si>
  <si>
    <t>P207-GR</t>
  </si>
  <si>
    <t>7.1OZ/SDHV-121" (SD12*SD12) #0155 NAVY</t>
  </si>
  <si>
    <t>P207-N</t>
  </si>
  <si>
    <t>6137-T</t>
  </si>
  <si>
    <t>TCF0020</t>
  </si>
  <si>
    <t>TCF0007</t>
  </si>
  <si>
    <t>Australia Return</t>
  </si>
  <si>
    <t>A1316WWHT</t>
  </si>
  <si>
    <t>TCF0084</t>
  </si>
  <si>
    <t>5.5OZ/SD135-66.5" (OB20*OB20) #FW257 L.BLUE</t>
  </si>
  <si>
    <t>A1541GLBL</t>
  </si>
  <si>
    <t>TCF0104</t>
  </si>
  <si>
    <t>5.5OZ/SD135-66.5" (SD20*SD20) #FW457 NAVY</t>
  </si>
  <si>
    <t>A1537BNBL</t>
  </si>
  <si>
    <t>2051GWHT</t>
  </si>
  <si>
    <t>CP123BK</t>
  </si>
  <si>
    <t>TCF0820</t>
  </si>
  <si>
    <t>6.14OZ-66" (OB12*300D) #AR WHITE</t>
  </si>
  <si>
    <t>1200KWHT</t>
  </si>
  <si>
    <t>TCF0826</t>
  </si>
  <si>
    <t>6.14OZ-66"  (SD12*300D) #K397 BLACK</t>
  </si>
  <si>
    <t>O1113KBLK</t>
  </si>
  <si>
    <t>TCF0204</t>
  </si>
  <si>
    <t>7.1OZ/SDHV-65" (SD12*SD12) #K326 BROWN</t>
  </si>
  <si>
    <t>A7756BRN</t>
  </si>
  <si>
    <t>TCF0058</t>
  </si>
  <si>
    <t>7.1OZ/SDHV-121" (SD12*SD12) #7946 MAROON</t>
  </si>
  <si>
    <t>6.14OZ-66"  (SD12*300D) #K153 NAVY</t>
  </si>
  <si>
    <t>TCF0821</t>
  </si>
  <si>
    <t>6.14OZ-66"  (SD12*300D) #K156 WEDGEWOOD BLUE</t>
  </si>
  <si>
    <t>TCF0822</t>
  </si>
  <si>
    <t>TCF0823</t>
  </si>
  <si>
    <t>6.14OZ-66"  (SD12*300D) #K797 RED</t>
  </si>
  <si>
    <t>TCF0824</t>
  </si>
  <si>
    <t>6.14OZ-66"  (SD12*300D) #K796 MAROON</t>
  </si>
  <si>
    <t>TCF0825</t>
  </si>
  <si>
    <t>6.14OZ-66"  (SD12*300D) #K396 MADRITE GREY</t>
  </si>
  <si>
    <t>HA1521NBL</t>
  </si>
  <si>
    <t>HA1072WBL</t>
  </si>
  <si>
    <t>1037GRED</t>
  </si>
  <si>
    <t>HA1521MRN</t>
  </si>
  <si>
    <t>1200KMGY</t>
  </si>
  <si>
    <t>SSNG13881</t>
  </si>
  <si>
    <t>NASP20-MN</t>
  </si>
  <si>
    <t>Recut</t>
  </si>
  <si>
    <t>SAMPLE</t>
  </si>
  <si>
    <t>3269S</t>
  </si>
  <si>
    <t>BL06272025</t>
  </si>
  <si>
    <t>0882KWHT</t>
  </si>
  <si>
    <t>0882KMGY</t>
  </si>
  <si>
    <t>201656(recut)</t>
  </si>
  <si>
    <t>201642(recut)</t>
  </si>
  <si>
    <t>201689(recut)</t>
  </si>
  <si>
    <t>76104F</t>
  </si>
  <si>
    <t>GO2488</t>
  </si>
  <si>
    <t>TCF0413</t>
  </si>
  <si>
    <t>7.1OZ/SDHV-65.5" (SD12*SD12) #HMD KELLY GREEN</t>
  </si>
  <si>
    <t>A1037GKGN</t>
  </si>
  <si>
    <t>TCF0569</t>
  </si>
  <si>
    <t>6.9OZ-59" (TC22*TC16 1/3 TWILL) 235gsm #HMD-KGREEN</t>
  </si>
  <si>
    <t>SKUL4953</t>
  </si>
  <si>
    <t>GPPC733-BTG</t>
  </si>
  <si>
    <t>O1544GWHT</t>
  </si>
  <si>
    <t>DI-860</t>
  </si>
  <si>
    <t>TCF0214</t>
  </si>
  <si>
    <t>7.1OZ/SDHV-65" (SD12*SD12) #K320 BURGUNDY</t>
  </si>
  <si>
    <t>A1037GMRN</t>
  </si>
  <si>
    <t>TCF0427</t>
  </si>
  <si>
    <t>4.5OZ/T150-72.5" (SD26*SD26) #800 BLACK</t>
  </si>
  <si>
    <t>2090BLK</t>
  </si>
  <si>
    <t>4426WHT</t>
  </si>
  <si>
    <t>C1438RED</t>
  </si>
  <si>
    <t>TCF0019</t>
  </si>
  <si>
    <t>7.1OZ/SDHV-111" (SD12*SD12) #3580 YELLOW LEMON</t>
  </si>
  <si>
    <t>O1114YEL</t>
  </si>
  <si>
    <t>O1114KMRN</t>
  </si>
  <si>
    <t>TCF0327</t>
  </si>
  <si>
    <t>7.1OZ/SDHV-64.5" (SD12*SD12) #HMD GOLD</t>
  </si>
  <si>
    <t>O1114KGLD</t>
  </si>
  <si>
    <t>5694(RECUT)</t>
  </si>
  <si>
    <t>TCF0526</t>
  </si>
  <si>
    <t>4.5OZ-72.5" (OB26*OB26) #MAG002 WHITE</t>
  </si>
  <si>
    <t>CS122WH</t>
  </si>
  <si>
    <t>TCF0769</t>
  </si>
  <si>
    <t>7.1OZ-92.5" (SD12*SD12) RED-WPL</t>
  </si>
  <si>
    <t>O1114KRED</t>
  </si>
  <si>
    <t>TCF0809</t>
  </si>
  <si>
    <t>6.14OZ-68"  (SD12*300D) #K153 NAVY</t>
  </si>
  <si>
    <t>1855RED</t>
  </si>
  <si>
    <t>201785 (RECUT)</t>
  </si>
  <si>
    <t xml:space="preserve">1037G </t>
  </si>
  <si>
    <t>201715(recut)</t>
  </si>
  <si>
    <t>TCF0496</t>
  </si>
  <si>
    <t>6.1OZ-68" (T300D*SD12) #K749 RED</t>
  </si>
  <si>
    <t>TABLE CLOTH</t>
  </si>
  <si>
    <t>TCF0831</t>
  </si>
  <si>
    <t>SSNG13650</t>
  </si>
  <si>
    <t>GCRCSS320BF-WH</t>
  </si>
  <si>
    <t>201785(recut)</t>
  </si>
  <si>
    <t>O1113K
1425
1119G
1054B</t>
  </si>
  <si>
    <t>TCF0591</t>
  </si>
  <si>
    <t>5.5OZ-66.5" (SD20*SD20) #MAG007 BURGUNDY</t>
  </si>
  <si>
    <t>CC133-BY</t>
  </si>
  <si>
    <t>5.5OZ-66.5" (SD20*SD20) #MAG008 RED</t>
  </si>
  <si>
    <t>TCF0592</t>
  </si>
  <si>
    <t>CC133-RD</t>
  </si>
  <si>
    <t>O1114KCMX</t>
  </si>
  <si>
    <t>CC133-NB</t>
  </si>
  <si>
    <t>TCF0605</t>
  </si>
  <si>
    <t>5.75OZ-58.5" (T/C21*T/C21) #433C BLACK</t>
  </si>
  <si>
    <t>SKUL4962</t>
  </si>
  <si>
    <t>GVPCLS320BF-BK</t>
  </si>
  <si>
    <t>FABRIC OLD STOCK CUTTING (OCT-DEC.2025)</t>
  </si>
  <si>
    <t xml:space="preserve">201965
202019
201661
201867
</t>
  </si>
  <si>
    <t>3125KWHT
HA1521WHT
O1113KWHT
4426WHT
A0953BWHT</t>
  </si>
  <si>
    <t>TCF0554</t>
  </si>
  <si>
    <t>MANX45981</t>
  </si>
  <si>
    <t>201785(RECUT)</t>
  </si>
  <si>
    <t>2048GWHT</t>
  </si>
  <si>
    <t xml:space="preserve">201965
</t>
  </si>
  <si>
    <t>3125KWHT</t>
  </si>
  <si>
    <t>6.14OZ-66"  (SD12*300D) #K555 KELLY GREEN</t>
  </si>
  <si>
    <t>TCF0828</t>
  </si>
  <si>
    <t>1734MGY</t>
  </si>
  <si>
    <t>1734KGN</t>
  </si>
  <si>
    <t>201943
201979
202047
201943
201965</t>
  </si>
  <si>
    <t>0811KWHT
1087BWHT
3125KWHT
A1544GWHT
A1544GWHT</t>
  </si>
  <si>
    <t>201943
201943
201943
201943
201943
201943
201943</t>
  </si>
  <si>
    <t>O1114KCMX10WHT
O1114KCMX11WHT
O1114KCMX15WHT
O1114KCMX12WHT
O1114KCMX14WHT
O1114KCMX13WHT
3269SWHT</t>
  </si>
  <si>
    <t xml:space="preserve">201943
</t>
  </si>
  <si>
    <t>A1095BRED</t>
  </si>
  <si>
    <t>A1095BKGN</t>
  </si>
  <si>
    <t>A1317WLBL</t>
  </si>
  <si>
    <t>2558GWHT</t>
  </si>
  <si>
    <t>5.5OZ/SD135-66.5" (SD20*SD20) #FW357 RED</t>
  </si>
  <si>
    <t>TCF0101</t>
  </si>
  <si>
    <t>A1317WRED</t>
  </si>
  <si>
    <t>TCF0537</t>
  </si>
  <si>
    <t>6.2OZ-59" (TC21*TC17 1/2 TWILL) 210gsm #425 DNAVY</t>
  </si>
  <si>
    <t xml:space="preserve">SSNG14248
</t>
  </si>
  <si>
    <t>GPPC397CVT-NV</t>
  </si>
  <si>
    <t>TCF0162</t>
  </si>
  <si>
    <t>7.1OZ/SDHV-66" (SD12*SD12) #K226 DARK NAVY</t>
  </si>
  <si>
    <t xml:space="preserve">260017
</t>
  </si>
  <si>
    <t>DI8V-NP</t>
  </si>
  <si>
    <t>CC133WH
CC133WH
CC133WH-GL</t>
  </si>
  <si>
    <t>10824
5926
5970</t>
  </si>
  <si>
    <t>TCF0460</t>
  </si>
  <si>
    <t>6.35OZ/SDMD-73" (OB12*T300D) #AA WHITE</t>
  </si>
  <si>
    <t>2022
2024</t>
  </si>
  <si>
    <t xml:space="preserve">0005474
</t>
  </si>
  <si>
    <t>TPS071071WHS</t>
  </si>
  <si>
    <t>2022
2023
2024</t>
  </si>
  <si>
    <t xml:space="preserve">5926
</t>
  </si>
  <si>
    <t>CC133RD</t>
  </si>
  <si>
    <t>5.5OZ-66.5" (SD20*SD20) #MAG009 GREEN</t>
  </si>
  <si>
    <t>TCF0593</t>
  </si>
  <si>
    <t>CC133GR</t>
  </si>
  <si>
    <t>TCF0602</t>
  </si>
  <si>
    <t>6.35OZ-86.5" (OB12*T300D) #AA WHITE</t>
  </si>
  <si>
    <t>TPS042042WHS</t>
  </si>
  <si>
    <t>TCF0603</t>
  </si>
  <si>
    <t>6.35OZ-121.5" (OB12*T300D) #AA WHITE</t>
  </si>
  <si>
    <t>TO52S120RWH</t>
  </si>
  <si>
    <t>6.35OZ-91.5" (SD12*300D) #AA BLACK</t>
  </si>
  <si>
    <t>TCF0611</t>
  </si>
  <si>
    <t>TO52S9015BK</t>
  </si>
  <si>
    <t>TCF0612</t>
  </si>
  <si>
    <t>6.35OZ-116" (OB12*300D) #AA WHITE</t>
  </si>
  <si>
    <t>NPS021021WHS</t>
  </si>
  <si>
    <t>TCF0752</t>
  </si>
  <si>
    <t>6.35OZ-132" (SD12*300D) NAVY BLUE-WPL</t>
  </si>
  <si>
    <t>TO52S132RNV</t>
  </si>
  <si>
    <t>2369GWHT</t>
  </si>
  <si>
    <t>CC133BY</t>
  </si>
  <si>
    <t>10824
5926</t>
  </si>
  <si>
    <t>CC133NB</t>
  </si>
  <si>
    <t>201965 (RECUT</t>
  </si>
  <si>
    <t>A1544</t>
  </si>
  <si>
    <t>1521GMRN</t>
  </si>
  <si>
    <t>201965 (RECUT)</t>
  </si>
  <si>
    <t>SFOR1414</t>
  </si>
  <si>
    <t>AR300-W-SP</t>
  </si>
  <si>
    <t>O1114GLD</t>
  </si>
  <si>
    <t>6.35OZ-62.5" (SD12*300D) PURPLE-WPL</t>
  </si>
  <si>
    <t>TCF0749</t>
  </si>
  <si>
    <t>1619GPUR</t>
  </si>
  <si>
    <t>6.14OZ-68"  (SD12*300D) #K258 SANDALWOOD</t>
  </si>
  <si>
    <t xml:space="preserve">
2024</t>
  </si>
  <si>
    <t>0882KSWD
1521GSWD
1754SWD
1734SWD</t>
  </si>
  <si>
    <t>TCF0814</t>
  </si>
  <si>
    <t>1117KWHT
1200KWBL
2558GWHT
A1536BWHT</t>
  </si>
  <si>
    <t>202244
202265
202260
202047</t>
  </si>
  <si>
    <t>202303 (RECUT)</t>
  </si>
  <si>
    <t>202175
202321
202370
202409</t>
  </si>
  <si>
    <t>202025
201974
202047
202175
202260
202269</t>
  </si>
  <si>
    <t>6.1OZ-68" (T300D*SD12) #K385 BLACK</t>
  </si>
  <si>
    <t>TCF0487</t>
  </si>
  <si>
    <t>413-BK</t>
  </si>
  <si>
    <t>103-WH</t>
  </si>
  <si>
    <t>202175(RECUT)</t>
  </si>
  <si>
    <t>6.35OZ/SDMD-54" (OB12*T300D) #AA WHITE</t>
  </si>
  <si>
    <t>TCF0455</t>
  </si>
  <si>
    <t>TPS052052WHS</t>
  </si>
  <si>
    <t>6.14OZ-66"  (SD12*300D) #K942 GOLD</t>
  </si>
  <si>
    <t>TCF0827</t>
  </si>
  <si>
    <t>111244-10</t>
  </si>
  <si>
    <t>202370(recut)</t>
  </si>
  <si>
    <t>1112GMGY</t>
  </si>
  <si>
    <t>1112GBLK</t>
  </si>
  <si>
    <t>TCF0004</t>
  </si>
  <si>
    <t>7.1OZ/SDHV-64.5" (OB12*OB12) #ALSCO WHITE</t>
  </si>
  <si>
    <t>163-PWH</t>
  </si>
  <si>
    <t>5474(recut)</t>
  </si>
  <si>
    <t>TCF0160</t>
  </si>
  <si>
    <t xml:space="preserve">Sample cutting </t>
  </si>
  <si>
    <t>DI8V-NO PKT</t>
  </si>
  <si>
    <t>BL11072025</t>
  </si>
  <si>
    <t>LS03855</t>
  </si>
  <si>
    <t>LS037C55</t>
  </si>
  <si>
    <t>T052S96-RNV</t>
  </si>
  <si>
    <t>T052S9015NV</t>
  </si>
  <si>
    <t>STOCK</t>
  </si>
  <si>
    <t>GS1818</t>
  </si>
  <si>
    <t>TCF0506</t>
  </si>
  <si>
    <t>SKUL5013</t>
  </si>
  <si>
    <t>GCPCLS320BF</t>
  </si>
  <si>
    <t>T052S9015BK</t>
  </si>
  <si>
    <t>1426WHT</t>
  </si>
  <si>
    <t>202244(RECUT)</t>
  </si>
  <si>
    <t>S26-1542</t>
  </si>
  <si>
    <t>4458NU</t>
  </si>
  <si>
    <t>202011(RECUT)</t>
  </si>
  <si>
    <t>TCF0607</t>
  </si>
  <si>
    <t>6.35OZ-54" (SD12*300D) CHAMP-WPL</t>
  </si>
  <si>
    <t>Sample</t>
  </si>
  <si>
    <t>201974(RECUT)</t>
  </si>
  <si>
    <t>VOLUNTEER VEST WOMEN</t>
  </si>
  <si>
    <t>TCF0696</t>
  </si>
  <si>
    <t>TCF0736</t>
  </si>
  <si>
    <t>HA1521ORG</t>
  </si>
  <si>
    <t>4.25OZ-72" (26*200D) FHOSS ORANGE</t>
  </si>
  <si>
    <t>TCF0818</t>
  </si>
  <si>
    <t>S26-1749</t>
  </si>
  <si>
    <t>201965(RECUT)</t>
  </si>
  <si>
    <t>202517(RECUT)</t>
  </si>
  <si>
    <t>1734GLD</t>
  </si>
  <si>
    <t>0882KGLD</t>
  </si>
  <si>
    <t>1754KGN</t>
  </si>
  <si>
    <t>202047
202244</t>
  </si>
  <si>
    <t>HA1521WHT
A1536BWHT
A1544GWHT
1117KG2PWHT
1117KWHT
1112GWHT</t>
  </si>
  <si>
    <t>TAIWAI</t>
  </si>
  <si>
    <t>CUSTOMER</t>
  </si>
  <si>
    <t>3.5OZ/SD170-66" (SD30*T75D) #AR ORANGE</t>
  </si>
  <si>
    <t>TCF0147</t>
  </si>
  <si>
    <t>2019
2020</t>
  </si>
  <si>
    <t>3.5OZ/SD170-66" (SD30*T75D) #AR GREY</t>
  </si>
  <si>
    <t>TCF0154</t>
  </si>
  <si>
    <t>COLD ROOM
JACKET-DI3HD</t>
  </si>
  <si>
    <t>2023
2021
2020</t>
  </si>
  <si>
    <t>TCF0297</t>
  </si>
  <si>
    <t>3.5OZ-SD170-67" (SD30*T100D) BROWN</t>
  </si>
  <si>
    <t>TCF0485</t>
  </si>
  <si>
    <t>SUKL5072</t>
  </si>
  <si>
    <t>GPPC733</t>
  </si>
  <si>
    <t>SORD45314</t>
  </si>
  <si>
    <t>7.1OZ/SDHV-121" (SD12*SD12) #50105 BISCUIT</t>
  </si>
  <si>
    <t>6.1OZ-68" (T300D*SD12) #K500 WHITE</t>
  </si>
  <si>
    <t>TCF0518</t>
  </si>
  <si>
    <t>CC133XSMR-GL</t>
  </si>
  <si>
    <t>TCF0594</t>
  </si>
  <si>
    <t>6.1OZ-68" (300D*SD12) #MAG007 BURGUNDY</t>
  </si>
  <si>
    <t>NPAP003034WHT-GL
(AP10928)</t>
  </si>
  <si>
    <t>NPAP003034BLK-GL
(AP10928)</t>
  </si>
  <si>
    <t>NPAP003034MR-GL
(AP10928)</t>
  </si>
  <si>
    <t>TCF0595</t>
  </si>
  <si>
    <t>6.1OZ-68" (300D*SD12) #MAG009 GREEN</t>
  </si>
  <si>
    <t>NPAP003034GR-GL
(AP10928)</t>
  </si>
  <si>
    <t>A1317WNBL</t>
  </si>
  <si>
    <t>1744SS</t>
  </si>
  <si>
    <t>1425GLD</t>
  </si>
  <si>
    <t>FOR CUSTOMER</t>
  </si>
  <si>
    <t>CC133MR-GL</t>
  </si>
  <si>
    <t>103WPL</t>
  </si>
  <si>
    <t>1754RED</t>
  </si>
  <si>
    <t>0882GKGN</t>
  </si>
  <si>
    <t>TCF0646</t>
  </si>
  <si>
    <t>6.35OZ-64.5" (SD12*300D) GRAY WPL</t>
  </si>
  <si>
    <t>A1535BNBL</t>
  </si>
  <si>
    <t>DF133GY-GL</t>
  </si>
  <si>
    <t>TCF0658</t>
  </si>
  <si>
    <t>6.35OZ-109.5" (SD12*300D) GRAY WPL</t>
  </si>
  <si>
    <t>TCF0747</t>
  </si>
  <si>
    <t>6.35OZ-132" (SD12*300D) GRAY WPL</t>
  </si>
  <si>
    <t>1518CBMGY</t>
  </si>
  <si>
    <t>SORD45410</t>
  </si>
  <si>
    <t>202260
202643
202979</t>
  </si>
  <si>
    <t>2023
2024</t>
  </si>
  <si>
    <t>DF133GY-GL(CONTRAST 
COLLAR &amp; CUFFS)</t>
  </si>
  <si>
    <t>HA1521</t>
  </si>
  <si>
    <t>4.1OZ-60" EYE MESH DOUBLE KNIT (RECYCLE) #AR WHITE</t>
  </si>
  <si>
    <t xml:space="preserve">TCF0214 </t>
  </si>
  <si>
    <t>2021(NIS)</t>
  </si>
  <si>
    <t>TCF0056</t>
  </si>
  <si>
    <t>7.1OZ/SDHV-111" (SD12*SD12) #5966 IVORY</t>
  </si>
  <si>
    <t>SSNG14604</t>
  </si>
  <si>
    <t>NASP20-IV</t>
  </si>
  <si>
    <t>6274(RECUT)</t>
  </si>
  <si>
    <t>20244623(RECUT)</t>
  </si>
  <si>
    <t>202260(RECUT)</t>
  </si>
  <si>
    <t>5474(RECUT)</t>
  </si>
  <si>
    <t>7.1OZ/SDHV-65" (SD12*SD12) #K126 NAVY</t>
  </si>
  <si>
    <t>A0882GNBL</t>
  </si>
  <si>
    <t>1112GGLD</t>
  </si>
  <si>
    <t>LS250MH</t>
  </si>
  <si>
    <t>ORANGE PANTS</t>
  </si>
  <si>
    <t>4438GLD</t>
  </si>
  <si>
    <t>SSNG14645</t>
  </si>
  <si>
    <t>GCRCLS320ZF</t>
  </si>
  <si>
    <t>20232117(RECUT)</t>
  </si>
  <si>
    <t>TCF0233</t>
  </si>
  <si>
    <t>VRT875</t>
  </si>
  <si>
    <t>1119SMRN</t>
  </si>
  <si>
    <t>SSNG14474</t>
  </si>
  <si>
    <t>GPPC393SF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</si>
</sst>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b/>
      <sz val="16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11"/>
      <color rgb="FF000000"/>
      <name val="Segoe UI"/>
      <family val="2"/>
    </font>
    <font>
      <sz val="9.75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0" fillId="0" borderId="2" xfId="0" applyBorder="1"/>
    <xf numFmtId="49" fontId="4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49" fontId="6" fillId="0" borderId="2" xfId="0" applyNumberFormat="1" applyFont="1" applyBorder="1" applyAlignment="1">
      <alignment horizontal="left" vertical="top" wrapText="1"/>
    </xf>
    <xf numFmtId="49" fontId="8" fillId="0" borderId="6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0" fontId="0" fillId="0" borderId="7" xfId="0" applyBorder="1"/>
    <xf numFmtId="49" fontId="4" fillId="0" borderId="4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0" fontId="0" fillId="0" borderId="7" xfId="0" applyBorder="1" applyAlignment="1">
      <alignment horizontal="left"/>
    </xf>
    <xf numFmtId="49" fontId="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49" fontId="4" fillId="0" borderId="13" xfId="0" applyNumberFormat="1" applyFont="1" applyBorder="1" applyAlignment="1">
      <alignment horizontal="left" vertical="top" wrapText="1"/>
    </xf>
    <xf numFmtId="49" fontId="8" fillId="0" borderId="2" xfId="0" applyNumberFormat="1" applyFont="1" applyBorder="1" applyAlignment="1">
      <alignment horizontal="left" vertical="top" wrapText="1"/>
    </xf>
    <xf numFmtId="49" fontId="4" fillId="0" borderId="14" xfId="0" applyNumberFormat="1" applyFont="1" applyBorder="1" applyAlignment="1">
      <alignment horizontal="left" vertical="top" wrapText="1"/>
    </xf>
    <xf numFmtId="49" fontId="8" fillId="0" borderId="7" xfId="0" applyNumberFormat="1" applyFont="1" applyBorder="1" applyAlignment="1">
      <alignment horizontal="left" vertical="top" wrapText="1"/>
    </xf>
    <xf numFmtId="0" fontId="10" fillId="0" borderId="2" xfId="0" applyFont="1" applyBorder="1"/>
    <xf numFmtId="49" fontId="11" fillId="0" borderId="2" xfId="0" applyNumberFormat="1" applyFont="1" applyBorder="1" applyAlignment="1">
      <alignment horizontal="left" vertical="top" wrapText="1"/>
    </xf>
    <xf numFmtId="49" fontId="12" fillId="0" borderId="6" xfId="0" applyNumberFormat="1" applyFont="1" applyBorder="1" applyAlignment="1">
      <alignment horizontal="left" vertical="top" wrapText="1"/>
    </xf>
    <xf numFmtId="49" fontId="12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49" fontId="4" fillId="0" borderId="2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left" vertical="top" wrapText="1"/>
    </xf>
    <xf numFmtId="49" fontId="13" fillId="0" borderId="2" xfId="0" applyNumberFormat="1" applyFont="1" applyBorder="1" applyAlignment="1">
      <alignment horizontal="left" vertical="top" wrapText="1"/>
    </xf>
    <xf numFmtId="49" fontId="13" fillId="0" borderId="15" xfId="0" applyNumberFormat="1" applyFont="1" applyBorder="1" applyAlignment="1">
      <alignment horizontal="left" vertical="top" wrapText="1"/>
    </xf>
    <xf numFmtId="49" fontId="14" fillId="0" borderId="6" xfId="0" applyNumberFormat="1" applyFont="1" applyBorder="1" applyAlignment="1">
      <alignment horizontal="left" vertical="top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left" vertical="top" wrapText="1"/>
    </xf>
    <xf numFmtId="49" fontId="14" fillId="0" borderId="1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2" fillId="0" borderId="7" xfId="0" applyNumberFormat="1" applyFont="1" applyBorder="1" applyAlignment="1">
      <alignment horizontal="left" vertical="top" wrapText="1"/>
    </xf>
    <xf numFmtId="49" fontId="15" fillId="0" borderId="2" xfId="0" applyNumberFormat="1" applyFont="1" applyBorder="1" applyAlignment="1">
      <alignment horizontal="left" vertical="top" wrapText="1"/>
    </xf>
    <xf numFmtId="49" fontId="14" fillId="0" borderId="4" xfId="0" applyNumberFormat="1" applyFont="1" applyBorder="1" applyAlignment="1">
      <alignment horizontal="left" vertical="top" wrapText="1"/>
    </xf>
    <xf numFmtId="49" fontId="14" fillId="0" borderId="15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49" fontId="12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left" vertical="top" wrapText="1"/>
    </xf>
    <xf numFmtId="49" fontId="4" fillId="0" borderId="12" xfId="0" applyNumberFormat="1" applyFont="1" applyBorder="1" applyAlignment="1">
      <alignment horizontal="center" vertical="center" wrapText="1"/>
    </xf>
    <xf numFmtId="49" fontId="17" fillId="0" borderId="13" xfId="0" applyNumberFormat="1" applyFont="1" applyBorder="1" applyAlignment="1">
      <alignment horizontal="left" vertical="top" wrapText="1"/>
    </xf>
    <xf numFmtId="49" fontId="4" fillId="0" borderId="12" xfId="0" applyNumberFormat="1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left" vertical="top" wrapText="1"/>
    </xf>
    <xf numFmtId="49" fontId="18" fillId="0" borderId="15" xfId="0" applyNumberFormat="1" applyFont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19" fillId="0" borderId="19" xfId="0" applyNumberFormat="1" applyFont="1" applyBorder="1" applyAlignment="1">
      <alignment horizontal="left" vertical="center" wrapText="1"/>
    </xf>
    <xf numFmtId="49" fontId="19" fillId="0" borderId="2" xfId="0" applyNumberFormat="1" applyFont="1" applyBorder="1" applyAlignment="1">
      <alignment horizontal="left" vertical="top" wrapText="1"/>
    </xf>
    <xf numFmtId="49" fontId="20" fillId="0" borderId="6" xfId="0" applyNumberFormat="1" applyFont="1" applyBorder="1" applyAlignment="1">
      <alignment horizontal="left" vertical="top" wrapText="1"/>
    </xf>
    <xf numFmtId="49" fontId="21" fillId="0" borderId="15" xfId="0" applyNumberFormat="1" applyFont="1" applyBorder="1" applyAlignment="1">
      <alignment horizontal="left" vertical="top" wrapText="1"/>
    </xf>
    <xf numFmtId="49" fontId="19" fillId="0" borderId="2" xfId="0" applyNumberFormat="1" applyFont="1" applyBorder="1" applyAlignment="1">
      <alignment horizontal="left" vertical="center" wrapText="1"/>
    </xf>
    <xf numFmtId="49" fontId="22" fillId="0" borderId="2" xfId="0" applyNumberFormat="1" applyFont="1" applyBorder="1" applyAlignment="1">
      <alignment horizontal="left" vertical="top" wrapText="1"/>
    </xf>
    <xf numFmtId="49" fontId="22" fillId="0" borderId="6" xfId="0" applyNumberFormat="1" applyFont="1" applyBorder="1" applyAlignment="1">
      <alignment horizontal="left" vertical="top" wrapText="1"/>
    </xf>
    <xf numFmtId="49" fontId="4" fillId="0" borderId="15" xfId="0" applyNumberFormat="1" applyFont="1" applyBorder="1" applyAlignment="1">
      <alignment horizontal="left" vertical="top" wrapText="1"/>
    </xf>
    <xf numFmtId="49" fontId="23" fillId="0" borderId="6" xfId="0" applyNumberFormat="1" applyFont="1" applyBorder="1" applyAlignment="1">
      <alignment horizontal="left" vertical="top" wrapText="1"/>
    </xf>
    <xf numFmtId="49" fontId="24" fillId="0" borderId="6" xfId="0" applyNumberFormat="1" applyFont="1" applyBorder="1" applyAlignment="1">
      <alignment horizontal="left" vertical="top" wrapText="1"/>
    </xf>
    <xf numFmtId="49" fontId="24" fillId="0" borderId="6" xfId="0" applyNumberFormat="1" applyFont="1" applyBorder="1" applyAlignment="1">
      <alignment horizontal="left" vertical="center" wrapText="1"/>
    </xf>
    <xf numFmtId="49" fontId="25" fillId="0" borderId="6" xfId="0" applyNumberFormat="1" applyFont="1" applyBorder="1" applyAlignment="1">
      <alignment horizontal="left" vertical="top" wrapText="1"/>
    </xf>
    <xf numFmtId="49" fontId="26" fillId="0" borderId="6" xfId="0" applyNumberFormat="1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C361-C8A3-4218-9BAA-FF4F4D854495}">
  <dimension ref="A1:J11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6.5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4" customHeight="1" x14ac:dyDescent="0.25">
      <c r="A4" s="5">
        <v>1</v>
      </c>
      <c r="B4" s="5" t="s">
        <v>7</v>
      </c>
      <c r="C4" s="5">
        <v>2024</v>
      </c>
      <c r="D4" s="6" t="s">
        <v>8</v>
      </c>
      <c r="E4" s="6" t="s">
        <v>10</v>
      </c>
      <c r="F4" s="5">
        <v>179</v>
      </c>
      <c r="G4" s="5" t="s">
        <v>11</v>
      </c>
      <c r="H4" s="7">
        <v>200995</v>
      </c>
      <c r="I4" s="100"/>
      <c r="J4" s="100"/>
    </row>
    <row r="5" spans="1:10" ht="24" x14ac:dyDescent="0.25">
      <c r="A5" s="5">
        <v>2</v>
      </c>
      <c r="B5" s="5" t="s">
        <v>14</v>
      </c>
      <c r="C5" s="5">
        <v>2024</v>
      </c>
      <c r="D5" s="6" t="s">
        <v>15</v>
      </c>
      <c r="E5" s="6" t="s">
        <v>10</v>
      </c>
      <c r="F5" s="5">
        <v>856</v>
      </c>
      <c r="G5" s="5" t="s">
        <v>11</v>
      </c>
      <c r="H5" s="7">
        <v>5605</v>
      </c>
      <c r="I5" s="100" t="s">
        <v>16</v>
      </c>
      <c r="J5" s="100"/>
    </row>
    <row r="6" spans="1:10" ht="24" x14ac:dyDescent="0.25">
      <c r="A6" s="5">
        <v>3</v>
      </c>
      <c r="B6" s="5" t="s">
        <v>17</v>
      </c>
      <c r="C6" s="5">
        <v>2024</v>
      </c>
      <c r="D6" s="6" t="s">
        <v>18</v>
      </c>
      <c r="E6" s="6" t="s">
        <v>10</v>
      </c>
      <c r="F6" s="5">
        <v>491</v>
      </c>
      <c r="G6" s="5" t="s">
        <v>11</v>
      </c>
      <c r="H6" s="7" t="s">
        <v>19</v>
      </c>
      <c r="I6" s="100" t="s">
        <v>20</v>
      </c>
      <c r="J6" s="100"/>
    </row>
    <row r="7" spans="1:10" ht="24" x14ac:dyDescent="0.25">
      <c r="A7" s="5">
        <v>4</v>
      </c>
      <c r="B7" s="5" t="s">
        <v>27</v>
      </c>
      <c r="C7" s="5">
        <v>2024</v>
      </c>
      <c r="D7" s="6" t="s">
        <v>28</v>
      </c>
      <c r="E7" s="6" t="s">
        <v>10</v>
      </c>
      <c r="F7" s="5">
        <v>1002</v>
      </c>
      <c r="G7" s="5" t="s">
        <v>11</v>
      </c>
      <c r="H7" s="7">
        <v>201147</v>
      </c>
      <c r="I7" s="100" t="s">
        <v>23</v>
      </c>
      <c r="J7" s="100"/>
    </row>
    <row r="8" spans="1:10" ht="25.5" x14ac:dyDescent="0.25">
      <c r="A8" s="5">
        <v>5</v>
      </c>
      <c r="B8" s="5" t="s">
        <v>21</v>
      </c>
      <c r="C8" s="5">
        <v>2023</v>
      </c>
      <c r="D8" s="8" t="s">
        <v>22</v>
      </c>
      <c r="E8" s="6" t="s">
        <v>10</v>
      </c>
      <c r="F8" s="5">
        <v>1839</v>
      </c>
      <c r="G8" s="5" t="s">
        <v>11</v>
      </c>
      <c r="H8" s="7">
        <v>201146</v>
      </c>
      <c r="I8" s="100" t="s">
        <v>23</v>
      </c>
      <c r="J8" s="100"/>
    </row>
    <row r="9" spans="1:10" ht="24" x14ac:dyDescent="0.25">
      <c r="A9" s="5">
        <v>6</v>
      </c>
      <c r="B9" s="5" t="s">
        <v>24</v>
      </c>
      <c r="C9" s="5">
        <v>2023</v>
      </c>
      <c r="D9" s="6" t="s">
        <v>25</v>
      </c>
      <c r="E9" s="6" t="s">
        <v>10</v>
      </c>
      <c r="F9" s="5">
        <v>446</v>
      </c>
      <c r="G9" s="5" t="s">
        <v>11</v>
      </c>
      <c r="H9" s="7">
        <v>200541</v>
      </c>
      <c r="I9" s="100" t="s">
        <v>26</v>
      </c>
      <c r="J9" s="100"/>
    </row>
    <row r="10" spans="1:10" x14ac:dyDescent="0.25">
      <c r="E10" s="101" t="s">
        <v>29</v>
      </c>
      <c r="F10" s="103">
        <f>SUM(F4:F9)</f>
        <v>4813</v>
      </c>
      <c r="G10" s="103" t="s">
        <v>11</v>
      </c>
      <c r="H10" s="1"/>
    </row>
    <row r="11" spans="1:10" x14ac:dyDescent="0.25">
      <c r="E11" s="102"/>
      <c r="F11" s="104"/>
      <c r="G11" s="104"/>
    </row>
  </sheetData>
  <mergeCells count="11">
    <mergeCell ref="I3:J3"/>
    <mergeCell ref="A1:J2"/>
    <mergeCell ref="I4:J4"/>
    <mergeCell ref="I5:J5"/>
    <mergeCell ref="I6:J6"/>
    <mergeCell ref="I9:J9"/>
    <mergeCell ref="I7:J7"/>
    <mergeCell ref="E10:E11"/>
    <mergeCell ref="F10:F11"/>
    <mergeCell ref="G10:G11"/>
    <mergeCell ref="I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7ED7-E521-4EC6-8671-DDB541672060}">
  <dimension ref="A1:J16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6.5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4" customHeight="1" x14ac:dyDescent="0.25">
      <c r="A4" s="5">
        <v>1</v>
      </c>
      <c r="B4" s="5" t="s">
        <v>30</v>
      </c>
      <c r="C4" s="5">
        <v>2024</v>
      </c>
      <c r="D4" s="9" t="s">
        <v>31</v>
      </c>
      <c r="E4" s="6" t="s">
        <v>10</v>
      </c>
      <c r="F4" s="5">
        <v>39</v>
      </c>
      <c r="G4" s="5" t="s">
        <v>11</v>
      </c>
      <c r="H4" s="7"/>
      <c r="I4" s="100" t="s">
        <v>51</v>
      </c>
      <c r="J4" s="100"/>
    </row>
    <row r="5" spans="1:10" ht="24" x14ac:dyDescent="0.25">
      <c r="A5" s="5">
        <v>2</v>
      </c>
      <c r="B5" s="5" t="s">
        <v>32</v>
      </c>
      <c r="C5" s="5">
        <v>2024</v>
      </c>
      <c r="D5" s="10" t="s">
        <v>33</v>
      </c>
      <c r="E5" s="6" t="s">
        <v>10</v>
      </c>
      <c r="F5" s="5">
        <v>445</v>
      </c>
      <c r="G5" s="5" t="s">
        <v>11</v>
      </c>
      <c r="H5" s="7">
        <v>201147</v>
      </c>
      <c r="I5" s="100" t="s">
        <v>23</v>
      </c>
      <c r="J5" s="100"/>
    </row>
    <row r="6" spans="1:10" ht="24" x14ac:dyDescent="0.25">
      <c r="A6" s="5">
        <v>3</v>
      </c>
      <c r="B6" s="5" t="s">
        <v>17</v>
      </c>
      <c r="C6" s="5">
        <v>2024</v>
      </c>
      <c r="D6" s="6" t="s">
        <v>18</v>
      </c>
      <c r="E6" s="6" t="s">
        <v>10</v>
      </c>
      <c r="F6" s="5">
        <v>46</v>
      </c>
      <c r="G6" s="5" t="s">
        <v>11</v>
      </c>
      <c r="H6" s="7" t="s">
        <v>52</v>
      </c>
      <c r="I6" s="100"/>
      <c r="J6" s="100"/>
    </row>
    <row r="7" spans="1:10" ht="24" x14ac:dyDescent="0.25">
      <c r="A7" s="5">
        <v>4</v>
      </c>
      <c r="B7" s="5" t="s">
        <v>34</v>
      </c>
      <c r="C7" s="5">
        <v>2023</v>
      </c>
      <c r="D7" s="10" t="s">
        <v>35</v>
      </c>
      <c r="E7" s="6" t="s">
        <v>10</v>
      </c>
      <c r="F7" s="5">
        <v>200</v>
      </c>
      <c r="G7" s="5" t="s">
        <v>11</v>
      </c>
      <c r="H7" s="7">
        <v>200541</v>
      </c>
      <c r="I7" s="100" t="s">
        <v>26</v>
      </c>
      <c r="J7" s="100"/>
    </row>
    <row r="8" spans="1:10" ht="24" x14ac:dyDescent="0.25">
      <c r="A8" s="5">
        <v>5</v>
      </c>
      <c r="B8" s="5" t="s">
        <v>36</v>
      </c>
      <c r="C8" s="5">
        <v>2023</v>
      </c>
      <c r="D8" s="10" t="s">
        <v>37</v>
      </c>
      <c r="E8" s="6" t="s">
        <v>10</v>
      </c>
      <c r="F8" s="5">
        <v>5</v>
      </c>
      <c r="G8" s="5" t="s">
        <v>11</v>
      </c>
      <c r="H8" s="7" t="s">
        <v>52</v>
      </c>
      <c r="I8" s="100"/>
      <c r="J8" s="100"/>
    </row>
    <row r="9" spans="1:10" ht="24" x14ac:dyDescent="0.25">
      <c r="A9" s="11">
        <v>6</v>
      </c>
      <c r="B9" s="11" t="s">
        <v>38</v>
      </c>
      <c r="C9" s="11">
        <v>2023</v>
      </c>
      <c r="D9" s="12" t="s">
        <v>39</v>
      </c>
      <c r="E9" s="13" t="s">
        <v>10</v>
      </c>
      <c r="F9" s="11">
        <v>11</v>
      </c>
      <c r="G9" s="11" t="s">
        <v>11</v>
      </c>
      <c r="H9" s="14" t="s">
        <v>48</v>
      </c>
      <c r="I9" s="108" t="s">
        <v>49</v>
      </c>
      <c r="J9" s="108"/>
    </row>
    <row r="10" spans="1:10" ht="24" x14ac:dyDescent="0.25">
      <c r="A10" s="11">
        <v>7</v>
      </c>
      <c r="B10" s="11" t="s">
        <v>53</v>
      </c>
      <c r="C10" s="11">
        <v>2023</v>
      </c>
      <c r="D10" s="6" t="s">
        <v>54</v>
      </c>
      <c r="E10" s="13" t="s">
        <v>10</v>
      </c>
      <c r="F10" s="11">
        <v>50</v>
      </c>
      <c r="G10" s="11" t="s">
        <v>11</v>
      </c>
      <c r="H10" s="14" t="s">
        <v>52</v>
      </c>
      <c r="I10" s="17"/>
      <c r="J10" s="18"/>
    </row>
    <row r="11" spans="1:10" ht="24" x14ac:dyDescent="0.25">
      <c r="A11" s="11">
        <v>8</v>
      </c>
      <c r="B11" s="5" t="s">
        <v>40</v>
      </c>
      <c r="C11" s="5">
        <v>2020</v>
      </c>
      <c r="D11" s="10" t="s">
        <v>41</v>
      </c>
      <c r="E11" s="13" t="s">
        <v>10</v>
      </c>
      <c r="F11" s="5">
        <v>10</v>
      </c>
      <c r="G11" s="11" t="s">
        <v>11</v>
      </c>
      <c r="H11" s="14" t="s">
        <v>48</v>
      </c>
      <c r="I11" s="109" t="s">
        <v>50</v>
      </c>
      <c r="J11" s="110"/>
    </row>
    <row r="12" spans="1:10" ht="24" x14ac:dyDescent="0.25">
      <c r="A12" s="11">
        <v>9</v>
      </c>
      <c r="B12" s="11" t="s">
        <v>42</v>
      </c>
      <c r="C12" s="11">
        <v>2018</v>
      </c>
      <c r="D12" s="12" t="s">
        <v>43</v>
      </c>
      <c r="E12" s="13" t="s">
        <v>10</v>
      </c>
      <c r="F12" s="11">
        <v>1</v>
      </c>
      <c r="G12" s="11" t="s">
        <v>11</v>
      </c>
      <c r="H12" s="14" t="s">
        <v>48</v>
      </c>
      <c r="I12" s="108" t="s">
        <v>49</v>
      </c>
      <c r="J12" s="108"/>
    </row>
    <row r="13" spans="1:10" ht="24" x14ac:dyDescent="0.25">
      <c r="A13" s="5">
        <v>10</v>
      </c>
      <c r="B13" s="5" t="s">
        <v>45</v>
      </c>
      <c r="C13" s="5">
        <v>2015</v>
      </c>
      <c r="D13" s="6" t="s">
        <v>44</v>
      </c>
      <c r="E13" s="6" t="s">
        <v>10</v>
      </c>
      <c r="F13" s="5">
        <v>2</v>
      </c>
      <c r="G13" s="5" t="s">
        <v>11</v>
      </c>
      <c r="H13" s="7" t="s">
        <v>46</v>
      </c>
      <c r="I13" s="100" t="s">
        <v>47</v>
      </c>
      <c r="J13" s="100"/>
    </row>
    <row r="14" spans="1:10" x14ac:dyDescent="0.25">
      <c r="D14" s="15"/>
      <c r="E14" s="15"/>
      <c r="H14" s="1"/>
      <c r="I14" s="16"/>
      <c r="J14" s="16"/>
    </row>
    <row r="15" spans="1:10" x14ac:dyDescent="0.25">
      <c r="E15" s="102" t="s">
        <v>29</v>
      </c>
      <c r="F15" s="104">
        <f>SUM(F4:F13)</f>
        <v>809</v>
      </c>
      <c r="G15" s="104" t="s">
        <v>11</v>
      </c>
      <c r="H15" s="1"/>
    </row>
    <row r="16" spans="1:10" x14ac:dyDescent="0.25">
      <c r="E16" s="102"/>
      <c r="F16" s="104"/>
      <c r="G16" s="104"/>
    </row>
  </sheetData>
  <mergeCells count="14">
    <mergeCell ref="I8:J8"/>
    <mergeCell ref="I9:J9"/>
    <mergeCell ref="E15:E16"/>
    <mergeCell ref="F15:F16"/>
    <mergeCell ref="G15:G16"/>
    <mergeCell ref="I11:J11"/>
    <mergeCell ref="I12:J12"/>
    <mergeCell ref="I13:J13"/>
    <mergeCell ref="I7:J7"/>
    <mergeCell ref="A1:J2"/>
    <mergeCell ref="I3:J3"/>
    <mergeCell ref="I4:J4"/>
    <mergeCell ref="I5:J5"/>
    <mergeCell ref="I6:J6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6248-BAA5-4823-A848-83495DA4142A}">
  <dimension ref="A1:J13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6.5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4" x14ac:dyDescent="0.25">
      <c r="A4" s="24">
        <v>1</v>
      </c>
      <c r="B4" s="5" t="s">
        <v>59</v>
      </c>
      <c r="C4" s="5">
        <v>2024</v>
      </c>
      <c r="D4" s="6" t="s">
        <v>18</v>
      </c>
      <c r="E4" s="6" t="s">
        <v>10</v>
      </c>
      <c r="F4" s="5">
        <v>164</v>
      </c>
      <c r="G4" s="5" t="s">
        <v>11</v>
      </c>
      <c r="H4" s="7" t="s">
        <v>60</v>
      </c>
      <c r="I4" s="100"/>
      <c r="J4" s="100"/>
    </row>
    <row r="5" spans="1:10" ht="24" x14ac:dyDescent="0.25">
      <c r="A5" s="24">
        <v>2</v>
      </c>
      <c r="B5" s="11" t="s">
        <v>53</v>
      </c>
      <c r="C5" s="11">
        <v>2023</v>
      </c>
      <c r="D5" s="13" t="s">
        <v>54</v>
      </c>
      <c r="E5" s="13" t="s">
        <v>10</v>
      </c>
      <c r="F5" s="11">
        <v>69</v>
      </c>
      <c r="G5" s="11" t="s">
        <v>11</v>
      </c>
      <c r="H5" s="14" t="s">
        <v>61</v>
      </c>
      <c r="I5" s="109" t="s">
        <v>23</v>
      </c>
      <c r="J5" s="110"/>
    </row>
    <row r="6" spans="1:10" ht="21.75" customHeight="1" x14ac:dyDescent="0.25">
      <c r="A6" s="24">
        <v>3</v>
      </c>
      <c r="B6" s="5" t="s">
        <v>63</v>
      </c>
      <c r="C6" s="5">
        <v>2021</v>
      </c>
      <c r="D6" s="23" t="s">
        <v>62</v>
      </c>
      <c r="E6" s="13" t="s">
        <v>10</v>
      </c>
      <c r="F6" s="11">
        <v>149</v>
      </c>
      <c r="G6" s="11" t="s">
        <v>11</v>
      </c>
      <c r="H6" s="14" t="s">
        <v>55</v>
      </c>
      <c r="I6" s="109" t="s">
        <v>47</v>
      </c>
      <c r="J6" s="110"/>
    </row>
    <row r="7" spans="1:10" ht="21.75" customHeight="1" x14ac:dyDescent="0.25">
      <c r="A7" s="24">
        <v>4</v>
      </c>
      <c r="B7" s="19" t="s">
        <v>64</v>
      </c>
      <c r="C7" s="19">
        <v>2021</v>
      </c>
      <c r="D7" s="21" t="s">
        <v>66</v>
      </c>
      <c r="E7" s="13" t="s">
        <v>10</v>
      </c>
      <c r="F7" s="11">
        <v>606</v>
      </c>
      <c r="G7" s="11" t="s">
        <v>11</v>
      </c>
      <c r="H7" s="14" t="s">
        <v>55</v>
      </c>
      <c r="I7" s="109" t="s">
        <v>47</v>
      </c>
      <c r="J7" s="110"/>
    </row>
    <row r="8" spans="1:10" ht="21.75" customHeight="1" x14ac:dyDescent="0.25">
      <c r="A8" s="24">
        <v>5</v>
      </c>
      <c r="B8" s="19" t="s">
        <v>65</v>
      </c>
      <c r="C8" s="19">
        <v>2021</v>
      </c>
      <c r="D8" s="21" t="s">
        <v>67</v>
      </c>
      <c r="E8" s="13" t="s">
        <v>10</v>
      </c>
      <c r="F8" s="11">
        <v>128</v>
      </c>
      <c r="G8" s="11" t="s">
        <v>11</v>
      </c>
      <c r="H8" s="14" t="s">
        <v>55</v>
      </c>
      <c r="I8" s="109" t="s">
        <v>47</v>
      </c>
      <c r="J8" s="110"/>
    </row>
    <row r="9" spans="1:10" ht="24" x14ac:dyDescent="0.25">
      <c r="A9" s="24">
        <v>6</v>
      </c>
      <c r="B9" s="19" t="s">
        <v>56</v>
      </c>
      <c r="C9" s="19">
        <v>2020</v>
      </c>
      <c r="D9" s="20" t="s">
        <v>41</v>
      </c>
      <c r="E9" s="22" t="s">
        <v>10</v>
      </c>
      <c r="F9" s="5">
        <v>105</v>
      </c>
      <c r="G9" s="11" t="s">
        <v>11</v>
      </c>
      <c r="H9" s="14" t="s">
        <v>57</v>
      </c>
      <c r="I9" s="109" t="s">
        <v>58</v>
      </c>
      <c r="J9" s="110"/>
    </row>
    <row r="10" spans="1:10" ht="24" x14ac:dyDescent="0.25">
      <c r="A10" s="24">
        <v>7</v>
      </c>
      <c r="B10" s="5" t="s">
        <v>45</v>
      </c>
      <c r="C10" s="5">
        <v>2015</v>
      </c>
      <c r="D10" s="6" t="s">
        <v>44</v>
      </c>
      <c r="E10" s="6" t="s">
        <v>10</v>
      </c>
      <c r="F10" s="5">
        <v>1747</v>
      </c>
      <c r="G10" s="5" t="s">
        <v>11</v>
      </c>
      <c r="H10" s="7" t="s">
        <v>55</v>
      </c>
      <c r="I10" s="100" t="s">
        <v>47</v>
      </c>
      <c r="J10" s="100"/>
    </row>
    <row r="11" spans="1:10" x14ac:dyDescent="0.25">
      <c r="D11" s="15"/>
      <c r="E11" s="15"/>
      <c r="H11" s="1"/>
      <c r="I11" s="16"/>
      <c r="J11" s="16"/>
    </row>
    <row r="12" spans="1:10" x14ac:dyDescent="0.25">
      <c r="E12" s="102" t="s">
        <v>29</v>
      </c>
      <c r="F12" s="104">
        <f>SUM(F4:F10)</f>
        <v>2968</v>
      </c>
      <c r="G12" s="104" t="s">
        <v>11</v>
      </c>
      <c r="H12" s="1"/>
    </row>
    <row r="13" spans="1:10" x14ac:dyDescent="0.25">
      <c r="E13" s="102"/>
      <c r="F13" s="104"/>
      <c r="G13" s="104"/>
    </row>
  </sheetData>
  <mergeCells count="12">
    <mergeCell ref="E12:E13"/>
    <mergeCell ref="F12:F13"/>
    <mergeCell ref="G12:G13"/>
    <mergeCell ref="I10:J10"/>
    <mergeCell ref="A1:J2"/>
    <mergeCell ref="I3:J3"/>
    <mergeCell ref="I4:J4"/>
    <mergeCell ref="I5:J5"/>
    <mergeCell ref="I9:J9"/>
    <mergeCell ref="I6:J6"/>
    <mergeCell ref="I7:J7"/>
    <mergeCell ref="I8:J8"/>
  </mergeCells>
  <phoneticPr fontId="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DD2C-EE14-4A82-8836-0F27325F35ED}">
  <dimension ref="A1:J10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24">
        <v>1</v>
      </c>
      <c r="B4" s="24" t="s">
        <v>17</v>
      </c>
      <c r="C4" s="5">
        <v>2024</v>
      </c>
      <c r="D4" s="6" t="s">
        <v>18</v>
      </c>
      <c r="E4" s="6" t="s">
        <v>10</v>
      </c>
      <c r="F4" s="5">
        <v>1120</v>
      </c>
      <c r="G4" s="5" t="s">
        <v>11</v>
      </c>
      <c r="H4" s="7" t="s">
        <v>70</v>
      </c>
      <c r="I4" s="100" t="s">
        <v>20</v>
      </c>
      <c r="J4" s="100"/>
    </row>
    <row r="5" spans="1:10" ht="26.25" customHeight="1" x14ac:dyDescent="0.25">
      <c r="A5" s="24">
        <v>2</v>
      </c>
      <c r="B5" s="24" t="s">
        <v>59</v>
      </c>
      <c r="C5" s="5">
        <v>2024</v>
      </c>
      <c r="D5" s="6" t="s">
        <v>72</v>
      </c>
      <c r="E5" s="6" t="s">
        <v>10</v>
      </c>
      <c r="F5" s="5">
        <v>165</v>
      </c>
      <c r="G5" s="5" t="s">
        <v>11</v>
      </c>
      <c r="H5" s="7" t="s">
        <v>52</v>
      </c>
      <c r="I5" s="100" t="s">
        <v>73</v>
      </c>
      <c r="J5" s="100"/>
    </row>
    <row r="6" spans="1:10" ht="26.25" customHeight="1" x14ac:dyDescent="0.25">
      <c r="A6" s="24">
        <v>3</v>
      </c>
      <c r="B6" s="24" t="s">
        <v>30</v>
      </c>
      <c r="C6" s="5">
        <v>2024</v>
      </c>
      <c r="D6" s="6" t="s">
        <v>31</v>
      </c>
      <c r="E6" s="6" t="s">
        <v>10</v>
      </c>
      <c r="F6" s="5">
        <v>3731</v>
      </c>
      <c r="G6" s="5" t="s">
        <v>11</v>
      </c>
      <c r="H6" s="7" t="s">
        <v>55</v>
      </c>
      <c r="I6" s="100" t="s">
        <v>74</v>
      </c>
      <c r="J6" s="100"/>
    </row>
    <row r="7" spans="1:10" ht="26.25" customHeight="1" x14ac:dyDescent="0.25">
      <c r="A7" s="24">
        <v>4</v>
      </c>
      <c r="B7" s="24" t="s">
        <v>68</v>
      </c>
      <c r="C7" s="5">
        <v>2022</v>
      </c>
      <c r="D7" s="6" t="s">
        <v>69</v>
      </c>
      <c r="E7" s="6" t="s">
        <v>10</v>
      </c>
      <c r="F7" s="5">
        <v>123</v>
      </c>
      <c r="G7" s="5" t="s">
        <v>11</v>
      </c>
      <c r="H7" s="7" t="s">
        <v>70</v>
      </c>
      <c r="I7" s="100" t="s">
        <v>71</v>
      </c>
      <c r="J7" s="100"/>
    </row>
    <row r="8" spans="1:10" x14ac:dyDescent="0.25">
      <c r="D8" s="15"/>
      <c r="E8" s="15"/>
      <c r="H8" s="1"/>
      <c r="I8" s="16"/>
      <c r="J8" s="16"/>
    </row>
    <row r="9" spans="1:10" x14ac:dyDescent="0.25">
      <c r="E9" s="102" t="s">
        <v>29</v>
      </c>
      <c r="F9" s="104">
        <f>SUM(F4:F7)</f>
        <v>5139</v>
      </c>
      <c r="G9" s="104" t="s">
        <v>11</v>
      </c>
      <c r="H9" s="1"/>
    </row>
    <row r="10" spans="1:10" x14ac:dyDescent="0.25">
      <c r="E10" s="102"/>
      <c r="F10" s="104"/>
      <c r="G10" s="104"/>
    </row>
  </sheetData>
  <mergeCells count="9">
    <mergeCell ref="E9:E10"/>
    <mergeCell ref="F9:F10"/>
    <mergeCell ref="G9:G10"/>
    <mergeCell ref="A1:J2"/>
    <mergeCell ref="I3:J3"/>
    <mergeCell ref="I4:J4"/>
    <mergeCell ref="I5:J5"/>
    <mergeCell ref="I7:J7"/>
    <mergeCell ref="I6:J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115E-EAA2-4517-9851-8D10054C4118}">
  <dimension ref="A1:J13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24">
        <v>1</v>
      </c>
      <c r="B4" s="24" t="s">
        <v>30</v>
      </c>
      <c r="C4" s="5">
        <v>2024</v>
      </c>
      <c r="D4" s="6" t="s">
        <v>31</v>
      </c>
      <c r="E4" s="6" t="s">
        <v>10</v>
      </c>
      <c r="F4" s="5">
        <v>201</v>
      </c>
      <c r="G4" s="5" t="s">
        <v>11</v>
      </c>
      <c r="H4" s="7">
        <v>201291</v>
      </c>
      <c r="I4" s="100" t="s">
        <v>78</v>
      </c>
      <c r="J4" s="100"/>
    </row>
    <row r="5" spans="1:10" ht="26.25" customHeight="1" x14ac:dyDescent="0.25">
      <c r="A5" s="24">
        <v>2</v>
      </c>
      <c r="B5" s="24" t="s">
        <v>7</v>
      </c>
      <c r="C5" s="5">
        <v>2024</v>
      </c>
      <c r="D5" s="26" t="s">
        <v>8</v>
      </c>
      <c r="E5" s="6" t="s">
        <v>10</v>
      </c>
      <c r="F5" s="5">
        <v>171</v>
      </c>
      <c r="G5" s="5" t="s">
        <v>11</v>
      </c>
      <c r="H5" s="7">
        <v>201291</v>
      </c>
      <c r="I5" s="109" t="s">
        <v>85</v>
      </c>
      <c r="J5" s="110"/>
    </row>
    <row r="6" spans="1:10" ht="26.25" customHeight="1" x14ac:dyDescent="0.25">
      <c r="A6" s="24">
        <v>3</v>
      </c>
      <c r="B6" s="24" t="s">
        <v>82</v>
      </c>
      <c r="C6" s="5">
        <v>2024</v>
      </c>
      <c r="D6" s="26" t="s">
        <v>83</v>
      </c>
      <c r="E6" s="6" t="s">
        <v>10</v>
      </c>
      <c r="F6" s="5">
        <v>252</v>
      </c>
      <c r="G6" s="5" t="s">
        <v>11</v>
      </c>
      <c r="H6" s="7">
        <v>201291</v>
      </c>
      <c r="I6" s="109" t="s">
        <v>84</v>
      </c>
      <c r="J6" s="110"/>
    </row>
    <row r="7" spans="1:10" ht="26.25" customHeight="1" x14ac:dyDescent="0.25">
      <c r="A7" s="24">
        <v>4</v>
      </c>
      <c r="B7" s="24" t="s">
        <v>79</v>
      </c>
      <c r="C7" s="5">
        <v>2024</v>
      </c>
      <c r="D7" s="26" t="s">
        <v>80</v>
      </c>
      <c r="E7" s="6" t="s">
        <v>10</v>
      </c>
      <c r="F7" s="5">
        <v>123</v>
      </c>
      <c r="G7" s="5" t="s">
        <v>11</v>
      </c>
      <c r="H7" s="7">
        <v>201291</v>
      </c>
      <c r="I7" s="109" t="s">
        <v>81</v>
      </c>
      <c r="J7" s="110"/>
    </row>
    <row r="8" spans="1:10" ht="26.25" customHeight="1" x14ac:dyDescent="0.25">
      <c r="A8" s="24">
        <v>5</v>
      </c>
      <c r="B8" s="24" t="s">
        <v>32</v>
      </c>
      <c r="C8" s="5">
        <v>2024</v>
      </c>
      <c r="D8" s="10" t="s">
        <v>33</v>
      </c>
      <c r="E8" s="6" t="s">
        <v>10</v>
      </c>
      <c r="F8" s="5">
        <v>20</v>
      </c>
      <c r="G8" s="5" t="s">
        <v>11</v>
      </c>
      <c r="H8" s="7">
        <v>201147</v>
      </c>
      <c r="I8" s="100" t="s">
        <v>23</v>
      </c>
      <c r="J8" s="100"/>
    </row>
    <row r="9" spans="1:10" ht="26.25" customHeight="1" x14ac:dyDescent="0.25">
      <c r="A9" s="24">
        <v>6</v>
      </c>
      <c r="B9" s="24" t="s">
        <v>75</v>
      </c>
      <c r="C9" s="5">
        <v>2024</v>
      </c>
      <c r="D9" s="6" t="s">
        <v>31</v>
      </c>
      <c r="E9" s="25" t="s">
        <v>77</v>
      </c>
      <c r="F9" s="5">
        <v>990</v>
      </c>
      <c r="G9" s="5" t="s">
        <v>11</v>
      </c>
      <c r="H9" s="7" t="s">
        <v>55</v>
      </c>
      <c r="I9" s="100" t="s">
        <v>74</v>
      </c>
      <c r="J9" s="100"/>
    </row>
    <row r="10" spans="1:10" ht="26.25" customHeight="1" x14ac:dyDescent="0.25">
      <c r="A10" s="24">
        <v>7</v>
      </c>
      <c r="B10" s="24" t="s">
        <v>76</v>
      </c>
      <c r="C10" s="5">
        <v>2022</v>
      </c>
      <c r="D10" s="6" t="s">
        <v>69</v>
      </c>
      <c r="E10" s="25" t="s">
        <v>77</v>
      </c>
      <c r="F10" s="5">
        <v>1080</v>
      </c>
      <c r="G10" s="5" t="s">
        <v>11</v>
      </c>
      <c r="H10" s="7" t="s">
        <v>70</v>
      </c>
      <c r="I10" s="100" t="s">
        <v>71</v>
      </c>
      <c r="J10" s="100"/>
    </row>
    <row r="11" spans="1:10" x14ac:dyDescent="0.25">
      <c r="D11" s="15"/>
      <c r="E11" s="15"/>
      <c r="H11" s="1"/>
      <c r="I11" s="16"/>
      <c r="J11" s="16"/>
    </row>
    <row r="12" spans="1:10" x14ac:dyDescent="0.25">
      <c r="E12" s="102" t="s">
        <v>29</v>
      </c>
      <c r="F12" s="104">
        <f>SUM(F4:F10)</f>
        <v>2837</v>
      </c>
      <c r="G12" s="104" t="s">
        <v>11</v>
      </c>
      <c r="H12" s="1"/>
    </row>
    <row r="13" spans="1:10" x14ac:dyDescent="0.25">
      <c r="E13" s="102"/>
      <c r="F13" s="104"/>
      <c r="G13" s="104"/>
    </row>
  </sheetData>
  <mergeCells count="12">
    <mergeCell ref="E12:E13"/>
    <mergeCell ref="F12:F13"/>
    <mergeCell ref="G12:G13"/>
    <mergeCell ref="A1:J2"/>
    <mergeCell ref="I3:J3"/>
    <mergeCell ref="I4:J4"/>
    <mergeCell ref="I8:J8"/>
    <mergeCell ref="I9:J9"/>
    <mergeCell ref="I10:J10"/>
    <mergeCell ref="I7:J7"/>
    <mergeCell ref="I6:J6"/>
    <mergeCell ref="I5:J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068B-337C-490B-A8FF-E9C288BC6799}">
  <dimension ref="A1:J8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24">
        <v>1</v>
      </c>
      <c r="B4" s="24" t="s">
        <v>14</v>
      </c>
      <c r="C4" s="5">
        <v>2024</v>
      </c>
      <c r="D4" s="27" t="s">
        <v>15</v>
      </c>
      <c r="E4" s="6" t="s">
        <v>10</v>
      </c>
      <c r="F4" s="5">
        <v>75</v>
      </c>
      <c r="G4" s="5" t="s">
        <v>11</v>
      </c>
      <c r="H4" s="7">
        <v>5694</v>
      </c>
      <c r="I4" s="100" t="s">
        <v>86</v>
      </c>
      <c r="J4" s="100"/>
    </row>
    <row r="5" spans="1:10" ht="26.25" customHeight="1" x14ac:dyDescent="0.25">
      <c r="A5" s="24"/>
      <c r="B5" s="24"/>
      <c r="C5" s="5"/>
      <c r="D5" s="6"/>
      <c r="E5" s="25"/>
      <c r="F5" s="5"/>
      <c r="G5" s="5"/>
      <c r="H5" s="7"/>
      <c r="I5" s="100"/>
      <c r="J5" s="100"/>
    </row>
    <row r="6" spans="1:10" x14ac:dyDescent="0.25">
      <c r="D6" s="15"/>
      <c r="E6" s="15"/>
      <c r="H6" s="1"/>
      <c r="I6" s="16"/>
      <c r="J6" s="16"/>
    </row>
    <row r="7" spans="1:10" x14ac:dyDescent="0.25">
      <c r="E7" s="102" t="s">
        <v>29</v>
      </c>
      <c r="F7" s="104">
        <f>SUM(F4:F5)</f>
        <v>75</v>
      </c>
      <c r="G7" s="104" t="s">
        <v>11</v>
      </c>
      <c r="H7" s="1"/>
    </row>
    <row r="8" spans="1:10" x14ac:dyDescent="0.25">
      <c r="E8" s="102"/>
      <c r="F8" s="104"/>
      <c r="G8" s="104"/>
    </row>
  </sheetData>
  <mergeCells count="7">
    <mergeCell ref="I5:J5"/>
    <mergeCell ref="E7:E8"/>
    <mergeCell ref="F7:F8"/>
    <mergeCell ref="G7:G8"/>
    <mergeCell ref="A1:J2"/>
    <mergeCell ref="I3:J3"/>
    <mergeCell ref="I4:J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989C-AED5-4EA2-A2FE-B6679D4577CB}">
  <dimension ref="A1:J15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31">
        <v>1</v>
      </c>
      <c r="B4" s="31" t="s">
        <v>87</v>
      </c>
      <c r="C4" s="30">
        <v>2024</v>
      </c>
      <c r="D4" s="29" t="s">
        <v>88</v>
      </c>
      <c r="E4" s="29" t="s">
        <v>10</v>
      </c>
      <c r="F4" s="30">
        <v>6032</v>
      </c>
      <c r="G4" s="30" t="s">
        <v>11</v>
      </c>
      <c r="H4" s="30">
        <v>201669</v>
      </c>
      <c r="I4" s="111" t="s">
        <v>89</v>
      </c>
      <c r="J4" s="111"/>
    </row>
    <row r="5" spans="1:10" ht="26.25" customHeight="1" x14ac:dyDescent="0.25">
      <c r="A5" s="31">
        <v>2</v>
      </c>
      <c r="B5" s="32" t="s">
        <v>90</v>
      </c>
      <c r="C5" s="30">
        <v>2024</v>
      </c>
      <c r="D5" s="33" t="s">
        <v>91</v>
      </c>
      <c r="E5" s="29" t="s">
        <v>10</v>
      </c>
      <c r="F5" s="30">
        <v>2177</v>
      </c>
      <c r="G5" s="30" t="s">
        <v>11</v>
      </c>
      <c r="H5" s="30">
        <v>201645</v>
      </c>
      <c r="I5" s="111" t="s">
        <v>92</v>
      </c>
      <c r="J5" s="111"/>
    </row>
    <row r="6" spans="1:10" ht="26.25" customHeight="1" x14ac:dyDescent="0.25">
      <c r="A6" s="31">
        <v>3</v>
      </c>
      <c r="B6" s="34" t="s">
        <v>99</v>
      </c>
      <c r="C6" s="30">
        <v>2024</v>
      </c>
      <c r="D6" s="35" t="s">
        <v>98</v>
      </c>
      <c r="E6" s="29" t="s">
        <v>10</v>
      </c>
      <c r="F6" s="30">
        <v>953</v>
      </c>
      <c r="G6" s="30" t="s">
        <v>11</v>
      </c>
      <c r="H6" s="30">
        <v>201642</v>
      </c>
      <c r="I6" s="94" t="s">
        <v>108</v>
      </c>
      <c r="J6" s="95"/>
    </row>
    <row r="7" spans="1:10" ht="26.25" customHeight="1" x14ac:dyDescent="0.25">
      <c r="A7" s="31">
        <v>4</v>
      </c>
      <c r="B7" s="34" t="s">
        <v>101</v>
      </c>
      <c r="C7" s="30">
        <v>2024</v>
      </c>
      <c r="D7" s="35" t="s">
        <v>100</v>
      </c>
      <c r="E7" s="29" t="s">
        <v>10</v>
      </c>
      <c r="F7" s="30">
        <v>250</v>
      </c>
      <c r="G7" s="30" t="s">
        <v>11</v>
      </c>
      <c r="H7" s="30">
        <v>201689</v>
      </c>
      <c r="I7" s="94" t="s">
        <v>109</v>
      </c>
      <c r="J7" s="95"/>
    </row>
    <row r="8" spans="1:10" ht="26.25" customHeight="1" x14ac:dyDescent="0.25">
      <c r="A8" s="31">
        <v>5</v>
      </c>
      <c r="B8" s="34" t="s">
        <v>102</v>
      </c>
      <c r="C8" s="30">
        <v>2024</v>
      </c>
      <c r="D8" s="35" t="s">
        <v>103</v>
      </c>
      <c r="E8" s="29" t="s">
        <v>10</v>
      </c>
      <c r="F8" s="30">
        <v>934</v>
      </c>
      <c r="G8" s="30" t="s">
        <v>11</v>
      </c>
      <c r="H8" s="30">
        <v>201689</v>
      </c>
      <c r="I8" s="94" t="s">
        <v>110</v>
      </c>
      <c r="J8" s="95"/>
    </row>
    <row r="9" spans="1:10" ht="26.25" customHeight="1" x14ac:dyDescent="0.25">
      <c r="A9" s="31">
        <v>6</v>
      </c>
      <c r="B9" s="34" t="s">
        <v>104</v>
      </c>
      <c r="C9" s="30">
        <v>2024</v>
      </c>
      <c r="D9" s="35" t="s">
        <v>105</v>
      </c>
      <c r="E9" s="29" t="s">
        <v>10</v>
      </c>
      <c r="F9" s="30">
        <v>183</v>
      </c>
      <c r="G9" s="30" t="s">
        <v>11</v>
      </c>
      <c r="H9" s="30">
        <v>201642</v>
      </c>
      <c r="I9" s="94" t="s">
        <v>111</v>
      </c>
      <c r="J9" s="95"/>
    </row>
    <row r="10" spans="1:10" ht="26.25" customHeight="1" x14ac:dyDescent="0.25">
      <c r="A10" s="31">
        <v>7</v>
      </c>
      <c r="B10" s="34" t="s">
        <v>106</v>
      </c>
      <c r="C10" s="30">
        <v>2024</v>
      </c>
      <c r="D10" s="35" t="s">
        <v>107</v>
      </c>
      <c r="E10" s="29" t="s">
        <v>10</v>
      </c>
      <c r="F10" s="30">
        <v>2111</v>
      </c>
      <c r="G10" s="30" t="s">
        <v>11</v>
      </c>
      <c r="H10" s="30">
        <v>201689</v>
      </c>
      <c r="I10" s="94" t="s">
        <v>112</v>
      </c>
      <c r="J10" s="95"/>
    </row>
    <row r="11" spans="1:10" ht="26.25" customHeight="1" x14ac:dyDescent="0.25">
      <c r="A11" s="31">
        <v>8</v>
      </c>
      <c r="B11" s="34" t="s">
        <v>90</v>
      </c>
      <c r="C11" s="30">
        <v>2024</v>
      </c>
      <c r="D11" s="35" t="s">
        <v>91</v>
      </c>
      <c r="E11" s="29" t="s">
        <v>10</v>
      </c>
      <c r="F11" s="30">
        <v>65</v>
      </c>
      <c r="G11" s="30" t="s">
        <v>11</v>
      </c>
      <c r="H11" s="30">
        <v>201645</v>
      </c>
      <c r="I11" s="94" t="s">
        <v>115</v>
      </c>
      <c r="J11" s="95"/>
    </row>
    <row r="12" spans="1:10" ht="24" x14ac:dyDescent="0.25">
      <c r="A12" s="31">
        <v>9</v>
      </c>
      <c r="B12" s="34" t="s">
        <v>93</v>
      </c>
      <c r="C12" s="28">
        <v>2022</v>
      </c>
      <c r="D12" s="6" t="s">
        <v>94</v>
      </c>
      <c r="E12" s="29" t="s">
        <v>10</v>
      </c>
      <c r="F12" s="30">
        <v>301</v>
      </c>
      <c r="G12" s="30" t="s">
        <v>11</v>
      </c>
      <c r="H12" s="30">
        <v>201715</v>
      </c>
      <c r="I12" s="111" t="s">
        <v>95</v>
      </c>
      <c r="J12" s="111"/>
    </row>
    <row r="13" spans="1:10" ht="24" x14ac:dyDescent="0.25">
      <c r="A13" s="31">
        <v>10</v>
      </c>
      <c r="B13" s="34" t="s">
        <v>96</v>
      </c>
      <c r="C13" s="28">
        <v>2016</v>
      </c>
      <c r="D13" s="36" t="s">
        <v>97</v>
      </c>
      <c r="E13" s="29" t="s">
        <v>10</v>
      </c>
      <c r="F13" s="30">
        <v>124</v>
      </c>
      <c r="G13" s="30" t="s">
        <v>11</v>
      </c>
      <c r="H13" s="30" t="s">
        <v>113</v>
      </c>
      <c r="I13" s="111" t="s">
        <v>114</v>
      </c>
      <c r="J13" s="111"/>
    </row>
    <row r="14" spans="1:10" x14ac:dyDescent="0.25">
      <c r="E14" s="102" t="s">
        <v>29</v>
      </c>
      <c r="F14" s="104">
        <f>SUM(F4:F13)</f>
        <v>13130</v>
      </c>
      <c r="G14" s="104" t="s">
        <v>11</v>
      </c>
      <c r="H14" s="1"/>
    </row>
    <row r="15" spans="1:10" x14ac:dyDescent="0.25">
      <c r="E15" s="102"/>
      <c r="F15" s="104"/>
      <c r="G15" s="104"/>
    </row>
  </sheetData>
  <mergeCells count="15">
    <mergeCell ref="A1:J2"/>
    <mergeCell ref="I3:J3"/>
    <mergeCell ref="I4:J4"/>
    <mergeCell ref="I5:J5"/>
    <mergeCell ref="E14:E15"/>
    <mergeCell ref="F14:F15"/>
    <mergeCell ref="G14:G15"/>
    <mergeCell ref="I12:J12"/>
    <mergeCell ref="I6:J6"/>
    <mergeCell ref="I7:J7"/>
    <mergeCell ref="I8:J8"/>
    <mergeCell ref="I9:J9"/>
    <mergeCell ref="I10:J10"/>
    <mergeCell ref="I11:J11"/>
    <mergeCell ref="I13:J13"/>
  </mergeCells>
  <phoneticPr fontId="9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0902-5D46-4AB2-B0EE-4F3CC249A1D1}">
  <dimension ref="A1:J10"/>
  <sheetViews>
    <sheetView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2.28515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31">
        <v>1</v>
      </c>
      <c r="B4" s="31" t="s">
        <v>87</v>
      </c>
      <c r="C4" s="30">
        <v>2024</v>
      </c>
      <c r="D4" s="29" t="s">
        <v>88</v>
      </c>
      <c r="E4" s="29" t="s">
        <v>10</v>
      </c>
      <c r="F4" s="30">
        <v>115</v>
      </c>
      <c r="G4" s="30" t="s">
        <v>11</v>
      </c>
      <c r="H4" s="30" t="s">
        <v>116</v>
      </c>
      <c r="I4" s="111" t="s">
        <v>117</v>
      </c>
      <c r="J4" s="111"/>
    </row>
    <row r="5" spans="1:10" ht="26.25" customHeight="1" x14ac:dyDescent="0.25">
      <c r="A5" s="31">
        <v>2</v>
      </c>
      <c r="B5" s="34" t="s">
        <v>7</v>
      </c>
      <c r="C5" s="30">
        <v>2024</v>
      </c>
      <c r="D5" s="37" t="s">
        <v>8</v>
      </c>
      <c r="E5" s="29" t="s">
        <v>10</v>
      </c>
      <c r="F5" s="30">
        <v>90</v>
      </c>
      <c r="G5" s="30" t="s">
        <v>11</v>
      </c>
      <c r="H5" s="30" t="s">
        <v>52</v>
      </c>
      <c r="I5" s="111" t="s">
        <v>118</v>
      </c>
      <c r="J5" s="111"/>
    </row>
    <row r="6" spans="1:10" ht="26.25" customHeight="1" x14ac:dyDescent="0.25">
      <c r="A6" s="31">
        <v>3</v>
      </c>
      <c r="B6" s="34" t="s">
        <v>87</v>
      </c>
      <c r="C6" s="30">
        <v>2024</v>
      </c>
      <c r="D6" s="29" t="s">
        <v>88</v>
      </c>
      <c r="E6" s="29" t="s">
        <v>10</v>
      </c>
      <c r="F6" s="30">
        <v>4757</v>
      </c>
      <c r="G6" s="30" t="s">
        <v>11</v>
      </c>
      <c r="H6" s="30">
        <v>201656</v>
      </c>
      <c r="I6" s="94" t="s">
        <v>119</v>
      </c>
      <c r="J6" s="95"/>
    </row>
    <row r="7" spans="1:10" ht="26.25" customHeight="1" x14ac:dyDescent="0.25">
      <c r="A7" s="31">
        <v>4</v>
      </c>
      <c r="B7" s="34" t="s">
        <v>102</v>
      </c>
      <c r="C7" s="30">
        <v>2024</v>
      </c>
      <c r="D7" s="35" t="s">
        <v>103</v>
      </c>
      <c r="E7" s="29" t="s">
        <v>10</v>
      </c>
      <c r="F7" s="30">
        <v>124</v>
      </c>
      <c r="G7" s="30" t="s">
        <v>11</v>
      </c>
      <c r="H7" s="30">
        <v>201689</v>
      </c>
      <c r="I7" s="94" t="s">
        <v>110</v>
      </c>
      <c r="J7" s="95"/>
    </row>
    <row r="8" spans="1:10" ht="26.25" customHeight="1" x14ac:dyDescent="0.25">
      <c r="A8" s="31">
        <v>5</v>
      </c>
      <c r="B8" s="34" t="s">
        <v>106</v>
      </c>
      <c r="C8" s="30">
        <v>2024</v>
      </c>
      <c r="D8" s="35" t="s">
        <v>107</v>
      </c>
      <c r="E8" s="29" t="s">
        <v>10</v>
      </c>
      <c r="F8" s="30">
        <v>96</v>
      </c>
      <c r="G8" s="30" t="s">
        <v>11</v>
      </c>
      <c r="H8" s="30">
        <v>201656</v>
      </c>
      <c r="I8" s="94" t="s">
        <v>120</v>
      </c>
      <c r="J8" s="95"/>
    </row>
    <row r="9" spans="1:10" x14ac:dyDescent="0.25">
      <c r="E9" s="102" t="s">
        <v>29</v>
      </c>
      <c r="F9" s="104">
        <f>SUM(F4:F8)</f>
        <v>5182</v>
      </c>
      <c r="G9" s="104" t="s">
        <v>11</v>
      </c>
      <c r="H9" s="1"/>
    </row>
    <row r="10" spans="1:10" x14ac:dyDescent="0.25">
      <c r="E10" s="102"/>
      <c r="F10" s="104"/>
      <c r="G10" s="104"/>
    </row>
  </sheetData>
  <mergeCells count="10">
    <mergeCell ref="A1:J2"/>
    <mergeCell ref="I3:J3"/>
    <mergeCell ref="I4:J4"/>
    <mergeCell ref="I5:J5"/>
    <mergeCell ref="I6:J6"/>
    <mergeCell ref="E9:E10"/>
    <mergeCell ref="F9:F10"/>
    <mergeCell ref="G9:G10"/>
    <mergeCell ref="I7:J7"/>
    <mergeCell ref="I8:J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96F1-26C5-4F34-85CB-FBF913B75F88}">
  <dimension ref="A1:J31"/>
  <sheetViews>
    <sheetView zoomScaleNormal="100"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3.140625" bestFit="1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31">
        <v>1</v>
      </c>
      <c r="B4" s="40" t="s">
        <v>30</v>
      </c>
      <c r="C4" s="30">
        <v>2024</v>
      </c>
      <c r="D4" s="41" t="s">
        <v>31</v>
      </c>
      <c r="E4" s="29" t="s">
        <v>10</v>
      </c>
      <c r="F4" s="30">
        <v>31</v>
      </c>
      <c r="G4" s="30" t="s">
        <v>11</v>
      </c>
      <c r="H4" s="30" t="s">
        <v>116</v>
      </c>
      <c r="I4" s="94" t="s">
        <v>134</v>
      </c>
      <c r="J4" s="95"/>
    </row>
    <row r="5" spans="1:10" ht="26.25" customHeight="1" x14ac:dyDescent="0.25">
      <c r="A5" s="31">
        <v>2</v>
      </c>
      <c r="B5" s="40" t="s">
        <v>30</v>
      </c>
      <c r="C5" s="30">
        <v>2024</v>
      </c>
      <c r="D5" s="41" t="s">
        <v>31</v>
      </c>
      <c r="E5" s="29" t="s">
        <v>10</v>
      </c>
      <c r="F5" s="30">
        <v>139</v>
      </c>
      <c r="G5" s="30" t="s">
        <v>11</v>
      </c>
      <c r="H5" s="30">
        <v>201785</v>
      </c>
      <c r="I5" s="94" t="s">
        <v>133</v>
      </c>
      <c r="J5" s="95"/>
    </row>
    <row r="6" spans="1:10" ht="26.25" customHeight="1" x14ac:dyDescent="0.25">
      <c r="A6" s="31">
        <v>3</v>
      </c>
      <c r="B6" s="34" t="s">
        <v>7</v>
      </c>
      <c r="C6" s="30">
        <v>2024</v>
      </c>
      <c r="D6" s="36" t="s">
        <v>8</v>
      </c>
      <c r="E6" s="29" t="s">
        <v>10</v>
      </c>
      <c r="F6" s="30">
        <v>1203</v>
      </c>
      <c r="G6" s="30" t="s">
        <v>11</v>
      </c>
      <c r="H6" s="30">
        <v>201785</v>
      </c>
      <c r="I6" s="111" t="s">
        <v>85</v>
      </c>
      <c r="J6" s="111"/>
    </row>
    <row r="7" spans="1:10" ht="26.25" customHeight="1" x14ac:dyDescent="0.25">
      <c r="A7" s="31">
        <v>4</v>
      </c>
      <c r="B7" s="39" t="s">
        <v>135</v>
      </c>
      <c r="C7" s="30">
        <v>2024</v>
      </c>
      <c r="D7" s="38" t="s">
        <v>136</v>
      </c>
      <c r="E7" s="29" t="s">
        <v>10</v>
      </c>
      <c r="F7" s="30">
        <v>99</v>
      </c>
      <c r="G7" s="30" t="s">
        <v>11</v>
      </c>
      <c r="H7" s="30">
        <v>201785</v>
      </c>
      <c r="I7" s="94" t="s">
        <v>137</v>
      </c>
      <c r="J7" s="95"/>
    </row>
    <row r="8" spans="1:10" ht="26.25" customHeight="1" x14ac:dyDescent="0.25">
      <c r="A8" s="31">
        <v>5</v>
      </c>
      <c r="B8" s="39" t="s">
        <v>135</v>
      </c>
      <c r="C8" s="30">
        <v>2024</v>
      </c>
      <c r="D8" s="38" t="s">
        <v>136</v>
      </c>
      <c r="E8" s="29" t="s">
        <v>10</v>
      </c>
      <c r="F8" s="30">
        <v>109</v>
      </c>
      <c r="G8" s="30" t="s">
        <v>11</v>
      </c>
      <c r="H8" s="30">
        <v>201832</v>
      </c>
      <c r="I8" s="94" t="s">
        <v>146</v>
      </c>
      <c r="J8" s="95"/>
    </row>
    <row r="9" spans="1:10" ht="26.25" customHeight="1" x14ac:dyDescent="0.25">
      <c r="A9" s="31">
        <v>6</v>
      </c>
      <c r="B9" s="34" t="s">
        <v>126</v>
      </c>
      <c r="C9" s="30">
        <v>2024</v>
      </c>
      <c r="D9" s="6" t="s">
        <v>127</v>
      </c>
      <c r="E9" s="29" t="s">
        <v>10</v>
      </c>
      <c r="F9" s="30">
        <v>175</v>
      </c>
      <c r="G9" s="30" t="s">
        <v>11</v>
      </c>
      <c r="H9" s="30">
        <v>201715</v>
      </c>
      <c r="I9" s="111" t="s">
        <v>128</v>
      </c>
      <c r="J9" s="111"/>
    </row>
    <row r="10" spans="1:10" ht="26.25" customHeight="1" x14ac:dyDescent="0.25">
      <c r="A10" s="31">
        <v>7</v>
      </c>
      <c r="B10" s="42" t="s">
        <v>138</v>
      </c>
      <c r="C10" s="30">
        <v>2024</v>
      </c>
      <c r="D10" s="38" t="s">
        <v>139</v>
      </c>
      <c r="E10" s="29" t="s">
        <v>10</v>
      </c>
      <c r="F10" s="30">
        <v>140</v>
      </c>
      <c r="G10" s="30" t="s">
        <v>11</v>
      </c>
      <c r="H10" s="30">
        <v>201785</v>
      </c>
      <c r="I10" s="94" t="s">
        <v>140</v>
      </c>
      <c r="J10" s="95"/>
    </row>
    <row r="11" spans="1:10" ht="26.25" customHeight="1" x14ac:dyDescent="0.25">
      <c r="A11" s="31">
        <v>8</v>
      </c>
      <c r="B11" s="42" t="s">
        <v>14</v>
      </c>
      <c r="C11" s="30">
        <v>2024</v>
      </c>
      <c r="D11" s="38" t="s">
        <v>15</v>
      </c>
      <c r="E11" s="29" t="s">
        <v>10</v>
      </c>
      <c r="F11" s="30">
        <v>20</v>
      </c>
      <c r="G11" s="30" t="s">
        <v>11</v>
      </c>
      <c r="H11" s="30" t="s">
        <v>150</v>
      </c>
      <c r="I11" s="111" t="s">
        <v>86</v>
      </c>
      <c r="J11" s="111"/>
    </row>
    <row r="12" spans="1:10" ht="26.25" customHeight="1" x14ac:dyDescent="0.25">
      <c r="A12" s="31">
        <v>9</v>
      </c>
      <c r="B12" s="42" t="s">
        <v>151</v>
      </c>
      <c r="C12" s="30">
        <v>2024</v>
      </c>
      <c r="D12" s="38" t="s">
        <v>152</v>
      </c>
      <c r="E12" s="29" t="s">
        <v>10</v>
      </c>
      <c r="F12" s="30">
        <v>148</v>
      </c>
      <c r="G12" s="30" t="s">
        <v>11</v>
      </c>
      <c r="H12" s="30">
        <v>5694</v>
      </c>
      <c r="I12" s="94" t="s">
        <v>153</v>
      </c>
      <c r="J12" s="95"/>
    </row>
    <row r="13" spans="1:10" ht="26.25" customHeight="1" x14ac:dyDescent="0.25">
      <c r="A13" s="31">
        <v>10</v>
      </c>
      <c r="B13" s="34" t="s">
        <v>87</v>
      </c>
      <c r="C13" s="30">
        <v>2024</v>
      </c>
      <c r="D13" s="29" t="s">
        <v>88</v>
      </c>
      <c r="E13" s="29" t="s">
        <v>10</v>
      </c>
      <c r="F13" s="30">
        <v>154</v>
      </c>
      <c r="G13" s="30" t="s">
        <v>11</v>
      </c>
      <c r="H13" s="30" t="s">
        <v>121</v>
      </c>
      <c r="I13" s="111" t="s">
        <v>119</v>
      </c>
      <c r="J13" s="111"/>
    </row>
    <row r="14" spans="1:10" ht="26.25" customHeight="1" x14ac:dyDescent="0.25">
      <c r="A14" s="31">
        <v>11</v>
      </c>
      <c r="B14" s="34" t="s">
        <v>87</v>
      </c>
      <c r="C14" s="30">
        <v>2024</v>
      </c>
      <c r="D14" s="29" t="s">
        <v>88</v>
      </c>
      <c r="E14" s="29" t="s">
        <v>10</v>
      </c>
      <c r="F14" s="30">
        <v>798</v>
      </c>
      <c r="G14" s="30" t="s">
        <v>11</v>
      </c>
      <c r="H14" s="30">
        <v>201785</v>
      </c>
      <c r="I14" s="111" t="s">
        <v>141</v>
      </c>
      <c r="J14" s="111"/>
    </row>
    <row r="15" spans="1:10" ht="26.25" customHeight="1" x14ac:dyDescent="0.25">
      <c r="A15" s="31">
        <v>12</v>
      </c>
      <c r="B15" s="34" t="s">
        <v>87</v>
      </c>
      <c r="C15" s="30">
        <v>2024</v>
      </c>
      <c r="D15" s="29" t="s">
        <v>88</v>
      </c>
      <c r="E15" s="29" t="s">
        <v>10</v>
      </c>
      <c r="F15" s="30">
        <v>259</v>
      </c>
      <c r="G15" s="30" t="s">
        <v>11</v>
      </c>
      <c r="H15" s="30">
        <v>201832</v>
      </c>
      <c r="I15" s="94" t="s">
        <v>141</v>
      </c>
      <c r="J15" s="95"/>
    </row>
    <row r="16" spans="1:10" ht="26.25" customHeight="1" x14ac:dyDescent="0.25">
      <c r="A16" s="31">
        <v>13</v>
      </c>
      <c r="B16" s="34" t="s">
        <v>102</v>
      </c>
      <c r="C16" s="30">
        <v>2024</v>
      </c>
      <c r="D16" s="36" t="s">
        <v>103</v>
      </c>
      <c r="E16" s="29" t="s">
        <v>10</v>
      </c>
      <c r="F16" s="30">
        <v>874</v>
      </c>
      <c r="G16" s="30" t="s">
        <v>11</v>
      </c>
      <c r="H16" s="30">
        <v>201785</v>
      </c>
      <c r="I16" s="94" t="s">
        <v>142</v>
      </c>
      <c r="J16" s="95"/>
    </row>
    <row r="17" spans="1:10" ht="26.25" customHeight="1" x14ac:dyDescent="0.25">
      <c r="A17" s="31">
        <v>14</v>
      </c>
      <c r="B17" s="34" t="s">
        <v>102</v>
      </c>
      <c r="C17" s="30">
        <v>2024</v>
      </c>
      <c r="D17" s="36" t="s">
        <v>103</v>
      </c>
      <c r="E17" s="29" t="s">
        <v>10</v>
      </c>
      <c r="F17" s="30">
        <v>30</v>
      </c>
      <c r="G17" s="30" t="s">
        <v>11</v>
      </c>
      <c r="H17" s="30" t="s">
        <v>123</v>
      </c>
      <c r="I17" s="111" t="s">
        <v>110</v>
      </c>
      <c r="J17" s="111"/>
    </row>
    <row r="18" spans="1:10" ht="26.25" customHeight="1" x14ac:dyDescent="0.25">
      <c r="A18" s="31">
        <v>15</v>
      </c>
      <c r="B18" s="34" t="s">
        <v>102</v>
      </c>
      <c r="C18" s="30">
        <v>2024</v>
      </c>
      <c r="D18" s="36" t="s">
        <v>103</v>
      </c>
      <c r="E18" s="29" t="s">
        <v>10</v>
      </c>
      <c r="F18" s="30">
        <v>60</v>
      </c>
      <c r="G18" s="30" t="s">
        <v>11</v>
      </c>
      <c r="H18" s="30">
        <v>201832</v>
      </c>
      <c r="I18" s="94" t="s">
        <v>110</v>
      </c>
      <c r="J18" s="95"/>
    </row>
    <row r="19" spans="1:10" ht="26.25" customHeight="1" x14ac:dyDescent="0.25">
      <c r="A19" s="31">
        <v>16</v>
      </c>
      <c r="B19" s="34" t="s">
        <v>104</v>
      </c>
      <c r="C19" s="30">
        <v>2024</v>
      </c>
      <c r="D19" s="6" t="s">
        <v>105</v>
      </c>
      <c r="E19" s="29" t="s">
        <v>10</v>
      </c>
      <c r="F19" s="30">
        <v>5</v>
      </c>
      <c r="G19" s="30" t="s">
        <v>11</v>
      </c>
      <c r="H19" s="30" t="s">
        <v>122</v>
      </c>
      <c r="I19" s="111" t="s">
        <v>111</v>
      </c>
      <c r="J19" s="111"/>
    </row>
    <row r="20" spans="1:10" ht="26.25" customHeight="1" x14ac:dyDescent="0.25">
      <c r="A20" s="31">
        <v>17</v>
      </c>
      <c r="B20" s="34" t="s">
        <v>104</v>
      </c>
      <c r="C20" s="30">
        <v>2024</v>
      </c>
      <c r="D20" s="6" t="s">
        <v>105</v>
      </c>
      <c r="E20" s="29" t="s">
        <v>10</v>
      </c>
      <c r="F20" s="30">
        <v>133</v>
      </c>
      <c r="G20" s="30" t="s">
        <v>11</v>
      </c>
      <c r="H20" s="30" t="s">
        <v>124</v>
      </c>
      <c r="I20" s="111" t="s">
        <v>125</v>
      </c>
      <c r="J20" s="111"/>
    </row>
    <row r="21" spans="1:10" ht="26.25" customHeight="1" x14ac:dyDescent="0.25">
      <c r="A21" s="31">
        <v>18</v>
      </c>
      <c r="B21" s="34" t="s">
        <v>104</v>
      </c>
      <c r="C21" s="30">
        <v>2024</v>
      </c>
      <c r="D21" s="6" t="s">
        <v>105</v>
      </c>
      <c r="E21" s="29" t="s">
        <v>10</v>
      </c>
      <c r="F21" s="30">
        <v>127</v>
      </c>
      <c r="G21" s="30" t="s">
        <v>11</v>
      </c>
      <c r="H21" s="30">
        <v>201832</v>
      </c>
      <c r="I21" s="94" t="s">
        <v>111</v>
      </c>
      <c r="J21" s="95"/>
    </row>
    <row r="22" spans="1:10" ht="26.25" customHeight="1" x14ac:dyDescent="0.25">
      <c r="A22" s="31">
        <v>19</v>
      </c>
      <c r="B22" s="34" t="s">
        <v>106</v>
      </c>
      <c r="C22" s="30">
        <v>2024</v>
      </c>
      <c r="D22" s="36" t="s">
        <v>107</v>
      </c>
      <c r="E22" s="29" t="s">
        <v>10</v>
      </c>
      <c r="F22" s="30">
        <v>30</v>
      </c>
      <c r="G22" s="30" t="s">
        <v>11</v>
      </c>
      <c r="H22" s="30" t="s">
        <v>121</v>
      </c>
      <c r="I22" s="111" t="s">
        <v>120</v>
      </c>
      <c r="J22" s="111"/>
    </row>
    <row r="23" spans="1:10" ht="26.25" customHeight="1" x14ac:dyDescent="0.25">
      <c r="A23" s="31">
        <v>20</v>
      </c>
      <c r="B23" s="34" t="s">
        <v>106</v>
      </c>
      <c r="C23" s="30">
        <v>2024</v>
      </c>
      <c r="D23" s="36" t="s">
        <v>107</v>
      </c>
      <c r="E23" s="29" t="s">
        <v>10</v>
      </c>
      <c r="F23" s="30">
        <v>123</v>
      </c>
      <c r="G23" s="30" t="s">
        <v>11</v>
      </c>
      <c r="H23" s="30">
        <v>201832</v>
      </c>
      <c r="I23" s="94" t="s">
        <v>159</v>
      </c>
      <c r="J23" s="95"/>
    </row>
    <row r="24" spans="1:10" ht="26.25" customHeight="1" x14ac:dyDescent="0.25">
      <c r="A24" s="31">
        <v>21</v>
      </c>
      <c r="B24" s="34" t="s">
        <v>157</v>
      </c>
      <c r="C24" s="30">
        <v>2024</v>
      </c>
      <c r="D24" s="38" t="s">
        <v>158</v>
      </c>
      <c r="E24" s="29" t="s">
        <v>10</v>
      </c>
      <c r="F24" s="30">
        <v>273</v>
      </c>
      <c r="G24" s="30" t="s">
        <v>11</v>
      </c>
      <c r="H24" s="30">
        <v>201642</v>
      </c>
      <c r="I24" s="94" t="s">
        <v>108</v>
      </c>
      <c r="J24" s="95"/>
    </row>
    <row r="25" spans="1:10" ht="26.25" customHeight="1" x14ac:dyDescent="0.25">
      <c r="A25" s="31">
        <v>22</v>
      </c>
      <c r="B25" s="34" t="s">
        <v>34</v>
      </c>
      <c r="C25" s="30">
        <v>2023</v>
      </c>
      <c r="D25" s="38" t="s">
        <v>35</v>
      </c>
      <c r="E25" s="29" t="s">
        <v>10</v>
      </c>
      <c r="F25" s="30">
        <v>144</v>
      </c>
      <c r="G25" s="30" t="s">
        <v>11</v>
      </c>
      <c r="H25" s="30">
        <v>201832</v>
      </c>
      <c r="I25" s="94" t="s">
        <v>26</v>
      </c>
      <c r="J25" s="95"/>
    </row>
    <row r="26" spans="1:10" ht="26.25" customHeight="1" x14ac:dyDescent="0.25">
      <c r="A26" s="31">
        <v>23</v>
      </c>
      <c r="B26" s="34" t="s">
        <v>154</v>
      </c>
      <c r="C26" s="30">
        <v>2023</v>
      </c>
      <c r="D26" s="38" t="s">
        <v>155</v>
      </c>
      <c r="E26" s="29" t="s">
        <v>10</v>
      </c>
      <c r="F26" s="30">
        <v>310</v>
      </c>
      <c r="G26" s="30" t="s">
        <v>11</v>
      </c>
      <c r="H26" s="30">
        <v>201832</v>
      </c>
      <c r="I26" s="94" t="s">
        <v>156</v>
      </c>
      <c r="J26" s="95"/>
    </row>
    <row r="27" spans="1:10" ht="26.25" customHeight="1" x14ac:dyDescent="0.25">
      <c r="A27" s="31">
        <v>24</v>
      </c>
      <c r="B27" s="34" t="s">
        <v>129</v>
      </c>
      <c r="C27" s="30">
        <v>2021</v>
      </c>
      <c r="D27" s="6" t="s">
        <v>130</v>
      </c>
      <c r="E27" s="29" t="s">
        <v>10</v>
      </c>
      <c r="F27" s="30">
        <v>109</v>
      </c>
      <c r="G27" s="30" t="s">
        <v>11</v>
      </c>
      <c r="H27" s="30" t="s">
        <v>131</v>
      </c>
      <c r="I27" s="111" t="s">
        <v>132</v>
      </c>
      <c r="J27" s="111"/>
    </row>
    <row r="28" spans="1:10" ht="26.25" customHeight="1" x14ac:dyDescent="0.25">
      <c r="A28" s="31">
        <v>25</v>
      </c>
      <c r="B28" s="39" t="s">
        <v>147</v>
      </c>
      <c r="C28" s="30">
        <v>2017</v>
      </c>
      <c r="D28" s="38" t="s">
        <v>148</v>
      </c>
      <c r="E28" s="29" t="s">
        <v>10</v>
      </c>
      <c r="F28" s="30">
        <v>147</v>
      </c>
      <c r="G28" s="30" t="s">
        <v>11</v>
      </c>
      <c r="H28" s="30">
        <v>201832</v>
      </c>
      <c r="I28" s="94" t="s">
        <v>149</v>
      </c>
      <c r="J28" s="95"/>
    </row>
    <row r="29" spans="1:10" ht="26.25" customHeight="1" x14ac:dyDescent="0.25">
      <c r="A29" s="31">
        <v>26</v>
      </c>
      <c r="B29" s="39" t="s">
        <v>143</v>
      </c>
      <c r="C29" s="30">
        <v>2014</v>
      </c>
      <c r="D29" s="38" t="s">
        <v>144</v>
      </c>
      <c r="E29" s="29" t="s">
        <v>10</v>
      </c>
      <c r="F29" s="30">
        <v>126</v>
      </c>
      <c r="G29" s="30" t="s">
        <v>11</v>
      </c>
      <c r="H29" s="30">
        <v>201715</v>
      </c>
      <c r="I29" s="94" t="s">
        <v>145</v>
      </c>
      <c r="J29" s="95"/>
    </row>
    <row r="30" spans="1:10" x14ac:dyDescent="0.25">
      <c r="E30" s="102" t="s">
        <v>29</v>
      </c>
      <c r="F30" s="104">
        <f>SUM(F4:F29)</f>
        <v>5766</v>
      </c>
      <c r="G30" s="104" t="s">
        <v>11</v>
      </c>
      <c r="H30" s="1"/>
    </row>
    <row r="31" spans="1:10" x14ac:dyDescent="0.25">
      <c r="E31" s="102"/>
      <c r="F31" s="104"/>
      <c r="G31" s="104"/>
    </row>
  </sheetData>
  <mergeCells count="31">
    <mergeCell ref="I16:J16"/>
    <mergeCell ref="I14:J14"/>
    <mergeCell ref="I6:J6"/>
    <mergeCell ref="I8:J8"/>
    <mergeCell ref="I11:J11"/>
    <mergeCell ref="I12:J12"/>
    <mergeCell ref="I15:J15"/>
    <mergeCell ref="I9:J9"/>
    <mergeCell ref="A1:J2"/>
    <mergeCell ref="I3:J3"/>
    <mergeCell ref="I13:J13"/>
    <mergeCell ref="I5:J5"/>
    <mergeCell ref="I4:J4"/>
    <mergeCell ref="I7:J7"/>
    <mergeCell ref="I10:J10"/>
    <mergeCell ref="E30:E31"/>
    <mergeCell ref="F30:F31"/>
    <mergeCell ref="G30:G31"/>
    <mergeCell ref="I19:J19"/>
    <mergeCell ref="I17:J17"/>
    <mergeCell ref="I20:J20"/>
    <mergeCell ref="I22:J22"/>
    <mergeCell ref="I27:J27"/>
    <mergeCell ref="I29:J29"/>
    <mergeCell ref="I28:J28"/>
    <mergeCell ref="I25:J25"/>
    <mergeCell ref="I26:J26"/>
    <mergeCell ref="I24:J24"/>
    <mergeCell ref="I18:J18"/>
    <mergeCell ref="I21:J21"/>
    <mergeCell ref="I23:J23"/>
  </mergeCells>
  <phoneticPr fontId="9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C20C-3028-45EF-A7AF-B7BCEB35A46F}">
  <dimension ref="A1:J9"/>
  <sheetViews>
    <sheetView zoomScaleNormal="100"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4.5703125" bestFit="1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31">
        <v>1</v>
      </c>
      <c r="B4" s="39" t="s">
        <v>135</v>
      </c>
      <c r="C4" s="30">
        <v>2024</v>
      </c>
      <c r="D4" s="38" t="s">
        <v>136</v>
      </c>
      <c r="E4" s="29" t="s">
        <v>10</v>
      </c>
      <c r="F4" s="30">
        <v>27</v>
      </c>
      <c r="G4" s="30" t="s">
        <v>11</v>
      </c>
      <c r="H4" s="30" t="s">
        <v>160</v>
      </c>
      <c r="I4" s="94" t="s">
        <v>137</v>
      </c>
      <c r="J4" s="95"/>
    </row>
    <row r="5" spans="1:10" ht="26.25" customHeight="1" x14ac:dyDescent="0.25">
      <c r="A5" s="31">
        <v>2</v>
      </c>
      <c r="B5" s="34" t="s">
        <v>87</v>
      </c>
      <c r="C5" s="30">
        <v>2024</v>
      </c>
      <c r="D5" s="29" t="s">
        <v>88</v>
      </c>
      <c r="E5" s="29" t="s">
        <v>10</v>
      </c>
      <c r="F5" s="30">
        <v>15</v>
      </c>
      <c r="G5" s="30" t="s">
        <v>11</v>
      </c>
      <c r="H5" s="30" t="s">
        <v>116</v>
      </c>
      <c r="I5" s="111" t="s">
        <v>161</v>
      </c>
      <c r="J5" s="111"/>
    </row>
    <row r="6" spans="1:10" ht="26.25" customHeight="1" x14ac:dyDescent="0.25">
      <c r="A6" s="31">
        <v>3</v>
      </c>
      <c r="B6" s="34" t="s">
        <v>163</v>
      </c>
      <c r="C6" s="30">
        <v>2021</v>
      </c>
      <c r="D6" s="38" t="s">
        <v>164</v>
      </c>
      <c r="E6" s="29" t="s">
        <v>10</v>
      </c>
      <c r="F6" s="30">
        <v>3</v>
      </c>
      <c r="G6" s="30" t="s">
        <v>11</v>
      </c>
      <c r="H6" s="30" t="s">
        <v>116</v>
      </c>
      <c r="I6" s="111" t="s">
        <v>165</v>
      </c>
      <c r="J6" s="111"/>
    </row>
    <row r="7" spans="1:10" ht="26.25" customHeight="1" x14ac:dyDescent="0.25">
      <c r="A7" s="31">
        <v>4</v>
      </c>
      <c r="B7" s="39" t="s">
        <v>143</v>
      </c>
      <c r="C7" s="30">
        <v>2014</v>
      </c>
      <c r="D7" s="38" t="s">
        <v>144</v>
      </c>
      <c r="E7" s="29" t="s">
        <v>10</v>
      </c>
      <c r="F7" s="30">
        <v>10</v>
      </c>
      <c r="G7" s="30" t="s">
        <v>11</v>
      </c>
      <c r="H7" s="30" t="s">
        <v>162</v>
      </c>
      <c r="I7" s="94" t="s">
        <v>145</v>
      </c>
      <c r="J7" s="95"/>
    </row>
    <row r="8" spans="1:10" x14ac:dyDescent="0.25">
      <c r="E8" s="102" t="s">
        <v>29</v>
      </c>
      <c r="F8" s="104">
        <f>SUM(F4:F7)</f>
        <v>55</v>
      </c>
      <c r="G8" s="104" t="s">
        <v>11</v>
      </c>
      <c r="H8" s="1"/>
    </row>
    <row r="9" spans="1:10" x14ac:dyDescent="0.25">
      <c r="E9" s="102"/>
      <c r="F9" s="104"/>
      <c r="G9" s="104"/>
    </row>
  </sheetData>
  <mergeCells count="9">
    <mergeCell ref="E8:E9"/>
    <mergeCell ref="F8:F9"/>
    <mergeCell ref="G8:G9"/>
    <mergeCell ref="I5:J5"/>
    <mergeCell ref="A1:J2"/>
    <mergeCell ref="I3:J3"/>
    <mergeCell ref="I4:J4"/>
    <mergeCell ref="I6:J6"/>
    <mergeCell ref="I7:J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20F3-A8C8-4CE9-93E3-4665AC7E720D}">
  <dimension ref="A1:J7"/>
  <sheetViews>
    <sheetView zoomScaleNormal="100"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4.5703125" bestFit="1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31">
        <v>1</v>
      </c>
      <c r="B4" s="43" t="s">
        <v>166</v>
      </c>
      <c r="C4" s="30">
        <v>2024</v>
      </c>
      <c r="D4" s="38" t="s">
        <v>136</v>
      </c>
      <c r="E4" s="29" t="s">
        <v>10</v>
      </c>
      <c r="F4" s="30">
        <v>95</v>
      </c>
      <c r="G4" s="30" t="s">
        <v>11</v>
      </c>
      <c r="H4" s="30" t="s">
        <v>167</v>
      </c>
      <c r="I4" s="94" t="s">
        <v>168</v>
      </c>
      <c r="J4" s="95"/>
    </row>
    <row r="5" spans="1:10" ht="26.25" customHeight="1" x14ac:dyDescent="0.25">
      <c r="A5" s="31">
        <v>2</v>
      </c>
      <c r="B5" s="34" t="s">
        <v>87</v>
      </c>
      <c r="C5" s="30">
        <v>2024</v>
      </c>
      <c r="D5" s="29" t="s">
        <v>88</v>
      </c>
      <c r="E5" s="29" t="s">
        <v>10</v>
      </c>
      <c r="F5" s="30">
        <v>10</v>
      </c>
      <c r="G5" s="30" t="s">
        <v>11</v>
      </c>
      <c r="H5" s="30" t="s">
        <v>160</v>
      </c>
      <c r="I5" s="111" t="s">
        <v>141</v>
      </c>
      <c r="J5" s="111"/>
    </row>
    <row r="6" spans="1:10" x14ac:dyDescent="0.25">
      <c r="E6" s="102" t="s">
        <v>29</v>
      </c>
      <c r="F6" s="104">
        <f>SUM(F4:F5)</f>
        <v>105</v>
      </c>
      <c r="G6" s="104" t="s">
        <v>11</v>
      </c>
      <c r="H6" s="1"/>
    </row>
    <row r="7" spans="1:10" x14ac:dyDescent="0.25">
      <c r="E7" s="102"/>
      <c r="F7" s="104"/>
      <c r="G7" s="104"/>
    </row>
  </sheetData>
  <mergeCells count="7">
    <mergeCell ref="E6:E7"/>
    <mergeCell ref="F6:F7"/>
    <mergeCell ref="G6:G7"/>
    <mergeCell ref="A1:J2"/>
    <mergeCell ref="I3:J3"/>
    <mergeCell ref="I4:J4"/>
    <mergeCell ref="I5:J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563-ED30-45C2-9695-CEDC1C2730BF}">
  <dimension ref="A1:J10"/>
  <sheetViews>
    <sheetView zoomScaleNormal="100"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3.140625" bestFit="1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31">
        <v>1</v>
      </c>
      <c r="B4" s="34" t="s">
        <v>7</v>
      </c>
      <c r="C4" s="30">
        <v>2024</v>
      </c>
      <c r="D4" s="36" t="s">
        <v>8</v>
      </c>
      <c r="E4" s="29" t="s">
        <v>10</v>
      </c>
      <c r="F4" s="30">
        <v>15</v>
      </c>
      <c r="G4" s="30" t="s">
        <v>11</v>
      </c>
      <c r="H4" s="30" t="s">
        <v>169</v>
      </c>
      <c r="I4" s="111" t="s">
        <v>85</v>
      </c>
      <c r="J4" s="111"/>
    </row>
    <row r="5" spans="1:10" ht="64.5" customHeight="1" x14ac:dyDescent="0.25">
      <c r="A5" s="31">
        <v>2</v>
      </c>
      <c r="B5" s="34" t="s">
        <v>87</v>
      </c>
      <c r="C5" s="30">
        <v>2024</v>
      </c>
      <c r="D5" s="29" t="s">
        <v>88</v>
      </c>
      <c r="E5" s="29" t="s">
        <v>10</v>
      </c>
      <c r="F5" s="30">
        <v>20</v>
      </c>
      <c r="G5" s="30" t="s">
        <v>11</v>
      </c>
      <c r="H5" s="30" t="s">
        <v>116</v>
      </c>
      <c r="I5" s="112" t="s">
        <v>170</v>
      </c>
      <c r="J5" s="111"/>
    </row>
    <row r="6" spans="1:10" ht="26.25" customHeight="1" x14ac:dyDescent="0.25">
      <c r="A6" s="31">
        <v>3</v>
      </c>
      <c r="B6" s="34" t="s">
        <v>175</v>
      </c>
      <c r="C6" s="30">
        <v>2024</v>
      </c>
      <c r="D6" s="38" t="s">
        <v>174</v>
      </c>
      <c r="E6" s="29" t="s">
        <v>10</v>
      </c>
      <c r="F6" s="30">
        <v>1131</v>
      </c>
      <c r="G6" s="30" t="s">
        <v>11</v>
      </c>
      <c r="H6" s="30">
        <v>10824</v>
      </c>
      <c r="I6" s="94" t="s">
        <v>176</v>
      </c>
      <c r="J6" s="95"/>
    </row>
    <row r="7" spans="1:10" ht="26.25" customHeight="1" x14ac:dyDescent="0.25">
      <c r="A7" s="31">
        <v>4</v>
      </c>
      <c r="B7" s="34" t="s">
        <v>171</v>
      </c>
      <c r="C7" s="30">
        <v>2024</v>
      </c>
      <c r="D7" s="38" t="s">
        <v>172</v>
      </c>
      <c r="E7" s="29" t="s">
        <v>10</v>
      </c>
      <c r="F7" s="30">
        <v>1064</v>
      </c>
      <c r="G7" s="30" t="s">
        <v>11</v>
      </c>
      <c r="H7" s="30">
        <v>10824</v>
      </c>
      <c r="I7" s="94" t="s">
        <v>173</v>
      </c>
      <c r="J7" s="95"/>
    </row>
    <row r="8" spans="1:10" ht="26.25" customHeight="1" x14ac:dyDescent="0.25">
      <c r="A8" s="31">
        <v>5</v>
      </c>
      <c r="B8" s="34" t="s">
        <v>171</v>
      </c>
      <c r="C8" s="30">
        <v>2023</v>
      </c>
      <c r="D8" s="38" t="s">
        <v>172</v>
      </c>
      <c r="E8" s="29" t="s">
        <v>10</v>
      </c>
      <c r="F8" s="30">
        <v>605</v>
      </c>
      <c r="G8" s="30" t="s">
        <v>11</v>
      </c>
      <c r="H8" s="30">
        <v>10824</v>
      </c>
      <c r="I8" s="94" t="s">
        <v>173</v>
      </c>
      <c r="J8" s="95"/>
    </row>
    <row r="9" spans="1:10" x14ac:dyDescent="0.25">
      <c r="E9" s="102" t="s">
        <v>29</v>
      </c>
      <c r="F9" s="104">
        <f>SUM(F4:F8)</f>
        <v>2835</v>
      </c>
      <c r="G9" s="104" t="s">
        <v>11</v>
      </c>
      <c r="H9" s="1"/>
    </row>
    <row r="10" spans="1:10" x14ac:dyDescent="0.25">
      <c r="E10" s="102"/>
      <c r="F10" s="104"/>
      <c r="G10" s="104"/>
    </row>
  </sheetData>
  <mergeCells count="10">
    <mergeCell ref="I7:J7"/>
    <mergeCell ref="I8:J8"/>
    <mergeCell ref="E9:E10"/>
    <mergeCell ref="F9:F10"/>
    <mergeCell ref="G9:G10"/>
    <mergeCell ref="I5:J5"/>
    <mergeCell ref="A1:J2"/>
    <mergeCell ref="I3:J3"/>
    <mergeCell ref="I4:J4"/>
    <mergeCell ref="I6:J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543-3BEA-4F03-9B57-32FCC1636DF0}">
  <dimension ref="A1:J6"/>
  <sheetViews>
    <sheetView zoomScaleNormal="100"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3.140625" bestFit="1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4" x14ac:dyDescent="0.25">
      <c r="A4" s="31">
        <v>1</v>
      </c>
      <c r="B4" s="34" t="s">
        <v>87</v>
      </c>
      <c r="C4" s="30">
        <v>2024</v>
      </c>
      <c r="D4" s="29" t="s">
        <v>88</v>
      </c>
      <c r="E4" s="29" t="s">
        <v>10</v>
      </c>
      <c r="F4" s="30">
        <v>5</v>
      </c>
      <c r="G4" s="30" t="s">
        <v>11</v>
      </c>
      <c r="H4" s="30" t="s">
        <v>116</v>
      </c>
      <c r="I4" s="112" t="s">
        <v>177</v>
      </c>
      <c r="J4" s="111"/>
    </row>
    <row r="5" spans="1:10" x14ac:dyDescent="0.25">
      <c r="E5" s="102" t="s">
        <v>29</v>
      </c>
      <c r="F5" s="104">
        <f>SUM(F4:F4)</f>
        <v>5</v>
      </c>
      <c r="G5" s="104" t="s">
        <v>11</v>
      </c>
      <c r="H5" s="1"/>
    </row>
    <row r="6" spans="1:10" x14ac:dyDescent="0.25">
      <c r="E6" s="102"/>
      <c r="F6" s="104"/>
      <c r="G6" s="104"/>
    </row>
  </sheetData>
  <mergeCells count="6">
    <mergeCell ref="E5:E6"/>
    <mergeCell ref="F5:F6"/>
    <mergeCell ref="G5:G6"/>
    <mergeCell ref="A1:J2"/>
    <mergeCell ref="I3:J3"/>
    <mergeCell ref="I4:J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E6F3-CFFB-4C33-9DE2-E8DCA78E8396}">
  <dimension ref="A1:J7"/>
  <sheetViews>
    <sheetView zoomScaleNormal="100" workbookViewId="0">
      <selection activeCell="A3" sqref="A3"/>
    </sheetView>
  </sheetViews>
  <sheetFormatPr defaultRowHeight="15" x14ac:dyDescent="0.25"/>
  <cols>
    <col min="2" max="2" width="13.28515625" customWidth="1"/>
    <col min="3" max="3" width="11.85546875" customWidth="1"/>
    <col min="4" max="4" width="25.7109375" customWidth="1"/>
    <col min="5" max="5" width="11.28515625" customWidth="1"/>
    <col min="6" max="6" width="10.5703125" customWidth="1"/>
    <col min="8" max="8" width="13.140625" bestFit="1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1.7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6.25" customHeight="1" x14ac:dyDescent="0.25">
      <c r="A4" s="31">
        <v>1</v>
      </c>
      <c r="B4" s="34" t="s">
        <v>82</v>
      </c>
      <c r="C4" s="30">
        <v>2024</v>
      </c>
      <c r="D4" s="46" t="s">
        <v>83</v>
      </c>
      <c r="E4" s="29" t="s">
        <v>10</v>
      </c>
      <c r="F4" s="30">
        <v>975</v>
      </c>
      <c r="G4" s="30" t="s">
        <v>11</v>
      </c>
      <c r="H4" s="30">
        <v>10824</v>
      </c>
      <c r="I4" s="111" t="s">
        <v>178</v>
      </c>
      <c r="J4" s="111"/>
    </row>
    <row r="5" spans="1:10" ht="24" x14ac:dyDescent="0.25">
      <c r="A5" s="31">
        <v>2</v>
      </c>
      <c r="B5" s="34" t="s">
        <v>179</v>
      </c>
      <c r="C5" s="30">
        <v>2024</v>
      </c>
      <c r="D5" s="6" t="s">
        <v>180</v>
      </c>
      <c r="E5" s="29" t="s">
        <v>10</v>
      </c>
      <c r="F5" s="30">
        <v>41</v>
      </c>
      <c r="G5" s="30" t="s">
        <v>11</v>
      </c>
      <c r="H5" s="30" t="s">
        <v>181</v>
      </c>
      <c r="I5" s="112" t="s">
        <v>182</v>
      </c>
      <c r="J5" s="111"/>
    </row>
    <row r="6" spans="1:10" x14ac:dyDescent="0.25">
      <c r="E6" s="102" t="s">
        <v>29</v>
      </c>
      <c r="F6" s="104">
        <f>SUM(F4:F5)</f>
        <v>1016</v>
      </c>
      <c r="G6" s="104" t="s">
        <v>11</v>
      </c>
      <c r="H6" s="1"/>
    </row>
    <row r="7" spans="1:10" x14ac:dyDescent="0.25">
      <c r="E7" s="102"/>
      <c r="F7" s="104"/>
      <c r="G7" s="104"/>
    </row>
  </sheetData>
  <mergeCells count="7">
    <mergeCell ref="E6:E7"/>
    <mergeCell ref="F6:F7"/>
    <mergeCell ref="G6:G7"/>
    <mergeCell ref="A1:J2"/>
    <mergeCell ref="I3:J3"/>
    <mergeCell ref="I4:J4"/>
    <mergeCell ref="I5:J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07C1-CC1A-4FFB-A804-335E06F9A8DF}">
  <dimension ref="A1:I52"/>
  <sheetViews>
    <sheetView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I38" sqref="I38"/>
    </sheetView>
  </sheetViews>
  <sheetFormatPr defaultRowHeight="15" x14ac:dyDescent="0.25"/>
  <cols>
    <col min="2" max="2" width="13" customWidth="1"/>
    <col min="4" max="4" width="32.28515625" customWidth="1"/>
    <col min="5" max="5" width="12.28515625" customWidth="1"/>
    <col min="6" max="6" width="12" customWidth="1"/>
    <col min="8" max="8" width="12.140625" customWidth="1"/>
    <col min="9" max="9" width="16.42578125" customWidth="1"/>
  </cols>
  <sheetData>
    <row r="1" spans="1:9" x14ac:dyDescent="0.25">
      <c r="A1" s="96" t="s">
        <v>183</v>
      </c>
      <c r="B1" s="97"/>
      <c r="C1" s="97"/>
      <c r="D1" s="97"/>
      <c r="E1" s="97"/>
      <c r="F1" s="97"/>
      <c r="G1" s="97"/>
      <c r="H1" s="97"/>
      <c r="I1" s="97"/>
    </row>
    <row r="2" spans="1:9" x14ac:dyDescent="0.25">
      <c r="A2" s="97"/>
      <c r="B2" s="97"/>
      <c r="C2" s="97"/>
      <c r="D2" s="97"/>
      <c r="E2" s="97"/>
      <c r="F2" s="97"/>
      <c r="G2" s="97"/>
      <c r="H2" s="97"/>
      <c r="I2" s="97"/>
    </row>
    <row r="3" spans="1:9" ht="24.7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69" t="s">
        <v>13</v>
      </c>
    </row>
    <row r="4" spans="1:9" ht="28.5" customHeight="1" x14ac:dyDescent="0.25">
      <c r="A4" s="31">
        <v>1</v>
      </c>
      <c r="B4" s="30" t="s">
        <v>63</v>
      </c>
      <c r="C4" s="30">
        <v>2021</v>
      </c>
      <c r="D4" s="21" t="s">
        <v>62</v>
      </c>
      <c r="E4" s="6" t="s">
        <v>10</v>
      </c>
      <c r="F4" s="30">
        <f>SUMIF(Sheet2!B4:B93,'Sumary '!B4,Sheet2!F4:F93)</f>
        <v>149</v>
      </c>
      <c r="G4" s="30" t="s">
        <v>11</v>
      </c>
      <c r="H4" s="30" t="s">
        <v>55</v>
      </c>
      <c r="I4" s="30" t="s">
        <v>47</v>
      </c>
    </row>
    <row r="5" spans="1:9" ht="28.5" customHeight="1" x14ac:dyDescent="0.25">
      <c r="A5" s="31">
        <v>2</v>
      </c>
      <c r="B5" s="30" t="s">
        <v>64</v>
      </c>
      <c r="C5" s="30">
        <v>2021</v>
      </c>
      <c r="D5" s="21" t="s">
        <v>66</v>
      </c>
      <c r="E5" s="6" t="s">
        <v>10</v>
      </c>
      <c r="F5" s="30">
        <f>SUMIF(Sheet2!B5:B94,'Sumary '!B5,Sheet2!F5:F94)</f>
        <v>606</v>
      </c>
      <c r="G5" s="30" t="s">
        <v>11</v>
      </c>
      <c r="H5" s="30" t="s">
        <v>55</v>
      </c>
      <c r="I5" s="30" t="s">
        <v>47</v>
      </c>
    </row>
    <row r="6" spans="1:9" ht="28.5" customHeight="1" x14ac:dyDescent="0.25">
      <c r="A6" s="31">
        <v>3</v>
      </c>
      <c r="B6" s="30" t="s">
        <v>65</v>
      </c>
      <c r="C6" s="30">
        <v>2021</v>
      </c>
      <c r="D6" s="21" t="s">
        <v>67</v>
      </c>
      <c r="E6" s="6" t="s">
        <v>10</v>
      </c>
      <c r="F6" s="30">
        <f>SUMIF(Sheet2!B6:B95,'Sumary '!B6,Sheet2!F6:F95)</f>
        <v>128</v>
      </c>
      <c r="G6" s="30" t="s">
        <v>11</v>
      </c>
      <c r="H6" s="30" t="s">
        <v>55</v>
      </c>
      <c r="I6" s="30" t="s">
        <v>47</v>
      </c>
    </row>
    <row r="7" spans="1:9" ht="28.5" customHeight="1" x14ac:dyDescent="0.25">
      <c r="A7" s="31">
        <v>4</v>
      </c>
      <c r="B7" s="31" t="s">
        <v>76</v>
      </c>
      <c r="C7" s="30">
        <v>2022</v>
      </c>
      <c r="D7" s="6" t="s">
        <v>69</v>
      </c>
      <c r="E7" s="25" t="s">
        <v>77</v>
      </c>
      <c r="F7" s="30">
        <f>SUMIF(Sheet2!B7:B96,'Sumary '!B7,Sheet2!F7:F96)</f>
        <v>1080</v>
      </c>
      <c r="G7" s="30" t="s">
        <v>11</v>
      </c>
      <c r="H7" s="30" t="s">
        <v>70</v>
      </c>
      <c r="I7" s="30" t="s">
        <v>71</v>
      </c>
    </row>
    <row r="8" spans="1:9" ht="28.5" customHeight="1" x14ac:dyDescent="0.25">
      <c r="A8" s="31">
        <v>5</v>
      </c>
      <c r="B8" s="31" t="s">
        <v>143</v>
      </c>
      <c r="C8" s="30">
        <v>2014</v>
      </c>
      <c r="D8" s="41" t="s">
        <v>144</v>
      </c>
      <c r="E8" s="29" t="s">
        <v>10</v>
      </c>
      <c r="F8" s="30">
        <f>SUMIF(Sheet2!B8:B97,'Sumary '!B8,Sheet2!F8:F97)</f>
        <v>136</v>
      </c>
      <c r="G8" s="30" t="s">
        <v>11</v>
      </c>
      <c r="H8" s="30">
        <v>201715</v>
      </c>
      <c r="I8" s="30" t="s">
        <v>145</v>
      </c>
    </row>
    <row r="9" spans="1:9" ht="25.5" x14ac:dyDescent="0.25">
      <c r="A9" s="31">
        <v>6</v>
      </c>
      <c r="B9" s="31" t="s">
        <v>75</v>
      </c>
      <c r="C9" s="30">
        <v>2024</v>
      </c>
      <c r="D9" s="6" t="s">
        <v>31</v>
      </c>
      <c r="E9" s="25" t="s">
        <v>77</v>
      </c>
      <c r="F9" s="30">
        <f>SUMIF(Sheet2!B9:B98,'Sumary '!B9,Sheet2!F9:F98)</f>
        <v>990</v>
      </c>
      <c r="G9" s="30" t="s">
        <v>11</v>
      </c>
      <c r="H9" s="30" t="s">
        <v>55</v>
      </c>
      <c r="I9" s="30" t="s">
        <v>74</v>
      </c>
    </row>
    <row r="10" spans="1:9" ht="24" x14ac:dyDescent="0.25">
      <c r="A10" s="31">
        <v>7</v>
      </c>
      <c r="B10" s="30" t="s">
        <v>30</v>
      </c>
      <c r="C10" s="30">
        <v>2024</v>
      </c>
      <c r="D10" s="21" t="s">
        <v>31</v>
      </c>
      <c r="E10" s="6" t="s">
        <v>10</v>
      </c>
      <c r="F10" s="30">
        <f>SUMIF(Sheet2!B10:B99,'Sumary '!B10,Sheet2!F10:F99)</f>
        <v>4141</v>
      </c>
      <c r="G10" s="30" t="s">
        <v>11</v>
      </c>
      <c r="H10" s="30"/>
      <c r="I10" s="30" t="s">
        <v>51</v>
      </c>
    </row>
    <row r="11" spans="1:9" ht="24" x14ac:dyDescent="0.25">
      <c r="A11" s="31">
        <v>8</v>
      </c>
      <c r="B11" s="30" t="s">
        <v>45</v>
      </c>
      <c r="C11" s="30">
        <v>2015</v>
      </c>
      <c r="D11" s="6" t="s">
        <v>44</v>
      </c>
      <c r="E11" s="6" t="s">
        <v>10</v>
      </c>
      <c r="F11" s="30">
        <f>SUMIF(Sheet2!B11:B100,'Sumary '!B11,Sheet2!F11:F100)</f>
        <v>1749</v>
      </c>
      <c r="G11" s="30" t="s">
        <v>11</v>
      </c>
      <c r="H11" s="30" t="s">
        <v>55</v>
      </c>
      <c r="I11" s="30" t="s">
        <v>47</v>
      </c>
    </row>
    <row r="12" spans="1:9" ht="24" x14ac:dyDescent="0.25">
      <c r="A12" s="31">
        <v>9</v>
      </c>
      <c r="B12" s="30" t="s">
        <v>96</v>
      </c>
      <c r="C12" s="30">
        <v>2016</v>
      </c>
      <c r="D12" s="36" t="s">
        <v>97</v>
      </c>
      <c r="E12" s="29" t="s">
        <v>10</v>
      </c>
      <c r="F12" s="30">
        <f>SUMIF(Sheet2!B12:B101,'Sumary '!B12,Sheet2!F12:F101)</f>
        <v>124</v>
      </c>
      <c r="G12" s="30" t="s">
        <v>11</v>
      </c>
      <c r="H12" s="30" t="s">
        <v>113</v>
      </c>
      <c r="I12" s="30" t="s">
        <v>114</v>
      </c>
    </row>
    <row r="13" spans="1:9" ht="24" x14ac:dyDescent="0.25">
      <c r="A13" s="31">
        <v>10</v>
      </c>
      <c r="B13" s="31" t="s">
        <v>68</v>
      </c>
      <c r="C13" s="30">
        <v>2022</v>
      </c>
      <c r="D13" s="6" t="s">
        <v>69</v>
      </c>
      <c r="E13" s="6" t="s">
        <v>10</v>
      </c>
      <c r="F13" s="30">
        <f>SUMIF(Sheet2!B13:B102,'Sumary '!B13,Sheet2!F13:F102)</f>
        <v>123</v>
      </c>
      <c r="G13" s="30" t="s">
        <v>11</v>
      </c>
      <c r="H13" s="30" t="s">
        <v>70</v>
      </c>
      <c r="I13" s="30" t="s">
        <v>71</v>
      </c>
    </row>
    <row r="14" spans="1:9" ht="24" x14ac:dyDescent="0.25">
      <c r="A14" s="31">
        <v>11</v>
      </c>
      <c r="B14" s="30" t="s">
        <v>56</v>
      </c>
      <c r="C14" s="30">
        <v>2020</v>
      </c>
      <c r="D14" s="6" t="s">
        <v>41</v>
      </c>
      <c r="E14" s="6" t="s">
        <v>10</v>
      </c>
      <c r="F14" s="30">
        <f>SUMIF(Sheet2!B14:B103,'Sumary '!B14,Sheet2!F14:F103)</f>
        <v>105</v>
      </c>
      <c r="G14" s="30" t="s">
        <v>11</v>
      </c>
      <c r="H14" s="30" t="s">
        <v>57</v>
      </c>
      <c r="I14" s="30" t="s">
        <v>58</v>
      </c>
    </row>
    <row r="15" spans="1:9" ht="24" x14ac:dyDescent="0.25">
      <c r="A15" s="31">
        <v>12</v>
      </c>
      <c r="B15" s="31" t="s">
        <v>79</v>
      </c>
      <c r="C15" s="30">
        <v>2024</v>
      </c>
      <c r="D15" s="27" t="s">
        <v>80</v>
      </c>
      <c r="E15" s="6" t="s">
        <v>10</v>
      </c>
      <c r="F15" s="30">
        <f>SUMIF(Sheet2!B15:B104,'Sumary '!B15,Sheet2!F15:F104)</f>
        <v>123</v>
      </c>
      <c r="G15" s="30" t="s">
        <v>11</v>
      </c>
      <c r="H15" s="30">
        <v>201291</v>
      </c>
      <c r="I15" s="30" t="s">
        <v>81</v>
      </c>
    </row>
    <row r="16" spans="1:9" ht="24" x14ac:dyDescent="0.25">
      <c r="A16" s="31">
        <v>13</v>
      </c>
      <c r="B16" s="31" t="s">
        <v>82</v>
      </c>
      <c r="C16" s="30">
        <v>2024</v>
      </c>
      <c r="D16" s="27" t="s">
        <v>83</v>
      </c>
      <c r="E16" s="6" t="s">
        <v>10</v>
      </c>
      <c r="F16" s="30">
        <f>SUMIF(Sheet2!B16:B105,'Sumary '!B16,Sheet2!F16:F105)</f>
        <v>1227</v>
      </c>
      <c r="G16" s="30" t="s">
        <v>11</v>
      </c>
      <c r="H16" s="30">
        <v>201291</v>
      </c>
      <c r="I16" s="30" t="s">
        <v>84</v>
      </c>
    </row>
    <row r="17" spans="1:9" ht="24" x14ac:dyDescent="0.25">
      <c r="A17" s="31">
        <v>14</v>
      </c>
      <c r="B17" s="31" t="s">
        <v>59</v>
      </c>
      <c r="C17" s="30">
        <v>2024</v>
      </c>
      <c r="D17" s="6" t="s">
        <v>72</v>
      </c>
      <c r="E17" s="6" t="s">
        <v>10</v>
      </c>
      <c r="F17" s="30">
        <f>SUMIF(Sheet2!B17:B106,'Sumary '!B17,Sheet2!F17:F106)</f>
        <v>329</v>
      </c>
      <c r="G17" s="30" t="s">
        <v>11</v>
      </c>
      <c r="H17" s="30" t="s">
        <v>52</v>
      </c>
      <c r="I17" s="30" t="s">
        <v>73</v>
      </c>
    </row>
    <row r="18" spans="1:9" ht="24" x14ac:dyDescent="0.25">
      <c r="A18" s="31">
        <v>15</v>
      </c>
      <c r="B18" s="30" t="s">
        <v>7</v>
      </c>
      <c r="C18" s="30">
        <v>2024</v>
      </c>
      <c r="D18" s="6" t="s">
        <v>8</v>
      </c>
      <c r="E18" s="6" t="s">
        <v>10</v>
      </c>
      <c r="F18" s="30">
        <f>SUMIF(Sheet2!B18:B107,'Sumary '!B18,Sheet2!F18:F107)</f>
        <v>1658</v>
      </c>
      <c r="G18" s="30" t="s">
        <v>11</v>
      </c>
      <c r="H18" s="30">
        <v>200995</v>
      </c>
      <c r="I18" s="30"/>
    </row>
    <row r="19" spans="1:9" ht="24" x14ac:dyDescent="0.25">
      <c r="A19" s="31">
        <v>16</v>
      </c>
      <c r="B19" s="30" t="s">
        <v>42</v>
      </c>
      <c r="C19" s="30">
        <v>2018</v>
      </c>
      <c r="D19" s="6" t="s">
        <v>43</v>
      </c>
      <c r="E19" s="6" t="s">
        <v>10</v>
      </c>
      <c r="F19" s="30">
        <f>SUMIF(Sheet2!B19:B108,'Sumary '!B19,Sheet2!F19:F108)</f>
        <v>1</v>
      </c>
      <c r="G19" s="30" t="s">
        <v>11</v>
      </c>
      <c r="H19" s="30" t="s">
        <v>48</v>
      </c>
      <c r="I19" s="30" t="s">
        <v>49</v>
      </c>
    </row>
    <row r="20" spans="1:9" ht="24" x14ac:dyDescent="0.25">
      <c r="A20" s="31">
        <v>17</v>
      </c>
      <c r="B20" s="30" t="s">
        <v>40</v>
      </c>
      <c r="C20" s="30">
        <v>2020</v>
      </c>
      <c r="D20" s="6" t="s">
        <v>41</v>
      </c>
      <c r="E20" s="6" t="s">
        <v>10</v>
      </c>
      <c r="F20" s="30">
        <f>SUMIF(Sheet2!B20:B109,'Sumary '!B20,Sheet2!F20:F109)</f>
        <v>10</v>
      </c>
      <c r="G20" s="30" t="s">
        <v>11</v>
      </c>
      <c r="H20" s="30" t="s">
        <v>48</v>
      </c>
      <c r="I20" s="30" t="s">
        <v>50</v>
      </c>
    </row>
    <row r="21" spans="1:9" ht="24" x14ac:dyDescent="0.25">
      <c r="A21" s="31">
        <v>18</v>
      </c>
      <c r="B21" s="30" t="s">
        <v>93</v>
      </c>
      <c r="C21" s="30">
        <v>2022</v>
      </c>
      <c r="D21" s="6" t="s">
        <v>94</v>
      </c>
      <c r="E21" s="29" t="s">
        <v>10</v>
      </c>
      <c r="F21" s="30">
        <f>SUMIF(Sheet2!B21:B110,'Sumary '!B21,Sheet2!F21:F110)</f>
        <v>301</v>
      </c>
      <c r="G21" s="30" t="s">
        <v>11</v>
      </c>
      <c r="H21" s="30">
        <v>201715</v>
      </c>
      <c r="I21" s="30" t="s">
        <v>95</v>
      </c>
    </row>
    <row r="22" spans="1:9" ht="24" x14ac:dyDescent="0.25">
      <c r="A22" s="31">
        <v>19</v>
      </c>
      <c r="B22" s="30" t="s">
        <v>135</v>
      </c>
      <c r="C22" s="30">
        <v>2024</v>
      </c>
      <c r="D22" s="41" t="s">
        <v>136</v>
      </c>
      <c r="E22" s="29" t="s">
        <v>10</v>
      </c>
      <c r="F22" s="30">
        <f>SUMIF(Sheet2!B22:B111,'Sumary '!B22,Sheet2!F22:F111)</f>
        <v>235</v>
      </c>
      <c r="G22" s="30" t="s">
        <v>11</v>
      </c>
      <c r="H22" s="30">
        <v>201785</v>
      </c>
      <c r="I22" s="30" t="s">
        <v>137</v>
      </c>
    </row>
    <row r="23" spans="1:9" ht="24" x14ac:dyDescent="0.25">
      <c r="A23" s="31">
        <v>20</v>
      </c>
      <c r="B23" s="30" t="s">
        <v>38</v>
      </c>
      <c r="C23" s="30">
        <v>2023</v>
      </c>
      <c r="D23" s="6" t="s">
        <v>39</v>
      </c>
      <c r="E23" s="6" t="s">
        <v>10</v>
      </c>
      <c r="F23" s="30">
        <f>SUMIF(Sheet2!B23:B112,'Sumary '!B23,Sheet2!F23:F112)</f>
        <v>11</v>
      </c>
      <c r="G23" s="30" t="s">
        <v>11</v>
      </c>
      <c r="H23" s="30" t="s">
        <v>48</v>
      </c>
      <c r="I23" s="30" t="s">
        <v>49</v>
      </c>
    </row>
    <row r="24" spans="1:9" ht="24" x14ac:dyDescent="0.25">
      <c r="A24" s="31">
        <v>21</v>
      </c>
      <c r="B24" s="30" t="s">
        <v>147</v>
      </c>
      <c r="C24" s="30">
        <v>2017</v>
      </c>
      <c r="D24" s="41" t="s">
        <v>148</v>
      </c>
      <c r="E24" s="29" t="s">
        <v>10</v>
      </c>
      <c r="F24" s="30">
        <f>SUMIF(Sheet2!B24:B113,'Sumary '!B24,Sheet2!F24:F113)</f>
        <v>147</v>
      </c>
      <c r="G24" s="30" t="s">
        <v>11</v>
      </c>
      <c r="H24" s="30">
        <v>201832</v>
      </c>
      <c r="I24" s="30" t="s">
        <v>149</v>
      </c>
    </row>
    <row r="25" spans="1:9" ht="24" x14ac:dyDescent="0.25">
      <c r="A25" s="31">
        <v>22</v>
      </c>
      <c r="B25" s="30" t="s">
        <v>17</v>
      </c>
      <c r="C25" s="30">
        <v>2024</v>
      </c>
      <c r="D25" s="6" t="s">
        <v>18</v>
      </c>
      <c r="E25" s="6" t="s">
        <v>10</v>
      </c>
      <c r="F25" s="30">
        <f>SUMIF(Sheet2!B25:B114,'Sumary '!B25,Sheet2!F25:F114)</f>
        <v>1657</v>
      </c>
      <c r="G25" s="30" t="s">
        <v>11</v>
      </c>
      <c r="H25" s="30" t="s">
        <v>19</v>
      </c>
      <c r="I25" s="30" t="s">
        <v>20</v>
      </c>
    </row>
    <row r="26" spans="1:9" ht="24" x14ac:dyDescent="0.25">
      <c r="A26" s="31">
        <v>23</v>
      </c>
      <c r="B26" s="31" t="s">
        <v>126</v>
      </c>
      <c r="C26" s="30">
        <v>2024</v>
      </c>
      <c r="D26" s="6" t="s">
        <v>127</v>
      </c>
      <c r="E26" s="29" t="s">
        <v>10</v>
      </c>
      <c r="F26" s="30">
        <f>SUMIF(Sheet2!B26:B115,'Sumary '!B26,Sheet2!F26:F115)</f>
        <v>175</v>
      </c>
      <c r="G26" s="30" t="s">
        <v>11</v>
      </c>
      <c r="H26" s="30">
        <v>201715</v>
      </c>
      <c r="I26" s="30" t="s">
        <v>128</v>
      </c>
    </row>
    <row r="27" spans="1:9" ht="24" x14ac:dyDescent="0.25">
      <c r="A27" s="31">
        <v>24</v>
      </c>
      <c r="B27" s="31" t="s">
        <v>138</v>
      </c>
      <c r="C27" s="30">
        <v>2024</v>
      </c>
      <c r="D27" s="41" t="s">
        <v>139</v>
      </c>
      <c r="E27" s="29" t="s">
        <v>10</v>
      </c>
      <c r="F27" s="30">
        <f>SUMIF(Sheet2!B27:B116,'Sumary '!B27,Sheet2!F27:F116)</f>
        <v>140</v>
      </c>
      <c r="G27" s="30" t="s">
        <v>11</v>
      </c>
      <c r="H27" s="30">
        <v>201785</v>
      </c>
      <c r="I27" s="30" t="s">
        <v>140</v>
      </c>
    </row>
    <row r="28" spans="1:9" ht="24" x14ac:dyDescent="0.25">
      <c r="A28" s="31">
        <v>25</v>
      </c>
      <c r="B28" s="31" t="s">
        <v>163</v>
      </c>
      <c r="C28" s="30">
        <v>2021</v>
      </c>
      <c r="D28" s="41" t="s">
        <v>164</v>
      </c>
      <c r="E28" s="29" t="s">
        <v>10</v>
      </c>
      <c r="F28" s="30">
        <f>SUMIF(Sheet2!B28:B117,'Sumary '!B28,Sheet2!F28:F117)</f>
        <v>3</v>
      </c>
      <c r="G28" s="30" t="s">
        <v>11</v>
      </c>
      <c r="H28" s="30" t="s">
        <v>116</v>
      </c>
      <c r="I28" s="30" t="s">
        <v>165</v>
      </c>
    </row>
    <row r="29" spans="1:9" ht="24" x14ac:dyDescent="0.25">
      <c r="A29" s="31">
        <v>26</v>
      </c>
      <c r="B29" s="30" t="s">
        <v>14</v>
      </c>
      <c r="C29" s="30">
        <v>2024</v>
      </c>
      <c r="D29" s="6" t="s">
        <v>15</v>
      </c>
      <c r="E29" s="6" t="s">
        <v>10</v>
      </c>
      <c r="F29" s="30">
        <f>SUMIF(Sheet2!B29:B118,'Sumary '!B29,Sheet2!F29:F118)</f>
        <v>951</v>
      </c>
      <c r="G29" s="30" t="s">
        <v>11</v>
      </c>
      <c r="H29" s="30">
        <v>5605</v>
      </c>
      <c r="I29" s="30" t="s">
        <v>16</v>
      </c>
    </row>
    <row r="30" spans="1:9" ht="24" x14ac:dyDescent="0.25">
      <c r="A30" s="31">
        <v>27</v>
      </c>
      <c r="B30" s="31" t="s">
        <v>151</v>
      </c>
      <c r="C30" s="30">
        <v>2024</v>
      </c>
      <c r="D30" s="41" t="s">
        <v>152</v>
      </c>
      <c r="E30" s="29" t="s">
        <v>10</v>
      </c>
      <c r="F30" s="30">
        <f>SUMIF(Sheet2!B30:B119,'Sumary '!B30,Sheet2!F30:F119)</f>
        <v>148</v>
      </c>
      <c r="G30" s="30" t="s">
        <v>11</v>
      </c>
      <c r="H30" s="30">
        <v>5694</v>
      </c>
      <c r="I30" s="30" t="s">
        <v>153</v>
      </c>
    </row>
    <row r="31" spans="1:9" ht="24" x14ac:dyDescent="0.25">
      <c r="A31" s="31">
        <v>28</v>
      </c>
      <c r="B31" s="60" t="s">
        <v>129</v>
      </c>
      <c r="C31" s="30">
        <v>2021</v>
      </c>
      <c r="D31" s="6" t="s">
        <v>130</v>
      </c>
      <c r="E31" s="29" t="s">
        <v>10</v>
      </c>
      <c r="F31" s="30">
        <f>SUMIF(Sheet2!B31:B120,'Sumary '!B31,Sheet2!F31:F120)</f>
        <v>109</v>
      </c>
      <c r="G31" s="30" t="s">
        <v>11</v>
      </c>
      <c r="H31" s="30" t="s">
        <v>131</v>
      </c>
      <c r="I31" s="30" t="s">
        <v>132</v>
      </c>
    </row>
    <row r="32" spans="1:9" ht="24" x14ac:dyDescent="0.25">
      <c r="A32" s="31">
        <v>29</v>
      </c>
      <c r="B32" s="60" t="s">
        <v>171</v>
      </c>
      <c r="C32" s="30">
        <v>2024</v>
      </c>
      <c r="D32" s="41" t="s">
        <v>172</v>
      </c>
      <c r="E32" s="29" t="s">
        <v>10</v>
      </c>
      <c r="F32" s="30">
        <f>SUMIF(Sheet2!B32:B121,'Sumary '!B32,Sheet2!F32:F121)</f>
        <v>1669</v>
      </c>
      <c r="G32" s="30" t="s">
        <v>11</v>
      </c>
      <c r="H32" s="30">
        <v>10824</v>
      </c>
      <c r="I32" s="30" t="s">
        <v>173</v>
      </c>
    </row>
    <row r="33" spans="1:9" ht="24" x14ac:dyDescent="0.25">
      <c r="A33" s="31">
        <v>30</v>
      </c>
      <c r="B33" s="60" t="s">
        <v>175</v>
      </c>
      <c r="C33" s="30">
        <v>2024</v>
      </c>
      <c r="D33" s="41" t="s">
        <v>174</v>
      </c>
      <c r="E33" s="29" t="s">
        <v>10</v>
      </c>
      <c r="F33" s="30">
        <f>SUMIF(Sheet2!B33:B122,'Sumary '!B33,Sheet2!F33:F122)</f>
        <v>1131</v>
      </c>
      <c r="G33" s="30" t="s">
        <v>11</v>
      </c>
      <c r="H33" s="30">
        <v>10824</v>
      </c>
      <c r="I33" s="30" t="s">
        <v>176</v>
      </c>
    </row>
    <row r="34" spans="1:9" ht="24" x14ac:dyDescent="0.25">
      <c r="A34" s="31">
        <v>31</v>
      </c>
      <c r="B34" s="60" t="s">
        <v>179</v>
      </c>
      <c r="C34" s="30">
        <v>2024</v>
      </c>
      <c r="D34" s="6" t="s">
        <v>180</v>
      </c>
      <c r="E34" s="29" t="s">
        <v>10</v>
      </c>
      <c r="F34" s="30">
        <f>SUMIF(Sheet2!B34:B123,'Sumary '!B34,Sheet2!F34:F123)</f>
        <v>41</v>
      </c>
      <c r="G34" s="30" t="s">
        <v>11</v>
      </c>
      <c r="H34" s="30" t="s">
        <v>181</v>
      </c>
      <c r="I34" s="45" t="s">
        <v>182</v>
      </c>
    </row>
    <row r="35" spans="1:9" ht="25.5" x14ac:dyDescent="0.25">
      <c r="A35" s="31">
        <v>32</v>
      </c>
      <c r="B35" s="30" t="s">
        <v>21</v>
      </c>
      <c r="C35" s="30">
        <v>2023</v>
      </c>
      <c r="D35" s="8" t="s">
        <v>22</v>
      </c>
      <c r="E35" s="6" t="s">
        <v>10</v>
      </c>
      <c r="F35" s="30">
        <f>SUMIF(Sheet2!B35:B124,'Sumary '!B35,Sheet2!F35:F124)</f>
        <v>1839</v>
      </c>
      <c r="G35" s="30" t="s">
        <v>11</v>
      </c>
      <c r="H35" s="30">
        <v>201146</v>
      </c>
      <c r="I35" s="30" t="s">
        <v>23</v>
      </c>
    </row>
    <row r="36" spans="1:9" ht="24" x14ac:dyDescent="0.25">
      <c r="A36" s="31">
        <v>33</v>
      </c>
      <c r="B36" s="30" t="s">
        <v>34</v>
      </c>
      <c r="C36" s="30">
        <v>2023</v>
      </c>
      <c r="D36" s="6" t="s">
        <v>35</v>
      </c>
      <c r="E36" s="6" t="s">
        <v>10</v>
      </c>
      <c r="F36" s="30">
        <f>SUMIF(Sheet2!B36:B125,'Sumary '!B36,Sheet2!F36:F125)</f>
        <v>344</v>
      </c>
      <c r="G36" s="30" t="s">
        <v>11</v>
      </c>
      <c r="H36" s="30">
        <v>200541</v>
      </c>
      <c r="I36" s="30" t="s">
        <v>26</v>
      </c>
    </row>
    <row r="37" spans="1:9" ht="24" x14ac:dyDescent="0.25">
      <c r="A37" s="31">
        <v>34</v>
      </c>
      <c r="B37" s="30" t="s">
        <v>53</v>
      </c>
      <c r="C37" s="30">
        <v>2023</v>
      </c>
      <c r="D37" s="6" t="s">
        <v>54</v>
      </c>
      <c r="E37" s="6" t="s">
        <v>10</v>
      </c>
      <c r="F37" s="30">
        <f>SUMIF(Sheet2!B37:B126,'Sumary '!B37,Sheet2!F37:F126)</f>
        <v>119</v>
      </c>
      <c r="G37" s="30" t="s">
        <v>11</v>
      </c>
      <c r="H37" s="30" t="s">
        <v>61</v>
      </c>
      <c r="I37" s="30" t="s">
        <v>23</v>
      </c>
    </row>
    <row r="38" spans="1:9" ht="24" x14ac:dyDescent="0.25">
      <c r="A38" s="31">
        <v>35</v>
      </c>
      <c r="B38" s="30" t="s">
        <v>27</v>
      </c>
      <c r="C38" s="30">
        <v>2024</v>
      </c>
      <c r="D38" s="6" t="s">
        <v>28</v>
      </c>
      <c r="E38" s="6" t="s">
        <v>10</v>
      </c>
      <c r="F38" s="30">
        <f>SUMIF(Sheet2!B38:B127,'Sumary '!B38,Sheet2!F38:F127)</f>
        <v>1002</v>
      </c>
      <c r="G38" s="30" t="s">
        <v>11</v>
      </c>
      <c r="H38" s="30">
        <v>201147</v>
      </c>
      <c r="I38" s="30" t="s">
        <v>23</v>
      </c>
    </row>
    <row r="39" spans="1:9" ht="24" x14ac:dyDescent="0.25">
      <c r="A39" s="31">
        <v>36</v>
      </c>
      <c r="B39" s="30" t="s">
        <v>32</v>
      </c>
      <c r="C39" s="30">
        <v>2024</v>
      </c>
      <c r="D39" s="6" t="s">
        <v>33</v>
      </c>
      <c r="E39" s="6" t="s">
        <v>10</v>
      </c>
      <c r="F39" s="30">
        <f>SUMIF(Sheet2!B39:B128,'Sumary '!B39,Sheet2!F39:F128)</f>
        <v>465</v>
      </c>
      <c r="G39" s="30" t="s">
        <v>11</v>
      </c>
      <c r="H39" s="30">
        <v>201147</v>
      </c>
      <c r="I39" s="30" t="s">
        <v>23</v>
      </c>
    </row>
    <row r="40" spans="1:9" ht="24" x14ac:dyDescent="0.25">
      <c r="A40" s="31">
        <v>37</v>
      </c>
      <c r="B40" s="30" t="s">
        <v>36</v>
      </c>
      <c r="C40" s="30">
        <v>2023</v>
      </c>
      <c r="D40" s="6" t="s">
        <v>37</v>
      </c>
      <c r="E40" s="6" t="s">
        <v>10</v>
      </c>
      <c r="F40" s="30">
        <f>SUMIF(Sheet2!B40:B129,'Sumary '!B40,Sheet2!F40:F129)</f>
        <v>5</v>
      </c>
      <c r="G40" s="30" t="s">
        <v>11</v>
      </c>
      <c r="H40" s="30" t="s">
        <v>52</v>
      </c>
      <c r="I40" s="30"/>
    </row>
    <row r="41" spans="1:9" ht="24" x14ac:dyDescent="0.25">
      <c r="A41" s="31">
        <v>38</v>
      </c>
      <c r="B41" s="60" t="s">
        <v>154</v>
      </c>
      <c r="C41" s="30">
        <v>2023</v>
      </c>
      <c r="D41" s="41" t="s">
        <v>155</v>
      </c>
      <c r="E41" s="29" t="s">
        <v>10</v>
      </c>
      <c r="F41" s="30">
        <f>SUMIF(Sheet2!B41:B130,'Sumary '!B41,Sheet2!F41:F130)</f>
        <v>310</v>
      </c>
      <c r="G41" s="30" t="s">
        <v>11</v>
      </c>
      <c r="H41" s="30">
        <v>201832</v>
      </c>
      <c r="I41" s="30" t="s">
        <v>156</v>
      </c>
    </row>
    <row r="42" spans="1:9" ht="24" x14ac:dyDescent="0.25">
      <c r="A42" s="31">
        <v>39</v>
      </c>
      <c r="B42" s="60" t="s">
        <v>157</v>
      </c>
      <c r="C42" s="30">
        <v>2024</v>
      </c>
      <c r="D42" s="41" t="s">
        <v>158</v>
      </c>
      <c r="E42" s="29" t="s">
        <v>10</v>
      </c>
      <c r="F42" s="30">
        <f>SUMIF(Sheet2!B42:B131,'Sumary '!B42,Sheet2!F42:F131)</f>
        <v>273</v>
      </c>
      <c r="G42" s="30" t="s">
        <v>11</v>
      </c>
      <c r="H42" s="30">
        <v>201642</v>
      </c>
      <c r="I42" s="30" t="s">
        <v>108</v>
      </c>
    </row>
    <row r="43" spans="1:9" ht="24" x14ac:dyDescent="0.25">
      <c r="A43" s="31">
        <v>40</v>
      </c>
      <c r="B43" s="31" t="s">
        <v>87</v>
      </c>
      <c r="C43" s="30">
        <v>2024</v>
      </c>
      <c r="D43" s="29" t="s">
        <v>88</v>
      </c>
      <c r="E43" s="29" t="s">
        <v>10</v>
      </c>
      <c r="F43" s="30">
        <f>SUMIF(Sheet2!B43:B132,'Sumary '!B43,Sheet2!F43:F132)</f>
        <v>12165</v>
      </c>
      <c r="G43" s="30" t="s">
        <v>11</v>
      </c>
      <c r="H43" s="30">
        <v>201669</v>
      </c>
      <c r="I43" s="30" t="s">
        <v>89</v>
      </c>
    </row>
    <row r="44" spans="1:9" ht="24" x14ac:dyDescent="0.25">
      <c r="A44" s="31">
        <v>41</v>
      </c>
      <c r="B44" s="60" t="s">
        <v>99</v>
      </c>
      <c r="C44" s="30">
        <v>2024</v>
      </c>
      <c r="D44" s="36" t="s">
        <v>98</v>
      </c>
      <c r="E44" s="29" t="s">
        <v>10</v>
      </c>
      <c r="F44" s="30">
        <f>SUMIF(Sheet2!B44:B133,'Sumary '!B44,Sheet2!F44:F133)</f>
        <v>953</v>
      </c>
      <c r="G44" s="30" t="s">
        <v>11</v>
      </c>
      <c r="H44" s="30">
        <v>201642</v>
      </c>
      <c r="I44" s="30" t="s">
        <v>108</v>
      </c>
    </row>
    <row r="45" spans="1:9" ht="24" x14ac:dyDescent="0.25">
      <c r="A45" s="31">
        <v>42</v>
      </c>
      <c r="B45" s="60" t="s">
        <v>101</v>
      </c>
      <c r="C45" s="30">
        <v>2024</v>
      </c>
      <c r="D45" s="36" t="s">
        <v>100</v>
      </c>
      <c r="E45" s="29" t="s">
        <v>10</v>
      </c>
      <c r="F45" s="30">
        <f>SUMIF(Sheet2!B45:B134,'Sumary '!B45,Sheet2!F45:F134)</f>
        <v>250</v>
      </c>
      <c r="G45" s="30" t="s">
        <v>11</v>
      </c>
      <c r="H45" s="30">
        <v>201689</v>
      </c>
      <c r="I45" s="30" t="s">
        <v>109</v>
      </c>
    </row>
    <row r="46" spans="1:9" ht="24" x14ac:dyDescent="0.25">
      <c r="A46" s="31">
        <v>43</v>
      </c>
      <c r="B46" s="60" t="s">
        <v>102</v>
      </c>
      <c r="C46" s="30">
        <v>2024</v>
      </c>
      <c r="D46" s="36" t="s">
        <v>103</v>
      </c>
      <c r="E46" s="29" t="s">
        <v>10</v>
      </c>
      <c r="F46" s="30">
        <f>SUMIF(Sheet2!B46:B135,'Sumary '!B46,Sheet2!F46:F135)</f>
        <v>2022</v>
      </c>
      <c r="G46" s="30" t="s">
        <v>11</v>
      </c>
      <c r="H46" s="30">
        <v>201689</v>
      </c>
      <c r="I46" s="30" t="s">
        <v>110</v>
      </c>
    </row>
    <row r="47" spans="1:9" ht="24" x14ac:dyDescent="0.25">
      <c r="A47" s="31">
        <v>44</v>
      </c>
      <c r="B47" s="60" t="s">
        <v>104</v>
      </c>
      <c r="C47" s="30">
        <v>2024</v>
      </c>
      <c r="D47" s="6" t="s">
        <v>105</v>
      </c>
      <c r="E47" s="29" t="s">
        <v>10</v>
      </c>
      <c r="F47" s="30">
        <f>SUMIF(Sheet2!B47:B136,'Sumary '!B47,Sheet2!F47:F136)</f>
        <v>448</v>
      </c>
      <c r="G47" s="30" t="s">
        <v>11</v>
      </c>
      <c r="H47" s="30">
        <v>201832</v>
      </c>
      <c r="I47" s="30" t="s">
        <v>111</v>
      </c>
    </row>
    <row r="48" spans="1:9" ht="24" x14ac:dyDescent="0.25">
      <c r="A48" s="31">
        <v>45</v>
      </c>
      <c r="B48" s="60" t="s">
        <v>106</v>
      </c>
      <c r="C48" s="30">
        <v>2024</v>
      </c>
      <c r="D48" s="36" t="s">
        <v>107</v>
      </c>
      <c r="E48" s="29" t="s">
        <v>10</v>
      </c>
      <c r="F48" s="30">
        <f>SUMIF(Sheet2!B48:B137,'Sumary '!B48,Sheet2!F48:F137)</f>
        <v>2360</v>
      </c>
      <c r="G48" s="30" t="s">
        <v>11</v>
      </c>
      <c r="H48" s="30">
        <v>201689</v>
      </c>
      <c r="I48" s="30" t="s">
        <v>112</v>
      </c>
    </row>
    <row r="49" spans="1:9" ht="24" x14ac:dyDescent="0.25">
      <c r="A49" s="31">
        <v>46</v>
      </c>
      <c r="B49" s="60" t="s">
        <v>90</v>
      </c>
      <c r="C49" s="30">
        <v>2024</v>
      </c>
      <c r="D49" s="36" t="s">
        <v>91</v>
      </c>
      <c r="E49" s="29" t="s">
        <v>10</v>
      </c>
      <c r="F49" s="30">
        <f>SUMIF(Sheet2!B49:B138,'Sumary '!B49,Sheet2!F49:F138)</f>
        <v>2242</v>
      </c>
      <c r="G49" s="30" t="s">
        <v>11</v>
      </c>
      <c r="H49" s="30">
        <v>201645</v>
      </c>
      <c r="I49" s="30" t="s">
        <v>115</v>
      </c>
    </row>
    <row r="50" spans="1:9" ht="24" x14ac:dyDescent="0.25">
      <c r="A50" s="31">
        <v>47</v>
      </c>
      <c r="B50" s="60" t="s">
        <v>166</v>
      </c>
      <c r="C50" s="30">
        <v>2024</v>
      </c>
      <c r="D50" s="41" t="s">
        <v>136</v>
      </c>
      <c r="E50" s="29" t="s">
        <v>10</v>
      </c>
      <c r="F50" s="30">
        <f>SUMIF(Sheet2!B50:B139,'Sumary '!B50,Sheet2!F50:F139)</f>
        <v>95</v>
      </c>
      <c r="G50" s="30" t="s">
        <v>11</v>
      </c>
      <c r="H50" s="30" t="s">
        <v>167</v>
      </c>
      <c r="I50" s="30" t="s">
        <v>168</v>
      </c>
    </row>
    <row r="51" spans="1:9" ht="24" x14ac:dyDescent="0.25">
      <c r="A51" s="31">
        <v>48</v>
      </c>
      <c r="B51" s="30" t="s">
        <v>24</v>
      </c>
      <c r="C51" s="30">
        <v>2023</v>
      </c>
      <c r="D51" s="6" t="s">
        <v>25</v>
      </c>
      <c r="E51" s="6" t="s">
        <v>10</v>
      </c>
      <c r="F51" s="30">
        <f>SUMIF(Sheet2!B51:B140,'Sumary '!B51,Sheet2!F51:F140)</f>
        <v>446</v>
      </c>
      <c r="G51" s="30" t="s">
        <v>11</v>
      </c>
      <c r="H51" s="30">
        <v>200541</v>
      </c>
      <c r="I51" s="30" t="s">
        <v>26</v>
      </c>
    </row>
    <row r="52" spans="1:9" x14ac:dyDescent="0.25">
      <c r="E52" s="67" t="s">
        <v>29</v>
      </c>
      <c r="F52" s="67">
        <f>SUM(F4:F51)</f>
        <v>44735</v>
      </c>
      <c r="G52" s="47" t="s">
        <v>11</v>
      </c>
    </row>
  </sheetData>
  <mergeCells count="1">
    <mergeCell ref="A1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142E-9FA6-4CFC-BC8A-26BF44747DA1}">
  <dimension ref="A1:J6"/>
  <sheetViews>
    <sheetView workbookViewId="0">
      <selection activeCell="A3" sqref="A3"/>
    </sheetView>
  </sheetViews>
  <sheetFormatPr defaultRowHeight="15" x14ac:dyDescent="0.25"/>
  <cols>
    <col min="2" max="2" width="11.7109375" customWidth="1"/>
    <col min="3" max="3" width="12.85546875" customWidth="1"/>
    <col min="4" max="4" width="25.28515625" customWidth="1"/>
    <col min="5" max="5" width="13.42578125" customWidth="1"/>
    <col min="6" max="6" width="12.140625" customWidth="1"/>
    <col min="8" max="8" width="16.57031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6.5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4" x14ac:dyDescent="0.25">
      <c r="A4" s="31">
        <v>1</v>
      </c>
      <c r="B4" s="34" t="s">
        <v>7</v>
      </c>
      <c r="C4" s="30">
        <v>2024</v>
      </c>
      <c r="D4" s="10" t="s">
        <v>8</v>
      </c>
      <c r="E4" s="29" t="s">
        <v>10</v>
      </c>
      <c r="F4" s="30">
        <v>77</v>
      </c>
      <c r="G4" s="30" t="s">
        <v>11</v>
      </c>
      <c r="H4" s="30" t="s">
        <v>188</v>
      </c>
      <c r="I4" s="111" t="s">
        <v>189</v>
      </c>
      <c r="J4" s="111"/>
    </row>
    <row r="5" spans="1:10" ht="75" x14ac:dyDescent="0.25">
      <c r="A5" s="31">
        <v>2</v>
      </c>
      <c r="B5" s="34" t="s">
        <v>87</v>
      </c>
      <c r="C5" s="30">
        <v>2024</v>
      </c>
      <c r="D5" s="70" t="s">
        <v>88</v>
      </c>
      <c r="E5" s="29" t="s">
        <v>10</v>
      </c>
      <c r="F5" s="30">
        <v>6126</v>
      </c>
      <c r="G5" s="30" t="s">
        <v>11</v>
      </c>
      <c r="H5" s="45" t="s">
        <v>184</v>
      </c>
      <c r="I5" s="112" t="s">
        <v>185</v>
      </c>
      <c r="J5" s="111"/>
    </row>
    <row r="6" spans="1:10" x14ac:dyDescent="0.25">
      <c r="E6" s="47" t="s">
        <v>29</v>
      </c>
      <c r="F6" s="47">
        <f>SUM(F4:F5)</f>
        <v>6203</v>
      </c>
      <c r="G6" s="47" t="s">
        <v>11</v>
      </c>
    </row>
  </sheetData>
  <mergeCells count="4">
    <mergeCell ref="A1:J2"/>
    <mergeCell ref="I3:J3"/>
    <mergeCell ref="I4:J4"/>
    <mergeCell ref="I5:J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DBDB-E9B0-4975-84EF-0C8EF3BA82B9}">
  <dimension ref="A1:J6"/>
  <sheetViews>
    <sheetView workbookViewId="0">
      <selection activeCell="A12" sqref="A12"/>
    </sheetView>
  </sheetViews>
  <sheetFormatPr defaultRowHeight="15" x14ac:dyDescent="0.25"/>
  <cols>
    <col min="2" max="2" width="11.7109375" customWidth="1"/>
    <col min="3" max="3" width="12.85546875" customWidth="1"/>
    <col min="4" max="4" width="25.28515625" customWidth="1"/>
    <col min="5" max="5" width="13.42578125" customWidth="1"/>
    <col min="6" max="6" width="12.140625" customWidth="1"/>
    <col min="8" max="8" width="16.57031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33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24" x14ac:dyDescent="0.25">
      <c r="A4" s="31">
        <v>1</v>
      </c>
      <c r="B4" s="34" t="s">
        <v>186</v>
      </c>
      <c r="C4" s="30">
        <v>2024</v>
      </c>
      <c r="D4" s="10" t="s">
        <v>8</v>
      </c>
      <c r="E4" s="29" t="s">
        <v>10</v>
      </c>
      <c r="F4" s="30">
        <v>18</v>
      </c>
      <c r="G4" s="30" t="s">
        <v>11</v>
      </c>
      <c r="H4" s="30">
        <v>20976</v>
      </c>
      <c r="I4" s="111" t="s">
        <v>187</v>
      </c>
      <c r="J4" s="111"/>
    </row>
    <row r="5" spans="1:10" ht="30" x14ac:dyDescent="0.25">
      <c r="A5" s="31">
        <v>2</v>
      </c>
      <c r="B5" s="34" t="s">
        <v>87</v>
      </c>
      <c r="C5" s="30">
        <v>2024</v>
      </c>
      <c r="D5" s="70" t="s">
        <v>88</v>
      </c>
      <c r="E5" s="29" t="s">
        <v>10</v>
      </c>
      <c r="F5" s="30">
        <v>129</v>
      </c>
      <c r="G5" s="30" t="s">
        <v>11</v>
      </c>
      <c r="H5" s="45" t="s">
        <v>190</v>
      </c>
      <c r="I5" s="112" t="s">
        <v>191</v>
      </c>
      <c r="J5" s="111"/>
    </row>
    <row r="6" spans="1:10" x14ac:dyDescent="0.25">
      <c r="E6" s="47" t="s">
        <v>29</v>
      </c>
      <c r="F6" s="47">
        <f>SUM(F4:F5)</f>
        <v>147</v>
      </c>
      <c r="G6" s="47" t="s">
        <v>11</v>
      </c>
    </row>
  </sheetData>
  <mergeCells count="4">
    <mergeCell ref="A1:J2"/>
    <mergeCell ref="I3:J3"/>
    <mergeCell ref="I4:J4"/>
    <mergeCell ref="I5:J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4C5E-0866-49A5-8893-613C1F1F77BD}">
  <dimension ref="A1:J8"/>
  <sheetViews>
    <sheetView workbookViewId="0">
      <selection activeCell="A9" sqref="A9"/>
    </sheetView>
  </sheetViews>
  <sheetFormatPr defaultRowHeight="15" x14ac:dyDescent="0.25"/>
  <cols>
    <col min="2" max="2" width="11.7109375" customWidth="1"/>
    <col min="3" max="3" width="12.85546875" customWidth="1"/>
    <col min="4" max="4" width="25.28515625" customWidth="1"/>
    <col min="5" max="5" width="13.42578125" customWidth="1"/>
    <col min="6" max="6" width="12.140625" customWidth="1"/>
    <col min="8" max="8" width="16.57031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6.5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86.25" customHeight="1" x14ac:dyDescent="0.25">
      <c r="A4" s="31">
        <v>1</v>
      </c>
      <c r="B4" s="34" t="s">
        <v>87</v>
      </c>
      <c r="C4" s="30">
        <v>2024</v>
      </c>
      <c r="D4" s="29" t="s">
        <v>88</v>
      </c>
      <c r="E4" s="29" t="s">
        <v>10</v>
      </c>
      <c r="F4" s="30">
        <v>29949</v>
      </c>
      <c r="G4" s="30" t="s">
        <v>11</v>
      </c>
      <c r="H4" s="45" t="s">
        <v>196</v>
      </c>
      <c r="I4" s="112" t="s">
        <v>197</v>
      </c>
      <c r="J4" s="111"/>
    </row>
    <row r="5" spans="1:10" ht="105" x14ac:dyDescent="0.25">
      <c r="A5" s="31">
        <v>2</v>
      </c>
      <c r="B5" s="34" t="s">
        <v>87</v>
      </c>
      <c r="C5" s="30">
        <v>2024</v>
      </c>
      <c r="D5" s="29" t="s">
        <v>88</v>
      </c>
      <c r="E5" s="29" t="s">
        <v>10</v>
      </c>
      <c r="F5" s="49">
        <v>3886</v>
      </c>
      <c r="G5" s="30" t="s">
        <v>11</v>
      </c>
      <c r="H5" s="74" t="s">
        <v>198</v>
      </c>
      <c r="I5" s="92" t="s">
        <v>199</v>
      </c>
      <c r="J5" s="93"/>
    </row>
    <row r="6" spans="1:10" ht="24" x14ac:dyDescent="0.25">
      <c r="A6" s="31">
        <v>3</v>
      </c>
      <c r="B6" s="71" t="s">
        <v>106</v>
      </c>
      <c r="C6" s="49">
        <v>2024</v>
      </c>
      <c r="D6" s="72" t="s">
        <v>107</v>
      </c>
      <c r="E6" s="73" t="s">
        <v>10</v>
      </c>
      <c r="F6" s="49">
        <v>417</v>
      </c>
      <c r="G6" s="49" t="s">
        <v>11</v>
      </c>
      <c r="H6" s="49">
        <v>201979</v>
      </c>
      <c r="I6" s="113" t="s">
        <v>194</v>
      </c>
      <c r="J6" s="113"/>
    </row>
    <row r="7" spans="1:10" ht="24" x14ac:dyDescent="0.25">
      <c r="A7" s="31">
        <v>4</v>
      </c>
      <c r="B7" s="34" t="s">
        <v>193</v>
      </c>
      <c r="C7" s="30">
        <v>2024</v>
      </c>
      <c r="D7" s="70" t="s">
        <v>192</v>
      </c>
      <c r="E7" s="29" t="s">
        <v>10</v>
      </c>
      <c r="F7" s="30">
        <v>142</v>
      </c>
      <c r="G7" s="30" t="s">
        <v>11</v>
      </c>
      <c r="H7" s="45">
        <v>201979</v>
      </c>
      <c r="I7" s="112" t="s">
        <v>195</v>
      </c>
      <c r="J7" s="111"/>
    </row>
    <row r="8" spans="1:10" x14ac:dyDescent="0.25">
      <c r="E8" s="47" t="s">
        <v>29</v>
      </c>
      <c r="F8" s="47">
        <f>SUM(F4:F7)</f>
        <v>34394</v>
      </c>
      <c r="G8" s="47" t="s">
        <v>11</v>
      </c>
    </row>
  </sheetData>
  <mergeCells count="6">
    <mergeCell ref="A1:J2"/>
    <mergeCell ref="I3:J3"/>
    <mergeCell ref="I6:J6"/>
    <mergeCell ref="I7:J7"/>
    <mergeCell ref="I4:J4"/>
    <mergeCell ref="I5:J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BF8-0C85-40F9-8934-BEDE8A976798}">
  <dimension ref="A1:J13"/>
  <sheetViews>
    <sheetView workbookViewId="0">
      <selection activeCell="A11" sqref="A11:J11"/>
    </sheetView>
  </sheetViews>
  <sheetFormatPr defaultRowHeight="15" x14ac:dyDescent="0.25"/>
  <cols>
    <col min="2" max="2" width="11.7109375" customWidth="1"/>
    <col min="3" max="3" width="12.85546875" customWidth="1"/>
    <col min="4" max="4" width="25.28515625" customWidth="1"/>
    <col min="5" max="5" width="13.42578125" customWidth="1"/>
    <col min="6" max="6" width="12.140625" customWidth="1"/>
    <col min="8" max="8" width="16.57031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6.5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105" t="s">
        <v>13</v>
      </c>
      <c r="J3" s="106"/>
    </row>
    <row r="4" spans="1:10" ht="30" x14ac:dyDescent="0.25">
      <c r="A4" s="31">
        <v>1</v>
      </c>
      <c r="B4" s="34" t="s">
        <v>212</v>
      </c>
      <c r="C4" s="30">
        <v>2020</v>
      </c>
      <c r="D4" s="6" t="s">
        <v>213</v>
      </c>
      <c r="E4" s="29" t="s">
        <v>10</v>
      </c>
      <c r="F4" s="30">
        <v>85</v>
      </c>
      <c r="G4" s="30" t="s">
        <v>11</v>
      </c>
      <c r="H4" s="45" t="s">
        <v>214</v>
      </c>
      <c r="I4" s="112" t="s">
        <v>215</v>
      </c>
      <c r="J4" s="111"/>
    </row>
    <row r="5" spans="1:10" ht="24" x14ac:dyDescent="0.25">
      <c r="A5" s="31">
        <v>2</v>
      </c>
      <c r="B5" s="34" t="s">
        <v>208</v>
      </c>
      <c r="C5" s="30">
        <v>2022</v>
      </c>
      <c r="D5" s="6" t="s">
        <v>209</v>
      </c>
      <c r="E5" s="29" t="s">
        <v>10</v>
      </c>
      <c r="F5" s="30">
        <v>90</v>
      </c>
      <c r="G5" s="30" t="s">
        <v>11</v>
      </c>
      <c r="H5" s="30" t="s">
        <v>210</v>
      </c>
      <c r="I5" s="112" t="s">
        <v>211</v>
      </c>
      <c r="J5" s="111"/>
    </row>
    <row r="6" spans="1:10" ht="24" x14ac:dyDescent="0.25">
      <c r="A6" s="31">
        <v>3</v>
      </c>
      <c r="B6" s="34" t="s">
        <v>87</v>
      </c>
      <c r="C6" s="30">
        <v>2024</v>
      </c>
      <c r="D6" s="29" t="s">
        <v>88</v>
      </c>
      <c r="E6" s="29" t="s">
        <v>10</v>
      </c>
      <c r="F6" s="30">
        <v>15</v>
      </c>
      <c r="G6" s="30" t="s">
        <v>11</v>
      </c>
      <c r="H6" s="30" t="s">
        <v>200</v>
      </c>
      <c r="I6" s="112" t="s">
        <v>52</v>
      </c>
      <c r="J6" s="111"/>
    </row>
    <row r="7" spans="1:10" ht="24" x14ac:dyDescent="0.25">
      <c r="A7" s="31">
        <v>4</v>
      </c>
      <c r="B7" s="34" t="s">
        <v>87</v>
      </c>
      <c r="C7" s="30">
        <v>2024</v>
      </c>
      <c r="D7" s="29" t="s">
        <v>88</v>
      </c>
      <c r="E7" s="29" t="s">
        <v>10</v>
      </c>
      <c r="F7" s="49">
        <v>1124</v>
      </c>
      <c r="G7" s="30" t="s">
        <v>11</v>
      </c>
      <c r="H7" s="74">
        <v>201979</v>
      </c>
      <c r="I7" s="92" t="s">
        <v>204</v>
      </c>
      <c r="J7" s="93"/>
    </row>
    <row r="8" spans="1:10" ht="30" customHeight="1" x14ac:dyDescent="0.25">
      <c r="A8" s="31">
        <v>5</v>
      </c>
      <c r="B8" s="34" t="s">
        <v>206</v>
      </c>
      <c r="C8" s="30">
        <v>2024</v>
      </c>
      <c r="D8" s="76" t="s">
        <v>205</v>
      </c>
      <c r="E8" s="29" t="s">
        <v>10</v>
      </c>
      <c r="F8" s="49">
        <v>376</v>
      </c>
      <c r="G8" s="30" t="s">
        <v>11</v>
      </c>
      <c r="H8" s="74">
        <v>201965</v>
      </c>
      <c r="I8" s="92" t="s">
        <v>207</v>
      </c>
      <c r="J8" s="93"/>
    </row>
    <row r="9" spans="1:10" ht="24" x14ac:dyDescent="0.25">
      <c r="A9" s="31">
        <v>6</v>
      </c>
      <c r="B9" s="34" t="s">
        <v>79</v>
      </c>
      <c r="C9" s="30">
        <v>2024</v>
      </c>
      <c r="D9" s="75" t="s">
        <v>80</v>
      </c>
      <c r="E9" s="29" t="s">
        <v>10</v>
      </c>
      <c r="F9" s="49">
        <v>132</v>
      </c>
      <c r="G9" s="30" t="s">
        <v>11</v>
      </c>
      <c r="H9" s="74">
        <v>201965</v>
      </c>
      <c r="I9" s="92" t="s">
        <v>203</v>
      </c>
      <c r="J9" s="93"/>
    </row>
    <row r="10" spans="1:10" ht="24" x14ac:dyDescent="0.25">
      <c r="A10" s="31">
        <v>7</v>
      </c>
      <c r="B10" s="34" t="s">
        <v>102</v>
      </c>
      <c r="C10" s="30">
        <v>2024</v>
      </c>
      <c r="D10" s="75" t="s">
        <v>103</v>
      </c>
      <c r="E10" s="29" t="s">
        <v>10</v>
      </c>
      <c r="F10" s="49">
        <v>542</v>
      </c>
      <c r="G10" s="30" t="s">
        <v>11</v>
      </c>
      <c r="H10" s="74">
        <v>201886</v>
      </c>
      <c r="I10" s="92" t="s">
        <v>201</v>
      </c>
      <c r="J10" s="93"/>
    </row>
    <row r="11" spans="1:10" ht="24" x14ac:dyDescent="0.25">
      <c r="A11" s="31">
        <v>8</v>
      </c>
      <c r="B11" s="71" t="s">
        <v>106</v>
      </c>
      <c r="C11" s="49">
        <v>2024</v>
      </c>
      <c r="D11" s="72" t="s">
        <v>107</v>
      </c>
      <c r="E11" s="73" t="s">
        <v>10</v>
      </c>
      <c r="F11" s="49">
        <v>241</v>
      </c>
      <c r="G11" s="49" t="s">
        <v>11</v>
      </c>
      <c r="H11" s="49">
        <v>201979</v>
      </c>
      <c r="I11" s="113" t="s">
        <v>194</v>
      </c>
      <c r="J11" s="113"/>
    </row>
    <row r="12" spans="1:10" ht="24" x14ac:dyDescent="0.25">
      <c r="A12" s="31">
        <v>9</v>
      </c>
      <c r="B12" s="34" t="s">
        <v>193</v>
      </c>
      <c r="C12" s="30">
        <v>2024</v>
      </c>
      <c r="D12" s="70" t="s">
        <v>192</v>
      </c>
      <c r="E12" s="29" t="s">
        <v>10</v>
      </c>
      <c r="F12" s="30">
        <v>2161</v>
      </c>
      <c r="G12" s="30" t="s">
        <v>11</v>
      </c>
      <c r="H12" s="45">
        <v>201886</v>
      </c>
      <c r="I12" s="112" t="s">
        <v>202</v>
      </c>
      <c r="J12" s="111"/>
    </row>
    <row r="13" spans="1:10" x14ac:dyDescent="0.25">
      <c r="E13" s="47" t="s">
        <v>29</v>
      </c>
      <c r="F13" s="47">
        <f>SUM(F4:F12)</f>
        <v>4766</v>
      </c>
      <c r="G13" s="47" t="s">
        <v>11</v>
      </c>
    </row>
  </sheetData>
  <mergeCells count="11">
    <mergeCell ref="I12:J12"/>
    <mergeCell ref="I9:J9"/>
    <mergeCell ref="I7:J7"/>
    <mergeCell ref="A1:J2"/>
    <mergeCell ref="I3:J3"/>
    <mergeCell ref="I4:J4"/>
    <mergeCell ref="I10:J10"/>
    <mergeCell ref="I11:J11"/>
    <mergeCell ref="I8:J8"/>
    <mergeCell ref="I6:J6"/>
    <mergeCell ref="I5:J5"/>
  </mergeCells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E095-5A1C-4EB4-BEC2-4606CC0ED31D}">
  <dimension ref="A1:J15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1.8554687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16.5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43.5" customHeight="1" x14ac:dyDescent="0.25">
      <c r="A4" s="62">
        <v>1</v>
      </c>
      <c r="B4" s="71" t="s">
        <v>238</v>
      </c>
      <c r="C4" s="49">
        <v>2022</v>
      </c>
      <c r="D4" s="77" t="s">
        <v>239</v>
      </c>
      <c r="E4" s="73" t="s">
        <v>10</v>
      </c>
      <c r="F4" s="49">
        <v>452</v>
      </c>
      <c r="G4" s="49" t="s">
        <v>11</v>
      </c>
      <c r="H4" s="74">
        <v>5474</v>
      </c>
      <c r="I4" s="114" t="s">
        <v>240</v>
      </c>
      <c r="J4" s="115"/>
    </row>
    <row r="5" spans="1:10" ht="24" x14ac:dyDescent="0.25">
      <c r="A5" s="62">
        <v>2</v>
      </c>
      <c r="B5" s="71" t="s">
        <v>232</v>
      </c>
      <c r="C5" s="49">
        <v>2022</v>
      </c>
      <c r="D5" s="78" t="s">
        <v>233</v>
      </c>
      <c r="E5" s="73" t="s">
        <v>10</v>
      </c>
      <c r="F5" s="49">
        <v>829</v>
      </c>
      <c r="G5" s="49" t="s">
        <v>11</v>
      </c>
      <c r="H5" s="49">
        <v>5474</v>
      </c>
      <c r="I5" s="113" t="s">
        <v>234</v>
      </c>
      <c r="J5" s="113"/>
    </row>
    <row r="6" spans="1:10" ht="24" x14ac:dyDescent="0.25">
      <c r="A6" s="62">
        <v>3</v>
      </c>
      <c r="B6" s="34" t="s">
        <v>236</v>
      </c>
      <c r="C6" s="30">
        <v>2023</v>
      </c>
      <c r="D6" s="29" t="s">
        <v>235</v>
      </c>
      <c r="E6" s="29" t="s">
        <v>10</v>
      </c>
      <c r="F6" s="30">
        <v>486</v>
      </c>
      <c r="G6" s="30" t="s">
        <v>11</v>
      </c>
      <c r="H6" s="45">
        <v>5474</v>
      </c>
      <c r="I6" s="112" t="s">
        <v>237</v>
      </c>
      <c r="J6" s="111"/>
    </row>
    <row r="7" spans="1:10" ht="24" x14ac:dyDescent="0.25">
      <c r="A7" s="62">
        <v>4</v>
      </c>
      <c r="B7" s="34" t="s">
        <v>241</v>
      </c>
      <c r="C7" s="30">
        <v>2023</v>
      </c>
      <c r="D7" s="55" t="s">
        <v>242</v>
      </c>
      <c r="E7" s="29" t="s">
        <v>10</v>
      </c>
      <c r="F7" s="49">
        <v>137</v>
      </c>
      <c r="G7" s="30" t="s">
        <v>11</v>
      </c>
      <c r="H7" s="74">
        <v>5474</v>
      </c>
      <c r="I7" s="92" t="s">
        <v>243</v>
      </c>
      <c r="J7" s="93"/>
    </row>
    <row r="8" spans="1:10" ht="24" x14ac:dyDescent="0.25">
      <c r="A8" s="62">
        <v>5</v>
      </c>
      <c r="B8" s="34" t="s">
        <v>229</v>
      </c>
      <c r="C8" s="30">
        <v>2023</v>
      </c>
      <c r="D8" s="55" t="s">
        <v>230</v>
      </c>
      <c r="E8" s="29" t="s">
        <v>10</v>
      </c>
      <c r="F8" s="49">
        <v>363</v>
      </c>
      <c r="G8" s="30" t="s">
        <v>11</v>
      </c>
      <c r="H8" s="74">
        <v>5474</v>
      </c>
      <c r="I8" s="92" t="s">
        <v>231</v>
      </c>
      <c r="J8" s="93"/>
    </row>
    <row r="9" spans="1:10" ht="30" x14ac:dyDescent="0.25">
      <c r="A9" s="62">
        <v>6</v>
      </c>
      <c r="B9" s="34" t="s">
        <v>218</v>
      </c>
      <c r="C9" s="45" t="s">
        <v>220</v>
      </c>
      <c r="D9" s="55" t="s">
        <v>219</v>
      </c>
      <c r="E9" s="29" t="s">
        <v>10</v>
      </c>
      <c r="F9" s="30">
        <v>5928</v>
      </c>
      <c r="G9" s="30" t="s">
        <v>11</v>
      </c>
      <c r="H9" s="30" t="s">
        <v>221</v>
      </c>
      <c r="I9" s="112" t="s">
        <v>222</v>
      </c>
      <c r="J9" s="111"/>
    </row>
    <row r="10" spans="1:10" ht="45" x14ac:dyDescent="0.25">
      <c r="A10" s="62">
        <v>7</v>
      </c>
      <c r="B10" s="34" t="s">
        <v>175</v>
      </c>
      <c r="C10" s="45" t="s">
        <v>223</v>
      </c>
      <c r="D10" s="79" t="s">
        <v>174</v>
      </c>
      <c r="E10" s="29" t="s">
        <v>10</v>
      </c>
      <c r="F10" s="30">
        <v>1515</v>
      </c>
      <c r="G10" s="30" t="s">
        <v>11</v>
      </c>
      <c r="H10" s="30" t="s">
        <v>224</v>
      </c>
      <c r="I10" s="112" t="s">
        <v>225</v>
      </c>
      <c r="J10" s="111"/>
    </row>
    <row r="11" spans="1:10" ht="24" x14ac:dyDescent="0.25">
      <c r="A11" s="62">
        <v>8</v>
      </c>
      <c r="B11" s="34" t="s">
        <v>87</v>
      </c>
      <c r="C11" s="45">
        <v>2024</v>
      </c>
      <c r="D11" s="80" t="s">
        <v>88</v>
      </c>
      <c r="E11" s="29" t="s">
        <v>10</v>
      </c>
      <c r="F11" s="30">
        <v>645</v>
      </c>
      <c r="G11" s="30" t="s">
        <v>11</v>
      </c>
      <c r="H11" s="30">
        <v>201943</v>
      </c>
      <c r="I11" s="92" t="s">
        <v>244</v>
      </c>
      <c r="J11" s="93"/>
    </row>
    <row r="12" spans="1:10" ht="45" x14ac:dyDescent="0.25">
      <c r="A12" s="62">
        <v>9</v>
      </c>
      <c r="B12" s="34" t="s">
        <v>30</v>
      </c>
      <c r="C12" s="30">
        <v>2024</v>
      </c>
      <c r="D12" s="29" t="s">
        <v>31</v>
      </c>
      <c r="E12" s="29" t="s">
        <v>10</v>
      </c>
      <c r="F12" s="30">
        <v>274</v>
      </c>
      <c r="G12" s="30" t="s">
        <v>11</v>
      </c>
      <c r="H12" s="45" t="s">
        <v>217</v>
      </c>
      <c r="I12" s="92" t="s">
        <v>216</v>
      </c>
      <c r="J12" s="93"/>
    </row>
    <row r="13" spans="1:10" ht="24" x14ac:dyDescent="0.25">
      <c r="A13" s="62">
        <v>10</v>
      </c>
      <c r="B13" s="34" t="s">
        <v>171</v>
      </c>
      <c r="C13" s="30">
        <v>2024</v>
      </c>
      <c r="D13" s="55" t="s">
        <v>172</v>
      </c>
      <c r="E13" s="29" t="s">
        <v>10</v>
      </c>
      <c r="F13" s="49">
        <v>1971</v>
      </c>
      <c r="G13" s="30" t="s">
        <v>11</v>
      </c>
      <c r="H13" s="74">
        <v>201965</v>
      </c>
      <c r="I13" s="92" t="s">
        <v>207</v>
      </c>
      <c r="J13" s="93"/>
    </row>
    <row r="14" spans="1:10" ht="24" x14ac:dyDescent="0.25">
      <c r="A14" s="62">
        <v>11</v>
      </c>
      <c r="B14" s="34" t="s">
        <v>227</v>
      </c>
      <c r="C14" s="30">
        <v>2024</v>
      </c>
      <c r="D14" s="55" t="s">
        <v>226</v>
      </c>
      <c r="E14" s="29" t="s">
        <v>10</v>
      </c>
      <c r="F14" s="49">
        <v>77</v>
      </c>
      <c r="G14" s="30" t="s">
        <v>11</v>
      </c>
      <c r="H14" s="74">
        <v>10824</v>
      </c>
      <c r="I14" s="92" t="s">
        <v>228</v>
      </c>
      <c r="J14" s="93"/>
    </row>
    <row r="15" spans="1:10" x14ac:dyDescent="0.25">
      <c r="E15" s="67" t="s">
        <v>29</v>
      </c>
      <c r="F15" s="67">
        <f>SUM(F4:F14)</f>
        <v>12677</v>
      </c>
      <c r="G15" s="47" t="s">
        <v>11</v>
      </c>
    </row>
  </sheetData>
  <mergeCells count="13">
    <mergeCell ref="A1:J2"/>
    <mergeCell ref="I3:J3"/>
    <mergeCell ref="I4:J4"/>
    <mergeCell ref="I5:J5"/>
    <mergeCell ref="I6:J6"/>
    <mergeCell ref="I14:J14"/>
    <mergeCell ref="I10:J10"/>
    <mergeCell ref="I7:J7"/>
    <mergeCell ref="I8:J8"/>
    <mergeCell ref="I12:J12"/>
    <mergeCell ref="I13:J13"/>
    <mergeCell ref="I9:J9"/>
    <mergeCell ref="I11:J11"/>
  </mergeCells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04A7-5318-4E8A-80D2-0FDFE94D4902}">
  <dimension ref="A1:J7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4.710937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16.5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0" x14ac:dyDescent="0.25">
      <c r="A4" s="31">
        <v>3</v>
      </c>
      <c r="B4" s="34" t="s">
        <v>82</v>
      </c>
      <c r="C4" s="30">
        <v>2023</v>
      </c>
      <c r="D4" s="29" t="s">
        <v>83</v>
      </c>
      <c r="E4" s="29" t="s">
        <v>10</v>
      </c>
      <c r="F4" s="30">
        <v>932</v>
      </c>
      <c r="G4" s="30" t="s">
        <v>11</v>
      </c>
      <c r="H4" s="45" t="s">
        <v>246</v>
      </c>
      <c r="I4" s="112" t="s">
        <v>247</v>
      </c>
      <c r="J4" s="111"/>
    </row>
    <row r="5" spans="1:10" ht="24" x14ac:dyDescent="0.25">
      <c r="A5" s="62">
        <v>8</v>
      </c>
      <c r="B5" s="34" t="s">
        <v>87</v>
      </c>
      <c r="C5" s="45">
        <v>2024</v>
      </c>
      <c r="D5" s="80" t="s">
        <v>88</v>
      </c>
      <c r="E5" s="29" t="s">
        <v>10</v>
      </c>
      <c r="F5" s="30">
        <v>55</v>
      </c>
      <c r="G5" s="30" t="s">
        <v>11</v>
      </c>
      <c r="H5" s="30" t="s">
        <v>248</v>
      </c>
      <c r="I5" s="92" t="s">
        <v>249</v>
      </c>
      <c r="J5" s="93"/>
    </row>
    <row r="6" spans="1:10" ht="24" x14ac:dyDescent="0.25">
      <c r="A6" s="62">
        <v>10</v>
      </c>
      <c r="B6" s="34" t="s">
        <v>171</v>
      </c>
      <c r="C6" s="30">
        <v>2024</v>
      </c>
      <c r="D6" s="55" t="s">
        <v>172</v>
      </c>
      <c r="E6" s="29" t="s">
        <v>10</v>
      </c>
      <c r="F6" s="49">
        <v>462</v>
      </c>
      <c r="G6" s="30" t="s">
        <v>11</v>
      </c>
      <c r="H6" s="74">
        <v>10824</v>
      </c>
      <c r="I6" s="92" t="s">
        <v>245</v>
      </c>
      <c r="J6" s="93"/>
    </row>
    <row r="7" spans="1:10" x14ac:dyDescent="0.25">
      <c r="E7" s="67" t="s">
        <v>29</v>
      </c>
      <c r="F7" s="67">
        <f>SUM(F4:F6)</f>
        <v>1449</v>
      </c>
      <c r="G7" s="47" t="s">
        <v>11</v>
      </c>
    </row>
  </sheetData>
  <mergeCells count="5">
    <mergeCell ref="I5:J5"/>
    <mergeCell ref="I6:J6"/>
    <mergeCell ref="A1:J2"/>
    <mergeCell ref="I3:J3"/>
    <mergeCell ref="I4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9883-46B6-4983-86B0-39C617985F37}">
  <dimension ref="A1:J7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6.8554687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16.5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4" x14ac:dyDescent="0.25">
      <c r="A4" s="62">
        <v>1</v>
      </c>
      <c r="B4" s="34" t="s">
        <v>87</v>
      </c>
      <c r="C4" s="45">
        <v>2024</v>
      </c>
      <c r="D4" s="80" t="s">
        <v>88</v>
      </c>
      <c r="E4" s="29" t="s">
        <v>10</v>
      </c>
      <c r="F4" s="30">
        <v>30</v>
      </c>
      <c r="G4" s="30" t="s">
        <v>11</v>
      </c>
      <c r="H4" s="30" t="s">
        <v>251</v>
      </c>
      <c r="I4" s="92" t="s">
        <v>249</v>
      </c>
      <c r="J4" s="93"/>
    </row>
    <row r="5" spans="1:10" ht="24" x14ac:dyDescent="0.25">
      <c r="A5" s="62">
        <v>2</v>
      </c>
      <c r="B5" s="34" t="s">
        <v>87</v>
      </c>
      <c r="C5" s="45">
        <v>2024</v>
      </c>
      <c r="D5" s="80" t="s">
        <v>88</v>
      </c>
      <c r="E5" s="29" t="s">
        <v>10</v>
      </c>
      <c r="F5" s="30">
        <v>658</v>
      </c>
      <c r="G5" s="30" t="s">
        <v>11</v>
      </c>
      <c r="H5" s="30">
        <v>202303</v>
      </c>
      <c r="I5" s="92" t="s">
        <v>141</v>
      </c>
      <c r="J5" s="93"/>
    </row>
    <row r="6" spans="1:10" ht="24" x14ac:dyDescent="0.25">
      <c r="A6" s="62">
        <v>3</v>
      </c>
      <c r="B6" s="34" t="s">
        <v>104</v>
      </c>
      <c r="C6" s="30">
        <v>2024</v>
      </c>
      <c r="D6" s="81" t="s">
        <v>105</v>
      </c>
      <c r="E6" s="29" t="s">
        <v>10</v>
      </c>
      <c r="F6" s="30">
        <v>533</v>
      </c>
      <c r="G6" s="30" t="s">
        <v>11</v>
      </c>
      <c r="H6" s="45">
        <v>202303</v>
      </c>
      <c r="I6" s="92" t="s">
        <v>250</v>
      </c>
      <c r="J6" s="93"/>
    </row>
    <row r="7" spans="1:10" x14ac:dyDescent="0.25">
      <c r="E7" s="67" t="s">
        <v>29</v>
      </c>
      <c r="F7" s="67">
        <f>SUM(F4:F6)</f>
        <v>1221</v>
      </c>
      <c r="G7" s="47" t="s">
        <v>11</v>
      </c>
    </row>
  </sheetData>
  <mergeCells count="5">
    <mergeCell ref="I4:J4"/>
    <mergeCell ref="I5:J5"/>
    <mergeCell ref="I6:J6"/>
    <mergeCell ref="A1:J2"/>
    <mergeCell ref="I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4535-6CD4-4E82-AC9C-1C3FE59D69FE}">
  <dimension ref="A1:J12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16.5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5.25" customHeight="1" x14ac:dyDescent="0.25">
      <c r="A4" s="62">
        <v>1</v>
      </c>
      <c r="B4" s="71" t="s">
        <v>143</v>
      </c>
      <c r="C4" s="49">
        <v>2014</v>
      </c>
      <c r="D4" s="29" t="s">
        <v>144</v>
      </c>
      <c r="E4" s="73" t="s">
        <v>10</v>
      </c>
      <c r="F4" s="49">
        <v>50</v>
      </c>
      <c r="G4" s="49" t="s">
        <v>11</v>
      </c>
      <c r="H4" s="74">
        <v>202011</v>
      </c>
      <c r="I4" s="114" t="s">
        <v>145</v>
      </c>
      <c r="J4" s="115"/>
    </row>
    <row r="5" spans="1:10" ht="24" x14ac:dyDescent="0.25">
      <c r="A5" s="62">
        <v>2</v>
      </c>
      <c r="B5" s="71" t="s">
        <v>147</v>
      </c>
      <c r="C5" s="49">
        <v>2017</v>
      </c>
      <c r="D5" s="82" t="s">
        <v>148</v>
      </c>
      <c r="E5" s="73" t="s">
        <v>10</v>
      </c>
      <c r="F5" s="49">
        <v>373</v>
      </c>
      <c r="G5" s="49" t="s">
        <v>11</v>
      </c>
      <c r="H5" s="49">
        <v>202011</v>
      </c>
      <c r="I5" s="113" t="s">
        <v>254</v>
      </c>
      <c r="J5" s="113"/>
    </row>
    <row r="6" spans="1:10" ht="26.25" customHeight="1" x14ac:dyDescent="0.25">
      <c r="A6" s="62">
        <v>3</v>
      </c>
      <c r="B6" s="34" t="s">
        <v>256</v>
      </c>
      <c r="C6" s="30">
        <v>2023</v>
      </c>
      <c r="D6" s="6" t="s">
        <v>255</v>
      </c>
      <c r="E6" s="29" t="s">
        <v>10</v>
      </c>
      <c r="F6" s="49">
        <v>139</v>
      </c>
      <c r="G6" s="30" t="s">
        <v>11</v>
      </c>
      <c r="H6" s="74">
        <v>202086</v>
      </c>
      <c r="I6" s="92" t="s">
        <v>257</v>
      </c>
      <c r="J6" s="93"/>
    </row>
    <row r="7" spans="1:10" ht="27.75" customHeight="1" x14ac:dyDescent="0.25">
      <c r="A7" s="62">
        <v>4</v>
      </c>
      <c r="B7" s="34" t="s">
        <v>104</v>
      </c>
      <c r="C7" s="30">
        <v>2024</v>
      </c>
      <c r="D7" s="81" t="s">
        <v>105</v>
      </c>
      <c r="E7" s="29" t="s">
        <v>10</v>
      </c>
      <c r="F7" s="30">
        <v>10</v>
      </c>
      <c r="G7" s="30" t="s">
        <v>11</v>
      </c>
      <c r="H7" s="45" t="s">
        <v>264</v>
      </c>
      <c r="I7" s="92" t="s">
        <v>250</v>
      </c>
      <c r="J7" s="93"/>
    </row>
    <row r="8" spans="1:10" ht="94.5" customHeight="1" x14ac:dyDescent="0.25">
      <c r="A8" s="62">
        <v>5</v>
      </c>
      <c r="B8" s="34" t="s">
        <v>261</v>
      </c>
      <c r="C8" s="30" t="s">
        <v>259</v>
      </c>
      <c r="D8" s="29" t="s">
        <v>258</v>
      </c>
      <c r="E8" s="29" t="s">
        <v>10</v>
      </c>
      <c r="F8" s="30">
        <v>854</v>
      </c>
      <c r="G8" s="30" t="s">
        <v>11</v>
      </c>
      <c r="H8" s="45" t="s">
        <v>266</v>
      </c>
      <c r="I8" s="112" t="s">
        <v>260</v>
      </c>
      <c r="J8" s="111"/>
    </row>
    <row r="9" spans="1:10" ht="60" x14ac:dyDescent="0.25">
      <c r="A9" s="62">
        <v>6</v>
      </c>
      <c r="B9" s="34" t="s">
        <v>87</v>
      </c>
      <c r="C9" s="30" t="s">
        <v>259</v>
      </c>
      <c r="D9" s="83" t="s">
        <v>88</v>
      </c>
      <c r="E9" s="29" t="s">
        <v>10</v>
      </c>
      <c r="F9" s="30">
        <v>8610</v>
      </c>
      <c r="G9" s="30" t="s">
        <v>11</v>
      </c>
      <c r="H9" s="45" t="s">
        <v>265</v>
      </c>
      <c r="I9" s="92" t="s">
        <v>191</v>
      </c>
      <c r="J9" s="93"/>
    </row>
    <row r="10" spans="1:10" ht="60" x14ac:dyDescent="0.25">
      <c r="A10" s="62">
        <v>7</v>
      </c>
      <c r="B10" s="34" t="s">
        <v>87</v>
      </c>
      <c r="C10" s="30" t="s">
        <v>259</v>
      </c>
      <c r="D10" s="83" t="s">
        <v>88</v>
      </c>
      <c r="E10" s="29" t="s">
        <v>10</v>
      </c>
      <c r="F10" s="30">
        <v>1514</v>
      </c>
      <c r="G10" s="30" t="s">
        <v>11</v>
      </c>
      <c r="H10" s="45" t="s">
        <v>263</v>
      </c>
      <c r="I10" s="112" t="s">
        <v>262</v>
      </c>
      <c r="J10" s="111"/>
    </row>
    <row r="11" spans="1:10" ht="24" x14ac:dyDescent="0.25">
      <c r="A11" s="62">
        <v>8</v>
      </c>
      <c r="B11" s="34" t="s">
        <v>87</v>
      </c>
      <c r="C11" s="45">
        <v>2024</v>
      </c>
      <c r="D11" s="80" t="s">
        <v>88</v>
      </c>
      <c r="E11" s="29" t="s">
        <v>10</v>
      </c>
      <c r="F11" s="30">
        <v>1953</v>
      </c>
      <c r="G11" s="30" t="s">
        <v>11</v>
      </c>
      <c r="H11" s="30" t="s">
        <v>252</v>
      </c>
      <c r="I11" s="92" t="s">
        <v>253</v>
      </c>
      <c r="J11" s="93"/>
    </row>
    <row r="12" spans="1:10" x14ac:dyDescent="0.25">
      <c r="E12" s="67" t="s">
        <v>29</v>
      </c>
      <c r="F12" s="67">
        <f>SUM(F4:F11)</f>
        <v>13503</v>
      </c>
      <c r="G12" s="47" t="s">
        <v>11</v>
      </c>
    </row>
  </sheetData>
  <mergeCells count="10">
    <mergeCell ref="I6:J6"/>
    <mergeCell ref="A1:J2"/>
    <mergeCell ref="I3:J3"/>
    <mergeCell ref="I4:J4"/>
    <mergeCell ref="I5:J5"/>
    <mergeCell ref="I7:J7"/>
    <mergeCell ref="I8:J8"/>
    <mergeCell ref="I10:J10"/>
    <mergeCell ref="I11:J11"/>
    <mergeCell ref="I9:J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72E9-6EC7-41DF-8C8D-70798E59EE9A}">
  <dimension ref="A1:J8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16.5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4" x14ac:dyDescent="0.25">
      <c r="A4" s="62">
        <v>1</v>
      </c>
      <c r="B4" s="71" t="s">
        <v>7</v>
      </c>
      <c r="C4" s="49">
        <v>2024</v>
      </c>
      <c r="D4" s="85" t="s">
        <v>8</v>
      </c>
      <c r="E4" s="73" t="s">
        <v>10</v>
      </c>
      <c r="F4" s="49">
        <v>19</v>
      </c>
      <c r="G4" s="49" t="s">
        <v>11</v>
      </c>
      <c r="H4" s="49">
        <v>5474</v>
      </c>
      <c r="I4" s="113" t="s">
        <v>270</v>
      </c>
      <c r="J4" s="113"/>
    </row>
    <row r="5" spans="1:10" ht="26.25" customHeight="1" x14ac:dyDescent="0.25">
      <c r="A5" s="62">
        <v>2</v>
      </c>
      <c r="B5" s="34" t="s">
        <v>268</v>
      </c>
      <c r="C5" s="30">
        <v>2021</v>
      </c>
      <c r="D5" s="84" t="s">
        <v>267</v>
      </c>
      <c r="E5" s="29" t="s">
        <v>10</v>
      </c>
      <c r="F5" s="49">
        <v>2665</v>
      </c>
      <c r="G5" s="30" t="s">
        <v>11</v>
      </c>
      <c r="H5" s="74">
        <v>5474</v>
      </c>
      <c r="I5" s="92" t="s">
        <v>269</v>
      </c>
      <c r="J5" s="93"/>
    </row>
    <row r="6" spans="1:10" ht="27.75" customHeight="1" x14ac:dyDescent="0.25">
      <c r="A6" s="62">
        <v>3</v>
      </c>
      <c r="B6" s="34" t="s">
        <v>273</v>
      </c>
      <c r="C6" s="30">
        <v>2024</v>
      </c>
      <c r="D6" s="6" t="s">
        <v>272</v>
      </c>
      <c r="E6" s="29" t="s">
        <v>10</v>
      </c>
      <c r="F6" s="30">
        <v>2971</v>
      </c>
      <c r="G6" s="30" t="s">
        <v>11</v>
      </c>
      <c r="H6" s="45">
        <v>5474</v>
      </c>
      <c r="I6" s="92" t="s">
        <v>274</v>
      </c>
      <c r="J6" s="93"/>
    </row>
    <row r="7" spans="1:10" ht="24" x14ac:dyDescent="0.25">
      <c r="A7" s="62">
        <v>4</v>
      </c>
      <c r="B7" s="34" t="s">
        <v>87</v>
      </c>
      <c r="C7" s="30" t="s">
        <v>259</v>
      </c>
      <c r="D7" s="83" t="s">
        <v>88</v>
      </c>
      <c r="E7" s="29" t="s">
        <v>10</v>
      </c>
      <c r="F7" s="30">
        <v>177</v>
      </c>
      <c r="G7" s="30" t="s">
        <v>11</v>
      </c>
      <c r="H7" s="45" t="s">
        <v>271</v>
      </c>
      <c r="I7" s="92" t="s">
        <v>191</v>
      </c>
      <c r="J7" s="93"/>
    </row>
    <row r="8" spans="1:10" x14ac:dyDescent="0.25">
      <c r="E8" s="67" t="s">
        <v>29</v>
      </c>
      <c r="F8" s="67">
        <f>SUM(F4:F7)</f>
        <v>5832</v>
      </c>
      <c r="G8" s="47" t="s">
        <v>11</v>
      </c>
    </row>
  </sheetData>
  <mergeCells count="6">
    <mergeCell ref="I7:J7"/>
    <mergeCell ref="A1:J2"/>
    <mergeCell ref="I3:J3"/>
    <mergeCell ref="I4:J4"/>
    <mergeCell ref="I5:J5"/>
    <mergeCell ref="I6:J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0AD3-DA4B-4968-8E34-03ECDA783690}">
  <dimension ref="A1:J10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6.2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8.5" customHeight="1" x14ac:dyDescent="0.25">
      <c r="A4" s="62">
        <v>1</v>
      </c>
      <c r="B4" s="71" t="s">
        <v>281</v>
      </c>
      <c r="C4" s="49">
        <v>2024</v>
      </c>
      <c r="D4" s="85" t="s">
        <v>282</v>
      </c>
      <c r="E4" s="73" t="s">
        <v>10</v>
      </c>
      <c r="F4" s="49">
        <v>113</v>
      </c>
      <c r="G4" s="49" t="s">
        <v>11</v>
      </c>
      <c r="H4" s="74">
        <v>5474</v>
      </c>
      <c r="I4" s="114" t="s">
        <v>283</v>
      </c>
      <c r="J4" s="115"/>
    </row>
    <row r="5" spans="1:10" ht="24" x14ac:dyDescent="0.25">
      <c r="A5" s="62">
        <v>2</v>
      </c>
      <c r="B5" s="71" t="s">
        <v>90</v>
      </c>
      <c r="C5" s="49">
        <v>2024</v>
      </c>
      <c r="D5" s="85" t="s">
        <v>91</v>
      </c>
      <c r="E5" s="73" t="s">
        <v>10</v>
      </c>
      <c r="F5" s="49">
        <v>334</v>
      </c>
      <c r="G5" s="49" t="s">
        <v>11</v>
      </c>
      <c r="H5" s="49">
        <v>202244</v>
      </c>
      <c r="I5" s="113" t="s">
        <v>280</v>
      </c>
      <c r="J5" s="113"/>
    </row>
    <row r="6" spans="1:10" ht="26.25" customHeight="1" x14ac:dyDescent="0.25">
      <c r="A6" s="62">
        <v>3</v>
      </c>
      <c r="B6" s="71" t="s">
        <v>106</v>
      </c>
      <c r="C6" s="49">
        <v>2024</v>
      </c>
      <c r="D6" s="72" t="s">
        <v>107</v>
      </c>
      <c r="E6" s="73" t="s">
        <v>10</v>
      </c>
      <c r="F6" s="49">
        <v>91</v>
      </c>
      <c r="G6" s="49" t="s">
        <v>11</v>
      </c>
      <c r="H6" s="49">
        <v>202244</v>
      </c>
      <c r="I6" s="113" t="s">
        <v>279</v>
      </c>
      <c r="J6" s="113"/>
    </row>
    <row r="7" spans="1:10" ht="27.75" customHeight="1" x14ac:dyDescent="0.25">
      <c r="A7" s="62">
        <v>4</v>
      </c>
      <c r="B7" s="34" t="s">
        <v>104</v>
      </c>
      <c r="C7" s="30">
        <v>2024</v>
      </c>
      <c r="D7" s="86" t="s">
        <v>105</v>
      </c>
      <c r="E7" s="29" t="s">
        <v>10</v>
      </c>
      <c r="F7" s="30">
        <v>1816</v>
      </c>
      <c r="G7" s="30" t="s">
        <v>11</v>
      </c>
      <c r="H7" s="45">
        <v>201974</v>
      </c>
      <c r="I7" s="92" t="s">
        <v>250</v>
      </c>
      <c r="J7" s="93"/>
    </row>
    <row r="8" spans="1:10" ht="24" x14ac:dyDescent="0.25">
      <c r="A8" s="62">
        <v>5</v>
      </c>
      <c r="B8" s="34" t="s">
        <v>276</v>
      </c>
      <c r="C8" s="30" t="s">
        <v>259</v>
      </c>
      <c r="D8" s="85" t="s">
        <v>275</v>
      </c>
      <c r="E8" s="29" t="s">
        <v>10</v>
      </c>
      <c r="F8" s="30">
        <v>829</v>
      </c>
      <c r="G8" s="30" t="s">
        <v>11</v>
      </c>
      <c r="H8" s="45">
        <v>202244</v>
      </c>
      <c r="I8" s="92" t="s">
        <v>277</v>
      </c>
      <c r="J8" s="93"/>
    </row>
    <row r="9" spans="1:10" ht="24" x14ac:dyDescent="0.25">
      <c r="A9" s="62">
        <v>6</v>
      </c>
      <c r="B9" s="34" t="s">
        <v>87</v>
      </c>
      <c r="C9" s="30" t="s">
        <v>259</v>
      </c>
      <c r="D9" s="83" t="s">
        <v>88</v>
      </c>
      <c r="E9" s="29" t="s">
        <v>10</v>
      </c>
      <c r="F9" s="30">
        <v>118</v>
      </c>
      <c r="G9" s="30" t="s">
        <v>11</v>
      </c>
      <c r="H9" s="45" t="s">
        <v>278</v>
      </c>
      <c r="I9" s="92" t="s">
        <v>191</v>
      </c>
      <c r="J9" s="93"/>
    </row>
    <row r="10" spans="1:10" x14ac:dyDescent="0.25">
      <c r="E10" s="67" t="s">
        <v>29</v>
      </c>
      <c r="F10" s="67">
        <f>SUM(F4:F9)</f>
        <v>3301</v>
      </c>
      <c r="G10" s="47" t="s">
        <v>11</v>
      </c>
    </row>
  </sheetData>
  <mergeCells count="8">
    <mergeCell ref="I8:J8"/>
    <mergeCell ref="I9:J9"/>
    <mergeCell ref="A1:J2"/>
    <mergeCell ref="I3:J3"/>
    <mergeCell ref="I4:J4"/>
    <mergeCell ref="I5:J5"/>
    <mergeCell ref="I6:J6"/>
    <mergeCell ref="I7:J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5FFF-286A-40CC-BD3D-B0A25F0B27EE}">
  <dimension ref="A1:J7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6.2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8.5" customHeight="1" x14ac:dyDescent="0.25">
      <c r="A4" s="62">
        <v>1</v>
      </c>
      <c r="B4" s="71" t="s">
        <v>143</v>
      </c>
      <c r="C4" s="49">
        <v>2014</v>
      </c>
      <c r="D4" s="6" t="s">
        <v>144</v>
      </c>
      <c r="E4" s="73" t="s">
        <v>10</v>
      </c>
      <c r="F4" s="49">
        <v>156</v>
      </c>
      <c r="G4" s="49" t="s">
        <v>11</v>
      </c>
      <c r="H4" s="49">
        <v>202011</v>
      </c>
      <c r="I4" s="113" t="s">
        <v>145</v>
      </c>
      <c r="J4" s="113"/>
    </row>
    <row r="5" spans="1:10" ht="24" x14ac:dyDescent="0.25">
      <c r="A5" s="62">
        <v>2</v>
      </c>
      <c r="B5" s="71" t="s">
        <v>241</v>
      </c>
      <c r="C5" s="49">
        <v>2023</v>
      </c>
      <c r="D5" s="85" t="s">
        <v>242</v>
      </c>
      <c r="E5" s="73" t="s">
        <v>10</v>
      </c>
      <c r="F5" s="49">
        <v>20</v>
      </c>
      <c r="G5" s="49" t="s">
        <v>11</v>
      </c>
      <c r="H5" s="74" t="s">
        <v>284</v>
      </c>
      <c r="I5" s="92" t="s">
        <v>243</v>
      </c>
      <c r="J5" s="93"/>
    </row>
    <row r="6" spans="1:10" ht="26.25" customHeight="1" x14ac:dyDescent="0.25">
      <c r="A6" s="62">
        <v>3</v>
      </c>
      <c r="B6" s="71" t="s">
        <v>285</v>
      </c>
      <c r="C6" s="49">
        <v>2024</v>
      </c>
      <c r="D6" s="85" t="s">
        <v>282</v>
      </c>
      <c r="E6" s="73" t="s">
        <v>10</v>
      </c>
      <c r="F6" s="49">
        <v>59</v>
      </c>
      <c r="G6" s="49" t="s">
        <v>11</v>
      </c>
      <c r="H6" s="74" t="s">
        <v>286</v>
      </c>
      <c r="I6" s="114" t="s">
        <v>287</v>
      </c>
      <c r="J6" s="115"/>
    </row>
    <row r="7" spans="1:10" x14ac:dyDescent="0.25">
      <c r="E7" s="67" t="s">
        <v>29</v>
      </c>
      <c r="F7" s="67">
        <f>SUM(F4:F6)</f>
        <v>235</v>
      </c>
      <c r="G7" s="47" t="s">
        <v>11</v>
      </c>
    </row>
  </sheetData>
  <mergeCells count="5">
    <mergeCell ref="A1:J2"/>
    <mergeCell ref="I3:J3"/>
    <mergeCell ref="I4:J4"/>
    <mergeCell ref="I5:J5"/>
    <mergeCell ref="I6:J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5A02-FF06-450A-AFAF-1AC25CEF07BE}">
  <dimension ref="A1:J16"/>
  <sheetViews>
    <sheetView workbookViewId="0">
      <selection activeCell="H6" sqref="H6:J6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4" x14ac:dyDescent="0.25">
      <c r="A4" s="62">
        <v>1</v>
      </c>
      <c r="B4" s="71" t="s">
        <v>40</v>
      </c>
      <c r="C4" s="49">
        <v>2020</v>
      </c>
      <c r="D4" s="85" t="s">
        <v>41</v>
      </c>
      <c r="E4" s="73" t="s">
        <v>10</v>
      </c>
      <c r="F4" s="49">
        <v>90</v>
      </c>
      <c r="G4" s="49" t="s">
        <v>11</v>
      </c>
      <c r="H4" s="49" t="s">
        <v>293</v>
      </c>
      <c r="I4" s="113" t="s">
        <v>294</v>
      </c>
      <c r="J4" s="113"/>
    </row>
    <row r="5" spans="1:10" ht="24" x14ac:dyDescent="0.25">
      <c r="A5" s="62">
        <v>2</v>
      </c>
      <c r="B5" s="71" t="s">
        <v>38</v>
      </c>
      <c r="C5" s="49">
        <v>2023</v>
      </c>
      <c r="D5" s="85" t="s">
        <v>39</v>
      </c>
      <c r="E5" s="73" t="s">
        <v>10</v>
      </c>
      <c r="F5" s="49">
        <v>106</v>
      </c>
      <c r="G5" s="49" t="s">
        <v>11</v>
      </c>
      <c r="H5" s="49" t="s">
        <v>293</v>
      </c>
      <c r="I5" s="113" t="s">
        <v>294</v>
      </c>
      <c r="J5" s="113"/>
    </row>
    <row r="6" spans="1:10" ht="24" x14ac:dyDescent="0.25">
      <c r="A6" s="62">
        <v>3</v>
      </c>
      <c r="B6" s="71" t="s">
        <v>30</v>
      </c>
      <c r="C6" s="49">
        <v>2024</v>
      </c>
      <c r="D6" s="85" t="s">
        <v>31</v>
      </c>
      <c r="E6" s="73" t="s">
        <v>10</v>
      </c>
      <c r="F6" s="49">
        <v>1990</v>
      </c>
      <c r="G6" s="49" t="s">
        <v>11</v>
      </c>
      <c r="H6" s="49" t="s">
        <v>301</v>
      </c>
      <c r="I6" s="94" t="s">
        <v>302</v>
      </c>
      <c r="J6" s="95"/>
    </row>
    <row r="7" spans="1:10" ht="24" x14ac:dyDescent="0.25">
      <c r="A7" s="62">
        <v>4</v>
      </c>
      <c r="B7" s="34" t="s">
        <v>27</v>
      </c>
      <c r="C7" s="30">
        <v>2024</v>
      </c>
      <c r="D7" s="10" t="s">
        <v>28</v>
      </c>
      <c r="E7" s="29" t="s">
        <v>10</v>
      </c>
      <c r="F7" s="49">
        <v>55</v>
      </c>
      <c r="G7" s="49" t="s">
        <v>11</v>
      </c>
      <c r="H7" s="49">
        <v>5474</v>
      </c>
      <c r="I7" s="94" t="s">
        <v>298</v>
      </c>
      <c r="J7" s="95"/>
    </row>
    <row r="8" spans="1:10" ht="26.25" customHeight="1" x14ac:dyDescent="0.25">
      <c r="A8" s="62">
        <v>5</v>
      </c>
      <c r="B8" s="34" t="s">
        <v>27</v>
      </c>
      <c r="C8" s="30">
        <v>2024</v>
      </c>
      <c r="D8" s="10" t="s">
        <v>28</v>
      </c>
      <c r="E8" s="29" t="s">
        <v>10</v>
      </c>
      <c r="F8" s="49">
        <v>1123</v>
      </c>
      <c r="G8" s="30" t="s">
        <v>11</v>
      </c>
      <c r="H8" s="30">
        <v>201147</v>
      </c>
      <c r="I8" s="92" t="s">
        <v>292</v>
      </c>
      <c r="J8" s="93"/>
    </row>
    <row r="9" spans="1:10" ht="26.25" customHeight="1" x14ac:dyDescent="0.25">
      <c r="A9" s="62">
        <v>6</v>
      </c>
      <c r="B9" s="34" t="s">
        <v>295</v>
      </c>
      <c r="C9" s="30">
        <v>2024</v>
      </c>
      <c r="D9" s="85" t="s">
        <v>180</v>
      </c>
      <c r="E9" s="29" t="s">
        <v>10</v>
      </c>
      <c r="F9" s="49">
        <v>37</v>
      </c>
      <c r="G9" s="30" t="s">
        <v>11</v>
      </c>
      <c r="H9" s="30" t="s">
        <v>296</v>
      </c>
      <c r="I9" s="92" t="s">
        <v>297</v>
      </c>
      <c r="J9" s="93"/>
    </row>
    <row r="10" spans="1:10" ht="27.75" customHeight="1" x14ac:dyDescent="0.25">
      <c r="A10" s="62">
        <v>7</v>
      </c>
      <c r="B10" s="34" t="s">
        <v>79</v>
      </c>
      <c r="C10" s="30">
        <v>2024</v>
      </c>
      <c r="D10" s="85" t="s">
        <v>80</v>
      </c>
      <c r="E10" s="29" t="s">
        <v>10</v>
      </c>
      <c r="F10" s="30">
        <v>131</v>
      </c>
      <c r="G10" s="30" t="s">
        <v>11</v>
      </c>
      <c r="H10" s="45" t="s">
        <v>288</v>
      </c>
      <c r="I10" s="92" t="s">
        <v>289</v>
      </c>
      <c r="J10" s="93"/>
    </row>
    <row r="11" spans="1:10" ht="26.25" customHeight="1" x14ac:dyDescent="0.25">
      <c r="A11" s="62">
        <v>8</v>
      </c>
      <c r="B11" s="34" t="s">
        <v>206</v>
      </c>
      <c r="C11" s="30" t="s">
        <v>259</v>
      </c>
      <c r="D11" s="85" t="s">
        <v>205</v>
      </c>
      <c r="E11" s="29" t="s">
        <v>10</v>
      </c>
      <c r="F11" s="30">
        <v>778</v>
      </c>
      <c r="G11" s="30" t="s">
        <v>11</v>
      </c>
      <c r="H11" s="45" t="s">
        <v>288</v>
      </c>
      <c r="I11" s="112" t="s">
        <v>290</v>
      </c>
      <c r="J11" s="111"/>
    </row>
    <row r="12" spans="1:10" ht="24" x14ac:dyDescent="0.25">
      <c r="A12" s="62">
        <v>9</v>
      </c>
      <c r="B12" s="34" t="s">
        <v>32</v>
      </c>
      <c r="C12" s="30" t="s">
        <v>259</v>
      </c>
      <c r="D12" s="10" t="s">
        <v>33</v>
      </c>
      <c r="E12" s="29" t="s">
        <v>10</v>
      </c>
      <c r="F12" s="30">
        <v>81</v>
      </c>
      <c r="G12" s="30" t="s">
        <v>11</v>
      </c>
      <c r="H12" s="45">
        <v>5474</v>
      </c>
      <c r="I12" s="92" t="s">
        <v>291</v>
      </c>
      <c r="J12" s="93"/>
    </row>
    <row r="13" spans="1:10" ht="24" x14ac:dyDescent="0.25">
      <c r="A13" s="62">
        <v>10</v>
      </c>
      <c r="B13" s="34" t="s">
        <v>87</v>
      </c>
      <c r="C13" s="30" t="s">
        <v>259</v>
      </c>
      <c r="D13" s="83" t="s">
        <v>88</v>
      </c>
      <c r="E13" s="29" t="s">
        <v>10</v>
      </c>
      <c r="F13" s="30">
        <v>2887</v>
      </c>
      <c r="G13" s="30" t="s">
        <v>11</v>
      </c>
      <c r="H13" s="45">
        <v>202517</v>
      </c>
      <c r="I13" s="112" t="s">
        <v>141</v>
      </c>
      <c r="J13" s="111"/>
    </row>
    <row r="14" spans="1:10" ht="24" x14ac:dyDescent="0.25">
      <c r="A14" s="62">
        <v>11</v>
      </c>
      <c r="B14" s="34" t="s">
        <v>87</v>
      </c>
      <c r="C14" s="45">
        <v>2024</v>
      </c>
      <c r="D14" s="80" t="s">
        <v>88</v>
      </c>
      <c r="E14" s="29" t="s">
        <v>10</v>
      </c>
      <c r="F14" s="30">
        <v>157</v>
      </c>
      <c r="G14" s="30" t="s">
        <v>11</v>
      </c>
      <c r="H14" s="30">
        <v>202047</v>
      </c>
      <c r="I14" s="92" t="s">
        <v>299</v>
      </c>
      <c r="J14" s="93"/>
    </row>
    <row r="15" spans="1:10" ht="24" x14ac:dyDescent="0.25">
      <c r="A15" s="62">
        <v>12</v>
      </c>
      <c r="B15" s="71" t="s">
        <v>90</v>
      </c>
      <c r="C15" s="49">
        <v>2024</v>
      </c>
      <c r="D15" s="85" t="s">
        <v>91</v>
      </c>
      <c r="E15" s="73" t="s">
        <v>10</v>
      </c>
      <c r="F15" s="49">
        <v>15</v>
      </c>
      <c r="G15" s="49" t="s">
        <v>11</v>
      </c>
      <c r="H15" s="49" t="s">
        <v>300</v>
      </c>
      <c r="I15" s="113" t="s">
        <v>280</v>
      </c>
      <c r="J15" s="113"/>
    </row>
    <row r="16" spans="1:10" x14ac:dyDescent="0.25">
      <c r="E16" s="67" t="s">
        <v>29</v>
      </c>
      <c r="F16" s="67">
        <f>SUM(F4:F15)</f>
        <v>7450</v>
      </c>
      <c r="G16" s="47" t="s">
        <v>11</v>
      </c>
    </row>
  </sheetData>
  <mergeCells count="14">
    <mergeCell ref="I10:J10"/>
    <mergeCell ref="I5:J5"/>
    <mergeCell ref="I9:J9"/>
    <mergeCell ref="I7:J7"/>
    <mergeCell ref="A1:J2"/>
    <mergeCell ref="I3:J3"/>
    <mergeCell ref="I4:J4"/>
    <mergeCell ref="I8:J8"/>
    <mergeCell ref="I6:J6"/>
    <mergeCell ref="I15:J15"/>
    <mergeCell ref="I11:J11"/>
    <mergeCell ref="I12:J12"/>
    <mergeCell ref="I13:J13"/>
    <mergeCell ref="I14:J14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1987-01E8-4B63-ADE1-54B239D1D550}">
  <dimension ref="A1:J12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6" x14ac:dyDescent="0.25">
      <c r="A4" s="62">
        <v>1</v>
      </c>
      <c r="B4" s="71" t="s">
        <v>143</v>
      </c>
      <c r="C4" s="49">
        <v>2014</v>
      </c>
      <c r="D4" s="6" t="s">
        <v>144</v>
      </c>
      <c r="E4" s="73" t="s">
        <v>10</v>
      </c>
      <c r="F4" s="49">
        <v>3</v>
      </c>
      <c r="G4" s="49" t="s">
        <v>11</v>
      </c>
      <c r="H4" s="49" t="s">
        <v>303</v>
      </c>
      <c r="I4" s="113" t="s">
        <v>145</v>
      </c>
      <c r="J4" s="113"/>
    </row>
    <row r="5" spans="1:10" ht="24" x14ac:dyDescent="0.25">
      <c r="A5" s="62">
        <v>2</v>
      </c>
      <c r="B5" s="71" t="s">
        <v>304</v>
      </c>
      <c r="C5" s="49">
        <v>2024</v>
      </c>
      <c r="D5" s="10" t="s">
        <v>305</v>
      </c>
      <c r="E5" s="73" t="s">
        <v>10</v>
      </c>
      <c r="F5" s="49">
        <v>4</v>
      </c>
      <c r="G5" s="49" t="s">
        <v>11</v>
      </c>
      <c r="H5" s="49" t="s">
        <v>306</v>
      </c>
      <c r="I5" s="94" t="s">
        <v>165</v>
      </c>
      <c r="J5" s="95"/>
    </row>
    <row r="6" spans="1:10" ht="24" x14ac:dyDescent="0.25">
      <c r="A6" s="62">
        <v>3</v>
      </c>
      <c r="B6" s="34" t="s">
        <v>104</v>
      </c>
      <c r="C6" s="30">
        <v>2024</v>
      </c>
      <c r="D6" s="86" t="s">
        <v>105</v>
      </c>
      <c r="E6" s="29" t="s">
        <v>10</v>
      </c>
      <c r="F6" s="30">
        <v>10</v>
      </c>
      <c r="G6" s="30" t="s">
        <v>11</v>
      </c>
      <c r="H6" s="45" t="s">
        <v>307</v>
      </c>
      <c r="I6" s="92" t="s">
        <v>250</v>
      </c>
      <c r="J6" s="93"/>
    </row>
    <row r="7" spans="1:10" ht="33.75" customHeight="1" x14ac:dyDescent="0.25">
      <c r="A7" s="62">
        <v>4</v>
      </c>
      <c r="B7" s="34" t="s">
        <v>276</v>
      </c>
      <c r="C7" s="30" t="s">
        <v>259</v>
      </c>
      <c r="D7" s="85" t="s">
        <v>275</v>
      </c>
      <c r="E7" s="29" t="s">
        <v>10</v>
      </c>
      <c r="F7" s="30">
        <v>15</v>
      </c>
      <c r="G7" s="30" t="s">
        <v>11</v>
      </c>
      <c r="H7" s="49" t="s">
        <v>306</v>
      </c>
      <c r="I7" s="92" t="s">
        <v>308</v>
      </c>
      <c r="J7" s="93"/>
    </row>
    <row r="8" spans="1:10" ht="26.25" customHeight="1" x14ac:dyDescent="0.25">
      <c r="A8" s="62">
        <v>5</v>
      </c>
      <c r="B8" s="34" t="s">
        <v>309</v>
      </c>
      <c r="C8" s="30">
        <v>2024</v>
      </c>
      <c r="D8" s="10" t="s">
        <v>28</v>
      </c>
      <c r="E8" s="29" t="s">
        <v>10</v>
      </c>
      <c r="F8" s="49">
        <v>115</v>
      </c>
      <c r="G8" s="30" t="s">
        <v>11</v>
      </c>
      <c r="H8" s="30">
        <v>201965</v>
      </c>
      <c r="I8" s="92" t="s">
        <v>26</v>
      </c>
      <c r="J8" s="93"/>
    </row>
    <row r="9" spans="1:10" ht="26.25" customHeight="1" x14ac:dyDescent="0.25">
      <c r="A9" s="62">
        <v>6</v>
      </c>
      <c r="B9" s="34" t="s">
        <v>295</v>
      </c>
      <c r="C9" s="30">
        <v>2024</v>
      </c>
      <c r="D9" s="85" t="s">
        <v>180</v>
      </c>
      <c r="E9" s="29" t="s">
        <v>10</v>
      </c>
      <c r="F9" s="49">
        <v>11</v>
      </c>
      <c r="G9" s="30" t="s">
        <v>11</v>
      </c>
      <c r="H9" s="30" t="s">
        <v>296</v>
      </c>
      <c r="I9" s="92" t="s">
        <v>297</v>
      </c>
      <c r="J9" s="93"/>
    </row>
    <row r="10" spans="1:10" ht="27.75" customHeight="1" x14ac:dyDescent="0.25">
      <c r="A10" s="62">
        <v>7</v>
      </c>
      <c r="B10" s="34" t="s">
        <v>310</v>
      </c>
      <c r="C10" s="30">
        <v>2023</v>
      </c>
      <c r="D10" s="85" t="s">
        <v>80</v>
      </c>
      <c r="E10" s="29" t="s">
        <v>10</v>
      </c>
      <c r="F10" s="30">
        <v>117</v>
      </c>
      <c r="G10" s="30" t="s">
        <v>11</v>
      </c>
      <c r="H10" s="45">
        <v>201965</v>
      </c>
      <c r="I10" s="92" t="s">
        <v>311</v>
      </c>
      <c r="J10" s="93"/>
    </row>
    <row r="11" spans="1:10" ht="26.25" customHeight="1" x14ac:dyDescent="0.25">
      <c r="A11" s="62">
        <v>8</v>
      </c>
      <c r="B11" s="34" t="s">
        <v>313</v>
      </c>
      <c r="C11" s="30" t="s">
        <v>259</v>
      </c>
      <c r="D11" s="87" t="s">
        <v>312</v>
      </c>
      <c r="E11" s="29" t="s">
        <v>10</v>
      </c>
      <c r="F11" s="30">
        <v>311</v>
      </c>
      <c r="G11" s="30" t="s">
        <v>11</v>
      </c>
      <c r="H11" s="45" t="s">
        <v>314</v>
      </c>
      <c r="I11" s="112">
        <v>6120</v>
      </c>
      <c r="J11" s="111"/>
    </row>
    <row r="12" spans="1:10" x14ac:dyDescent="0.25">
      <c r="E12" s="67" t="s">
        <v>29</v>
      </c>
      <c r="F12" s="67">
        <f>SUM(F4:F11)</f>
        <v>586</v>
      </c>
      <c r="G12" s="47" t="s">
        <v>11</v>
      </c>
    </row>
  </sheetData>
  <mergeCells count="10">
    <mergeCell ref="I5:J5"/>
    <mergeCell ref="A1:J2"/>
    <mergeCell ref="I3:J3"/>
    <mergeCell ref="I4:J4"/>
    <mergeCell ref="I6:J6"/>
    <mergeCell ref="I8:J8"/>
    <mergeCell ref="I9:J9"/>
    <mergeCell ref="I10:J10"/>
    <mergeCell ref="I11:J11"/>
    <mergeCell ref="I7:J7"/>
  </mergeCells>
  <phoneticPr fontId="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CE6E-6C8D-4F0C-8331-5A5778C7CD6D}">
  <dimension ref="A1:J11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4" x14ac:dyDescent="0.25">
      <c r="A4" s="62">
        <v>1</v>
      </c>
      <c r="B4" s="71" t="s">
        <v>154</v>
      </c>
      <c r="C4" s="49">
        <v>2023</v>
      </c>
      <c r="D4" s="10" t="s">
        <v>155</v>
      </c>
      <c r="E4" s="73" t="s">
        <v>10</v>
      </c>
      <c r="F4" s="49">
        <v>662</v>
      </c>
      <c r="G4" s="49" t="s">
        <v>11</v>
      </c>
      <c r="H4" s="49">
        <v>202011</v>
      </c>
      <c r="I4" s="94" t="s">
        <v>156</v>
      </c>
      <c r="J4" s="95"/>
    </row>
    <row r="5" spans="1:10" ht="24" x14ac:dyDescent="0.25">
      <c r="A5" s="62">
        <v>2</v>
      </c>
      <c r="B5" s="34" t="s">
        <v>276</v>
      </c>
      <c r="C5" s="30" t="s">
        <v>259</v>
      </c>
      <c r="D5" s="85" t="s">
        <v>275</v>
      </c>
      <c r="E5" s="29" t="s">
        <v>10</v>
      </c>
      <c r="F5" s="30">
        <v>311</v>
      </c>
      <c r="G5" s="30" t="s">
        <v>11</v>
      </c>
      <c r="H5" s="49">
        <v>202025</v>
      </c>
      <c r="I5" s="92" t="s">
        <v>318</v>
      </c>
      <c r="J5" s="93"/>
    </row>
    <row r="6" spans="1:10" ht="33.75" customHeight="1" x14ac:dyDescent="0.25">
      <c r="A6" s="62">
        <v>3</v>
      </c>
      <c r="B6" s="34" t="s">
        <v>276</v>
      </c>
      <c r="C6" s="30" t="s">
        <v>259</v>
      </c>
      <c r="D6" s="85" t="s">
        <v>275</v>
      </c>
      <c r="E6" s="29" t="s">
        <v>10</v>
      </c>
      <c r="F6" s="30">
        <v>103</v>
      </c>
      <c r="G6" s="30" t="s">
        <v>11</v>
      </c>
      <c r="H6" s="49">
        <v>202643</v>
      </c>
      <c r="I6" s="92" t="s">
        <v>317</v>
      </c>
      <c r="J6" s="93"/>
    </row>
    <row r="7" spans="1:10" ht="33.75" customHeight="1" x14ac:dyDescent="0.25">
      <c r="A7" s="62">
        <v>4</v>
      </c>
      <c r="B7" s="34" t="s">
        <v>193</v>
      </c>
      <c r="C7" s="30">
        <v>2024</v>
      </c>
      <c r="D7" s="10" t="s">
        <v>192</v>
      </c>
      <c r="E7" s="29" t="s">
        <v>10</v>
      </c>
      <c r="F7" s="49">
        <v>306</v>
      </c>
      <c r="G7" s="30" t="s">
        <v>11</v>
      </c>
      <c r="H7" s="49">
        <v>201979</v>
      </c>
      <c r="I7" s="92" t="s">
        <v>319</v>
      </c>
      <c r="J7" s="93"/>
    </row>
    <row r="8" spans="1:10" ht="26.25" customHeight="1" x14ac:dyDescent="0.25">
      <c r="A8" s="62">
        <v>5</v>
      </c>
      <c r="B8" s="34" t="s">
        <v>309</v>
      </c>
      <c r="C8" s="30">
        <v>2024</v>
      </c>
      <c r="D8" s="10" t="s">
        <v>28</v>
      </c>
      <c r="E8" s="29" t="s">
        <v>10</v>
      </c>
      <c r="F8" s="49">
        <v>3</v>
      </c>
      <c r="G8" s="30" t="s">
        <v>11</v>
      </c>
      <c r="H8" s="30" t="s">
        <v>315</v>
      </c>
      <c r="I8" s="92" t="s">
        <v>26</v>
      </c>
      <c r="J8" s="93"/>
    </row>
    <row r="9" spans="1:10" ht="26.25" customHeight="1" x14ac:dyDescent="0.25">
      <c r="A9" s="62">
        <v>6</v>
      </c>
      <c r="B9" s="34" t="s">
        <v>87</v>
      </c>
      <c r="C9" s="30" t="s">
        <v>259</v>
      </c>
      <c r="D9" s="83" t="s">
        <v>88</v>
      </c>
      <c r="E9" s="29" t="s">
        <v>10</v>
      </c>
      <c r="F9" s="30">
        <v>60</v>
      </c>
      <c r="G9" s="30" t="s">
        <v>11</v>
      </c>
      <c r="H9" s="45" t="s">
        <v>316</v>
      </c>
      <c r="I9" s="112" t="s">
        <v>141</v>
      </c>
      <c r="J9" s="111"/>
    </row>
    <row r="10" spans="1:10" ht="102.75" customHeight="1" x14ac:dyDescent="0.25">
      <c r="A10" s="62">
        <v>7</v>
      </c>
      <c r="B10" s="34" t="s">
        <v>87</v>
      </c>
      <c r="C10" s="30" t="s">
        <v>259</v>
      </c>
      <c r="D10" s="83" t="s">
        <v>88</v>
      </c>
      <c r="E10" s="29" t="s">
        <v>10</v>
      </c>
      <c r="F10" s="30">
        <v>13219</v>
      </c>
      <c r="G10" s="30" t="s">
        <v>11</v>
      </c>
      <c r="H10" s="45" t="s">
        <v>320</v>
      </c>
      <c r="I10" s="112" t="s">
        <v>321</v>
      </c>
      <c r="J10" s="111"/>
    </row>
    <row r="11" spans="1:10" x14ac:dyDescent="0.25">
      <c r="E11" s="67" t="s">
        <v>29</v>
      </c>
      <c r="F11" s="67">
        <f>SUM(F4:F10)</f>
        <v>14664</v>
      </c>
      <c r="G11" s="47" t="s">
        <v>11</v>
      </c>
    </row>
  </sheetData>
  <mergeCells count="9">
    <mergeCell ref="I10:J10"/>
    <mergeCell ref="I5:J5"/>
    <mergeCell ref="I7:J7"/>
    <mergeCell ref="I8:J8"/>
    <mergeCell ref="A1:J2"/>
    <mergeCell ref="I3:J3"/>
    <mergeCell ref="I4:J4"/>
    <mergeCell ref="I6:J6"/>
    <mergeCell ref="I9:J9"/>
  </mergeCells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6D4B-E1E5-4513-BF03-2B98C111CA5C}">
  <dimension ref="A1:J12"/>
  <sheetViews>
    <sheetView workbookViewId="0">
      <selection activeCell="H10" sqref="H10:J10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1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4" x14ac:dyDescent="0.25">
      <c r="A4" s="62">
        <v>1</v>
      </c>
      <c r="B4" s="34" t="s">
        <v>328</v>
      </c>
      <c r="C4" s="30">
        <v>2015</v>
      </c>
      <c r="D4" s="6" t="s">
        <v>327</v>
      </c>
      <c r="E4" s="29" t="s">
        <v>10</v>
      </c>
      <c r="F4" s="30">
        <v>479</v>
      </c>
      <c r="G4" s="30" t="s">
        <v>11</v>
      </c>
      <c r="H4" s="49" t="s">
        <v>322</v>
      </c>
      <c r="I4" s="94" t="s">
        <v>323</v>
      </c>
      <c r="J4" s="95"/>
    </row>
    <row r="5" spans="1:10" ht="24" x14ac:dyDescent="0.25">
      <c r="A5" s="62">
        <v>2</v>
      </c>
      <c r="B5" s="71" t="s">
        <v>42</v>
      </c>
      <c r="C5" s="49">
        <v>2018</v>
      </c>
      <c r="D5" s="88" t="s">
        <v>43</v>
      </c>
      <c r="E5" s="73" t="s">
        <v>10</v>
      </c>
      <c r="F5" s="49">
        <v>500</v>
      </c>
      <c r="G5" s="49" t="s">
        <v>11</v>
      </c>
      <c r="H5" s="49" t="s">
        <v>322</v>
      </c>
      <c r="I5" s="94" t="s">
        <v>323</v>
      </c>
      <c r="J5" s="95"/>
    </row>
    <row r="6" spans="1:10" ht="33.75" customHeight="1" x14ac:dyDescent="0.25">
      <c r="A6" s="62">
        <v>3</v>
      </c>
      <c r="B6" s="34" t="s">
        <v>325</v>
      </c>
      <c r="C6" s="45" t="s">
        <v>326</v>
      </c>
      <c r="D6" s="6" t="s">
        <v>324</v>
      </c>
      <c r="E6" s="29" t="s">
        <v>10</v>
      </c>
      <c r="F6" s="30">
        <v>500</v>
      </c>
      <c r="G6" s="30" t="s">
        <v>11</v>
      </c>
      <c r="H6" s="49" t="s">
        <v>322</v>
      </c>
      <c r="I6" s="94" t="s">
        <v>323</v>
      </c>
      <c r="J6" s="95"/>
    </row>
    <row r="7" spans="1:10" ht="50.25" customHeight="1" x14ac:dyDescent="0.25">
      <c r="A7" s="62">
        <v>4</v>
      </c>
      <c r="B7" s="34" t="s">
        <v>38</v>
      </c>
      <c r="C7" s="45" t="s">
        <v>330</v>
      </c>
      <c r="D7" s="86" t="s">
        <v>39</v>
      </c>
      <c r="E7" s="29" t="s">
        <v>10</v>
      </c>
      <c r="F7" s="49">
        <v>500</v>
      </c>
      <c r="G7" s="30" t="s">
        <v>11</v>
      </c>
      <c r="H7" s="49" t="s">
        <v>322</v>
      </c>
      <c r="I7" s="94" t="s">
        <v>323</v>
      </c>
      <c r="J7" s="95"/>
    </row>
    <row r="8" spans="1:10" ht="47.25" customHeight="1" x14ac:dyDescent="0.25">
      <c r="A8" s="62">
        <v>5</v>
      </c>
      <c r="B8" s="34" t="s">
        <v>333</v>
      </c>
      <c r="C8" s="30">
        <v>2023</v>
      </c>
      <c r="D8" s="6" t="s">
        <v>37</v>
      </c>
      <c r="E8" s="29" t="s">
        <v>10</v>
      </c>
      <c r="F8" s="30">
        <v>500</v>
      </c>
      <c r="G8" s="30" t="s">
        <v>11</v>
      </c>
      <c r="H8" s="49" t="s">
        <v>322</v>
      </c>
      <c r="I8" s="94" t="s">
        <v>323</v>
      </c>
      <c r="J8" s="95"/>
    </row>
    <row r="9" spans="1:10" ht="26.25" customHeight="1" x14ac:dyDescent="0.25">
      <c r="A9" s="62">
        <v>6</v>
      </c>
      <c r="B9" s="34" t="s">
        <v>331</v>
      </c>
      <c r="C9" s="30" t="s">
        <v>259</v>
      </c>
      <c r="D9" s="88" t="s">
        <v>332</v>
      </c>
      <c r="E9" s="29" t="s">
        <v>10</v>
      </c>
      <c r="F9" s="30">
        <v>414</v>
      </c>
      <c r="G9" s="30" t="s">
        <v>11</v>
      </c>
      <c r="H9" s="49" t="s">
        <v>322</v>
      </c>
      <c r="I9" s="94" t="s">
        <v>323</v>
      </c>
      <c r="J9" s="95"/>
    </row>
    <row r="10" spans="1:10" ht="26.25" customHeight="1" x14ac:dyDescent="0.25">
      <c r="A10" s="62">
        <v>7</v>
      </c>
      <c r="B10" s="34" t="s">
        <v>212</v>
      </c>
      <c r="C10" s="30">
        <v>2020</v>
      </c>
      <c r="D10" s="88" t="s">
        <v>213</v>
      </c>
      <c r="E10" s="29" t="s">
        <v>10</v>
      </c>
      <c r="F10" s="49">
        <v>4</v>
      </c>
      <c r="G10" s="30" t="s">
        <v>11</v>
      </c>
      <c r="H10" s="49" t="s">
        <v>116</v>
      </c>
      <c r="I10" s="92" t="s">
        <v>329</v>
      </c>
      <c r="J10" s="93"/>
    </row>
    <row r="11" spans="1:10" ht="26.25" customHeight="1" x14ac:dyDescent="0.25">
      <c r="A11" s="62">
        <v>8</v>
      </c>
      <c r="B11" s="34" t="s">
        <v>129</v>
      </c>
      <c r="C11" s="30">
        <v>2021</v>
      </c>
      <c r="D11" s="6" t="s">
        <v>130</v>
      </c>
      <c r="E11" s="29" t="s">
        <v>10</v>
      </c>
      <c r="F11" s="30">
        <v>25</v>
      </c>
      <c r="G11" s="30" t="s">
        <v>11</v>
      </c>
      <c r="H11" s="45" t="s">
        <v>334</v>
      </c>
      <c r="I11" s="92" t="s">
        <v>335</v>
      </c>
      <c r="J11" s="93"/>
    </row>
    <row r="12" spans="1:10" x14ac:dyDescent="0.25">
      <c r="E12" s="67" t="s">
        <v>29</v>
      </c>
      <c r="F12" s="67">
        <f>SUM(F4:F11)</f>
        <v>2922</v>
      </c>
      <c r="G12" s="47" t="s">
        <v>11</v>
      </c>
    </row>
  </sheetData>
  <mergeCells count="10">
    <mergeCell ref="I8:J8"/>
    <mergeCell ref="I9:J9"/>
    <mergeCell ref="I10:J10"/>
    <mergeCell ref="I11:J11"/>
    <mergeCell ref="A1:J2"/>
    <mergeCell ref="I3:J3"/>
    <mergeCell ref="I4:J4"/>
    <mergeCell ref="I5:J5"/>
    <mergeCell ref="I6:J6"/>
    <mergeCell ref="I7:J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3641-9367-45FB-9B7E-BC5B06857F26}">
  <dimension ref="A1:J12"/>
  <sheetViews>
    <sheetView workbookViewId="0">
      <selection activeCell="H11" sqref="H11:J11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4" x14ac:dyDescent="0.25">
      <c r="A4" s="62">
        <v>1</v>
      </c>
      <c r="B4" s="34" t="s">
        <v>56</v>
      </c>
      <c r="C4" s="30">
        <v>2016</v>
      </c>
      <c r="D4" s="88" t="s">
        <v>337</v>
      </c>
      <c r="E4" s="29" t="s">
        <v>10</v>
      </c>
      <c r="F4" s="30">
        <v>35</v>
      </c>
      <c r="G4" s="30" t="s">
        <v>11</v>
      </c>
      <c r="H4" s="49" t="s">
        <v>336</v>
      </c>
      <c r="I4" s="94" t="s">
        <v>58</v>
      </c>
      <c r="J4" s="95"/>
    </row>
    <row r="5" spans="1:10" ht="33.75" customHeight="1" x14ac:dyDescent="0.25">
      <c r="A5" s="62">
        <v>2</v>
      </c>
      <c r="B5" s="34" t="s">
        <v>268</v>
      </c>
      <c r="C5" s="45">
        <v>2021</v>
      </c>
      <c r="D5" s="88" t="s">
        <v>267</v>
      </c>
      <c r="E5" s="29" t="s">
        <v>10</v>
      </c>
      <c r="F5" s="30">
        <v>146</v>
      </c>
      <c r="G5" s="30" t="s">
        <v>11</v>
      </c>
      <c r="H5" s="74">
        <v>6103</v>
      </c>
      <c r="I5" s="92" t="s">
        <v>344</v>
      </c>
      <c r="J5" s="95"/>
    </row>
    <row r="6" spans="1:10" ht="27" customHeight="1" x14ac:dyDescent="0.25">
      <c r="A6" s="62">
        <v>3</v>
      </c>
      <c r="B6" s="34" t="s">
        <v>339</v>
      </c>
      <c r="C6" s="45">
        <v>2023</v>
      </c>
      <c r="D6" s="88" t="s">
        <v>338</v>
      </c>
      <c r="E6" s="29" t="s">
        <v>10</v>
      </c>
      <c r="F6" s="49">
        <v>232</v>
      </c>
      <c r="G6" s="30" t="s">
        <v>11</v>
      </c>
      <c r="H6" s="49">
        <v>6103</v>
      </c>
      <c r="I6" s="92" t="s">
        <v>343</v>
      </c>
      <c r="J6" s="95"/>
    </row>
    <row r="7" spans="1:10" ht="36" x14ac:dyDescent="0.25">
      <c r="A7" s="62">
        <v>4</v>
      </c>
      <c r="B7" s="34" t="s">
        <v>68</v>
      </c>
      <c r="C7" s="30">
        <v>2023</v>
      </c>
      <c r="D7" s="89" t="s">
        <v>69</v>
      </c>
      <c r="E7" s="29" t="s">
        <v>10</v>
      </c>
      <c r="F7" s="30">
        <v>92</v>
      </c>
      <c r="G7" s="30" t="s">
        <v>11</v>
      </c>
      <c r="H7" s="49" t="s">
        <v>336</v>
      </c>
      <c r="I7" s="94" t="s">
        <v>71</v>
      </c>
      <c r="J7" s="95"/>
    </row>
    <row r="8" spans="1:10" ht="31.5" customHeight="1" x14ac:dyDescent="0.25">
      <c r="A8" s="62">
        <v>5</v>
      </c>
      <c r="B8" s="34" t="s">
        <v>171</v>
      </c>
      <c r="C8" s="30" t="s">
        <v>259</v>
      </c>
      <c r="D8" s="88" t="s">
        <v>172</v>
      </c>
      <c r="E8" s="29" t="s">
        <v>10</v>
      </c>
      <c r="F8" s="30">
        <v>1813</v>
      </c>
      <c r="G8" s="30" t="s">
        <v>11</v>
      </c>
      <c r="H8" s="49">
        <v>6103</v>
      </c>
      <c r="I8" s="94" t="s">
        <v>340</v>
      </c>
      <c r="J8" s="95"/>
    </row>
    <row r="9" spans="1:10" ht="30" customHeight="1" x14ac:dyDescent="0.25">
      <c r="A9" s="62">
        <v>6</v>
      </c>
      <c r="B9" s="34" t="s">
        <v>341</v>
      </c>
      <c r="C9" s="30">
        <v>2024</v>
      </c>
      <c r="D9" s="88" t="s">
        <v>342</v>
      </c>
      <c r="E9" s="29" t="s">
        <v>10</v>
      </c>
      <c r="F9" s="49">
        <v>158</v>
      </c>
      <c r="G9" s="30" t="s">
        <v>11</v>
      </c>
      <c r="H9" s="49">
        <v>6103</v>
      </c>
      <c r="I9" s="92" t="s">
        <v>345</v>
      </c>
      <c r="J9" s="95"/>
    </row>
    <row r="10" spans="1:10" ht="31.5" customHeight="1" x14ac:dyDescent="0.25">
      <c r="A10" s="62">
        <v>7</v>
      </c>
      <c r="B10" s="34" t="s">
        <v>346</v>
      </c>
      <c r="C10" s="30">
        <v>2024</v>
      </c>
      <c r="D10" s="88" t="s">
        <v>347</v>
      </c>
      <c r="E10" s="29" t="s">
        <v>10</v>
      </c>
      <c r="F10" s="49">
        <v>74</v>
      </c>
      <c r="G10" s="30" t="s">
        <v>11</v>
      </c>
      <c r="H10" s="49">
        <v>6103</v>
      </c>
      <c r="I10" s="92" t="s">
        <v>348</v>
      </c>
      <c r="J10" s="95"/>
    </row>
    <row r="11" spans="1:10" ht="31.5" customHeight="1" x14ac:dyDescent="0.25">
      <c r="A11" s="62">
        <v>8</v>
      </c>
      <c r="B11" s="34" t="s">
        <v>104</v>
      </c>
      <c r="C11" s="30">
        <v>2024</v>
      </c>
      <c r="D11" s="88" t="s">
        <v>105</v>
      </c>
      <c r="E11" s="29" t="s">
        <v>10</v>
      </c>
      <c r="F11" s="49">
        <v>2</v>
      </c>
      <c r="G11" s="30" t="s">
        <v>11</v>
      </c>
      <c r="H11" s="45" t="s">
        <v>307</v>
      </c>
      <c r="I11" s="92" t="s">
        <v>250</v>
      </c>
      <c r="J11" s="93"/>
    </row>
    <row r="12" spans="1:10" x14ac:dyDescent="0.25">
      <c r="E12" s="67" t="s">
        <v>29</v>
      </c>
      <c r="F12" s="67">
        <f>SUM(F4:F11)</f>
        <v>2552</v>
      </c>
      <c r="G12" s="47" t="s">
        <v>11</v>
      </c>
    </row>
  </sheetData>
  <mergeCells count="10">
    <mergeCell ref="I10:J10"/>
    <mergeCell ref="I11:J11"/>
    <mergeCell ref="I7:J7"/>
    <mergeCell ref="I8:J8"/>
    <mergeCell ref="I9:J9"/>
    <mergeCell ref="A1:J2"/>
    <mergeCell ref="I3:J3"/>
    <mergeCell ref="I4:J4"/>
    <mergeCell ref="I5:J5"/>
    <mergeCell ref="I6:J6"/>
  </mergeCells>
  <phoneticPr fontId="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EA58-814E-4960-968E-7A1170EE4B71}">
  <dimension ref="A1:J9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3.75" customHeight="1" x14ac:dyDescent="0.25">
      <c r="A4" s="62">
        <v>1</v>
      </c>
      <c r="B4" s="34" t="s">
        <v>212</v>
      </c>
      <c r="C4" s="45">
        <v>2020</v>
      </c>
      <c r="D4" s="88" t="s">
        <v>213</v>
      </c>
      <c r="E4" s="29" t="s">
        <v>10</v>
      </c>
      <c r="F4" s="30">
        <v>3</v>
      </c>
      <c r="G4" s="30" t="s">
        <v>11</v>
      </c>
      <c r="H4" s="49" t="s">
        <v>116</v>
      </c>
      <c r="I4" s="92" t="s">
        <v>329</v>
      </c>
      <c r="J4" s="93"/>
    </row>
    <row r="5" spans="1:10" ht="36" x14ac:dyDescent="0.25">
      <c r="A5" s="62">
        <v>2</v>
      </c>
      <c r="B5" s="34" t="s">
        <v>166</v>
      </c>
      <c r="C5" s="30">
        <v>2024</v>
      </c>
      <c r="D5" s="89" t="s">
        <v>69</v>
      </c>
      <c r="E5" s="29" t="s">
        <v>10</v>
      </c>
      <c r="F5" s="30">
        <v>3</v>
      </c>
      <c r="G5" s="30" t="s">
        <v>11</v>
      </c>
      <c r="H5" s="49" t="s">
        <v>116</v>
      </c>
      <c r="I5" s="94" t="s">
        <v>352</v>
      </c>
      <c r="J5" s="95"/>
    </row>
    <row r="6" spans="1:10" ht="31.5" customHeight="1" x14ac:dyDescent="0.25">
      <c r="A6" s="62">
        <v>3</v>
      </c>
      <c r="B6" s="34" t="s">
        <v>82</v>
      </c>
      <c r="C6" s="30" t="s">
        <v>259</v>
      </c>
      <c r="D6" s="88" t="s">
        <v>83</v>
      </c>
      <c r="E6" s="29" t="s">
        <v>10</v>
      </c>
      <c r="F6" s="30">
        <v>34</v>
      </c>
      <c r="G6" s="30" t="s">
        <v>11</v>
      </c>
      <c r="H6" s="49">
        <v>202394</v>
      </c>
      <c r="I6" s="94" t="s">
        <v>349</v>
      </c>
      <c r="J6" s="95"/>
    </row>
    <row r="7" spans="1:10" ht="30" customHeight="1" x14ac:dyDescent="0.25">
      <c r="A7" s="62">
        <v>4</v>
      </c>
      <c r="B7" s="34" t="s">
        <v>104</v>
      </c>
      <c r="C7" s="30">
        <v>2024</v>
      </c>
      <c r="D7" s="6" t="s">
        <v>105</v>
      </c>
      <c r="E7" s="29" t="s">
        <v>10</v>
      </c>
      <c r="F7" s="49">
        <v>8</v>
      </c>
      <c r="G7" s="30" t="s">
        <v>11</v>
      </c>
      <c r="H7" s="45" t="s">
        <v>116</v>
      </c>
      <c r="I7" s="92" t="s">
        <v>350</v>
      </c>
      <c r="J7" s="93"/>
    </row>
    <row r="8" spans="1:10" ht="31.5" customHeight="1" x14ac:dyDescent="0.25">
      <c r="A8" s="62">
        <v>5</v>
      </c>
      <c r="B8" s="34" t="s">
        <v>276</v>
      </c>
      <c r="C8" s="30">
        <v>2024</v>
      </c>
      <c r="D8" s="10" t="s">
        <v>275</v>
      </c>
      <c r="E8" s="29" t="s">
        <v>10</v>
      </c>
      <c r="F8" s="49">
        <v>435</v>
      </c>
      <c r="G8" s="30" t="s">
        <v>11</v>
      </c>
      <c r="H8" s="49">
        <v>202746</v>
      </c>
      <c r="I8" s="92" t="s">
        <v>351</v>
      </c>
      <c r="J8" s="95"/>
    </row>
    <row r="9" spans="1:10" x14ac:dyDescent="0.25">
      <c r="E9" s="67" t="s">
        <v>29</v>
      </c>
      <c r="F9" s="67">
        <f>SUM(F4:F8)</f>
        <v>483</v>
      </c>
      <c r="G9" s="47" t="s">
        <v>11</v>
      </c>
    </row>
  </sheetData>
  <mergeCells count="7">
    <mergeCell ref="I6:J6"/>
    <mergeCell ref="I7:J7"/>
    <mergeCell ref="I8:J8"/>
    <mergeCell ref="A1:J2"/>
    <mergeCell ref="I3:J3"/>
    <mergeCell ref="I4:J4"/>
    <mergeCell ref="I5:J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46B5-8640-4084-ADAB-D0B4220157B9}">
  <dimension ref="A1:J5"/>
  <sheetViews>
    <sheetView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1.5" customHeight="1" x14ac:dyDescent="0.25">
      <c r="A4" s="62">
        <v>1</v>
      </c>
      <c r="B4" s="34" t="s">
        <v>171</v>
      </c>
      <c r="C4" s="30" t="s">
        <v>259</v>
      </c>
      <c r="D4" s="88" t="s">
        <v>172</v>
      </c>
      <c r="E4" s="29" t="s">
        <v>10</v>
      </c>
      <c r="F4" s="30">
        <v>220</v>
      </c>
      <c r="G4" s="30" t="s">
        <v>11</v>
      </c>
      <c r="H4" s="49">
        <v>6103</v>
      </c>
      <c r="I4" s="94" t="s">
        <v>340</v>
      </c>
      <c r="J4" s="95"/>
    </row>
    <row r="5" spans="1:10" x14ac:dyDescent="0.25">
      <c r="E5" s="67" t="s">
        <v>29</v>
      </c>
      <c r="F5" s="67">
        <f>SUM(F4:F4)</f>
        <v>220</v>
      </c>
      <c r="G5" s="47" t="s">
        <v>11</v>
      </c>
    </row>
  </sheetData>
  <mergeCells count="3">
    <mergeCell ref="I4:J4"/>
    <mergeCell ref="A1:J2"/>
    <mergeCell ref="I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0351-8F6C-4672-969D-D6C38DE678C9}">
  <dimension ref="A1:J15"/>
  <sheetViews>
    <sheetView zoomScale="93" zoomScaleNormal="93"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3.75" customHeight="1" x14ac:dyDescent="0.25">
      <c r="A4" s="62">
        <v>1</v>
      </c>
      <c r="B4" s="34" t="s">
        <v>268</v>
      </c>
      <c r="C4" s="45">
        <v>2021</v>
      </c>
      <c r="D4" s="90" t="s">
        <v>267</v>
      </c>
      <c r="E4" s="29" t="s">
        <v>10</v>
      </c>
      <c r="F4" s="30">
        <v>2443</v>
      </c>
      <c r="G4" s="30" t="s">
        <v>11</v>
      </c>
      <c r="H4" s="49">
        <v>5163</v>
      </c>
      <c r="I4" s="92" t="s">
        <v>269</v>
      </c>
      <c r="J4" s="93"/>
    </row>
    <row r="5" spans="1:10" ht="33.75" customHeight="1" x14ac:dyDescent="0.25">
      <c r="A5" s="62">
        <v>2</v>
      </c>
      <c r="B5" s="34" t="s">
        <v>82</v>
      </c>
      <c r="C5" s="45">
        <v>2023</v>
      </c>
      <c r="D5" s="90" t="s">
        <v>83</v>
      </c>
      <c r="E5" s="29" t="s">
        <v>10</v>
      </c>
      <c r="F5" s="30">
        <v>316</v>
      </c>
      <c r="G5" s="30" t="s">
        <v>11</v>
      </c>
      <c r="H5" s="49">
        <v>202260</v>
      </c>
      <c r="I5" s="92" t="s">
        <v>359</v>
      </c>
      <c r="J5" s="93"/>
    </row>
    <row r="6" spans="1:10" ht="33.75" customHeight="1" x14ac:dyDescent="0.25">
      <c r="A6" s="62">
        <v>3</v>
      </c>
      <c r="B6" s="34" t="s">
        <v>357</v>
      </c>
      <c r="C6" s="45">
        <v>2023</v>
      </c>
      <c r="D6" s="90" t="s">
        <v>358</v>
      </c>
      <c r="E6" s="29" t="s">
        <v>10</v>
      </c>
      <c r="F6" s="30">
        <v>145</v>
      </c>
      <c r="G6" s="30" t="s">
        <v>11</v>
      </c>
      <c r="H6" s="49">
        <v>6274</v>
      </c>
      <c r="I6" s="92" t="s">
        <v>360</v>
      </c>
      <c r="J6" s="93"/>
    </row>
    <row r="7" spans="1:10" ht="33.75" customHeight="1" x14ac:dyDescent="0.25">
      <c r="A7" s="62">
        <v>4</v>
      </c>
      <c r="B7" s="34" t="s">
        <v>193</v>
      </c>
      <c r="C7" s="45">
        <v>2024</v>
      </c>
      <c r="D7" s="90" t="s">
        <v>192</v>
      </c>
      <c r="E7" s="29" t="s">
        <v>10</v>
      </c>
      <c r="F7" s="30">
        <v>248</v>
      </c>
      <c r="G7" s="30" t="s">
        <v>11</v>
      </c>
      <c r="H7" s="49">
        <v>202260</v>
      </c>
      <c r="I7" s="92" t="s">
        <v>356</v>
      </c>
      <c r="J7" s="93"/>
    </row>
    <row r="8" spans="1:10" ht="33.75" customHeight="1" x14ac:dyDescent="0.25">
      <c r="A8" s="62">
        <v>5</v>
      </c>
      <c r="B8" s="34" t="s">
        <v>104</v>
      </c>
      <c r="C8" s="45">
        <v>2024</v>
      </c>
      <c r="D8" s="90" t="s">
        <v>105</v>
      </c>
      <c r="E8" s="29" t="s">
        <v>10</v>
      </c>
      <c r="F8" s="30">
        <v>337</v>
      </c>
      <c r="G8" s="30" t="s">
        <v>11</v>
      </c>
      <c r="H8" s="49">
        <v>202578</v>
      </c>
      <c r="I8" s="92" t="s">
        <v>365</v>
      </c>
      <c r="J8" s="93"/>
    </row>
    <row r="9" spans="1:10" ht="33.75" customHeight="1" x14ac:dyDescent="0.25">
      <c r="A9" s="62">
        <v>6</v>
      </c>
      <c r="B9" s="34" t="s">
        <v>361</v>
      </c>
      <c r="C9" s="45">
        <v>2024</v>
      </c>
      <c r="D9" s="90" t="s">
        <v>362</v>
      </c>
      <c r="E9" s="29" t="s">
        <v>10</v>
      </c>
      <c r="F9" s="30">
        <v>500</v>
      </c>
      <c r="G9" s="30" t="s">
        <v>11</v>
      </c>
      <c r="H9" s="49">
        <v>6274</v>
      </c>
      <c r="I9" s="92" t="s">
        <v>360</v>
      </c>
      <c r="J9" s="93"/>
    </row>
    <row r="10" spans="1:10" ht="33.75" customHeight="1" x14ac:dyDescent="0.25">
      <c r="A10" s="62">
        <v>7</v>
      </c>
      <c r="B10" s="34" t="s">
        <v>363</v>
      </c>
      <c r="C10" s="45">
        <v>2024</v>
      </c>
      <c r="D10" s="90" t="s">
        <v>364</v>
      </c>
      <c r="E10" s="29" t="s">
        <v>10</v>
      </c>
      <c r="F10" s="30">
        <v>237</v>
      </c>
      <c r="G10" s="30" t="s">
        <v>11</v>
      </c>
      <c r="H10" s="49">
        <v>6274</v>
      </c>
      <c r="I10" s="92" t="s">
        <v>360</v>
      </c>
      <c r="J10" s="93"/>
    </row>
    <row r="11" spans="1:10" ht="24" x14ac:dyDescent="0.25">
      <c r="A11" s="62">
        <v>8</v>
      </c>
      <c r="B11" s="34" t="s">
        <v>30</v>
      </c>
      <c r="C11" s="30">
        <v>2024</v>
      </c>
      <c r="D11" s="90" t="s">
        <v>31</v>
      </c>
      <c r="E11" s="29" t="s">
        <v>10</v>
      </c>
      <c r="F11" s="30">
        <v>132</v>
      </c>
      <c r="G11" s="30" t="s">
        <v>11</v>
      </c>
      <c r="H11" s="49" t="s">
        <v>301</v>
      </c>
      <c r="I11" s="94" t="s">
        <v>302</v>
      </c>
      <c r="J11" s="95"/>
    </row>
    <row r="12" spans="1:10" ht="31.5" customHeight="1" x14ac:dyDescent="0.25">
      <c r="A12" s="62">
        <v>9</v>
      </c>
      <c r="B12" s="34" t="s">
        <v>171</v>
      </c>
      <c r="C12" s="30" t="s">
        <v>259</v>
      </c>
      <c r="D12" s="90" t="s">
        <v>172</v>
      </c>
      <c r="E12" s="29" t="s">
        <v>10</v>
      </c>
      <c r="F12" s="30">
        <v>7</v>
      </c>
      <c r="G12" s="30" t="s">
        <v>11</v>
      </c>
      <c r="H12" s="49">
        <v>6103</v>
      </c>
      <c r="I12" s="94" t="s">
        <v>353</v>
      </c>
      <c r="J12" s="95"/>
    </row>
    <row r="13" spans="1:10" ht="30" customHeight="1" x14ac:dyDescent="0.25">
      <c r="A13" s="62">
        <v>10</v>
      </c>
      <c r="B13" s="34" t="s">
        <v>7</v>
      </c>
      <c r="C13" s="30">
        <v>2024</v>
      </c>
      <c r="D13" s="90" t="s">
        <v>8</v>
      </c>
      <c r="E13" s="29" t="s">
        <v>10</v>
      </c>
      <c r="F13" s="49">
        <v>23</v>
      </c>
      <c r="G13" s="30" t="s">
        <v>11</v>
      </c>
      <c r="H13" s="45">
        <v>5474</v>
      </c>
      <c r="I13" s="92" t="s">
        <v>354</v>
      </c>
      <c r="J13" s="93"/>
    </row>
    <row r="14" spans="1:10" ht="31.5" customHeight="1" x14ac:dyDescent="0.25">
      <c r="A14" s="62">
        <v>11</v>
      </c>
      <c r="B14" s="34" t="s">
        <v>102</v>
      </c>
      <c r="C14" s="30">
        <v>2024</v>
      </c>
      <c r="D14" s="90" t="s">
        <v>103</v>
      </c>
      <c r="E14" s="29" t="s">
        <v>10</v>
      </c>
      <c r="F14" s="49">
        <v>194</v>
      </c>
      <c r="G14" s="30" t="s">
        <v>11</v>
      </c>
      <c r="H14" s="49">
        <v>202578</v>
      </c>
      <c r="I14" s="92" t="s">
        <v>355</v>
      </c>
      <c r="J14" s="95"/>
    </row>
    <row r="15" spans="1:10" x14ac:dyDescent="0.25">
      <c r="E15" s="67" t="s">
        <v>29</v>
      </c>
      <c r="F15" s="67">
        <f>SUM(F4:F14)</f>
        <v>4582</v>
      </c>
      <c r="G15" s="47" t="s">
        <v>11</v>
      </c>
    </row>
  </sheetData>
  <mergeCells count="13">
    <mergeCell ref="I14:J14"/>
    <mergeCell ref="A1:J2"/>
    <mergeCell ref="I3:J3"/>
    <mergeCell ref="I11:J11"/>
    <mergeCell ref="I12:J12"/>
    <mergeCell ref="I13:J13"/>
    <mergeCell ref="I7:J7"/>
    <mergeCell ref="I4:J4"/>
    <mergeCell ref="I5:J5"/>
    <mergeCell ref="I6:J6"/>
    <mergeCell ref="I9:J9"/>
    <mergeCell ref="I10:J10"/>
    <mergeCell ref="I8:J8"/>
  </mergeCells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7A76-6F51-415E-9351-A21B367C09C5}">
  <dimension ref="A1:J10"/>
  <sheetViews>
    <sheetView zoomScaleNormal="100"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3.75" customHeight="1" x14ac:dyDescent="0.25">
      <c r="A4" s="62">
        <v>1</v>
      </c>
      <c r="B4" s="34" t="s">
        <v>56</v>
      </c>
      <c r="C4" s="45">
        <v>2017</v>
      </c>
      <c r="D4" s="90" t="s">
        <v>267</v>
      </c>
      <c r="E4" s="29" t="s">
        <v>10</v>
      </c>
      <c r="F4" s="30">
        <v>138</v>
      </c>
      <c r="G4" s="30" t="s">
        <v>11</v>
      </c>
      <c r="H4" s="49" t="s">
        <v>366</v>
      </c>
      <c r="I4" s="92" t="s">
        <v>58</v>
      </c>
      <c r="J4" s="93"/>
    </row>
    <row r="5" spans="1:10" ht="33.75" customHeight="1" x14ac:dyDescent="0.25">
      <c r="A5" s="62">
        <v>2</v>
      </c>
      <c r="B5" s="34" t="s">
        <v>372</v>
      </c>
      <c r="C5" s="45" t="s">
        <v>373</v>
      </c>
      <c r="D5" s="90" t="s">
        <v>136</v>
      </c>
      <c r="E5" s="29" t="s">
        <v>10</v>
      </c>
      <c r="F5" s="30">
        <v>102</v>
      </c>
      <c r="G5" s="30" t="s">
        <v>11</v>
      </c>
      <c r="H5" s="49">
        <v>6274</v>
      </c>
      <c r="I5" s="92" t="s">
        <v>369</v>
      </c>
      <c r="J5" s="93"/>
    </row>
    <row r="6" spans="1:10" ht="45" x14ac:dyDescent="0.25">
      <c r="A6" s="62">
        <v>3</v>
      </c>
      <c r="B6" s="34" t="s">
        <v>82</v>
      </c>
      <c r="C6" s="45" t="s">
        <v>368</v>
      </c>
      <c r="D6" s="90" t="s">
        <v>83</v>
      </c>
      <c r="E6" s="29" t="s">
        <v>10</v>
      </c>
      <c r="F6" s="30">
        <v>351</v>
      </c>
      <c r="G6" s="30" t="s">
        <v>11</v>
      </c>
      <c r="H6" s="74" t="s">
        <v>367</v>
      </c>
      <c r="I6" s="92" t="s">
        <v>359</v>
      </c>
      <c r="J6" s="93"/>
    </row>
    <row r="7" spans="1:10" ht="33.75" customHeight="1" x14ac:dyDescent="0.25">
      <c r="A7" s="62">
        <v>4</v>
      </c>
      <c r="B7" s="34" t="s">
        <v>87</v>
      </c>
      <c r="C7" s="45">
        <v>2024</v>
      </c>
      <c r="D7" s="90" t="s">
        <v>88</v>
      </c>
      <c r="E7" s="29" t="s">
        <v>10</v>
      </c>
      <c r="F7" s="30">
        <v>34</v>
      </c>
      <c r="G7" s="30" t="s">
        <v>11</v>
      </c>
      <c r="H7" s="49">
        <v>20244623</v>
      </c>
      <c r="I7" s="92" t="s">
        <v>370</v>
      </c>
      <c r="J7" s="93"/>
    </row>
    <row r="8" spans="1:10" ht="33.75" customHeight="1" x14ac:dyDescent="0.25">
      <c r="A8" s="62">
        <v>5</v>
      </c>
      <c r="B8" s="34" t="s">
        <v>166</v>
      </c>
      <c r="C8" s="45">
        <v>2024</v>
      </c>
      <c r="D8" s="90" t="s">
        <v>371</v>
      </c>
      <c r="E8" s="29" t="s">
        <v>10</v>
      </c>
      <c r="F8" s="30">
        <v>10</v>
      </c>
      <c r="G8" s="30" t="s">
        <v>11</v>
      </c>
      <c r="H8" s="49" t="s">
        <v>116</v>
      </c>
      <c r="I8" s="94" t="s">
        <v>352</v>
      </c>
      <c r="J8" s="95"/>
    </row>
    <row r="9" spans="1:10" ht="33.75" customHeight="1" x14ac:dyDescent="0.25">
      <c r="A9" s="62">
        <v>6</v>
      </c>
      <c r="B9" s="34" t="s">
        <v>363</v>
      </c>
      <c r="C9" s="45">
        <v>2024</v>
      </c>
      <c r="D9" s="90" t="s">
        <v>364</v>
      </c>
      <c r="E9" s="29" t="s">
        <v>10</v>
      </c>
      <c r="F9" s="30">
        <v>108</v>
      </c>
      <c r="G9" s="30" t="s">
        <v>11</v>
      </c>
      <c r="H9" s="49">
        <v>6274</v>
      </c>
      <c r="I9" s="92" t="s">
        <v>360</v>
      </c>
      <c r="J9" s="93"/>
    </row>
    <row r="10" spans="1:10" x14ac:dyDescent="0.25">
      <c r="E10" s="67" t="s">
        <v>29</v>
      </c>
      <c r="F10" s="67">
        <f>SUM(F4:F9)</f>
        <v>743</v>
      </c>
      <c r="G10" s="47" t="s">
        <v>11</v>
      </c>
    </row>
  </sheetData>
  <mergeCells count="8">
    <mergeCell ref="I8:J8"/>
    <mergeCell ref="I9:J9"/>
    <mergeCell ref="I7:J7"/>
    <mergeCell ref="A1:J2"/>
    <mergeCell ref="I3:J3"/>
    <mergeCell ref="I4:J4"/>
    <mergeCell ref="I6:J6"/>
    <mergeCell ref="I5:J5"/>
  </mergeCells>
  <phoneticPr fontId="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ADFB-614E-4D32-BFB0-9504A3CBFA19}">
  <dimension ref="A1:J9"/>
  <sheetViews>
    <sheetView zoomScaleNormal="100"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3.75" customHeight="1" x14ac:dyDescent="0.25">
      <c r="A4" s="62">
        <v>1</v>
      </c>
      <c r="B4" s="34" t="s">
        <v>7</v>
      </c>
      <c r="C4" s="45">
        <v>2024</v>
      </c>
      <c r="D4" s="91" t="s">
        <v>8</v>
      </c>
      <c r="E4" s="29" t="s">
        <v>10</v>
      </c>
      <c r="F4" s="30">
        <v>10</v>
      </c>
      <c r="G4" s="30" t="s">
        <v>11</v>
      </c>
      <c r="H4" s="45" t="s">
        <v>381</v>
      </c>
      <c r="I4" s="92" t="s">
        <v>354</v>
      </c>
      <c r="J4" s="93"/>
    </row>
    <row r="5" spans="1:10" ht="28.5" customHeight="1" x14ac:dyDescent="0.25">
      <c r="A5" s="62">
        <v>2</v>
      </c>
      <c r="B5" s="34" t="s">
        <v>374</v>
      </c>
      <c r="C5" s="45">
        <v>2023</v>
      </c>
      <c r="D5" s="10" t="s">
        <v>375</v>
      </c>
      <c r="E5" s="29" t="s">
        <v>10</v>
      </c>
      <c r="F5" s="30">
        <v>310</v>
      </c>
      <c r="G5" s="30" t="s">
        <v>11</v>
      </c>
      <c r="H5" s="74" t="s">
        <v>376</v>
      </c>
      <c r="I5" s="92" t="s">
        <v>377</v>
      </c>
      <c r="J5" s="93"/>
    </row>
    <row r="6" spans="1:10" ht="33.75" customHeight="1" x14ac:dyDescent="0.25">
      <c r="A6" s="62">
        <v>3</v>
      </c>
      <c r="B6" s="34" t="s">
        <v>87</v>
      </c>
      <c r="C6" s="45">
        <v>2024</v>
      </c>
      <c r="D6" s="90" t="s">
        <v>88</v>
      </c>
      <c r="E6" s="29" t="s">
        <v>10</v>
      </c>
      <c r="F6" s="30">
        <v>15</v>
      </c>
      <c r="G6" s="30" t="s">
        <v>11</v>
      </c>
      <c r="H6" s="49" t="s">
        <v>379</v>
      </c>
      <c r="I6" s="92" t="s">
        <v>370</v>
      </c>
      <c r="J6" s="93"/>
    </row>
    <row r="7" spans="1:10" ht="33.75" customHeight="1" x14ac:dyDescent="0.25">
      <c r="A7" s="62">
        <v>4</v>
      </c>
      <c r="B7" s="34" t="s">
        <v>193</v>
      </c>
      <c r="C7" s="45">
        <v>2024</v>
      </c>
      <c r="D7" s="90" t="s">
        <v>192</v>
      </c>
      <c r="E7" s="29" t="s">
        <v>10</v>
      </c>
      <c r="F7" s="30">
        <v>11</v>
      </c>
      <c r="G7" s="30" t="s">
        <v>11</v>
      </c>
      <c r="H7" s="49" t="s">
        <v>380</v>
      </c>
      <c r="I7" s="92" t="s">
        <v>356</v>
      </c>
      <c r="J7" s="93"/>
    </row>
    <row r="8" spans="1:10" ht="33.75" customHeight="1" x14ac:dyDescent="0.25">
      <c r="A8" s="62">
        <v>5</v>
      </c>
      <c r="B8" s="34" t="s">
        <v>363</v>
      </c>
      <c r="C8" s="45">
        <v>2024</v>
      </c>
      <c r="D8" s="90" t="s">
        <v>364</v>
      </c>
      <c r="E8" s="29" t="s">
        <v>10</v>
      </c>
      <c r="F8" s="30">
        <v>10</v>
      </c>
      <c r="G8" s="30" t="s">
        <v>11</v>
      </c>
      <c r="H8" s="49" t="s">
        <v>378</v>
      </c>
      <c r="I8" s="92" t="s">
        <v>360</v>
      </c>
      <c r="J8" s="93"/>
    </row>
    <row r="9" spans="1:10" x14ac:dyDescent="0.25">
      <c r="E9" s="67" t="s">
        <v>29</v>
      </c>
      <c r="F9" s="67">
        <f>SUM(F4:F8)</f>
        <v>356</v>
      </c>
      <c r="G9" s="47" t="s">
        <v>11</v>
      </c>
    </row>
  </sheetData>
  <mergeCells count="7">
    <mergeCell ref="I7:J7"/>
    <mergeCell ref="I8:J8"/>
    <mergeCell ref="A1:J2"/>
    <mergeCell ref="I3:J3"/>
    <mergeCell ref="I5:J5"/>
    <mergeCell ref="I6:J6"/>
    <mergeCell ref="I4:J4"/>
  </mergeCells>
  <phoneticPr fontId="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54FB-485F-46F2-B714-DC2851BE5C4E}">
  <dimension ref="A1:J13"/>
  <sheetViews>
    <sheetView zoomScaleNormal="100"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33.75" customHeight="1" x14ac:dyDescent="0.25">
      <c r="A4" s="62">
        <v>1</v>
      </c>
      <c r="B4" s="34" t="s">
        <v>82</v>
      </c>
      <c r="C4" s="45">
        <v>2024</v>
      </c>
      <c r="D4" s="90" t="s">
        <v>83</v>
      </c>
      <c r="E4" s="29" t="s">
        <v>10</v>
      </c>
      <c r="F4" s="30">
        <v>10</v>
      </c>
      <c r="G4" s="30" t="s">
        <v>11</v>
      </c>
      <c r="H4" s="49" t="s">
        <v>380</v>
      </c>
      <c r="I4" s="92" t="s">
        <v>359</v>
      </c>
      <c r="J4" s="93"/>
    </row>
    <row r="5" spans="1:10" ht="24.75" customHeight="1" x14ac:dyDescent="0.25">
      <c r="A5" s="62">
        <v>2</v>
      </c>
      <c r="B5" s="34" t="s">
        <v>304</v>
      </c>
      <c r="C5" s="45">
        <v>2023</v>
      </c>
      <c r="D5" s="91" t="s">
        <v>305</v>
      </c>
      <c r="E5" s="29" t="s">
        <v>10</v>
      </c>
      <c r="F5" s="30">
        <v>1</v>
      </c>
      <c r="G5" s="30" t="s">
        <v>11</v>
      </c>
      <c r="H5" s="49" t="s">
        <v>116</v>
      </c>
      <c r="I5" s="92" t="s">
        <v>386</v>
      </c>
      <c r="J5" s="93"/>
    </row>
    <row r="6" spans="1:10" ht="28.5" customHeight="1" x14ac:dyDescent="0.25">
      <c r="A6" s="62">
        <v>3</v>
      </c>
      <c r="B6" s="34" t="s">
        <v>285</v>
      </c>
      <c r="C6" s="45">
        <v>2024</v>
      </c>
      <c r="D6" s="91" t="s">
        <v>382</v>
      </c>
      <c r="E6" s="29" t="s">
        <v>10</v>
      </c>
      <c r="F6" s="30">
        <v>88</v>
      </c>
      <c r="G6" s="30" t="s">
        <v>11</v>
      </c>
      <c r="H6" s="49">
        <v>202517</v>
      </c>
      <c r="I6" s="92" t="s">
        <v>383</v>
      </c>
      <c r="J6" s="93"/>
    </row>
    <row r="7" spans="1:10" ht="30" customHeight="1" x14ac:dyDescent="0.25">
      <c r="A7" s="62">
        <v>4</v>
      </c>
      <c r="B7" s="34" t="s">
        <v>87</v>
      </c>
      <c r="C7" s="45">
        <v>2024</v>
      </c>
      <c r="D7" s="6" t="s">
        <v>88</v>
      </c>
      <c r="E7" s="29" t="s">
        <v>10</v>
      </c>
      <c r="F7" s="30">
        <v>17</v>
      </c>
      <c r="G7" s="30" t="s">
        <v>11</v>
      </c>
      <c r="H7" s="49" t="s">
        <v>379</v>
      </c>
      <c r="I7" s="92" t="s">
        <v>370</v>
      </c>
      <c r="J7" s="93"/>
    </row>
    <row r="8" spans="1:10" ht="33.75" customHeight="1" x14ac:dyDescent="0.25">
      <c r="A8" s="62">
        <v>5</v>
      </c>
      <c r="B8" s="34" t="s">
        <v>104</v>
      </c>
      <c r="C8" s="45">
        <v>2024</v>
      </c>
      <c r="D8" s="91" t="s">
        <v>105</v>
      </c>
      <c r="E8" s="29" t="s">
        <v>10</v>
      </c>
      <c r="F8" s="30">
        <v>1007</v>
      </c>
      <c r="G8" s="30" t="s">
        <v>11</v>
      </c>
      <c r="H8" s="49">
        <v>202517</v>
      </c>
      <c r="I8" s="92" t="s">
        <v>111</v>
      </c>
      <c r="J8" s="93"/>
    </row>
    <row r="9" spans="1:10" ht="33.75" customHeight="1" x14ac:dyDescent="0.25">
      <c r="A9" s="62">
        <v>6</v>
      </c>
      <c r="B9" s="34" t="s">
        <v>276</v>
      </c>
      <c r="C9" s="45">
        <v>2024</v>
      </c>
      <c r="D9" s="91" t="s">
        <v>275</v>
      </c>
      <c r="E9" s="29" t="s">
        <v>10</v>
      </c>
      <c r="F9" s="30">
        <v>419</v>
      </c>
      <c r="G9" s="30" t="s">
        <v>11</v>
      </c>
      <c r="H9" s="49">
        <v>2028</v>
      </c>
      <c r="I9" s="92" t="s">
        <v>387</v>
      </c>
      <c r="J9" s="93"/>
    </row>
    <row r="10" spans="1:10" ht="29.25" customHeight="1" x14ac:dyDescent="0.25">
      <c r="A10" s="62">
        <v>7</v>
      </c>
      <c r="B10" s="34" t="s">
        <v>276</v>
      </c>
      <c r="C10" s="45">
        <v>2024</v>
      </c>
      <c r="D10" s="91" t="s">
        <v>275</v>
      </c>
      <c r="E10" s="29" t="s">
        <v>10</v>
      </c>
      <c r="F10" s="30">
        <v>964</v>
      </c>
      <c r="G10" s="30" t="s">
        <v>11</v>
      </c>
      <c r="H10" s="49">
        <v>202578</v>
      </c>
      <c r="I10" s="92" t="s">
        <v>384</v>
      </c>
      <c r="J10" s="93"/>
    </row>
    <row r="11" spans="1:10" ht="30" customHeight="1" x14ac:dyDescent="0.25">
      <c r="A11" s="62">
        <v>8</v>
      </c>
      <c r="B11" s="34" t="s">
        <v>166</v>
      </c>
      <c r="C11" s="30">
        <v>2024</v>
      </c>
      <c r="D11" s="91" t="s">
        <v>371</v>
      </c>
      <c r="E11" s="29" t="s">
        <v>10</v>
      </c>
      <c r="F11" s="30">
        <v>10</v>
      </c>
      <c r="G11" s="30" t="s">
        <v>11</v>
      </c>
      <c r="H11" s="49" t="s">
        <v>116</v>
      </c>
      <c r="I11" s="94" t="s">
        <v>385</v>
      </c>
      <c r="J11" s="95"/>
    </row>
    <row r="12" spans="1:10" ht="31.5" customHeight="1" x14ac:dyDescent="0.25">
      <c r="A12" s="62">
        <v>9</v>
      </c>
      <c r="B12" s="34" t="s">
        <v>166</v>
      </c>
      <c r="C12" s="30">
        <v>2024</v>
      </c>
      <c r="D12" s="91" t="s">
        <v>371</v>
      </c>
      <c r="E12" s="29" t="s">
        <v>10</v>
      </c>
      <c r="F12" s="30">
        <v>66</v>
      </c>
      <c r="G12" s="30" t="s">
        <v>11</v>
      </c>
      <c r="H12" s="49" t="s">
        <v>388</v>
      </c>
      <c r="I12" s="94" t="s">
        <v>389</v>
      </c>
      <c r="J12" s="95"/>
    </row>
    <row r="13" spans="1:10" x14ac:dyDescent="0.25">
      <c r="E13" s="67" t="s">
        <v>29</v>
      </c>
      <c r="F13" s="67">
        <f>SUM(F4:F12)</f>
        <v>2582</v>
      </c>
      <c r="G13" s="47" t="s">
        <v>11</v>
      </c>
    </row>
  </sheetData>
  <mergeCells count="11">
    <mergeCell ref="I11:J11"/>
    <mergeCell ref="I12:J12"/>
    <mergeCell ref="I6:J6"/>
    <mergeCell ref="I10:J10"/>
    <mergeCell ref="A1:J2"/>
    <mergeCell ref="I3:J3"/>
    <mergeCell ref="I4:J4"/>
    <mergeCell ref="I5:J5"/>
    <mergeCell ref="I7:J7"/>
    <mergeCell ref="I8:J8"/>
    <mergeCell ref="I9:J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9611-75DA-4BEA-9197-75B1755015E7}">
  <dimension ref="A1:J7"/>
  <sheetViews>
    <sheetView zoomScaleNormal="100" workbookViewId="0">
      <selection activeCell="H5" sqref="H5:J5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4.75" customHeight="1" x14ac:dyDescent="0.25">
      <c r="A4" s="62">
        <v>1</v>
      </c>
      <c r="B4" s="34" t="s">
        <v>391</v>
      </c>
      <c r="C4" s="45">
        <v>2022</v>
      </c>
      <c r="D4" s="91" t="s">
        <v>305</v>
      </c>
      <c r="E4" s="29" t="s">
        <v>10</v>
      </c>
      <c r="F4" s="30">
        <v>4</v>
      </c>
      <c r="G4" s="30" t="s">
        <v>11</v>
      </c>
      <c r="H4" s="49" t="s">
        <v>116</v>
      </c>
      <c r="I4" s="92" t="s">
        <v>392</v>
      </c>
      <c r="J4" s="93"/>
    </row>
    <row r="5" spans="1:10" ht="30" customHeight="1" x14ac:dyDescent="0.25">
      <c r="A5" s="62">
        <v>2</v>
      </c>
      <c r="B5" s="34" t="s">
        <v>87</v>
      </c>
      <c r="C5" s="45">
        <v>2024</v>
      </c>
      <c r="D5" s="6" t="s">
        <v>88</v>
      </c>
      <c r="E5" s="29" t="s">
        <v>10</v>
      </c>
      <c r="F5" s="30">
        <v>10</v>
      </c>
      <c r="G5" s="30" t="s">
        <v>11</v>
      </c>
      <c r="H5" s="49" t="s">
        <v>390</v>
      </c>
      <c r="I5" s="92" t="s">
        <v>370</v>
      </c>
      <c r="J5" s="93"/>
    </row>
    <row r="6" spans="1:10" ht="33.75" customHeight="1" x14ac:dyDescent="0.25">
      <c r="A6" s="62">
        <v>3</v>
      </c>
      <c r="B6" s="34" t="s">
        <v>104</v>
      </c>
      <c r="C6" s="45">
        <v>2024</v>
      </c>
      <c r="D6" s="91" t="s">
        <v>105</v>
      </c>
      <c r="E6" s="29" t="s">
        <v>10</v>
      </c>
      <c r="F6" s="30">
        <v>253</v>
      </c>
      <c r="G6" s="30" t="s">
        <v>11</v>
      </c>
      <c r="H6" s="49">
        <v>202727</v>
      </c>
      <c r="I6" s="92" t="s">
        <v>393</v>
      </c>
      <c r="J6" s="93"/>
    </row>
    <row r="7" spans="1:10" x14ac:dyDescent="0.25">
      <c r="E7" s="67" t="s">
        <v>29</v>
      </c>
      <c r="F7" s="67">
        <f>SUM(F4:F6)</f>
        <v>267</v>
      </c>
      <c r="G7" s="47" t="s">
        <v>11</v>
      </c>
    </row>
  </sheetData>
  <mergeCells count="5">
    <mergeCell ref="I5:J5"/>
    <mergeCell ref="A1:J2"/>
    <mergeCell ref="I3:J3"/>
    <mergeCell ref="I4:J4"/>
    <mergeCell ref="I6:J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664A-FDBE-476D-9DA4-8548F588BCBC}">
  <dimension ref="A1:J7"/>
  <sheetViews>
    <sheetView tabSelected="1" zoomScaleNormal="100" workbookViewId="0">
      <selection activeCell="A3" sqref="A3"/>
    </sheetView>
  </sheetViews>
  <sheetFormatPr defaultRowHeight="15" x14ac:dyDescent="0.25"/>
  <cols>
    <col min="2" max="2" width="13.5703125" customWidth="1"/>
    <col min="3" max="3" width="10" customWidth="1"/>
    <col min="4" max="4" width="24.85546875" customWidth="1"/>
    <col min="5" max="5" width="14.28515625" customWidth="1"/>
    <col min="6" max="6" width="11.42578125" customWidth="1"/>
    <col min="8" max="8" width="21.5703125" customWidth="1"/>
    <col min="10" max="10" width="17.140625" customWidth="1"/>
  </cols>
  <sheetData>
    <row r="1" spans="1:10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25.5" customHeight="1" x14ac:dyDescent="0.25">
      <c r="A3" s="68" t="s">
        <v>0</v>
      </c>
      <c r="B3" s="68" t="s">
        <v>1</v>
      </c>
      <c r="C3" s="69" t="s">
        <v>9</v>
      </c>
      <c r="D3" s="68" t="s">
        <v>2</v>
      </c>
      <c r="E3" s="68" t="s">
        <v>3</v>
      </c>
      <c r="F3" s="68" t="s">
        <v>4</v>
      </c>
      <c r="G3" s="68" t="s">
        <v>5</v>
      </c>
      <c r="H3" s="69" t="s">
        <v>12</v>
      </c>
      <c r="I3" s="98" t="s">
        <v>13</v>
      </c>
      <c r="J3" s="99"/>
    </row>
    <row r="4" spans="1:10" ht="28.5" customHeight="1" x14ac:dyDescent="0.25">
      <c r="A4" s="62">
        <v>1</v>
      </c>
      <c r="B4" s="34" t="s">
        <v>30</v>
      </c>
      <c r="C4" s="45">
        <v>2024</v>
      </c>
      <c r="D4" s="91" t="s">
        <v>382</v>
      </c>
      <c r="E4" s="29" t="s">
        <v>10</v>
      </c>
      <c r="F4" s="30">
        <v>3193</v>
      </c>
      <c r="G4" s="30" t="s">
        <v>11</v>
      </c>
      <c r="H4" s="49">
        <v>202517</v>
      </c>
      <c r="I4" s="92" t="s">
        <v>383</v>
      </c>
      <c r="J4" s="93"/>
    </row>
    <row r="5" spans="1:10" ht="30" customHeight="1" x14ac:dyDescent="0.25">
      <c r="A5" s="62">
        <v>2</v>
      </c>
      <c r="B5" s="34" t="s">
        <v>179</v>
      </c>
      <c r="C5" s="45">
        <v>2024</v>
      </c>
      <c r="D5" s="91" t="s">
        <v>180</v>
      </c>
      <c r="E5" s="29" t="s">
        <v>10</v>
      </c>
      <c r="F5" s="30">
        <v>108</v>
      </c>
      <c r="G5" s="30" t="s">
        <v>11</v>
      </c>
      <c r="H5" s="49" t="s">
        <v>394</v>
      </c>
      <c r="I5" s="92" t="s">
        <v>395</v>
      </c>
      <c r="J5" s="93"/>
    </row>
    <row r="6" spans="1:10" ht="33.75" customHeight="1" x14ac:dyDescent="0.25">
      <c r="A6" s="62">
        <v>3</v>
      </c>
      <c r="B6" s="34" t="s">
        <v>87</v>
      </c>
      <c r="C6" s="45">
        <v>2024</v>
      </c>
      <c r="D6" s="91" t="s">
        <v>88</v>
      </c>
      <c r="E6" s="29" t="s">
        <v>10</v>
      </c>
      <c r="F6" s="30">
        <v>15</v>
      </c>
      <c r="G6" s="30" t="s">
        <v>11</v>
      </c>
      <c r="H6" s="49" t="s">
        <v>390</v>
      </c>
      <c r="I6" s="92" t="s">
        <v>370</v>
      </c>
      <c r="J6" s="93"/>
    </row>
    <row r="7" spans="1:10" x14ac:dyDescent="0.25">
      <c r="E7" s="67" t="s">
        <v>29</v>
      </c>
      <c r="F7" s="67">
        <f>SUM(F4:F6)</f>
        <v>3316</v>
      </c>
      <c r="G7" s="47" t="s">
        <v>11</v>
      </c>
    </row>
  </sheetData>
  <mergeCells count="5">
    <mergeCell ref="I5:J5"/>
    <mergeCell ref="A1:J2"/>
    <mergeCell ref="I3:J3"/>
    <mergeCell ref="I4:J4"/>
    <mergeCell ref="I6:J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387D-5DD0-41A3-A14D-FB1A9210238F}">
  <dimension ref="A1:I94"/>
  <sheetViews>
    <sheetView topLeftCell="A49" workbookViewId="0">
      <selection activeCell="I59" sqref="I59"/>
    </sheetView>
  </sheetViews>
  <sheetFormatPr defaultRowHeight="15" x14ac:dyDescent="0.25"/>
  <cols>
    <col min="2" max="2" width="14.140625" customWidth="1"/>
    <col min="4" max="4" width="28.140625" customWidth="1"/>
    <col min="5" max="5" width="14.5703125" customWidth="1"/>
    <col min="6" max="6" width="11" customWidth="1"/>
    <col min="8" max="8" width="14.5703125" bestFit="1" customWidth="1"/>
    <col min="9" max="9" width="16.85546875" bestFit="1" customWidth="1"/>
  </cols>
  <sheetData>
    <row r="1" spans="1:9" x14ac:dyDescent="0.25">
      <c r="A1" s="96" t="s">
        <v>6</v>
      </c>
      <c r="B1" s="97"/>
      <c r="C1" s="97"/>
      <c r="D1" s="97"/>
      <c r="E1" s="97"/>
      <c r="F1" s="97"/>
      <c r="G1" s="97"/>
      <c r="H1" s="97"/>
      <c r="I1" s="97"/>
    </row>
    <row r="2" spans="1:9" x14ac:dyDescent="0.25">
      <c r="A2" s="107"/>
      <c r="B2" s="107"/>
      <c r="C2" s="107"/>
      <c r="D2" s="107"/>
      <c r="E2" s="107"/>
      <c r="F2" s="107"/>
      <c r="G2" s="107"/>
      <c r="H2" s="107"/>
      <c r="I2" s="107"/>
    </row>
    <row r="3" spans="1:9" ht="26.25" customHeight="1" x14ac:dyDescent="0.25">
      <c r="A3" s="2" t="s">
        <v>0</v>
      </c>
      <c r="B3" s="3" t="s">
        <v>1</v>
      </c>
      <c r="C3" s="4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12</v>
      </c>
      <c r="I3" s="4" t="s">
        <v>13</v>
      </c>
    </row>
    <row r="4" spans="1:9" ht="28.5" customHeight="1" x14ac:dyDescent="0.25">
      <c r="A4" s="31">
        <v>1</v>
      </c>
      <c r="B4" s="30" t="s">
        <v>63</v>
      </c>
      <c r="C4" s="30">
        <v>2021</v>
      </c>
      <c r="D4" s="21" t="s">
        <v>62</v>
      </c>
      <c r="E4" s="6" t="s">
        <v>10</v>
      </c>
      <c r="F4" s="30">
        <v>149</v>
      </c>
      <c r="G4" s="30" t="s">
        <v>11</v>
      </c>
      <c r="H4" s="30" t="s">
        <v>55</v>
      </c>
      <c r="I4" s="30" t="s">
        <v>47</v>
      </c>
    </row>
    <row r="5" spans="1:9" ht="28.5" customHeight="1" x14ac:dyDescent="0.25">
      <c r="A5" s="31">
        <v>2</v>
      </c>
      <c r="B5" s="30" t="s">
        <v>64</v>
      </c>
      <c r="C5" s="30">
        <v>2021</v>
      </c>
      <c r="D5" s="21" t="s">
        <v>66</v>
      </c>
      <c r="E5" s="6" t="s">
        <v>10</v>
      </c>
      <c r="F5" s="30">
        <v>606</v>
      </c>
      <c r="G5" s="30" t="s">
        <v>11</v>
      </c>
      <c r="H5" s="30" t="s">
        <v>55</v>
      </c>
      <c r="I5" s="30" t="s">
        <v>47</v>
      </c>
    </row>
    <row r="6" spans="1:9" ht="28.5" customHeight="1" x14ac:dyDescent="0.25">
      <c r="A6" s="31">
        <v>3</v>
      </c>
      <c r="B6" s="30" t="s">
        <v>65</v>
      </c>
      <c r="C6" s="30">
        <v>2021</v>
      </c>
      <c r="D6" s="21" t="s">
        <v>67</v>
      </c>
      <c r="E6" s="6" t="s">
        <v>10</v>
      </c>
      <c r="F6" s="30">
        <v>128</v>
      </c>
      <c r="G6" s="30" t="s">
        <v>11</v>
      </c>
      <c r="H6" s="30" t="s">
        <v>55</v>
      </c>
      <c r="I6" s="30" t="s">
        <v>47</v>
      </c>
    </row>
    <row r="7" spans="1:9" ht="28.5" customHeight="1" x14ac:dyDescent="0.25">
      <c r="A7" s="31">
        <v>4</v>
      </c>
      <c r="B7" s="31" t="s">
        <v>76</v>
      </c>
      <c r="C7" s="30">
        <v>2022</v>
      </c>
      <c r="D7" s="6" t="s">
        <v>69</v>
      </c>
      <c r="E7" s="25" t="s">
        <v>77</v>
      </c>
      <c r="F7" s="30">
        <v>1080</v>
      </c>
      <c r="G7" s="30" t="s">
        <v>11</v>
      </c>
      <c r="H7" s="30" t="s">
        <v>70</v>
      </c>
      <c r="I7" s="30" t="s">
        <v>71</v>
      </c>
    </row>
    <row r="8" spans="1:9" ht="28.5" customHeight="1" x14ac:dyDescent="0.25">
      <c r="A8" s="31">
        <v>5</v>
      </c>
      <c r="B8" s="31" t="s">
        <v>143</v>
      </c>
      <c r="C8" s="30">
        <v>2014</v>
      </c>
      <c r="D8" s="41" t="s">
        <v>144</v>
      </c>
      <c r="E8" s="29" t="s">
        <v>10</v>
      </c>
      <c r="F8" s="30">
        <v>126</v>
      </c>
      <c r="G8" s="30" t="s">
        <v>11</v>
      </c>
      <c r="H8" s="30">
        <v>201715</v>
      </c>
      <c r="I8" s="30" t="s">
        <v>145</v>
      </c>
    </row>
    <row r="9" spans="1:9" ht="28.5" customHeight="1" x14ac:dyDescent="0.25">
      <c r="A9" s="31">
        <v>6</v>
      </c>
      <c r="B9" s="31" t="s">
        <v>143</v>
      </c>
      <c r="C9" s="30">
        <v>2014</v>
      </c>
      <c r="D9" s="41" t="s">
        <v>144</v>
      </c>
      <c r="E9" s="29" t="s">
        <v>10</v>
      </c>
      <c r="F9" s="30">
        <v>10</v>
      </c>
      <c r="G9" s="30" t="s">
        <v>11</v>
      </c>
      <c r="H9" s="30" t="s">
        <v>162</v>
      </c>
      <c r="I9" s="30" t="s">
        <v>145</v>
      </c>
    </row>
    <row r="10" spans="1:9" ht="24" x14ac:dyDescent="0.25">
      <c r="A10" s="31">
        <v>7</v>
      </c>
      <c r="B10" s="31" t="s">
        <v>75</v>
      </c>
      <c r="C10" s="30">
        <v>2024</v>
      </c>
      <c r="D10" s="10" t="s">
        <v>31</v>
      </c>
      <c r="E10" s="25" t="s">
        <v>77</v>
      </c>
      <c r="F10" s="30">
        <v>990</v>
      </c>
      <c r="G10" s="30" t="s">
        <v>11</v>
      </c>
      <c r="H10" s="30" t="s">
        <v>55</v>
      </c>
      <c r="I10" s="30" t="s">
        <v>74</v>
      </c>
    </row>
    <row r="11" spans="1:9" ht="24" x14ac:dyDescent="0.25">
      <c r="A11" s="31">
        <v>8</v>
      </c>
      <c r="B11" s="30" t="s">
        <v>30</v>
      </c>
      <c r="C11" s="30">
        <v>2024</v>
      </c>
      <c r="D11" s="9" t="s">
        <v>31</v>
      </c>
      <c r="E11" s="6" t="s">
        <v>10</v>
      </c>
      <c r="F11" s="30">
        <v>39</v>
      </c>
      <c r="G11" s="30" t="s">
        <v>11</v>
      </c>
      <c r="H11" s="30"/>
      <c r="I11" s="30" t="s">
        <v>51</v>
      </c>
    </row>
    <row r="12" spans="1:9" ht="24" x14ac:dyDescent="0.25">
      <c r="A12" s="31">
        <v>9</v>
      </c>
      <c r="B12" s="31" t="s">
        <v>30</v>
      </c>
      <c r="C12" s="30">
        <v>2024</v>
      </c>
      <c r="D12" s="6" t="s">
        <v>31</v>
      </c>
      <c r="E12" s="6" t="s">
        <v>10</v>
      </c>
      <c r="F12" s="30">
        <v>3731</v>
      </c>
      <c r="G12" s="30" t="s">
        <v>11</v>
      </c>
      <c r="H12" s="30" t="s">
        <v>55</v>
      </c>
      <c r="I12" s="30" t="s">
        <v>74</v>
      </c>
    </row>
    <row r="13" spans="1:9" ht="24" x14ac:dyDescent="0.25">
      <c r="A13" s="31">
        <v>10</v>
      </c>
      <c r="B13" s="31" t="s">
        <v>30</v>
      </c>
      <c r="C13" s="30">
        <v>2024</v>
      </c>
      <c r="D13" s="10" t="s">
        <v>31</v>
      </c>
      <c r="E13" s="6" t="s">
        <v>10</v>
      </c>
      <c r="F13" s="30">
        <v>201</v>
      </c>
      <c r="G13" s="30" t="s">
        <v>11</v>
      </c>
      <c r="H13" s="30">
        <v>201291</v>
      </c>
      <c r="I13" s="30" t="s">
        <v>78</v>
      </c>
    </row>
    <row r="14" spans="1:9" ht="24" x14ac:dyDescent="0.25">
      <c r="A14" s="31">
        <v>11</v>
      </c>
      <c r="B14" s="31" t="s">
        <v>30</v>
      </c>
      <c r="C14" s="30">
        <v>2024</v>
      </c>
      <c r="D14" s="38" t="s">
        <v>31</v>
      </c>
      <c r="E14" s="29" t="s">
        <v>10</v>
      </c>
      <c r="F14" s="30">
        <v>31</v>
      </c>
      <c r="G14" s="30" t="s">
        <v>11</v>
      </c>
      <c r="H14" s="30" t="s">
        <v>116</v>
      </c>
      <c r="I14" s="30" t="s">
        <v>134</v>
      </c>
    </row>
    <row r="15" spans="1:9" ht="24" x14ac:dyDescent="0.25">
      <c r="A15" s="31">
        <v>12</v>
      </c>
      <c r="B15" s="31" t="s">
        <v>30</v>
      </c>
      <c r="C15" s="50">
        <v>2024</v>
      </c>
      <c r="D15" s="53" t="s">
        <v>31</v>
      </c>
      <c r="E15" s="58" t="s">
        <v>10</v>
      </c>
      <c r="F15" s="50">
        <v>139</v>
      </c>
      <c r="G15" s="50" t="s">
        <v>11</v>
      </c>
      <c r="H15" s="50">
        <v>201785</v>
      </c>
      <c r="I15" s="50" t="s">
        <v>133</v>
      </c>
    </row>
    <row r="16" spans="1:9" ht="24" x14ac:dyDescent="0.25">
      <c r="A16" s="31">
        <v>13</v>
      </c>
      <c r="B16" s="50" t="s">
        <v>45</v>
      </c>
      <c r="C16" s="50">
        <v>2015</v>
      </c>
      <c r="D16" s="6" t="s">
        <v>44</v>
      </c>
      <c r="E16" s="13" t="s">
        <v>10</v>
      </c>
      <c r="F16" s="50">
        <v>2</v>
      </c>
      <c r="G16" s="50" t="s">
        <v>11</v>
      </c>
      <c r="H16" s="50" t="s">
        <v>46</v>
      </c>
      <c r="I16" s="66" t="s">
        <v>47</v>
      </c>
    </row>
    <row r="17" spans="1:9" ht="24" x14ac:dyDescent="0.25">
      <c r="A17" s="31">
        <v>14</v>
      </c>
      <c r="B17" s="30" t="s">
        <v>45</v>
      </c>
      <c r="C17" s="30">
        <v>2015</v>
      </c>
      <c r="D17" s="10" t="s">
        <v>44</v>
      </c>
      <c r="E17" s="13" t="s">
        <v>10</v>
      </c>
      <c r="F17" s="30">
        <v>1747</v>
      </c>
      <c r="G17" s="50" t="s">
        <v>11</v>
      </c>
      <c r="H17" s="50" t="s">
        <v>55</v>
      </c>
      <c r="I17" s="44" t="s">
        <v>47</v>
      </c>
    </row>
    <row r="18" spans="1:9" ht="24" x14ac:dyDescent="0.25">
      <c r="A18" s="31">
        <v>15</v>
      </c>
      <c r="B18" s="30" t="s">
        <v>96</v>
      </c>
      <c r="C18" s="50">
        <v>2016</v>
      </c>
      <c r="D18" s="56" t="s">
        <v>97</v>
      </c>
      <c r="E18" s="58" t="s">
        <v>10</v>
      </c>
      <c r="F18" s="50">
        <v>124</v>
      </c>
      <c r="G18" s="50" t="s">
        <v>11</v>
      </c>
      <c r="H18" s="50" t="s">
        <v>113</v>
      </c>
      <c r="I18" s="50" t="s">
        <v>114</v>
      </c>
    </row>
    <row r="19" spans="1:9" ht="24" x14ac:dyDescent="0.25">
      <c r="A19" s="31">
        <v>16</v>
      </c>
      <c r="B19" s="31" t="s">
        <v>68</v>
      </c>
      <c r="C19" s="30">
        <v>2022</v>
      </c>
      <c r="D19" s="6" t="s">
        <v>69</v>
      </c>
      <c r="E19" s="6" t="s">
        <v>10</v>
      </c>
      <c r="F19" s="30">
        <v>123</v>
      </c>
      <c r="G19" s="30" t="s">
        <v>11</v>
      </c>
      <c r="H19" s="30" t="s">
        <v>70</v>
      </c>
      <c r="I19" s="30" t="s">
        <v>71</v>
      </c>
    </row>
    <row r="20" spans="1:9" ht="24" x14ac:dyDescent="0.25">
      <c r="A20" s="31">
        <v>17</v>
      </c>
      <c r="B20" s="30" t="s">
        <v>56</v>
      </c>
      <c r="C20" s="30">
        <v>2020</v>
      </c>
      <c r="D20" s="6" t="s">
        <v>41</v>
      </c>
      <c r="E20" s="6" t="s">
        <v>10</v>
      </c>
      <c r="F20" s="30">
        <v>105</v>
      </c>
      <c r="G20" s="30" t="s">
        <v>11</v>
      </c>
      <c r="H20" s="30" t="s">
        <v>57</v>
      </c>
      <c r="I20" s="30" t="s">
        <v>58</v>
      </c>
    </row>
    <row r="21" spans="1:9" ht="24" x14ac:dyDescent="0.25">
      <c r="A21" s="31">
        <v>18</v>
      </c>
      <c r="B21" s="48" t="s">
        <v>79</v>
      </c>
      <c r="C21" s="50">
        <v>2024</v>
      </c>
      <c r="D21" s="51" t="s">
        <v>80</v>
      </c>
      <c r="E21" s="13" t="s">
        <v>10</v>
      </c>
      <c r="F21" s="50">
        <v>123</v>
      </c>
      <c r="G21" s="50" t="s">
        <v>11</v>
      </c>
      <c r="H21" s="50">
        <v>201291</v>
      </c>
      <c r="I21" s="44" t="s">
        <v>81</v>
      </c>
    </row>
    <row r="22" spans="1:9" ht="24" x14ac:dyDescent="0.25">
      <c r="A22" s="31">
        <v>19</v>
      </c>
      <c r="B22" s="31" t="s">
        <v>82</v>
      </c>
      <c r="C22" s="30">
        <v>2024</v>
      </c>
      <c r="D22" s="51" t="s">
        <v>83</v>
      </c>
      <c r="E22" s="13" t="s">
        <v>10</v>
      </c>
      <c r="F22" s="50">
        <v>252</v>
      </c>
      <c r="G22" s="50" t="s">
        <v>11</v>
      </c>
      <c r="H22" s="50">
        <v>201291</v>
      </c>
      <c r="I22" s="44" t="s">
        <v>84</v>
      </c>
    </row>
    <row r="23" spans="1:9" ht="24" x14ac:dyDescent="0.25">
      <c r="A23" s="31">
        <v>20</v>
      </c>
      <c r="B23" s="31" t="s">
        <v>82</v>
      </c>
      <c r="C23" s="49">
        <v>2024</v>
      </c>
      <c r="D23" s="52" t="s">
        <v>83</v>
      </c>
      <c r="E23" s="58" t="s">
        <v>10</v>
      </c>
      <c r="F23" s="50">
        <v>975</v>
      </c>
      <c r="G23" s="50" t="s">
        <v>11</v>
      </c>
      <c r="H23" s="50">
        <v>10824</v>
      </c>
      <c r="I23" s="44" t="s">
        <v>178</v>
      </c>
    </row>
    <row r="24" spans="1:9" ht="24" x14ac:dyDescent="0.25">
      <c r="A24" s="31">
        <v>21</v>
      </c>
      <c r="B24" s="49" t="s">
        <v>59</v>
      </c>
      <c r="C24" s="49">
        <v>2024</v>
      </c>
      <c r="D24" s="6" t="s">
        <v>18</v>
      </c>
      <c r="E24" s="13" t="s">
        <v>10</v>
      </c>
      <c r="F24" s="50">
        <v>164</v>
      </c>
      <c r="G24" s="50" t="s">
        <v>11</v>
      </c>
      <c r="H24" s="50" t="s">
        <v>60</v>
      </c>
      <c r="I24" s="44"/>
    </row>
    <row r="25" spans="1:9" ht="24" x14ac:dyDescent="0.25">
      <c r="A25" s="31">
        <v>22</v>
      </c>
      <c r="B25" s="62" t="s">
        <v>59</v>
      </c>
      <c r="C25" s="49">
        <v>2024</v>
      </c>
      <c r="D25" s="20" t="s">
        <v>72</v>
      </c>
      <c r="E25" s="22" t="s">
        <v>10</v>
      </c>
      <c r="F25" s="30">
        <v>165</v>
      </c>
      <c r="G25" s="50" t="s">
        <v>11</v>
      </c>
      <c r="H25" s="50" t="s">
        <v>52</v>
      </c>
      <c r="I25" s="44" t="s">
        <v>73</v>
      </c>
    </row>
    <row r="26" spans="1:9" ht="24" x14ac:dyDescent="0.25">
      <c r="A26" s="31">
        <v>23</v>
      </c>
      <c r="B26" s="30" t="s">
        <v>7</v>
      </c>
      <c r="C26" s="30">
        <v>2024</v>
      </c>
      <c r="D26" s="6" t="s">
        <v>8</v>
      </c>
      <c r="E26" s="6" t="s">
        <v>10</v>
      </c>
      <c r="F26" s="30">
        <v>179</v>
      </c>
      <c r="G26" s="30" t="s">
        <v>11</v>
      </c>
      <c r="H26" s="30">
        <v>200995</v>
      </c>
      <c r="I26" s="30"/>
    </row>
    <row r="27" spans="1:9" ht="24" x14ac:dyDescent="0.25">
      <c r="A27" s="31">
        <v>24</v>
      </c>
      <c r="B27" s="31" t="s">
        <v>7</v>
      </c>
      <c r="C27" s="30">
        <v>2024</v>
      </c>
      <c r="D27" s="27" t="s">
        <v>8</v>
      </c>
      <c r="E27" s="6" t="s">
        <v>10</v>
      </c>
      <c r="F27" s="30">
        <v>171</v>
      </c>
      <c r="G27" s="30" t="s">
        <v>11</v>
      </c>
      <c r="H27" s="30">
        <v>201291</v>
      </c>
      <c r="I27" s="30" t="s">
        <v>85</v>
      </c>
    </row>
    <row r="28" spans="1:9" ht="24" x14ac:dyDescent="0.25">
      <c r="A28" s="31">
        <v>25</v>
      </c>
      <c r="B28" s="31" t="s">
        <v>7</v>
      </c>
      <c r="C28" s="30">
        <v>2024</v>
      </c>
      <c r="D28" s="36" t="s">
        <v>8</v>
      </c>
      <c r="E28" s="29" t="s">
        <v>10</v>
      </c>
      <c r="F28" s="30">
        <v>90</v>
      </c>
      <c r="G28" s="30" t="s">
        <v>11</v>
      </c>
      <c r="H28" s="30" t="s">
        <v>52</v>
      </c>
      <c r="I28" s="30" t="s">
        <v>118</v>
      </c>
    </row>
    <row r="29" spans="1:9" ht="24" x14ac:dyDescent="0.25">
      <c r="A29" s="31">
        <v>26</v>
      </c>
      <c r="B29" s="31" t="s">
        <v>7</v>
      </c>
      <c r="C29" s="30">
        <v>2024</v>
      </c>
      <c r="D29" s="36" t="s">
        <v>8</v>
      </c>
      <c r="E29" s="29" t="s">
        <v>10</v>
      </c>
      <c r="F29" s="30">
        <v>1203</v>
      </c>
      <c r="G29" s="30" t="s">
        <v>11</v>
      </c>
      <c r="H29" s="30">
        <v>201785</v>
      </c>
      <c r="I29" s="30" t="s">
        <v>85</v>
      </c>
    </row>
    <row r="30" spans="1:9" ht="24" x14ac:dyDescent="0.25">
      <c r="A30" s="31">
        <v>27</v>
      </c>
      <c r="B30" s="31" t="s">
        <v>7</v>
      </c>
      <c r="C30" s="30">
        <v>2024</v>
      </c>
      <c r="D30" s="36" t="s">
        <v>8</v>
      </c>
      <c r="E30" s="29" t="s">
        <v>10</v>
      </c>
      <c r="F30" s="30">
        <v>15</v>
      </c>
      <c r="G30" s="30" t="s">
        <v>11</v>
      </c>
      <c r="H30" s="30" t="s">
        <v>169</v>
      </c>
      <c r="I30" s="30" t="s">
        <v>85</v>
      </c>
    </row>
    <row r="31" spans="1:9" ht="24" x14ac:dyDescent="0.25">
      <c r="A31" s="31">
        <v>28</v>
      </c>
      <c r="B31" s="30" t="s">
        <v>42</v>
      </c>
      <c r="C31" s="30">
        <v>2018</v>
      </c>
      <c r="D31" s="6" t="s">
        <v>43</v>
      </c>
      <c r="E31" s="6" t="s">
        <v>10</v>
      </c>
      <c r="F31" s="30">
        <v>1</v>
      </c>
      <c r="G31" s="30" t="s">
        <v>11</v>
      </c>
      <c r="H31" s="30" t="s">
        <v>48</v>
      </c>
      <c r="I31" s="30" t="s">
        <v>49</v>
      </c>
    </row>
    <row r="32" spans="1:9" ht="24" x14ac:dyDescent="0.25">
      <c r="A32" s="31">
        <v>29</v>
      </c>
      <c r="B32" s="30" t="s">
        <v>40</v>
      </c>
      <c r="C32" s="30">
        <v>2020</v>
      </c>
      <c r="D32" s="10" t="s">
        <v>41</v>
      </c>
      <c r="E32" s="6" t="s">
        <v>10</v>
      </c>
      <c r="F32" s="30">
        <v>10</v>
      </c>
      <c r="G32" s="30" t="s">
        <v>11</v>
      </c>
      <c r="H32" s="30" t="s">
        <v>48</v>
      </c>
      <c r="I32" s="44" t="s">
        <v>50</v>
      </c>
    </row>
    <row r="33" spans="1:9" ht="24" x14ac:dyDescent="0.25">
      <c r="A33" s="31">
        <v>30</v>
      </c>
      <c r="B33" s="30" t="s">
        <v>93</v>
      </c>
      <c r="C33" s="30">
        <v>2022</v>
      </c>
      <c r="D33" s="10" t="s">
        <v>94</v>
      </c>
      <c r="E33" s="29" t="s">
        <v>10</v>
      </c>
      <c r="F33" s="30">
        <v>301</v>
      </c>
      <c r="G33" s="30" t="s">
        <v>11</v>
      </c>
      <c r="H33" s="30">
        <v>201715</v>
      </c>
      <c r="I33" s="44" t="s">
        <v>95</v>
      </c>
    </row>
    <row r="34" spans="1:9" ht="24" x14ac:dyDescent="0.25">
      <c r="A34" s="31">
        <v>31</v>
      </c>
      <c r="B34" s="30" t="s">
        <v>135</v>
      </c>
      <c r="C34" s="30">
        <v>2024</v>
      </c>
      <c r="D34" s="38" t="s">
        <v>136</v>
      </c>
      <c r="E34" s="29" t="s">
        <v>10</v>
      </c>
      <c r="F34" s="30">
        <v>99</v>
      </c>
      <c r="G34" s="30" t="s">
        <v>11</v>
      </c>
      <c r="H34" s="30">
        <v>201785</v>
      </c>
      <c r="I34" s="44" t="s">
        <v>137</v>
      </c>
    </row>
    <row r="35" spans="1:9" ht="24" x14ac:dyDescent="0.25">
      <c r="A35" s="31">
        <v>32</v>
      </c>
      <c r="B35" s="30" t="s">
        <v>135</v>
      </c>
      <c r="C35" s="30">
        <v>2024</v>
      </c>
      <c r="D35" s="38" t="s">
        <v>136</v>
      </c>
      <c r="E35" s="29" t="s">
        <v>10</v>
      </c>
      <c r="F35" s="30">
        <v>109</v>
      </c>
      <c r="G35" s="30" t="s">
        <v>11</v>
      </c>
      <c r="H35" s="30">
        <v>201832</v>
      </c>
      <c r="I35" s="30" t="s">
        <v>146</v>
      </c>
    </row>
    <row r="36" spans="1:9" ht="24" x14ac:dyDescent="0.25">
      <c r="A36" s="31">
        <v>33</v>
      </c>
      <c r="B36" s="30" t="s">
        <v>135</v>
      </c>
      <c r="C36" s="30">
        <v>2024</v>
      </c>
      <c r="D36" s="41" t="s">
        <v>136</v>
      </c>
      <c r="E36" s="29" t="s">
        <v>10</v>
      </c>
      <c r="F36" s="30">
        <v>27</v>
      </c>
      <c r="G36" s="30" t="s">
        <v>11</v>
      </c>
      <c r="H36" s="30" t="s">
        <v>160</v>
      </c>
      <c r="I36" s="30" t="s">
        <v>137</v>
      </c>
    </row>
    <row r="37" spans="1:9" ht="24" x14ac:dyDescent="0.25">
      <c r="A37" s="31">
        <v>34</v>
      </c>
      <c r="B37" s="30" t="s">
        <v>38</v>
      </c>
      <c r="C37" s="30">
        <v>2023</v>
      </c>
      <c r="D37" s="6" t="s">
        <v>39</v>
      </c>
      <c r="E37" s="6" t="s">
        <v>10</v>
      </c>
      <c r="F37" s="30">
        <v>11</v>
      </c>
      <c r="G37" s="30" t="s">
        <v>11</v>
      </c>
      <c r="H37" s="30" t="s">
        <v>48</v>
      </c>
      <c r="I37" s="30" t="s">
        <v>49</v>
      </c>
    </row>
    <row r="38" spans="1:9" ht="24" x14ac:dyDescent="0.25">
      <c r="A38" s="31">
        <v>35</v>
      </c>
      <c r="B38" s="30" t="s">
        <v>147</v>
      </c>
      <c r="C38" s="30">
        <v>2017</v>
      </c>
      <c r="D38" s="41" t="s">
        <v>148</v>
      </c>
      <c r="E38" s="29" t="s">
        <v>10</v>
      </c>
      <c r="F38" s="30">
        <v>147</v>
      </c>
      <c r="G38" s="30" t="s">
        <v>11</v>
      </c>
      <c r="H38" s="30">
        <v>201832</v>
      </c>
      <c r="I38" s="30" t="s">
        <v>149</v>
      </c>
    </row>
    <row r="39" spans="1:9" ht="24" x14ac:dyDescent="0.25">
      <c r="A39" s="31">
        <v>36</v>
      </c>
      <c r="B39" s="30" t="s">
        <v>17</v>
      </c>
      <c r="C39" s="30">
        <v>2024</v>
      </c>
      <c r="D39" s="6" t="s">
        <v>18</v>
      </c>
      <c r="E39" s="6" t="s">
        <v>10</v>
      </c>
      <c r="F39" s="30">
        <v>491</v>
      </c>
      <c r="G39" s="30" t="s">
        <v>11</v>
      </c>
      <c r="H39" s="30" t="s">
        <v>19</v>
      </c>
      <c r="I39" s="30" t="s">
        <v>20</v>
      </c>
    </row>
    <row r="40" spans="1:9" ht="24" x14ac:dyDescent="0.25">
      <c r="A40" s="31">
        <v>37</v>
      </c>
      <c r="B40" s="30" t="s">
        <v>17</v>
      </c>
      <c r="C40" s="30">
        <v>2024</v>
      </c>
      <c r="D40" s="6" t="s">
        <v>18</v>
      </c>
      <c r="E40" s="6" t="s">
        <v>10</v>
      </c>
      <c r="F40" s="30">
        <v>46</v>
      </c>
      <c r="G40" s="30" t="s">
        <v>11</v>
      </c>
      <c r="H40" s="30" t="s">
        <v>52</v>
      </c>
      <c r="I40" s="30"/>
    </row>
    <row r="41" spans="1:9" ht="24" x14ac:dyDescent="0.25">
      <c r="A41" s="31">
        <v>38</v>
      </c>
      <c r="B41" s="31" t="s">
        <v>17</v>
      </c>
      <c r="C41" s="30">
        <v>2024</v>
      </c>
      <c r="D41" s="10" t="s">
        <v>18</v>
      </c>
      <c r="E41" s="6" t="s">
        <v>10</v>
      </c>
      <c r="F41" s="30">
        <v>1120</v>
      </c>
      <c r="G41" s="30" t="s">
        <v>11</v>
      </c>
      <c r="H41" s="30" t="s">
        <v>70</v>
      </c>
      <c r="I41" s="44" t="s">
        <v>20</v>
      </c>
    </row>
    <row r="42" spans="1:9" ht="24" x14ac:dyDescent="0.25">
      <c r="A42" s="31">
        <v>39</v>
      </c>
      <c r="B42" s="31" t="s">
        <v>126</v>
      </c>
      <c r="C42" s="30">
        <v>2024</v>
      </c>
      <c r="D42" s="10" t="s">
        <v>127</v>
      </c>
      <c r="E42" s="29" t="s">
        <v>10</v>
      </c>
      <c r="F42" s="30">
        <v>175</v>
      </c>
      <c r="G42" s="30" t="s">
        <v>11</v>
      </c>
      <c r="H42" s="30">
        <v>201715</v>
      </c>
      <c r="I42" s="44" t="s">
        <v>128</v>
      </c>
    </row>
    <row r="43" spans="1:9" ht="24" x14ac:dyDescent="0.25">
      <c r="A43" s="31">
        <v>40</v>
      </c>
      <c r="B43" s="31" t="s">
        <v>138</v>
      </c>
      <c r="C43" s="30">
        <v>2024</v>
      </c>
      <c r="D43" s="38" t="s">
        <v>139</v>
      </c>
      <c r="E43" s="29" t="s">
        <v>10</v>
      </c>
      <c r="F43" s="30">
        <v>140</v>
      </c>
      <c r="G43" s="30" t="s">
        <v>11</v>
      </c>
      <c r="H43" s="30">
        <v>201785</v>
      </c>
      <c r="I43" s="44" t="s">
        <v>140</v>
      </c>
    </row>
    <row r="44" spans="1:9" ht="24" x14ac:dyDescent="0.25">
      <c r="A44" s="31">
        <v>41</v>
      </c>
      <c r="B44" s="31" t="s">
        <v>163</v>
      </c>
      <c r="C44" s="30">
        <v>2021</v>
      </c>
      <c r="D44" s="38" t="s">
        <v>164</v>
      </c>
      <c r="E44" s="29" t="s">
        <v>10</v>
      </c>
      <c r="F44" s="30">
        <v>3</v>
      </c>
      <c r="G44" s="30" t="s">
        <v>11</v>
      </c>
      <c r="H44" s="30" t="s">
        <v>116</v>
      </c>
      <c r="I44" s="44" t="s">
        <v>165</v>
      </c>
    </row>
    <row r="45" spans="1:9" ht="24" x14ac:dyDescent="0.25">
      <c r="A45" s="31">
        <v>42</v>
      </c>
      <c r="B45" s="30" t="s">
        <v>14</v>
      </c>
      <c r="C45" s="30">
        <v>2024</v>
      </c>
      <c r="D45" s="10" t="s">
        <v>15</v>
      </c>
      <c r="E45" s="6" t="s">
        <v>10</v>
      </c>
      <c r="F45" s="30">
        <v>856</v>
      </c>
      <c r="G45" s="30" t="s">
        <v>11</v>
      </c>
      <c r="H45" s="30">
        <v>5605</v>
      </c>
      <c r="I45" s="44" t="s">
        <v>16</v>
      </c>
    </row>
    <row r="46" spans="1:9" ht="24" x14ac:dyDescent="0.25">
      <c r="A46" s="31">
        <v>43</v>
      </c>
      <c r="B46" s="31" t="s">
        <v>14</v>
      </c>
      <c r="C46" s="30">
        <v>2024</v>
      </c>
      <c r="D46" s="26" t="s">
        <v>15</v>
      </c>
      <c r="E46" s="6" t="s">
        <v>10</v>
      </c>
      <c r="F46" s="30">
        <v>75</v>
      </c>
      <c r="G46" s="30" t="s">
        <v>11</v>
      </c>
      <c r="H46" s="30">
        <v>5694</v>
      </c>
      <c r="I46" s="44" t="s">
        <v>86</v>
      </c>
    </row>
    <row r="47" spans="1:9" ht="24" x14ac:dyDescent="0.25">
      <c r="A47" s="31">
        <v>44</v>
      </c>
      <c r="B47" s="31" t="s">
        <v>14</v>
      </c>
      <c r="C47" s="30">
        <v>2024</v>
      </c>
      <c r="D47" s="41" t="s">
        <v>15</v>
      </c>
      <c r="E47" s="29" t="s">
        <v>10</v>
      </c>
      <c r="F47" s="30">
        <v>20</v>
      </c>
      <c r="G47" s="30" t="s">
        <v>11</v>
      </c>
      <c r="H47" s="30" t="s">
        <v>150</v>
      </c>
      <c r="I47" s="30" t="s">
        <v>86</v>
      </c>
    </row>
    <row r="48" spans="1:9" ht="24" x14ac:dyDescent="0.25">
      <c r="A48" s="31">
        <v>45</v>
      </c>
      <c r="B48" s="31" t="s">
        <v>151</v>
      </c>
      <c r="C48" s="30">
        <v>2024</v>
      </c>
      <c r="D48" s="41" t="s">
        <v>152</v>
      </c>
      <c r="E48" s="29" t="s">
        <v>10</v>
      </c>
      <c r="F48" s="30">
        <v>148</v>
      </c>
      <c r="G48" s="30" t="s">
        <v>11</v>
      </c>
      <c r="H48" s="30">
        <v>5694</v>
      </c>
      <c r="I48" s="30" t="s">
        <v>153</v>
      </c>
    </row>
    <row r="49" spans="1:9" ht="24" x14ac:dyDescent="0.25">
      <c r="A49" s="31">
        <v>46</v>
      </c>
      <c r="B49" s="60" t="s">
        <v>129</v>
      </c>
      <c r="C49" s="30">
        <v>2021</v>
      </c>
      <c r="D49" s="6" t="s">
        <v>130</v>
      </c>
      <c r="E49" s="29" t="s">
        <v>10</v>
      </c>
      <c r="F49" s="30">
        <v>109</v>
      </c>
      <c r="G49" s="30" t="s">
        <v>11</v>
      </c>
      <c r="H49" s="30" t="s">
        <v>131</v>
      </c>
      <c r="I49" s="30" t="s">
        <v>132</v>
      </c>
    </row>
    <row r="50" spans="1:9" ht="24" x14ac:dyDescent="0.25">
      <c r="A50" s="31">
        <v>47</v>
      </c>
      <c r="B50" s="60" t="s">
        <v>171</v>
      </c>
      <c r="C50" s="30">
        <v>2024</v>
      </c>
      <c r="D50" s="54" t="s">
        <v>172</v>
      </c>
      <c r="E50" s="29" t="s">
        <v>10</v>
      </c>
      <c r="F50" s="30">
        <v>1064</v>
      </c>
      <c r="G50" s="30" t="s">
        <v>11</v>
      </c>
      <c r="H50" s="30">
        <v>10824</v>
      </c>
      <c r="I50" s="30" t="s">
        <v>173</v>
      </c>
    </row>
    <row r="51" spans="1:9" ht="24" x14ac:dyDescent="0.25">
      <c r="A51" s="31">
        <v>48</v>
      </c>
      <c r="B51" s="60" t="s">
        <v>171</v>
      </c>
      <c r="C51" s="30">
        <v>2023</v>
      </c>
      <c r="D51" s="41" t="s">
        <v>172</v>
      </c>
      <c r="E51" s="29" t="s">
        <v>10</v>
      </c>
      <c r="F51" s="30">
        <v>605</v>
      </c>
      <c r="G51" s="30" t="s">
        <v>11</v>
      </c>
      <c r="H51" s="30">
        <v>10824</v>
      </c>
      <c r="I51" s="44" t="s">
        <v>173</v>
      </c>
    </row>
    <row r="52" spans="1:9" ht="24" x14ac:dyDescent="0.25">
      <c r="A52" s="31">
        <v>49</v>
      </c>
      <c r="B52" s="60" t="s">
        <v>175</v>
      </c>
      <c r="C52" s="30">
        <v>2024</v>
      </c>
      <c r="D52" s="38" t="s">
        <v>174</v>
      </c>
      <c r="E52" s="29" t="s">
        <v>10</v>
      </c>
      <c r="F52" s="30">
        <v>1131</v>
      </c>
      <c r="G52" s="30" t="s">
        <v>11</v>
      </c>
      <c r="H52" s="30">
        <v>10824</v>
      </c>
      <c r="I52" s="44" t="s">
        <v>176</v>
      </c>
    </row>
    <row r="53" spans="1:9" ht="24" x14ac:dyDescent="0.25">
      <c r="A53" s="31">
        <v>50</v>
      </c>
      <c r="B53" s="60" t="s">
        <v>179</v>
      </c>
      <c r="C53" s="30">
        <v>2024</v>
      </c>
      <c r="D53" s="10" t="s">
        <v>180</v>
      </c>
      <c r="E53" s="29" t="s">
        <v>10</v>
      </c>
      <c r="F53" s="30">
        <v>41</v>
      </c>
      <c r="G53" s="30" t="s">
        <v>11</v>
      </c>
      <c r="H53" s="30" t="s">
        <v>181</v>
      </c>
      <c r="I53" s="59" t="s">
        <v>182</v>
      </c>
    </row>
    <row r="54" spans="1:9" ht="25.5" x14ac:dyDescent="0.25">
      <c r="A54" s="31">
        <v>51</v>
      </c>
      <c r="B54" s="30" t="s">
        <v>21</v>
      </c>
      <c r="C54" s="30">
        <v>2023</v>
      </c>
      <c r="D54" s="8" t="s">
        <v>22</v>
      </c>
      <c r="E54" s="6" t="s">
        <v>10</v>
      </c>
      <c r="F54" s="30">
        <v>1839</v>
      </c>
      <c r="G54" s="30" t="s">
        <v>11</v>
      </c>
      <c r="H54" s="30">
        <v>201146</v>
      </c>
      <c r="I54" s="44" t="s">
        <v>23</v>
      </c>
    </row>
    <row r="55" spans="1:9" ht="24" x14ac:dyDescent="0.25">
      <c r="A55" s="31">
        <v>52</v>
      </c>
      <c r="B55" s="30" t="s">
        <v>34</v>
      </c>
      <c r="C55" s="30">
        <v>2023</v>
      </c>
      <c r="D55" s="6" t="s">
        <v>35</v>
      </c>
      <c r="E55" s="6" t="s">
        <v>10</v>
      </c>
      <c r="F55" s="30">
        <v>200</v>
      </c>
      <c r="G55" s="30" t="s">
        <v>11</v>
      </c>
      <c r="H55" s="30">
        <v>200541</v>
      </c>
      <c r="I55" s="44" t="s">
        <v>26</v>
      </c>
    </row>
    <row r="56" spans="1:9" ht="24" x14ac:dyDescent="0.25">
      <c r="A56" s="31">
        <v>53</v>
      </c>
      <c r="B56" s="60" t="s">
        <v>34</v>
      </c>
      <c r="C56" s="30">
        <v>2023</v>
      </c>
      <c r="D56" s="41" t="s">
        <v>35</v>
      </c>
      <c r="E56" s="29" t="s">
        <v>10</v>
      </c>
      <c r="F56" s="30">
        <v>144</v>
      </c>
      <c r="G56" s="30" t="s">
        <v>11</v>
      </c>
      <c r="H56" s="30">
        <v>201832</v>
      </c>
      <c r="I56" s="30" t="s">
        <v>26</v>
      </c>
    </row>
    <row r="57" spans="1:9" ht="24" x14ac:dyDescent="0.25">
      <c r="A57" s="31">
        <v>54</v>
      </c>
      <c r="B57" s="63" t="s">
        <v>53</v>
      </c>
      <c r="C57" s="30">
        <v>2023</v>
      </c>
      <c r="D57" s="10" t="s">
        <v>54</v>
      </c>
      <c r="E57" s="6" t="s">
        <v>10</v>
      </c>
      <c r="F57" s="30">
        <v>50</v>
      </c>
      <c r="G57" s="30" t="s">
        <v>11</v>
      </c>
      <c r="H57" s="30" t="s">
        <v>52</v>
      </c>
      <c r="I57" s="44"/>
    </row>
    <row r="58" spans="1:9" ht="24" x14ac:dyDescent="0.25">
      <c r="A58" s="31">
        <v>55</v>
      </c>
      <c r="B58" s="63" t="s">
        <v>53</v>
      </c>
      <c r="C58" s="30">
        <v>2023</v>
      </c>
      <c r="D58" s="10" t="s">
        <v>54</v>
      </c>
      <c r="E58" s="6" t="s">
        <v>10</v>
      </c>
      <c r="F58" s="30">
        <v>69</v>
      </c>
      <c r="G58" s="30" t="s">
        <v>11</v>
      </c>
      <c r="H58" s="30" t="s">
        <v>61</v>
      </c>
      <c r="I58" s="44" t="s">
        <v>23</v>
      </c>
    </row>
    <row r="59" spans="1:9" ht="24" x14ac:dyDescent="0.25">
      <c r="A59" s="31">
        <v>56</v>
      </c>
      <c r="B59" s="30" t="s">
        <v>27</v>
      </c>
      <c r="C59" s="30">
        <v>2024</v>
      </c>
      <c r="D59" s="6" t="s">
        <v>28</v>
      </c>
      <c r="E59" s="6" t="s">
        <v>10</v>
      </c>
      <c r="F59" s="30">
        <v>1002</v>
      </c>
      <c r="G59" s="30" t="s">
        <v>11</v>
      </c>
      <c r="H59" s="30">
        <v>201147</v>
      </c>
      <c r="I59" s="30" t="s">
        <v>23</v>
      </c>
    </row>
    <row r="60" spans="1:9" ht="24" x14ac:dyDescent="0.25">
      <c r="A60" s="31">
        <v>57</v>
      </c>
      <c r="B60" s="64" t="s">
        <v>32</v>
      </c>
      <c r="C60" s="30">
        <v>2024</v>
      </c>
      <c r="D60" s="10" t="s">
        <v>33</v>
      </c>
      <c r="E60" s="6" t="s">
        <v>10</v>
      </c>
      <c r="F60" s="30">
        <v>445</v>
      </c>
      <c r="G60" s="30" t="s">
        <v>11</v>
      </c>
      <c r="H60" s="30">
        <v>201147</v>
      </c>
      <c r="I60" s="44" t="s">
        <v>23</v>
      </c>
    </row>
    <row r="61" spans="1:9" ht="24" x14ac:dyDescent="0.25">
      <c r="A61" s="31">
        <v>58</v>
      </c>
      <c r="B61" s="65" t="s">
        <v>32</v>
      </c>
      <c r="C61" s="30">
        <v>2024</v>
      </c>
      <c r="D61" s="10" t="s">
        <v>33</v>
      </c>
      <c r="E61" s="6" t="s">
        <v>10</v>
      </c>
      <c r="F61" s="30">
        <v>20</v>
      </c>
      <c r="G61" s="30" t="s">
        <v>11</v>
      </c>
      <c r="H61" s="30">
        <v>201147</v>
      </c>
      <c r="I61" s="30" t="s">
        <v>23</v>
      </c>
    </row>
    <row r="62" spans="1:9" ht="24" x14ac:dyDescent="0.25">
      <c r="A62" s="31">
        <v>59</v>
      </c>
      <c r="B62" s="64" t="s">
        <v>36</v>
      </c>
      <c r="C62" s="30">
        <v>2023</v>
      </c>
      <c r="D62" s="10" t="s">
        <v>37</v>
      </c>
      <c r="E62" s="6" t="s">
        <v>10</v>
      </c>
      <c r="F62" s="30">
        <v>5</v>
      </c>
      <c r="G62" s="30" t="s">
        <v>11</v>
      </c>
      <c r="H62" s="30" t="s">
        <v>52</v>
      </c>
      <c r="I62" s="44"/>
    </row>
    <row r="63" spans="1:9" ht="24" x14ac:dyDescent="0.25">
      <c r="A63" s="31">
        <v>60</v>
      </c>
      <c r="B63" s="60" t="s">
        <v>154</v>
      </c>
      <c r="C63" s="30">
        <v>2023</v>
      </c>
      <c r="D63" s="41" t="s">
        <v>155</v>
      </c>
      <c r="E63" s="29" t="s">
        <v>10</v>
      </c>
      <c r="F63" s="30">
        <v>310</v>
      </c>
      <c r="G63" s="30" t="s">
        <v>11</v>
      </c>
      <c r="H63" s="30">
        <v>201832</v>
      </c>
      <c r="I63" s="30" t="s">
        <v>156</v>
      </c>
    </row>
    <row r="64" spans="1:9" ht="24" x14ac:dyDescent="0.25">
      <c r="A64" s="31">
        <v>61</v>
      </c>
      <c r="B64" s="60" t="s">
        <v>157</v>
      </c>
      <c r="C64" s="30">
        <v>2024</v>
      </c>
      <c r="D64" s="41" t="s">
        <v>158</v>
      </c>
      <c r="E64" s="29" t="s">
        <v>10</v>
      </c>
      <c r="F64" s="30">
        <v>273</v>
      </c>
      <c r="G64" s="30" t="s">
        <v>11</v>
      </c>
      <c r="H64" s="30">
        <v>201642</v>
      </c>
      <c r="I64" s="30" t="s">
        <v>108</v>
      </c>
    </row>
    <row r="65" spans="1:9" ht="24" x14ac:dyDescent="0.25">
      <c r="A65" s="31">
        <v>62</v>
      </c>
      <c r="B65" s="31" t="s">
        <v>87</v>
      </c>
      <c r="C65" s="30">
        <v>2024</v>
      </c>
      <c r="D65" s="29" t="s">
        <v>88</v>
      </c>
      <c r="E65" s="29" t="s">
        <v>10</v>
      </c>
      <c r="F65" s="30">
        <v>6032</v>
      </c>
      <c r="G65" s="30" t="s">
        <v>11</v>
      </c>
      <c r="H65" s="30">
        <v>201669</v>
      </c>
      <c r="I65" s="44" t="s">
        <v>89</v>
      </c>
    </row>
    <row r="66" spans="1:9" ht="24" x14ac:dyDescent="0.25">
      <c r="A66" s="31">
        <v>63</v>
      </c>
      <c r="B66" s="31" t="s">
        <v>87</v>
      </c>
      <c r="C66" s="30">
        <v>2024</v>
      </c>
      <c r="D66" s="29" t="s">
        <v>88</v>
      </c>
      <c r="E66" s="29" t="s">
        <v>10</v>
      </c>
      <c r="F66" s="30">
        <v>115</v>
      </c>
      <c r="G66" s="30" t="s">
        <v>11</v>
      </c>
      <c r="H66" s="30" t="s">
        <v>116</v>
      </c>
      <c r="I66" s="44" t="s">
        <v>117</v>
      </c>
    </row>
    <row r="67" spans="1:9" ht="24" x14ac:dyDescent="0.25">
      <c r="A67" s="31">
        <v>64</v>
      </c>
      <c r="B67" s="60" t="s">
        <v>87</v>
      </c>
      <c r="C67" s="30">
        <v>2024</v>
      </c>
      <c r="D67" s="29" t="s">
        <v>88</v>
      </c>
      <c r="E67" s="29" t="s">
        <v>10</v>
      </c>
      <c r="F67" s="30">
        <v>4757</v>
      </c>
      <c r="G67" s="30" t="s">
        <v>11</v>
      </c>
      <c r="H67" s="30">
        <v>201656</v>
      </c>
      <c r="I67" s="30" t="s">
        <v>119</v>
      </c>
    </row>
    <row r="68" spans="1:9" ht="24" x14ac:dyDescent="0.25">
      <c r="A68" s="31">
        <v>65</v>
      </c>
      <c r="B68" s="60" t="s">
        <v>87</v>
      </c>
      <c r="C68" s="30">
        <v>2024</v>
      </c>
      <c r="D68" s="29" t="s">
        <v>88</v>
      </c>
      <c r="E68" s="29" t="s">
        <v>10</v>
      </c>
      <c r="F68" s="30">
        <v>154</v>
      </c>
      <c r="G68" s="30" t="s">
        <v>11</v>
      </c>
      <c r="H68" s="30" t="s">
        <v>121</v>
      </c>
      <c r="I68" s="44" t="s">
        <v>119</v>
      </c>
    </row>
    <row r="69" spans="1:9" ht="24" x14ac:dyDescent="0.25">
      <c r="A69" s="31">
        <v>66</v>
      </c>
      <c r="B69" s="60" t="s">
        <v>87</v>
      </c>
      <c r="C69" s="30">
        <v>2024</v>
      </c>
      <c r="D69" s="29" t="s">
        <v>88</v>
      </c>
      <c r="E69" s="29" t="s">
        <v>10</v>
      </c>
      <c r="F69" s="30">
        <v>798</v>
      </c>
      <c r="G69" s="30" t="s">
        <v>11</v>
      </c>
      <c r="H69" s="30">
        <v>201785</v>
      </c>
      <c r="I69" s="30" t="s">
        <v>141</v>
      </c>
    </row>
    <row r="70" spans="1:9" ht="24" x14ac:dyDescent="0.25">
      <c r="A70" s="31">
        <v>67</v>
      </c>
      <c r="B70" s="60" t="s">
        <v>87</v>
      </c>
      <c r="C70" s="30">
        <v>2024</v>
      </c>
      <c r="D70" s="29" t="s">
        <v>88</v>
      </c>
      <c r="E70" s="29" t="s">
        <v>10</v>
      </c>
      <c r="F70" s="30">
        <v>259</v>
      </c>
      <c r="G70" s="30" t="s">
        <v>11</v>
      </c>
      <c r="H70" s="30">
        <v>201832</v>
      </c>
      <c r="I70" s="30" t="s">
        <v>141</v>
      </c>
    </row>
    <row r="71" spans="1:9" ht="24" x14ac:dyDescent="0.25">
      <c r="A71" s="31">
        <v>68</v>
      </c>
      <c r="B71" s="60" t="s">
        <v>87</v>
      </c>
      <c r="C71" s="30">
        <v>2024</v>
      </c>
      <c r="D71" s="29" t="s">
        <v>88</v>
      </c>
      <c r="E71" s="29" t="s">
        <v>10</v>
      </c>
      <c r="F71" s="30">
        <v>15</v>
      </c>
      <c r="G71" s="30" t="s">
        <v>11</v>
      </c>
      <c r="H71" s="30" t="s">
        <v>116</v>
      </c>
      <c r="I71" s="44" t="s">
        <v>161</v>
      </c>
    </row>
    <row r="72" spans="1:9" ht="24" x14ac:dyDescent="0.25">
      <c r="A72" s="31">
        <v>69</v>
      </c>
      <c r="B72" s="60" t="s">
        <v>87</v>
      </c>
      <c r="C72" s="30">
        <v>2024</v>
      </c>
      <c r="D72" s="29" t="s">
        <v>88</v>
      </c>
      <c r="E72" s="29" t="s">
        <v>10</v>
      </c>
      <c r="F72" s="30">
        <v>10</v>
      </c>
      <c r="G72" s="30" t="s">
        <v>11</v>
      </c>
      <c r="H72" s="30" t="s">
        <v>160</v>
      </c>
      <c r="I72" s="30" t="s">
        <v>141</v>
      </c>
    </row>
    <row r="73" spans="1:9" ht="60" x14ac:dyDescent="0.25">
      <c r="A73" s="31">
        <v>70</v>
      </c>
      <c r="B73" s="60" t="s">
        <v>87</v>
      </c>
      <c r="C73" s="30">
        <v>2024</v>
      </c>
      <c r="D73" s="29" t="s">
        <v>88</v>
      </c>
      <c r="E73" s="29" t="s">
        <v>10</v>
      </c>
      <c r="F73" s="30">
        <v>20</v>
      </c>
      <c r="G73" s="30" t="s">
        <v>11</v>
      </c>
      <c r="H73" s="30" t="s">
        <v>116</v>
      </c>
      <c r="I73" s="59" t="s">
        <v>170</v>
      </c>
    </row>
    <row r="74" spans="1:9" ht="24" x14ac:dyDescent="0.25">
      <c r="A74" s="31">
        <v>71</v>
      </c>
      <c r="B74" s="60" t="s">
        <v>87</v>
      </c>
      <c r="C74" s="30">
        <v>2024</v>
      </c>
      <c r="D74" s="55" t="s">
        <v>88</v>
      </c>
      <c r="E74" s="29" t="s">
        <v>10</v>
      </c>
      <c r="F74" s="30">
        <v>5</v>
      </c>
      <c r="G74" s="30" t="s">
        <v>11</v>
      </c>
      <c r="H74" s="30" t="s">
        <v>116</v>
      </c>
      <c r="I74" s="59" t="s">
        <v>177</v>
      </c>
    </row>
    <row r="75" spans="1:9" ht="24" x14ac:dyDescent="0.25">
      <c r="A75" s="31">
        <v>72</v>
      </c>
      <c r="B75" s="60" t="s">
        <v>99</v>
      </c>
      <c r="C75" s="30">
        <v>2024</v>
      </c>
      <c r="D75" s="35" t="s">
        <v>98</v>
      </c>
      <c r="E75" s="29" t="s">
        <v>10</v>
      </c>
      <c r="F75" s="30">
        <v>953</v>
      </c>
      <c r="G75" s="30" t="s">
        <v>11</v>
      </c>
      <c r="H75" s="30">
        <v>201642</v>
      </c>
      <c r="I75" s="44" t="s">
        <v>108</v>
      </c>
    </row>
    <row r="76" spans="1:9" ht="24" x14ac:dyDescent="0.25">
      <c r="A76" s="31">
        <v>73</v>
      </c>
      <c r="B76" s="60" t="s">
        <v>101</v>
      </c>
      <c r="C76" s="30">
        <v>2024</v>
      </c>
      <c r="D76" s="35" t="s">
        <v>100</v>
      </c>
      <c r="E76" s="29" t="s">
        <v>10</v>
      </c>
      <c r="F76" s="30">
        <v>250</v>
      </c>
      <c r="G76" s="30" t="s">
        <v>11</v>
      </c>
      <c r="H76" s="30">
        <v>201689</v>
      </c>
      <c r="I76" s="44" t="s">
        <v>109</v>
      </c>
    </row>
    <row r="77" spans="1:9" ht="24" x14ac:dyDescent="0.25">
      <c r="A77" s="31">
        <v>74</v>
      </c>
      <c r="B77" s="60" t="s">
        <v>102</v>
      </c>
      <c r="C77" s="30">
        <v>2024</v>
      </c>
      <c r="D77" s="36" t="s">
        <v>103</v>
      </c>
      <c r="E77" s="29" t="s">
        <v>10</v>
      </c>
      <c r="F77" s="30">
        <v>934</v>
      </c>
      <c r="G77" s="30" t="s">
        <v>11</v>
      </c>
      <c r="H77" s="30">
        <v>201689</v>
      </c>
      <c r="I77" s="30" t="s">
        <v>110</v>
      </c>
    </row>
    <row r="78" spans="1:9" ht="24" x14ac:dyDescent="0.25">
      <c r="A78" s="31">
        <v>75</v>
      </c>
      <c r="B78" s="61" t="s">
        <v>102</v>
      </c>
      <c r="C78" s="30">
        <v>2024</v>
      </c>
      <c r="D78" s="35" t="s">
        <v>103</v>
      </c>
      <c r="E78" s="29" t="s">
        <v>10</v>
      </c>
      <c r="F78" s="30">
        <v>124</v>
      </c>
      <c r="G78" s="30" t="s">
        <v>11</v>
      </c>
      <c r="H78" s="30">
        <v>201689</v>
      </c>
      <c r="I78" s="44" t="s">
        <v>110</v>
      </c>
    </row>
    <row r="79" spans="1:9" ht="24" x14ac:dyDescent="0.25">
      <c r="A79" s="31">
        <v>76</v>
      </c>
      <c r="B79" s="61" t="s">
        <v>102</v>
      </c>
      <c r="C79" s="30">
        <v>2024</v>
      </c>
      <c r="D79" s="35" t="s">
        <v>103</v>
      </c>
      <c r="E79" s="29" t="s">
        <v>10</v>
      </c>
      <c r="F79" s="30">
        <v>874</v>
      </c>
      <c r="G79" s="30" t="s">
        <v>11</v>
      </c>
      <c r="H79" s="30">
        <v>201785</v>
      </c>
      <c r="I79" s="44" t="s">
        <v>142</v>
      </c>
    </row>
    <row r="80" spans="1:9" ht="24" x14ac:dyDescent="0.25">
      <c r="A80" s="31">
        <v>77</v>
      </c>
      <c r="B80" s="61" t="s">
        <v>102</v>
      </c>
      <c r="C80" s="30">
        <v>2024</v>
      </c>
      <c r="D80" s="35" t="s">
        <v>103</v>
      </c>
      <c r="E80" s="29" t="s">
        <v>10</v>
      </c>
      <c r="F80" s="30">
        <v>30</v>
      </c>
      <c r="G80" s="30" t="s">
        <v>11</v>
      </c>
      <c r="H80" s="30" t="s">
        <v>123</v>
      </c>
      <c r="I80" s="44" t="s">
        <v>110</v>
      </c>
    </row>
    <row r="81" spans="1:9" ht="24" x14ac:dyDescent="0.25">
      <c r="A81" s="31">
        <v>78</v>
      </c>
      <c r="B81" s="60" t="s">
        <v>102</v>
      </c>
      <c r="C81" s="30">
        <v>2024</v>
      </c>
      <c r="D81" s="36" t="s">
        <v>103</v>
      </c>
      <c r="E81" s="29" t="s">
        <v>10</v>
      </c>
      <c r="F81" s="30">
        <v>60</v>
      </c>
      <c r="G81" s="30" t="s">
        <v>11</v>
      </c>
      <c r="H81" s="30">
        <v>201832</v>
      </c>
      <c r="I81" s="30" t="s">
        <v>110</v>
      </c>
    </row>
    <row r="82" spans="1:9" ht="24" x14ac:dyDescent="0.25">
      <c r="A82" s="31">
        <v>79</v>
      </c>
      <c r="B82" s="60" t="s">
        <v>104</v>
      </c>
      <c r="C82" s="30">
        <v>2024</v>
      </c>
      <c r="D82" s="35" t="s">
        <v>105</v>
      </c>
      <c r="E82" s="29" t="s">
        <v>10</v>
      </c>
      <c r="F82" s="30">
        <v>183</v>
      </c>
      <c r="G82" s="30" t="s">
        <v>11</v>
      </c>
      <c r="H82" s="30">
        <v>201642</v>
      </c>
      <c r="I82" s="30" t="s">
        <v>111</v>
      </c>
    </row>
    <row r="83" spans="1:9" ht="24" x14ac:dyDescent="0.25">
      <c r="A83" s="31">
        <v>80</v>
      </c>
      <c r="B83" s="61" t="s">
        <v>104</v>
      </c>
      <c r="C83" s="30">
        <v>2024</v>
      </c>
      <c r="D83" s="10" t="s">
        <v>105</v>
      </c>
      <c r="E83" s="29" t="s">
        <v>10</v>
      </c>
      <c r="F83" s="30">
        <v>5</v>
      </c>
      <c r="G83" s="30" t="s">
        <v>11</v>
      </c>
      <c r="H83" s="30" t="s">
        <v>122</v>
      </c>
      <c r="I83" s="44" t="s">
        <v>111</v>
      </c>
    </row>
    <row r="84" spans="1:9" ht="24" x14ac:dyDescent="0.25">
      <c r="A84" s="31">
        <v>81</v>
      </c>
      <c r="B84" s="61" t="s">
        <v>104</v>
      </c>
      <c r="C84" s="30">
        <v>2024</v>
      </c>
      <c r="D84" s="10" t="s">
        <v>105</v>
      </c>
      <c r="E84" s="29" t="s">
        <v>10</v>
      </c>
      <c r="F84" s="30">
        <v>133</v>
      </c>
      <c r="G84" s="30" t="s">
        <v>11</v>
      </c>
      <c r="H84" s="30" t="s">
        <v>124</v>
      </c>
      <c r="I84" s="44" t="s">
        <v>125</v>
      </c>
    </row>
    <row r="85" spans="1:9" ht="24" x14ac:dyDescent="0.25">
      <c r="A85" s="31">
        <v>82</v>
      </c>
      <c r="B85" s="60" t="s">
        <v>104</v>
      </c>
      <c r="C85" s="30">
        <v>2024</v>
      </c>
      <c r="D85" s="6" t="s">
        <v>105</v>
      </c>
      <c r="E85" s="29" t="s">
        <v>10</v>
      </c>
      <c r="F85" s="30">
        <v>127</v>
      </c>
      <c r="G85" s="30" t="s">
        <v>11</v>
      </c>
      <c r="H85" s="30">
        <v>201832</v>
      </c>
      <c r="I85" s="30" t="s">
        <v>111</v>
      </c>
    </row>
    <row r="86" spans="1:9" ht="24" x14ac:dyDescent="0.25">
      <c r="A86" s="31">
        <v>83</v>
      </c>
      <c r="B86" s="60" t="s">
        <v>106</v>
      </c>
      <c r="C86" s="30">
        <v>2024</v>
      </c>
      <c r="D86" s="36" t="s">
        <v>107</v>
      </c>
      <c r="E86" s="29" t="s">
        <v>10</v>
      </c>
      <c r="F86" s="30">
        <v>2111</v>
      </c>
      <c r="G86" s="30" t="s">
        <v>11</v>
      </c>
      <c r="H86" s="30">
        <v>201689</v>
      </c>
      <c r="I86" s="30" t="s">
        <v>112</v>
      </c>
    </row>
    <row r="87" spans="1:9" ht="24" x14ac:dyDescent="0.25">
      <c r="A87" s="31">
        <v>84</v>
      </c>
      <c r="B87" s="60" t="s">
        <v>106</v>
      </c>
      <c r="C87" s="30">
        <v>2024</v>
      </c>
      <c r="D87" s="36" t="s">
        <v>107</v>
      </c>
      <c r="E87" s="29" t="s">
        <v>10</v>
      </c>
      <c r="F87" s="30">
        <v>96</v>
      </c>
      <c r="G87" s="30" t="s">
        <v>11</v>
      </c>
      <c r="H87" s="30">
        <v>201656</v>
      </c>
      <c r="I87" s="30" t="s">
        <v>120</v>
      </c>
    </row>
    <row r="88" spans="1:9" ht="24" x14ac:dyDescent="0.25">
      <c r="A88" s="31">
        <v>85</v>
      </c>
      <c r="B88" s="60" t="s">
        <v>106</v>
      </c>
      <c r="C88" s="30">
        <v>2024</v>
      </c>
      <c r="D88" s="35" t="s">
        <v>107</v>
      </c>
      <c r="E88" s="29" t="s">
        <v>10</v>
      </c>
      <c r="F88" s="30">
        <v>30</v>
      </c>
      <c r="G88" s="30" t="s">
        <v>11</v>
      </c>
      <c r="H88" s="30" t="s">
        <v>121</v>
      </c>
      <c r="I88" s="44" t="s">
        <v>120</v>
      </c>
    </row>
    <row r="89" spans="1:9" ht="24" x14ac:dyDescent="0.25">
      <c r="A89" s="31">
        <v>86</v>
      </c>
      <c r="B89" s="60" t="s">
        <v>106</v>
      </c>
      <c r="C89" s="30">
        <v>2024</v>
      </c>
      <c r="D89" s="35" t="s">
        <v>107</v>
      </c>
      <c r="E89" s="29" t="s">
        <v>10</v>
      </c>
      <c r="F89" s="30">
        <v>123</v>
      </c>
      <c r="G89" s="30" t="s">
        <v>11</v>
      </c>
      <c r="H89" s="30">
        <v>201832</v>
      </c>
      <c r="I89" s="44" t="s">
        <v>159</v>
      </c>
    </row>
    <row r="90" spans="1:9" ht="24" x14ac:dyDescent="0.25">
      <c r="A90" s="31">
        <v>87</v>
      </c>
      <c r="B90" s="60" t="s">
        <v>90</v>
      </c>
      <c r="C90" s="30">
        <v>2024</v>
      </c>
      <c r="D90" s="57" t="s">
        <v>91</v>
      </c>
      <c r="E90" s="29" t="s">
        <v>10</v>
      </c>
      <c r="F90" s="30">
        <v>2177</v>
      </c>
      <c r="G90" s="30" t="s">
        <v>11</v>
      </c>
      <c r="H90" s="30">
        <v>201645</v>
      </c>
      <c r="I90" s="44" t="s">
        <v>92</v>
      </c>
    </row>
    <row r="91" spans="1:9" ht="24" x14ac:dyDescent="0.25">
      <c r="A91" s="31">
        <v>88</v>
      </c>
      <c r="B91" s="60" t="s">
        <v>90</v>
      </c>
      <c r="C91" s="30">
        <v>2024</v>
      </c>
      <c r="D91" s="36" t="s">
        <v>91</v>
      </c>
      <c r="E91" s="29" t="s">
        <v>10</v>
      </c>
      <c r="F91" s="30">
        <v>65</v>
      </c>
      <c r="G91" s="30" t="s">
        <v>11</v>
      </c>
      <c r="H91" s="30">
        <v>201645</v>
      </c>
      <c r="I91" s="30" t="s">
        <v>115</v>
      </c>
    </row>
    <row r="92" spans="1:9" ht="24" x14ac:dyDescent="0.25">
      <c r="A92" s="31">
        <v>89</v>
      </c>
      <c r="B92" s="60" t="s">
        <v>166</v>
      </c>
      <c r="C92" s="30">
        <v>2024</v>
      </c>
      <c r="D92" s="53" t="s">
        <v>136</v>
      </c>
      <c r="E92" s="29" t="s">
        <v>10</v>
      </c>
      <c r="F92" s="30">
        <v>95</v>
      </c>
      <c r="G92" s="30" t="s">
        <v>11</v>
      </c>
      <c r="H92" s="30" t="s">
        <v>167</v>
      </c>
      <c r="I92" s="30" t="s">
        <v>168</v>
      </c>
    </row>
    <row r="93" spans="1:9" ht="24" x14ac:dyDescent="0.25">
      <c r="A93" s="31">
        <v>90</v>
      </c>
      <c r="B93" s="30" t="s">
        <v>24</v>
      </c>
      <c r="C93" s="30">
        <v>2023</v>
      </c>
      <c r="D93" s="6" t="s">
        <v>25</v>
      </c>
      <c r="E93" s="6" t="s">
        <v>10</v>
      </c>
      <c r="F93" s="30">
        <v>446</v>
      </c>
      <c r="G93" s="30" t="s">
        <v>11</v>
      </c>
      <c r="H93" s="30">
        <v>200541</v>
      </c>
      <c r="I93" s="30" t="s">
        <v>26</v>
      </c>
    </row>
    <row r="94" spans="1:9" x14ac:dyDescent="0.25">
      <c r="F94">
        <f>SUM(F4:F93)</f>
        <v>44735</v>
      </c>
    </row>
  </sheetData>
  <autoFilter ref="A3:I3" xr:uid="{FBD4387D-5DD0-41A3-A14D-FB1A9210238F}">
    <filterColumn colId="8" showButton="0"/>
    <sortState xmlns:xlrd2="http://schemas.microsoft.com/office/spreadsheetml/2017/richdata2" ref="A4:I93">
      <sortCondition ref="B3"/>
    </sortState>
  </autoFilter>
  <mergeCells count="1">
    <mergeCell ref="A1:I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03.10.25</vt:lpstr>
      <vt:lpstr>10.10.25 </vt:lpstr>
      <vt:lpstr>17.10.25 </vt:lpstr>
      <vt:lpstr>24.10.25 </vt:lpstr>
      <vt:lpstr>31.10.25 </vt:lpstr>
      <vt:lpstr>07.11.25 </vt:lpstr>
      <vt:lpstr>14.11.25 </vt:lpstr>
      <vt:lpstr>21.11.25</vt:lpstr>
      <vt:lpstr>28.11.25 </vt:lpstr>
      <vt:lpstr>05.12.25 </vt:lpstr>
      <vt:lpstr>12.12.25 </vt:lpstr>
      <vt:lpstr>19.12.25</vt:lpstr>
      <vt:lpstr>26.12.25 </vt:lpstr>
      <vt:lpstr>02.01.26 </vt:lpstr>
      <vt:lpstr>Sumary </vt:lpstr>
      <vt:lpstr>09.01.26</vt:lpstr>
      <vt:lpstr>16.01.26</vt:lpstr>
      <vt:lpstr>23.01.26 </vt:lpstr>
      <vt:lpstr>30.01.26 </vt:lpstr>
      <vt:lpstr>06.02.26</vt:lpstr>
      <vt:lpstr>13.02.26 </vt:lpstr>
      <vt:lpstr>20.02.26</vt:lpstr>
      <vt:lpstr>27.02.26 </vt:lpstr>
      <vt:lpstr>06.03.26 </vt:lpstr>
      <vt:lpstr>13.03.26 </vt:lpstr>
      <vt:lpstr>20.03.26 </vt:lpstr>
      <vt:lpstr>27.03.26 </vt:lpstr>
      <vt:lpstr>03.04.26 </vt:lpstr>
      <vt:lpstr>10.04.26</vt:lpstr>
      <vt:lpstr>24.04.26 </vt:lpstr>
      <vt:lpstr>01.05.26 </vt:lpstr>
      <vt:lpstr>08.05.26 </vt:lpstr>
      <vt:lpstr>15.05.26</vt:lpstr>
      <vt:lpstr>22.05.26 </vt:lpstr>
      <vt:lpstr>29.05.26 </vt:lpstr>
      <vt:lpstr>05.06.26 </vt:lpstr>
      <vt:lpstr>12.06.26 </vt:lpstr>
      <vt:lpstr>19.06.26 </vt:lpstr>
      <vt:lpstr>26.06.26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Srong Kimchea</dc:creator>
  <cp:lastModifiedBy>Srong Kimchea_1</cp:lastModifiedBy>
  <dcterms:created xsi:type="dcterms:W3CDTF">2025-10-03T04:23:25Z</dcterms:created>
  <dcterms:modified xsi:type="dcterms:W3CDTF">2026-08-07T03:31:45Z</dcterms:modified>
</cp:coreProperties>
</file>