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aul Report\Machine Speartart &amp; Needle Report\"/>
    </mc:Choice>
  </mc:AlternateContent>
  <bookViews>
    <workbookView xWindow="0" yWindow="0" windowWidth="20490" windowHeight="7620"/>
  </bookViews>
  <sheets>
    <sheet name="July-31" sheetId="1" r:id="rId1"/>
  </sheets>
  <definedNames>
    <definedName name="_xlnm.Print_Area" localSheetId="0">'July-31'!$A$1:$K$19</definedName>
  </definedNames>
  <calcPr calcId="162913" calcMode="autoNoTable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AO21" i="1"/>
  <c r="AO20" i="1"/>
  <c r="AO19" i="1"/>
  <c r="H19" i="1"/>
  <c r="F19" i="1"/>
  <c r="E19" i="1"/>
  <c r="AO18" i="1"/>
  <c r="H18" i="1"/>
  <c r="F18" i="1"/>
  <c r="AO17" i="1"/>
  <c r="F17" i="1"/>
  <c r="H17" i="1" s="1"/>
  <c r="AO16" i="1"/>
  <c r="F16" i="1"/>
  <c r="H16" i="1" s="1"/>
  <c r="AO15" i="1"/>
  <c r="F15" i="1"/>
  <c r="H15" i="1" s="1"/>
  <c r="E15" i="1"/>
  <c r="AO14" i="1"/>
  <c r="F14" i="1"/>
  <c r="H14" i="1" s="1"/>
  <c r="E14" i="1"/>
  <c r="AO13" i="1"/>
  <c r="F13" i="1"/>
  <c r="H13" i="1" s="1"/>
  <c r="E13" i="1"/>
  <c r="AO12" i="1"/>
  <c r="F12" i="1"/>
  <c r="H12" i="1" s="1"/>
  <c r="E12" i="1"/>
  <c r="AO11" i="1"/>
  <c r="F11" i="1"/>
  <c r="H11" i="1" s="1"/>
  <c r="E11" i="1"/>
  <c r="AO10" i="1"/>
  <c r="F10" i="1"/>
  <c r="H10" i="1" s="1"/>
  <c r="E10" i="1"/>
  <c r="AO9" i="1"/>
  <c r="F9" i="1"/>
  <c r="H9" i="1" s="1"/>
  <c r="E9" i="1"/>
  <c r="AO8" i="1"/>
  <c r="F8" i="1"/>
  <c r="H8" i="1" s="1"/>
  <c r="E8" i="1"/>
  <c r="AO7" i="1"/>
  <c r="F7" i="1"/>
  <c r="H7" i="1" s="1"/>
  <c r="E7" i="1"/>
  <c r="AO6" i="1"/>
  <c r="F6" i="1"/>
  <c r="H6" i="1" s="1"/>
  <c r="E6" i="1"/>
  <c r="AO5" i="1"/>
  <c r="F5" i="1"/>
  <c r="H5" i="1" s="1"/>
  <c r="E5" i="1"/>
  <c r="AO4" i="1"/>
  <c r="F4" i="1"/>
  <c r="H4" i="1" s="1"/>
  <c r="E4" i="1"/>
  <c r="AO3" i="1"/>
  <c r="AO22" i="1" s="1"/>
  <c r="F3" i="1"/>
  <c r="H3" i="1" s="1"/>
  <c r="E3" i="1"/>
  <c r="E22" i="1" s="1"/>
  <c r="H22" i="1" l="1"/>
  <c r="F22" i="1"/>
  <c r="K2" i="1" l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</calcChain>
</file>

<file path=xl/sharedStrings.xml><?xml version="1.0" encoding="utf-8"?>
<sst xmlns="http://schemas.openxmlformats.org/spreadsheetml/2006/main" count="64" uniqueCount="32">
  <si>
    <t>របាយការណ៏ស្តុកម្ជុលដេរ​ Needles Stock Report 针库存报告</t>
  </si>
  <si>
    <t>1-31/7/2026</t>
  </si>
  <si>
    <t>កាលបរិច្ឆេទ Date 日期</t>
  </si>
  <si>
    <t>លរ No. 数字</t>
  </si>
  <si>
    <t>ប្រភេទម្ជុល Needle Type 针型</t>
  </si>
  <si>
    <t>ទំហំ​ SIZE 尺寸</t>
  </si>
  <si>
    <t>ចំនួនប្រើប្រចាំខែ Monthly Used Quantity 每月使用量</t>
  </si>
  <si>
    <t>ចំនួននៅសល់ Stock Left 剩余库存</t>
  </si>
  <si>
    <t>ចំនួនបញ្ជាទិញប្រចាំខែ Monthly Order Quantity 月度订货量</t>
  </si>
  <si>
    <t>តម្លៃឯកតា​​ Unite Price 单价</t>
  </si>
  <si>
    <t>តម្លៃសរុប​​ Total Price 总价</t>
  </si>
  <si>
    <t>សំគាល់ Remark 评论</t>
  </si>
  <si>
    <t>Total:</t>
  </si>
  <si>
    <t>DBX1</t>
  </si>
  <si>
    <t>100/16</t>
  </si>
  <si>
    <t>Single Needle</t>
  </si>
  <si>
    <t>90/14</t>
  </si>
  <si>
    <t>80/12</t>
  </si>
  <si>
    <t>65/9</t>
  </si>
  <si>
    <t>110/18</t>
  </si>
  <si>
    <t>DCX27</t>
  </si>
  <si>
    <t>110/16</t>
  </si>
  <si>
    <t>Overlock</t>
  </si>
  <si>
    <t>DPX5</t>
  </si>
  <si>
    <t>Bartack</t>
  </si>
  <si>
    <t>120/19</t>
  </si>
  <si>
    <t>DPX17</t>
  </si>
  <si>
    <t>Waistband</t>
  </si>
  <si>
    <t>UOX113</t>
  </si>
  <si>
    <t>Buttonhole</t>
  </si>
  <si>
    <t>75/11</t>
  </si>
  <si>
    <t>UYx128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</si>
</sst>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;@"/>
    <numFmt numFmtId="165" formatCode="0\ \ &quot;Pcs&quot;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6" fontId="0" fillId="0" borderId="0" xfId="0" applyNumberFormat="1"/>
    <xf numFmtId="166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2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5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numFmt numFmtId="166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6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/>
      </border>
    </dxf>
    <dxf>
      <numFmt numFmtId="166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6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/>
      </border>
    </dxf>
    <dxf>
      <numFmt numFmtId="165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5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/>
      </border>
    </dxf>
    <dxf>
      <numFmt numFmtId="165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5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/>
      </border>
    </dxf>
    <dxf>
      <numFmt numFmtId="165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5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b/>
        <i/>
        <color rgb="FF002060"/>
      </font>
      <fill>
        <patternFill patternType="gray125"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971550</xdr:colOff>
      <xdr:row>1</xdr:row>
      <xdr:rowOff>0</xdr:rowOff>
    </xdr:to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533525" cy="600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2:I22" totalsRowCount="1" headerRowDxfId="23" dataDxfId="22" totalsRowDxfId="21" headerRowBorderDxfId="19" tableBorderDxfId="20" totalsRowBorderDxfId="18">
  <autoFilter ref="A2:I21"/>
  <tableColumns count="9">
    <tableColumn id="1" name="លរ No. 数字" dataDxfId="16" totalsRowDxfId="17"/>
    <tableColumn id="2" name="ប្រភេទម្ជុល Needle Type 针型" dataDxfId="14" totalsRowDxfId="15"/>
    <tableColumn id="3" name="ទំហំ​ SIZE 尺寸" dataDxfId="12" totalsRowDxfId="13"/>
    <tableColumn id="5" name="ចំនួនប្រើប្រចាំខែ Monthly Used Quantity 每月使用量" totalsRowFunction="custom" dataDxfId="10" totalsRowDxfId="11">
      <calculatedColumnFormula>SUM(J3:AN3)</calculatedColumnFormula>
      <totalsRowFormula>SUBTOTAL(9,D3:D21)</totalsRowFormula>
    </tableColumn>
    <tableColumn id="8" name="ចំនួននៅសល់ Stock Left 剩余库存" totalsRowFunction="custom" dataDxfId="8" totalsRowDxfId="9">
      <calculatedColumnFormula>AO3-D3+660</calculatedColumnFormula>
      <totalsRowFormula>SUBTOTAL(9,E3:E21)</totalsRowFormula>
    </tableColumn>
    <tableColumn id="4" name="ចំនួនបញ្ជាទិញប្រចាំខែ Monthly Order Quantity 月度订货量" totalsRowFunction="custom" dataDxfId="6" totalsRowDxfId="7">
      <calculatedColumnFormula>SUM(J3:AN3)</calculatedColumnFormula>
      <totalsRowFormula>SUBTOTAL(9,F3:F21)</totalsRowFormula>
    </tableColumn>
    <tableColumn id="6" name="តម្លៃឯកតា​​ Unite Price 单价" dataDxfId="4" totalsRowDxfId="5"/>
    <tableColumn id="7" name="តម្លៃសរុប​​ Total Price 总价" totalsRowFunction="custom" dataDxfId="2" totalsRowDxfId="3">
      <calculatedColumnFormula>+F3*G3</calculatedColumnFormula>
      <totalsRowFormula>SUBTOTAL(9,H3:H21)</totalsRowFormula>
    </tableColumn>
    <tableColumn id="9" name="សំគាល់ Remark 评论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"/>
  <sheetViews>
    <sheetView tabSelected="1" workbookViewId="0">
      <pane xSplit="8" ySplit="2" topLeftCell="I15" activePane="bottomRight" state="frozen"/>
      <selection pane="topRight" activeCell="I1" sqref="I1"/>
      <selection pane="bottomLeft" activeCell="A3" sqref="A3"/>
      <selection pane="bottomRight" activeCell="C19" sqref="C19"/>
    </sheetView>
  </sheetViews>
  <sheetFormatPr defaultRowHeight="15" outlineLevelCol="2" x14ac:dyDescent="0.25"/>
  <cols>
    <col min="1" max="1" width="8.42578125" customWidth="1"/>
    <col min="2" max="2" width="15.42578125" customWidth="1"/>
    <col min="3" max="3" width="16.28515625" customWidth="1"/>
    <col min="4" max="4" width="15.85546875" customWidth="1"/>
    <col min="5" max="5" width="14.28515625" customWidth="1"/>
    <col min="6" max="6" width="20.28515625" customWidth="1"/>
    <col min="7" max="7" width="14.5703125" customWidth="1"/>
    <col min="8" max="8" width="18" customWidth="1"/>
    <col min="9" max="9" width="23.85546875" customWidth="1"/>
    <col min="10" max="10" width="13.7109375" hidden="1" customWidth="1" outlineLevel="2"/>
    <col min="11" max="12" width="23" hidden="1" customWidth="1" outlineLevel="2"/>
    <col min="13" max="18" width="9.28515625" hidden="1" customWidth="1" outlineLevel="2"/>
    <col min="19" max="19" width="11.7109375" hidden="1" customWidth="1" outlineLevel="2"/>
    <col min="20" max="20" width="10.140625" hidden="1" customWidth="1" outlineLevel="2"/>
    <col min="21" max="21" width="10.42578125" hidden="1" customWidth="1" outlineLevel="2"/>
    <col min="22" max="39" width="9.85546875" hidden="1" customWidth="1" outlineLevel="2"/>
    <col min="40" max="40" width="12.5703125" hidden="1" customWidth="1" outlineLevel="2"/>
    <col min="41" max="41" width="14.28515625" customWidth="1" collapsed="1"/>
    <col min="42" max="43" width="9.85546875" bestFit="1" customWidth="1"/>
  </cols>
  <sheetData>
    <row r="1" spans="1:41" ht="48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4" t="s">
        <v>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1" s="9" customFormat="1" ht="66.75" customHeight="1" x14ac:dyDescent="0.25">
      <c r="A2" s="5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7" t="s">
        <v>11</v>
      </c>
      <c r="J2" s="8">
        <v>46204</v>
      </c>
      <c r="K2" s="8">
        <f ca="1">IF(K2="","", IF(K2&lt;EOMONTH(K2,1),J2+1,""))</f>
        <v>46205</v>
      </c>
      <c r="L2" s="8">
        <f t="shared" ref="L2:AN2" ca="1" si="0">IF(L2="","", IF(L2&lt;EOMONTH(L2,1),K2+1,""))</f>
        <v>46206</v>
      </c>
      <c r="M2" s="8">
        <f t="shared" ca="1" si="0"/>
        <v>46207</v>
      </c>
      <c r="N2" s="8">
        <f t="shared" ca="1" si="0"/>
        <v>46208</v>
      </c>
      <c r="O2" s="8">
        <f t="shared" ca="1" si="0"/>
        <v>46209</v>
      </c>
      <c r="P2" s="8">
        <f t="shared" ca="1" si="0"/>
        <v>46210</v>
      </c>
      <c r="Q2" s="8">
        <f t="shared" ca="1" si="0"/>
        <v>46211</v>
      </c>
      <c r="R2" s="8">
        <f t="shared" ca="1" si="0"/>
        <v>46212</v>
      </c>
      <c r="S2" s="8">
        <f t="shared" ca="1" si="0"/>
        <v>46213</v>
      </c>
      <c r="T2" s="8">
        <f t="shared" ca="1" si="0"/>
        <v>46214</v>
      </c>
      <c r="U2" s="8">
        <f t="shared" ca="1" si="0"/>
        <v>46215</v>
      </c>
      <c r="V2" s="8">
        <f t="shared" ca="1" si="0"/>
        <v>46216</v>
      </c>
      <c r="W2" s="8">
        <f t="shared" ca="1" si="0"/>
        <v>46217</v>
      </c>
      <c r="X2" s="8">
        <f t="shared" ca="1" si="0"/>
        <v>46218</v>
      </c>
      <c r="Y2" s="8">
        <f t="shared" ca="1" si="0"/>
        <v>46219</v>
      </c>
      <c r="Z2" s="8">
        <f t="shared" ca="1" si="0"/>
        <v>46220</v>
      </c>
      <c r="AA2" s="8">
        <f t="shared" ca="1" si="0"/>
        <v>46221</v>
      </c>
      <c r="AB2" s="8">
        <f t="shared" ca="1" si="0"/>
        <v>46222</v>
      </c>
      <c r="AC2" s="8">
        <f t="shared" ca="1" si="0"/>
        <v>46223</v>
      </c>
      <c r="AD2" s="8">
        <f t="shared" ca="1" si="0"/>
        <v>46224</v>
      </c>
      <c r="AE2" s="8">
        <f t="shared" ca="1" si="0"/>
        <v>46225</v>
      </c>
      <c r="AF2" s="8">
        <f t="shared" ca="1" si="0"/>
        <v>46226</v>
      </c>
      <c r="AG2" s="8">
        <f t="shared" ca="1" si="0"/>
        <v>46227</v>
      </c>
      <c r="AH2" s="8">
        <f t="shared" ca="1" si="0"/>
        <v>46228</v>
      </c>
      <c r="AI2" s="8">
        <f t="shared" ca="1" si="0"/>
        <v>46229</v>
      </c>
      <c r="AJ2" s="8">
        <f t="shared" ca="1" si="0"/>
        <v>46230</v>
      </c>
      <c r="AK2" s="8">
        <f t="shared" ca="1" si="0"/>
        <v>46231</v>
      </c>
      <c r="AL2" s="8">
        <f t="shared" ca="1" si="0"/>
        <v>46232</v>
      </c>
      <c r="AM2" s="8">
        <f t="shared" ca="1" si="0"/>
        <v>46233</v>
      </c>
      <c r="AN2" s="8">
        <f t="shared" ca="1" si="0"/>
        <v>46234</v>
      </c>
      <c r="AO2" s="8" t="s">
        <v>12</v>
      </c>
    </row>
    <row r="3" spans="1:41" ht="22.5" customHeight="1" x14ac:dyDescent="0.25">
      <c r="A3" s="10">
        <v>1</v>
      </c>
      <c r="B3" s="11" t="s">
        <v>13</v>
      </c>
      <c r="C3" s="11" t="s">
        <v>14</v>
      </c>
      <c r="D3" s="12">
        <v>390</v>
      </c>
      <c r="E3" s="12">
        <f>1050-D3</f>
        <v>660</v>
      </c>
      <c r="F3" s="12">
        <f>SUM(J3:AN3)</f>
        <v>100</v>
      </c>
      <c r="G3" s="13">
        <v>0.78</v>
      </c>
      <c r="H3" s="13">
        <f t="shared" ref="H3:H19" si="1">+F3*G3</f>
        <v>78</v>
      </c>
      <c r="I3" s="14" t="s">
        <v>15</v>
      </c>
      <c r="K3" s="15"/>
      <c r="L3" s="15"/>
      <c r="W3">
        <v>100</v>
      </c>
      <c r="AO3">
        <f>SUM(J3:AN3)</f>
        <v>100</v>
      </c>
    </row>
    <row r="4" spans="1:41" ht="22.5" customHeight="1" x14ac:dyDescent="0.25">
      <c r="A4" s="10">
        <v>2</v>
      </c>
      <c r="B4" s="11" t="s">
        <v>13</v>
      </c>
      <c r="C4" s="11" t="s">
        <v>16</v>
      </c>
      <c r="D4" s="12">
        <v>140</v>
      </c>
      <c r="E4" s="12">
        <f>1220-D4</f>
        <v>1080</v>
      </c>
      <c r="F4" s="12">
        <f t="shared" ref="F4:F19" si="2">SUM(J4:AN4)</f>
        <v>100</v>
      </c>
      <c r="G4" s="13">
        <v>0.78</v>
      </c>
      <c r="H4" s="13">
        <f t="shared" si="1"/>
        <v>78</v>
      </c>
      <c r="I4" s="14" t="s">
        <v>15</v>
      </c>
      <c r="K4" s="15"/>
      <c r="L4" s="15"/>
      <c r="W4">
        <v>100</v>
      </c>
      <c r="AO4">
        <f t="shared" ref="AO4:AO21" si="3">SUM(J4:AN4)</f>
        <v>100</v>
      </c>
    </row>
    <row r="5" spans="1:41" ht="22.5" customHeight="1" x14ac:dyDescent="0.25">
      <c r="A5" s="10">
        <v>3</v>
      </c>
      <c r="B5" s="11" t="s">
        <v>13</v>
      </c>
      <c r="C5" s="11" t="s">
        <v>17</v>
      </c>
      <c r="D5" s="12">
        <v>70</v>
      </c>
      <c r="E5" s="12">
        <f>420-D5</f>
        <v>350</v>
      </c>
      <c r="F5" s="12">
        <f t="shared" si="2"/>
        <v>0</v>
      </c>
      <c r="G5" s="13"/>
      <c r="H5" s="13">
        <f t="shared" si="1"/>
        <v>0</v>
      </c>
      <c r="I5" s="14" t="s">
        <v>15</v>
      </c>
      <c r="AO5">
        <f t="shared" si="3"/>
        <v>0</v>
      </c>
    </row>
    <row r="6" spans="1:41" ht="22.5" customHeight="1" x14ac:dyDescent="0.25">
      <c r="A6" s="10">
        <v>4</v>
      </c>
      <c r="B6" s="11" t="s">
        <v>13</v>
      </c>
      <c r="C6" s="11" t="s">
        <v>18</v>
      </c>
      <c r="D6" s="12">
        <v>10</v>
      </c>
      <c r="E6" s="12">
        <f>70-D6</f>
        <v>60</v>
      </c>
      <c r="F6" s="12">
        <f t="shared" si="2"/>
        <v>0</v>
      </c>
      <c r="G6" s="13"/>
      <c r="H6" s="13">
        <f t="shared" si="1"/>
        <v>0</v>
      </c>
      <c r="I6" s="14" t="s">
        <v>15</v>
      </c>
      <c r="AO6">
        <f t="shared" si="3"/>
        <v>0</v>
      </c>
    </row>
    <row r="7" spans="1:41" ht="22.5" customHeight="1" x14ac:dyDescent="0.25">
      <c r="A7" s="10">
        <v>5</v>
      </c>
      <c r="B7" s="11" t="s">
        <v>13</v>
      </c>
      <c r="C7" s="11" t="s">
        <v>19</v>
      </c>
      <c r="D7" s="12">
        <v>10</v>
      </c>
      <c r="E7" s="12">
        <f>60-D7</f>
        <v>50</v>
      </c>
      <c r="F7" s="12">
        <f t="shared" si="2"/>
        <v>0</v>
      </c>
      <c r="G7" s="13"/>
      <c r="H7" s="13">
        <f t="shared" si="1"/>
        <v>0</v>
      </c>
      <c r="I7" s="14" t="s">
        <v>15</v>
      </c>
      <c r="AO7">
        <f t="shared" si="3"/>
        <v>0</v>
      </c>
    </row>
    <row r="8" spans="1:41" ht="22.5" customHeight="1" x14ac:dyDescent="0.25">
      <c r="A8" s="10">
        <v>6</v>
      </c>
      <c r="B8" s="11" t="s">
        <v>20</v>
      </c>
      <c r="C8" s="11" t="s">
        <v>21</v>
      </c>
      <c r="D8" s="12">
        <v>90</v>
      </c>
      <c r="E8" s="12">
        <f>1180-D8</f>
        <v>1090</v>
      </c>
      <c r="F8" s="12">
        <f t="shared" si="2"/>
        <v>100</v>
      </c>
      <c r="G8" s="13">
        <v>1.3</v>
      </c>
      <c r="H8" s="13">
        <f t="shared" si="1"/>
        <v>130</v>
      </c>
      <c r="I8" s="14" t="s">
        <v>22</v>
      </c>
      <c r="W8">
        <v>100</v>
      </c>
      <c r="AO8">
        <f t="shared" si="3"/>
        <v>100</v>
      </c>
    </row>
    <row r="9" spans="1:41" ht="22.5" customHeight="1" x14ac:dyDescent="0.25">
      <c r="A9" s="10">
        <v>7</v>
      </c>
      <c r="B9" s="11" t="s">
        <v>20</v>
      </c>
      <c r="C9" s="11" t="s">
        <v>16</v>
      </c>
      <c r="D9" s="12">
        <v>70</v>
      </c>
      <c r="E9" s="12">
        <f>1100-D9</f>
        <v>1030</v>
      </c>
      <c r="F9" s="12">
        <f t="shared" si="2"/>
        <v>100</v>
      </c>
      <c r="G9" s="13">
        <v>1.3</v>
      </c>
      <c r="H9" s="13">
        <f t="shared" si="1"/>
        <v>130</v>
      </c>
      <c r="I9" s="14" t="s">
        <v>22</v>
      </c>
      <c r="W9">
        <v>100</v>
      </c>
      <c r="AO9">
        <f t="shared" si="3"/>
        <v>100</v>
      </c>
    </row>
    <row r="10" spans="1:41" ht="22.5" customHeight="1" x14ac:dyDescent="0.25">
      <c r="A10" s="10">
        <v>8</v>
      </c>
      <c r="B10" s="11" t="s">
        <v>20</v>
      </c>
      <c r="C10" s="11" t="s">
        <v>17</v>
      </c>
      <c r="D10" s="12">
        <v>80</v>
      </c>
      <c r="E10" s="12">
        <f>370-D10</f>
        <v>290</v>
      </c>
      <c r="F10" s="12">
        <f t="shared" si="2"/>
        <v>0</v>
      </c>
      <c r="G10" s="13"/>
      <c r="H10" s="13">
        <f t="shared" si="1"/>
        <v>0</v>
      </c>
      <c r="I10" s="14" t="s">
        <v>22</v>
      </c>
      <c r="AO10">
        <f t="shared" si="3"/>
        <v>0</v>
      </c>
    </row>
    <row r="11" spans="1:41" ht="22.5" customHeight="1" x14ac:dyDescent="0.25">
      <c r="A11" s="10">
        <v>9</v>
      </c>
      <c r="B11" s="11" t="s">
        <v>23</v>
      </c>
      <c r="C11" s="11" t="s">
        <v>16</v>
      </c>
      <c r="D11" s="12">
        <v>20</v>
      </c>
      <c r="E11" s="12">
        <f>420-D11</f>
        <v>400</v>
      </c>
      <c r="F11" s="12">
        <f t="shared" si="2"/>
        <v>0</v>
      </c>
      <c r="G11" s="13"/>
      <c r="H11" s="13">
        <f t="shared" si="1"/>
        <v>0</v>
      </c>
      <c r="I11" s="14" t="s">
        <v>24</v>
      </c>
      <c r="AO11">
        <f t="shared" si="3"/>
        <v>0</v>
      </c>
    </row>
    <row r="12" spans="1:41" ht="22.5" customHeight="1" x14ac:dyDescent="0.25">
      <c r="A12" s="10">
        <v>10</v>
      </c>
      <c r="B12" s="11" t="s">
        <v>23</v>
      </c>
      <c r="C12" s="11" t="s">
        <v>25</v>
      </c>
      <c r="D12" s="12">
        <v>30</v>
      </c>
      <c r="E12" s="12">
        <f>70-D12</f>
        <v>40</v>
      </c>
      <c r="F12" s="12">
        <f t="shared" si="2"/>
        <v>0</v>
      </c>
      <c r="G12" s="13"/>
      <c r="H12" s="13">
        <f t="shared" si="1"/>
        <v>0</v>
      </c>
      <c r="I12" s="14" t="s">
        <v>24</v>
      </c>
      <c r="AO12">
        <f t="shared" si="3"/>
        <v>0</v>
      </c>
    </row>
    <row r="13" spans="1:41" ht="22.5" customHeight="1" x14ac:dyDescent="0.25">
      <c r="A13" s="10">
        <v>11</v>
      </c>
      <c r="B13" s="11" t="s">
        <v>23</v>
      </c>
      <c r="C13" s="11" t="s">
        <v>14</v>
      </c>
      <c r="D13" s="12">
        <v>100</v>
      </c>
      <c r="E13" s="12">
        <f>320-D13</f>
        <v>220</v>
      </c>
      <c r="F13" s="12">
        <f t="shared" si="2"/>
        <v>0</v>
      </c>
      <c r="G13" s="13"/>
      <c r="H13" s="13">
        <f t="shared" si="1"/>
        <v>0</v>
      </c>
      <c r="I13" s="14" t="s">
        <v>24</v>
      </c>
      <c r="AO13">
        <f t="shared" si="3"/>
        <v>0</v>
      </c>
    </row>
    <row r="14" spans="1:41" ht="22.5" customHeight="1" x14ac:dyDescent="0.25">
      <c r="A14" s="10">
        <v>12</v>
      </c>
      <c r="B14" s="11" t="s">
        <v>26</v>
      </c>
      <c r="C14" s="11" t="s">
        <v>14</v>
      </c>
      <c r="D14" s="12">
        <v>30</v>
      </c>
      <c r="E14" s="12">
        <f>40-D14</f>
        <v>10</v>
      </c>
      <c r="F14" s="12">
        <f t="shared" si="2"/>
        <v>0</v>
      </c>
      <c r="G14" s="13"/>
      <c r="H14" s="13">
        <f t="shared" si="1"/>
        <v>0</v>
      </c>
      <c r="I14" s="14" t="s">
        <v>27</v>
      </c>
      <c r="AO14">
        <f t="shared" si="3"/>
        <v>0</v>
      </c>
    </row>
    <row r="15" spans="1:41" ht="22.5" customHeight="1" x14ac:dyDescent="0.25">
      <c r="A15" s="10">
        <v>13</v>
      </c>
      <c r="B15" s="11" t="s">
        <v>28</v>
      </c>
      <c r="C15" s="11" t="s">
        <v>14</v>
      </c>
      <c r="D15" s="12">
        <v>160</v>
      </c>
      <c r="E15" s="12">
        <f>800-D15</f>
        <v>640</v>
      </c>
      <c r="F15" s="12">
        <f t="shared" si="2"/>
        <v>50</v>
      </c>
      <c r="G15" s="13">
        <v>3</v>
      </c>
      <c r="H15" s="13">
        <f t="shared" si="1"/>
        <v>150</v>
      </c>
      <c r="I15" s="14" t="s">
        <v>29</v>
      </c>
      <c r="W15">
        <v>50</v>
      </c>
      <c r="AO15">
        <f t="shared" si="3"/>
        <v>50</v>
      </c>
    </row>
    <row r="16" spans="1:41" ht="22.5" customHeight="1" x14ac:dyDescent="0.25">
      <c r="A16" s="10">
        <v>14</v>
      </c>
      <c r="B16" s="11" t="s">
        <v>13</v>
      </c>
      <c r="C16" s="11" t="s">
        <v>30</v>
      </c>
      <c r="D16" s="12">
        <v>0</v>
      </c>
      <c r="E16" s="12">
        <v>40</v>
      </c>
      <c r="F16" s="12">
        <f t="shared" si="2"/>
        <v>0</v>
      </c>
      <c r="G16" s="13"/>
      <c r="H16" s="13">
        <f t="shared" si="1"/>
        <v>0</v>
      </c>
      <c r="I16" s="14" t="s">
        <v>15</v>
      </c>
      <c r="AO16">
        <f t="shared" si="3"/>
        <v>0</v>
      </c>
    </row>
    <row r="17" spans="1:41" ht="22.5" customHeight="1" x14ac:dyDescent="0.25">
      <c r="A17" s="10">
        <v>15</v>
      </c>
      <c r="B17" s="11" t="s">
        <v>28</v>
      </c>
      <c r="C17" s="11" t="s">
        <v>16</v>
      </c>
      <c r="D17" s="12">
        <v>0</v>
      </c>
      <c r="E17" s="12">
        <v>290</v>
      </c>
      <c r="F17" s="12">
        <f t="shared" si="2"/>
        <v>0</v>
      </c>
      <c r="G17" s="13"/>
      <c r="H17" s="13">
        <f t="shared" si="1"/>
        <v>0</v>
      </c>
      <c r="I17" s="14" t="s">
        <v>29</v>
      </c>
      <c r="AO17">
        <f t="shared" si="3"/>
        <v>0</v>
      </c>
    </row>
    <row r="18" spans="1:41" ht="22.5" customHeight="1" x14ac:dyDescent="0.25">
      <c r="A18" s="16">
        <v>16</v>
      </c>
      <c r="B18" s="17" t="s">
        <v>31</v>
      </c>
      <c r="C18" s="17" t="s">
        <v>14</v>
      </c>
      <c r="D18" s="18">
        <v>0</v>
      </c>
      <c r="E18" s="12">
        <v>500</v>
      </c>
      <c r="F18" s="12">
        <f t="shared" si="2"/>
        <v>50</v>
      </c>
      <c r="G18" s="13">
        <v>1.78</v>
      </c>
      <c r="H18" s="13">
        <f t="shared" si="1"/>
        <v>89</v>
      </c>
      <c r="I18" s="14" t="s">
        <v>22</v>
      </c>
      <c r="W18">
        <v>50</v>
      </c>
      <c r="AO18">
        <f t="shared" si="3"/>
        <v>50</v>
      </c>
    </row>
    <row r="19" spans="1:41" ht="22.5" customHeight="1" x14ac:dyDescent="0.25">
      <c r="A19" s="16">
        <v>17</v>
      </c>
      <c r="B19" s="11" t="s">
        <v>31</v>
      </c>
      <c r="C19" s="11" t="s">
        <v>16</v>
      </c>
      <c r="D19" s="12">
        <v>0</v>
      </c>
      <c r="E19" s="12">
        <f>250-D19</f>
        <v>250</v>
      </c>
      <c r="F19" s="12">
        <f t="shared" si="2"/>
        <v>0</v>
      </c>
      <c r="G19" s="13"/>
      <c r="H19" s="13">
        <f t="shared" si="1"/>
        <v>0</v>
      </c>
      <c r="I19" s="14" t="s">
        <v>22</v>
      </c>
      <c r="J19" s="19"/>
      <c r="K19" s="20"/>
      <c r="L19" s="20"/>
      <c r="AO19">
        <f t="shared" si="3"/>
        <v>0</v>
      </c>
    </row>
    <row r="20" spans="1:41" x14ac:dyDescent="0.25">
      <c r="A20" s="10"/>
      <c r="B20" s="11"/>
      <c r="C20" s="11"/>
      <c r="D20" s="12"/>
      <c r="E20" s="12"/>
      <c r="F20" s="12"/>
      <c r="G20" s="13"/>
      <c r="H20" s="13"/>
      <c r="I20" s="14"/>
      <c r="J20" s="21"/>
      <c r="AO20">
        <f t="shared" si="3"/>
        <v>0</v>
      </c>
    </row>
    <row r="21" spans="1:41" x14ac:dyDescent="0.25">
      <c r="A21" s="16"/>
      <c r="B21" s="17"/>
      <c r="C21" s="17"/>
      <c r="D21" s="18"/>
      <c r="E21" s="18"/>
      <c r="F21" s="18"/>
      <c r="G21" s="22"/>
      <c r="H21" s="22"/>
      <c r="I21" s="23"/>
      <c r="J21" s="21"/>
      <c r="AO21">
        <f t="shared" si="3"/>
        <v>0</v>
      </c>
    </row>
    <row r="22" spans="1:41" x14ac:dyDescent="0.25">
      <c r="A22" s="16"/>
      <c r="B22" s="17"/>
      <c r="C22" s="17"/>
      <c r="D22" s="18">
        <f>SUBTOTAL(9,D3:D21)</f>
        <v>1200</v>
      </c>
      <c r="E22" s="18">
        <f>SUBTOTAL(9,E3:E21)</f>
        <v>7000</v>
      </c>
      <c r="F22" s="18">
        <f>SUBTOTAL(9,F3:F21)</f>
        <v>500</v>
      </c>
      <c r="G22" s="22"/>
      <c r="H22" s="22">
        <f>SUBTOTAL(9,H3:H21)</f>
        <v>655</v>
      </c>
      <c r="I22" s="24"/>
      <c r="J22" s="21"/>
      <c r="AO22" s="25">
        <f>SUM(AO3:AO21)</f>
        <v>500</v>
      </c>
    </row>
    <row r="23" spans="1:41" x14ac:dyDescent="0.25">
      <c r="G23" s="21"/>
      <c r="J23" s="21"/>
    </row>
    <row r="24" spans="1:41" x14ac:dyDescent="0.25">
      <c r="G24" s="21"/>
      <c r="J24" s="21"/>
    </row>
    <row r="25" spans="1:41" x14ac:dyDescent="0.25">
      <c r="G25" s="21"/>
      <c r="J25" s="21"/>
    </row>
    <row r="26" spans="1:41" x14ac:dyDescent="0.25">
      <c r="G26" s="21"/>
      <c r="J26" s="21"/>
    </row>
    <row r="27" spans="1:41" x14ac:dyDescent="0.25">
      <c r="G27" s="21"/>
      <c r="J27" s="21"/>
    </row>
    <row r="28" spans="1:41" x14ac:dyDescent="0.25">
      <c r="G28" s="21"/>
      <c r="J28" s="21"/>
    </row>
    <row r="29" spans="1:41" x14ac:dyDescent="0.25">
      <c r="G29" s="21"/>
      <c r="J29" s="21"/>
    </row>
    <row r="30" spans="1:41" x14ac:dyDescent="0.25">
      <c r="G30" s="21"/>
      <c r="J30" s="21"/>
    </row>
    <row r="31" spans="1:41" x14ac:dyDescent="0.25">
      <c r="G31" s="21"/>
      <c r="J31" s="21"/>
    </row>
    <row r="32" spans="1:41" x14ac:dyDescent="0.25">
      <c r="G32" s="21"/>
      <c r="J32" s="21"/>
    </row>
    <row r="33" spans="7:10" x14ac:dyDescent="0.25">
      <c r="G33" s="21"/>
      <c r="J33" s="21"/>
    </row>
    <row r="34" spans="7:10" x14ac:dyDescent="0.25">
      <c r="G34" s="21"/>
      <c r="J34" s="21"/>
    </row>
    <row r="35" spans="7:10" x14ac:dyDescent="0.25">
      <c r="G35" s="21"/>
      <c r="J35" s="21"/>
    </row>
    <row r="36" spans="7:10" x14ac:dyDescent="0.25">
      <c r="G36" s="21"/>
      <c r="J36" s="21"/>
    </row>
  </sheetData>
  <mergeCells count="2">
    <mergeCell ref="A1:H1"/>
    <mergeCell ref="J1:AN1"/>
  </mergeCells>
  <conditionalFormatting sqref="J2:AN18">
    <cfRule type="expression" dxfId="26" priority="3">
      <formula>WEEKDAY(J2:$AN$2,2)&gt;6</formula>
    </cfRule>
  </conditionalFormatting>
  <conditionalFormatting sqref="E16:E19">
    <cfRule type="cellIs" dxfId="25" priority="1" operator="lessThan">
      <formula>51</formula>
    </cfRule>
    <cfRule type="cellIs" dxfId="24" priority="2" operator="greaterThan">
      <formula>"51  Pcs"</formula>
    </cfRule>
  </conditionalFormatting>
  <pageMargins left="0.25" right="0.25" top="0.27500000000000002" bottom="0.2" header="0.3" footer="0.3"/>
  <pageSetup scale="90" orientation="landscape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July-31</vt:lpstr>
      <vt:lpstr>'July-31'!Print_Area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 Sokhom</dc:creator>
  <cp:lastModifiedBy>Mao Sokhom</cp:lastModifiedBy>
  <dcterms:created xsi:type="dcterms:W3CDTF">2026-09-11T00:46:30Z</dcterms:created>
  <dcterms:modified xsi:type="dcterms:W3CDTF">2026-09-11T00:48:16Z</dcterms:modified>
</cp:coreProperties>
</file>