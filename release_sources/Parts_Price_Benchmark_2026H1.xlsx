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5b479a7a8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 Detail" sheetId="1" r:id="R2f71fc8125e743c4"/>
    <x:sheet xmlns:r="http://schemas.openxmlformats.org/officeDocument/2006/relationships" name="Price Master" sheetId="2" r:id="R24e632ee5d4242b8"/>
    <x:sheet xmlns:r="http://schemas.openxmlformats.org/officeDocument/2006/relationships" name="Monthly Summary" sheetId="3" r:id="R75a68f32024a4c3a"/>
    <x:sheet xmlns:r="http://schemas.openxmlformats.org/officeDocument/2006/relationships" name="Price Comparison" sheetId="4" r:id="Rbfc517992587442e"/>
    <x:sheet xmlns:r="http://schemas.openxmlformats.org/officeDocument/2006/relationships" name="HTML Import" sheetId="5" r:id="R6d5f730060034336"/>
    <x:sheet xmlns:r="http://schemas.openxmlformats.org/officeDocument/2006/relationships" name="Review Needed" sheetId="6" r:id="R2ecf06d2b68244d4"/>
    <x:sheet xmlns:r="http://schemas.openxmlformats.org/officeDocument/2006/relationships" name="Rules" sheetId="7" r:id="Re962a208306d4b10"/>
    <x:sheet xmlns:r="http://schemas.openxmlformats.org/officeDocument/2006/relationships" name="Dashboard" sheetId="8" r:id="R5e1cfc1535844df1"/>
    <x:sheet xmlns:r="http://schemas.openxmlformats.org/officeDocument/2006/relationships" name="月費用及機針占比" sheetId="9" r:id="R8e31abaeda55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0.00"/>
    <x:numFmt numFmtId="202" formatCode="0.00"/>
    <x:numFmt numFmtId="203" formatCode="0.0%"/>
    <x:numFmt numFmtId="204" formatCode="0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92400E"/>
      <x:name val="Carlito"/>
    </x:font>
    <x:font>
      <x:b/>
      <x:sz val="11"/>
      <x:color rgb="FF1E3A5F"/>
      <x:name val="Carlito"/>
    </x:font>
    <x:font>
      <x:b/>
      <x:sz val="20"/>
      <x:color rgb="FFFFFFFF"/>
      <x:name val="Carlito"/>
    </x:font>
    <x:font>
      <x:b/>
      <x:sz val="13"/>
      <x:color rgb="FF1E2640"/>
      <x:name val="Carlito"/>
    </x:font>
    <x:font>
      <x:b/>
      <x:sz val="11"/>
      <x:color rgb="FF92400E"/>
      <x:name val="Carlito"/>
    </x:font>
    <x:font>
      <x:b/>
      <x:sz val="11"/>
      <x:color rgb="FF065F46"/>
      <x:name val="Carlito"/>
    </x:font>
    <x:font>
      <x:b/>
      <x:sz val="17"/>
      <x:color rgb="FFFFFFFF"/>
      <x:name val="Carlito"/>
    </x:font>
    <x:font>
      <x:sz val="9"/>
      <x:color rgb="FF64748B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7E6"/>
      </x:patternFill>
    </x:fill>
    <x:fill>
      <x:patternFill patternType="solid">
        <x:fgColor rgb="FFEAF3FA"/>
      </x:patternFill>
    </x:fill>
    <x:fill>
      <x:patternFill patternType="solid">
        <x:fgColor rgb="FFFFFFFF"/>
      </x:patternFill>
    </x:fill>
    <x:fill>
      <x:patternFill patternType="solid">
        <x:fgColor rgb="FF2D4D7A"/>
      </x:patternFill>
    </x:fill>
    <x:fill>
      <x:patternFill patternType="solid">
        <x:fgColor rgb="FFECFDF5"/>
      </x:patternFill>
    </x:fill>
    <x:fill>
      <x:patternFill patternType="solid">
        <x:fgColor rgb="FF1E3A5F"/>
      </x:patternFill>
    </x:fill>
    <x:fill>
      <x:patternFill patternType="solid">
        <x:fgColor rgb="FFFFF7E6"/>
      </x:patternFill>
    </x:fill>
    <x:fill>
      <x:patternFill patternType="solid">
        <x:fgColor rgb="FFEAF3FA"/>
      </x:patternFill>
    </x:fill>
    <x:fill>
      <x:patternFill patternType="solid">
        <x:fgColor rgb="FF2D4D7A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</x:fills>
  <x:borders count="4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3" fontId="4" fillId="4" borderId="0" xfId="0" applyNumberFormat="1" applyFont="1" applyFill="1" applyBorder="1"/>
    <x:xf numFmtId="203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203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8" xfId="0" applyNumberFormat="1" applyFont="1" applyFill="1" applyBorder="1" applyAlignment="1">
      <x:alignment horizontal="center" wrapText="1"/>
    </x:xf>
    <x:xf numFmtId="0" fontId="6" fillId="5" borderId="9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horizontal="center" wrapText="1"/>
    </x:xf>
    <x:xf numFmtId="0" fontId="6" fillId="5" borderId="11" xfId="0" applyNumberFormat="1" applyFont="1" applyFill="1" applyBorder="1" applyAlignment="1">
      <x:alignment horizontal="center" wrapText="1"/>
    </x:xf>
    <x:xf numFmtId="0" fontId="6" fillId="5" borderId="12" xfId="0" applyNumberFormat="1" applyFont="1" applyFill="1" applyBorder="1" applyAlignment="1">
      <x:alignment horizontal="center" wrapText="1"/>
    </x:xf>
    <x:xf numFmtId="0" fontId="6" fillId="5" borderId="1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4" xfId="0" applyNumberFormat="1" applyFont="1" applyFill="1" applyBorder="1" applyAlignment="1">
      <x:alignment horizontal="center" wrapText="1"/>
    </x:xf>
    <x:xf numFmtId="0" fontId="6" fillId="5" borderId="15" xfId="0" applyNumberFormat="1" applyFont="1" applyFill="1" applyBorder="1" applyAlignment="1">
      <x:alignment horizontal="center" wrapText="1"/>
    </x:xf>
    <x:xf numFmtId="0" fontId="6" fillId="5" borderId="16" xfId="0" applyNumberFormat="1" applyFont="1" applyFill="1" applyBorder="1" applyAlignment="1">
      <x:alignment horizontal="center" wrapText="1"/>
    </x:xf>
    <x:xf numFmtId="0" fontId="6" fillId="5" borderId="17" xfId="0" applyNumberFormat="1" applyFont="1" applyFill="1" applyBorder="1" applyAlignment="1">
      <x:alignment horizont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1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left"/>
    </x:xf>
    <x:xf numFmtId="0" fontId="1" fillId="6" borderId="1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7" fillId="3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wrapText="1"/>
    </x:xf>
    <x:xf numFmtId="0" fontId="7" fillId="3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7" fillId="3" borderId="26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7" fillId="3" borderId="29" xfId="0" applyNumberFormat="1" applyFont="1" applyFill="1" applyBorder="1" applyAlignment="1">
      <x:alignment horizontal="center"/>
    </x:xf>
    <x:xf numFmtId="0" fontId="0" fillId="0" borderId="30" xfId="0" applyNumberFormat="1" applyFont="1" applyFill="1" applyBorder="1" applyAlignment="1">
      <x:alignment wrapText="1"/>
    </x:xf>
    <x:xf numFmtId="0" fontId="7" fillId="3" borderId="31" xfId="0" applyNumberFormat="1" applyFont="1" applyFill="1" applyBorder="1" applyAlignment="1">
      <x:alignment horizontal="center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34" xfId="0" applyNumberFormat="1" applyFont="1" applyFill="1" applyBorder="1"/>
    <x:xf numFmtId="0" fontId="8" fillId="7" borderId="35" xfId="0" applyNumberFormat="1" applyFont="1" applyFill="1" applyBorder="1"/>
    <x:xf numFmtId="0" fontId="8" fillId="7" borderId="36" xfId="0" applyNumberFormat="1" applyFont="1" applyFill="1" applyBorder="1"/>
    <x:xf numFmtId="0" fontId="8" fillId="7" borderId="37" xfId="0" applyNumberFormat="1" applyFont="1" applyFill="1" applyBorder="1"/>
    <x:xf numFmtId="0" fontId="8" fillId="7" borderId="38" xfId="0" applyNumberFormat="1" applyFont="1" applyFill="1" applyBorder="1"/>
    <x:xf numFmtId="0" fontId="8" fillId="7" borderId="39" xfId="0" applyNumberFormat="1" applyFont="1" applyFill="1" applyBorder="1"/>
    <x:xf numFmtId="0" fontId="8" fillId="7" borderId="34" xfId="0" applyNumberFormat="1" applyFont="1" applyFill="1" applyBorder="1" applyAlignment="1">
      <x:alignment wrapText="1"/>
    </x:xf>
    <x:xf numFmtId="0" fontId="8" fillId="7" borderId="35" xfId="0" applyNumberFormat="1" applyFont="1" applyFill="1" applyBorder="1" applyAlignment="1">
      <x:alignment wrapText="1"/>
    </x:xf>
    <x:xf numFmtId="0" fontId="8" fillId="7" borderId="36" xfId="0" applyNumberFormat="1" applyFont="1" applyFill="1" applyBorder="1" applyAlignment="1">
      <x:alignment wrapText="1"/>
    </x:xf>
    <x:xf numFmtId="0" fontId="8" fillId="7" borderId="37" xfId="0" applyNumberFormat="1" applyFont="1" applyFill="1" applyBorder="1" applyAlignment="1">
      <x:alignment wrapText="1"/>
    </x:xf>
    <x:xf numFmtId="0" fontId="8" fillId="7" borderId="38" xfId="0" applyNumberFormat="1" applyFont="1" applyFill="1" applyBorder="1" applyAlignment="1">
      <x:alignment wrapText="1"/>
    </x:xf>
    <x:xf numFmtId="0" fontId="8" fillId="7" borderId="39" xfId="0" applyNumberFormat="1" applyFont="1" applyFill="1" applyBorder="1" applyAlignment="1">
      <x:alignment wrapText="1"/>
    </x:xf>
    <x:xf numFmtId="0" fontId="8" fillId="7" borderId="34" xfId="0" applyNumberFormat="1" applyFont="1" applyFill="1" applyBorder="1" applyAlignment="1">
      <x:alignment horizontal="center" wrapText="1"/>
    </x:xf>
    <x:xf numFmtId="0" fontId="8" fillId="7" borderId="35" xfId="0" applyNumberFormat="1" applyFont="1" applyFill="1" applyBorder="1" applyAlignment="1">
      <x:alignment horizontal="center" wrapText="1"/>
    </x:xf>
    <x:xf numFmtId="0" fontId="8" fillId="7" borderId="36" xfId="0" applyNumberFormat="1" applyFont="1" applyFill="1" applyBorder="1" applyAlignment="1">
      <x:alignment horizontal="center" wrapText="1"/>
    </x:xf>
    <x:xf numFmtId="0" fontId="8" fillId="7" borderId="37" xfId="0" applyNumberFormat="1" applyFont="1" applyFill="1" applyBorder="1" applyAlignment="1">
      <x:alignment horizontal="center" wrapText="1"/>
    </x:xf>
    <x:xf numFmtId="0" fontId="8" fillId="7" borderId="38" xfId="0" applyNumberFormat="1" applyFont="1" applyFill="1" applyBorder="1" applyAlignment="1">
      <x:alignment horizontal="center" wrapText="1"/>
    </x:xf>
    <x:xf numFmtId="0" fontId="8" fillId="7" borderId="39" xfId="0" applyNumberFormat="1" applyFont="1" applyFill="1" applyBorder="1" applyAlignment="1">
      <x:alignment horizontal="center" wrapText="1"/>
    </x:xf>
    <x:xf numFmtId="0" fontId="8" fillId="7" borderId="34" xfId="0" applyNumberFormat="1" applyFont="1" applyFill="1" applyBorder="1" applyAlignment="1">
      <x:alignment horizontal="center" vertical="center" wrapText="1"/>
    </x:xf>
    <x:xf numFmtId="0" fontId="8" fillId="7" borderId="35" xfId="0" applyNumberFormat="1" applyFont="1" applyFill="1" applyBorder="1" applyAlignment="1">
      <x:alignment horizontal="center" vertical="center" wrapText="1"/>
    </x:xf>
    <x:xf numFmtId="0" fontId="8" fillId="7" borderId="36" xfId="0" applyNumberFormat="1" applyFont="1" applyFill="1" applyBorder="1" applyAlignment="1">
      <x:alignment horizontal="center" vertical="center" wrapText="1"/>
    </x:xf>
    <x:xf numFmtId="0" fontId="8" fillId="7" borderId="37" xfId="0" applyNumberFormat="1" applyFont="1" applyFill="1" applyBorder="1" applyAlignment="1">
      <x:alignment horizontal="center" vertical="center" wrapText="1"/>
    </x:xf>
    <x:xf numFmtId="0" fontId="8" fillId="7" borderId="38" xfId="0" applyNumberFormat="1" applyFont="1" applyFill="1" applyBorder="1" applyAlignment="1">
      <x:alignment horizontal="center" vertical="center" wrapText="1"/>
    </x:xf>
    <x:xf numFmtId="0" fontId="8" fillId="7" borderId="3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40" xfId="0" applyNumberFormat="1" applyFont="1" applyFill="1" applyBorder="1"/>
    <x:xf numFmtId="0" fontId="8" fillId="7" borderId="41" xfId="0" applyNumberFormat="1" applyFont="1" applyFill="1" applyBorder="1"/>
    <x:xf numFmtId="0" fontId="8" fillId="7" borderId="42" xfId="0" applyNumberFormat="1" applyFont="1" applyFill="1" applyBorder="1"/>
    <x:xf numFmtId="0" fontId="8" fillId="7" borderId="43" xfId="0" applyNumberFormat="1" applyFont="1" applyFill="1" applyBorder="1"/>
    <x:xf numFmtId="0" fontId="8" fillId="7" borderId="44" xfId="0" applyNumberFormat="1" applyFont="1" applyFill="1" applyBorder="1"/>
    <x:xf numFmtId="0" fontId="8" fillId="7" borderId="45" xfId="0" applyNumberFormat="1" applyFont="1" applyFill="1" applyBorder="1"/>
    <x:xf numFmtId="0" fontId="8" fillId="7" borderId="40" xfId="0" applyNumberFormat="1" applyFont="1" applyFill="1" applyBorder="1" applyAlignment="1">
      <x:alignment wrapText="1"/>
    </x:xf>
    <x:xf numFmtId="0" fontId="8" fillId="7" borderId="41" xfId="0" applyNumberFormat="1" applyFont="1" applyFill="1" applyBorder="1" applyAlignment="1">
      <x:alignment wrapText="1"/>
    </x:xf>
    <x:xf numFmtId="0" fontId="8" fillId="7" borderId="42" xfId="0" applyNumberFormat="1" applyFont="1" applyFill="1" applyBorder="1" applyAlignment="1">
      <x:alignment wrapText="1"/>
    </x:xf>
    <x:xf numFmtId="0" fontId="8" fillId="7" borderId="43" xfId="0" applyNumberFormat="1" applyFont="1" applyFill="1" applyBorder="1" applyAlignment="1">
      <x:alignment wrapText="1"/>
    </x:xf>
    <x:xf numFmtId="0" fontId="8" fillId="7" borderId="44" xfId="0" applyNumberFormat="1" applyFont="1" applyFill="1" applyBorder="1" applyAlignment="1">
      <x:alignment wrapText="1"/>
    </x:xf>
    <x:xf numFmtId="0" fontId="8" fillId="7" borderId="45" xfId="0" applyNumberFormat="1" applyFont="1" applyFill="1" applyBorder="1" applyAlignment="1">
      <x:alignment wrapText="1"/>
    </x:xf>
    <x:xf numFmtId="0" fontId="8" fillId="7" borderId="40" xfId="0" applyNumberFormat="1" applyFont="1" applyFill="1" applyBorder="1" applyAlignment="1">
      <x:alignment horizontal="center" wrapText="1"/>
    </x:xf>
    <x:xf numFmtId="0" fontId="8" fillId="7" borderId="41" xfId="0" applyNumberFormat="1" applyFont="1" applyFill="1" applyBorder="1" applyAlignment="1">
      <x:alignment horizontal="center" wrapText="1"/>
    </x:xf>
    <x:xf numFmtId="0" fontId="8" fillId="7" borderId="42" xfId="0" applyNumberFormat="1" applyFont="1" applyFill="1" applyBorder="1" applyAlignment="1">
      <x:alignment horizontal="center" wrapText="1"/>
    </x:xf>
    <x:xf numFmtId="0" fontId="8" fillId="7" borderId="43" xfId="0" applyNumberFormat="1" applyFont="1" applyFill="1" applyBorder="1" applyAlignment="1">
      <x:alignment horizontal="center" wrapText="1"/>
    </x:xf>
    <x:xf numFmtId="0" fontId="8" fillId="7" borderId="44" xfId="0" applyNumberFormat="1" applyFont="1" applyFill="1" applyBorder="1" applyAlignment="1">
      <x:alignment horizontal="center" wrapText="1"/>
    </x:xf>
    <x:xf numFmtId="0" fontId="8" fillId="7" borderId="45" xfId="0" applyNumberFormat="1" applyFont="1" applyFill="1" applyBorder="1" applyAlignment="1">
      <x:alignment horizontal="center" wrapText="1"/>
    </x:xf>
    <x:xf numFmtId="0" fontId="8" fillId="7" borderId="40" xfId="0" applyNumberFormat="1" applyFont="1" applyFill="1" applyBorder="1" applyAlignment="1">
      <x:alignment horizontal="center" vertical="center" wrapText="1"/>
    </x:xf>
    <x:xf numFmtId="0" fontId="8" fillId="7" borderId="41" xfId="0" applyNumberFormat="1" applyFont="1" applyFill="1" applyBorder="1" applyAlignment="1">
      <x:alignment horizontal="center" vertical="center" wrapText="1"/>
    </x:xf>
    <x:xf numFmtId="0" fontId="8" fillId="7" borderId="42" xfId="0" applyNumberFormat="1" applyFont="1" applyFill="1" applyBorder="1" applyAlignment="1">
      <x:alignment horizontal="center" vertical="center" wrapText="1"/>
    </x:xf>
    <x:xf numFmtId="0" fontId="8" fillId="7" borderId="43" xfId="0" applyNumberFormat="1" applyFont="1" applyFill="1" applyBorder="1" applyAlignment="1">
      <x:alignment horizontal="center" vertical="center" wrapText="1"/>
    </x:xf>
    <x:xf numFmtId="0" fontId="8" fillId="7" borderId="44" xfId="0" applyNumberFormat="1" applyFont="1" applyFill="1" applyBorder="1" applyAlignment="1">
      <x:alignment horizontal="center" vertical="center" wrapText="1"/>
    </x:xf>
    <x:xf numFmtId="0" fontId="8" fillId="7" borderId="45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7" fillId="3" borderId="18" xfId="0" applyNumberFormat="1" applyFont="1" applyFill="1" applyBorder="1" applyAlignment="1">
      <x:alignment horizontal="center" wrapText="1"/>
    </x:xf>
    <x:xf numFmtId="0" fontId="7" fillId="3" borderId="21" xfId="0" applyNumberFormat="1" applyFont="1" applyFill="1" applyBorder="1" applyAlignment="1">
      <x:alignment horizontal="center" wrapText="1"/>
    </x:xf>
    <x:xf numFmtId="0" fontId="7" fillId="3" borderId="2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201" fontId="4" fillId="10" borderId="0" xfId="0" applyNumberFormat="1" applyFont="1" applyFill="1" applyBorder="1"/>
    <x:xf numFmtId="203" fontId="4" fillId="10" borderId="0" xfId="0" applyNumberFormat="1" applyFont="1" applyFill="1" applyBorder="1"/>
    <x:xf numFmtId="204" fontId="0" fillId="0" borderId="0" xfId="0" applyNumberFormat="1" applyFont="1" applyFill="1" applyBorder="1"/>
    <x:xf numFmtId="204" fontId="4" fillId="1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201" fontId="4" fillId="10" borderId="0" xfId="0" applyNumberFormat="1" applyFont="1" applyFill="1" applyBorder="1" applyAlignment="1">
      <x:alignment wrapText="1"/>
    </x:xf>
    <x:xf numFmtId="203" fontId="4" fillId="10" borderId="0" xfId="0" applyNumberFormat="1" applyFont="1" applyFill="1" applyBorder="1" applyAlignment="1">
      <x:alignment wrapText="1"/>
    </x:xf>
    <x:xf numFmtId="204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horizontal="left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201" fontId="0" fillId="12" borderId="0" xfId="0" applyNumberFormat="1" applyFont="1" applyFill="1" applyBorder="1" applyAlignment="1">
      <x:alignment wrapText="1"/>
    </x:xf>
    <x:xf numFmtId="203" fontId="0" fillId="12" borderId="0" xfId="0" applyNumberFormat="1" applyFont="1" applyFill="1" applyBorder="1" applyAlignment="1">
      <x:alignment wrapText="1"/>
    </x:xf>
    <x:xf numFmtId="201" fontId="4" fillId="12" borderId="0" xfId="0" applyNumberFormat="1" applyFont="1" applyFill="1" applyBorder="1" applyAlignment="1">
      <x:alignment wrapText="1"/>
    </x:xf>
    <x:xf numFmtId="203" fontId="4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201" fontId="0" fillId="13" borderId="0" xfId="0" applyNumberFormat="1" applyFont="1" applyFill="1" applyBorder="1"/>
    <x:xf numFmtId="0" fontId="10" fillId="13" borderId="0" xfId="0" applyNumberFormat="1" applyFont="1" applyFill="1" applyBorder="1"/>
    <x:xf numFmtId="201" fontId="10" fillId="13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DC2626"/>
      </x:font>
      <x:fill>
        <x:patternFill>
          <x:bgColor rgb="FFFEF2F2"/>
        </x:patternFill>
      </x:fill>
    </x:dxf>
    <x:dxf>
      <x:font>
        <x:color rgb="FF92400E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b/>
        <x:color rgb="FF059669"/>
      </x:font>
      <x:fill>
        <x:patternFill>
          <x:bgColor rgb="FFECFDF5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059669"/>
      </x:font>
      <x:fill>
        <x:patternFill>
          <x:bgColor rgb="FFECFDF5"/>
        </x:patternFill>
      </x:fill>
    </x:dxf>
    <x:dxf>
      <x:font>
        <x:color rgb="FF92400E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edf74328d407c" /><Relationship Type="http://schemas.openxmlformats.org/officeDocument/2006/relationships/theme" Target="/xl/theme/theme1.xml" Id="Rca7728f3e7e0407c" /><Relationship Type="http://schemas.openxmlformats.org/officeDocument/2006/relationships/sharedStrings" Target="/xl/sharedStrings.xml" Id="R0f9d8564462340b0" /><Relationship Type="http://schemas.openxmlformats.org/officeDocument/2006/relationships/worksheet" Target="/xl/worksheets/sheet1.xml" Id="R2f71fc8125e743c4" /><Relationship Type="http://schemas.openxmlformats.org/officeDocument/2006/relationships/worksheet" Target="/xl/worksheets/sheet2.xml" Id="R24e632ee5d4242b8" /><Relationship Type="http://schemas.openxmlformats.org/officeDocument/2006/relationships/worksheet" Target="/xl/worksheets/sheet3.xml" Id="R75a68f32024a4c3a" /><Relationship Type="http://schemas.openxmlformats.org/officeDocument/2006/relationships/worksheet" Target="/xl/worksheets/sheet4.xml" Id="Rbfc517992587442e" /><Relationship Type="http://schemas.openxmlformats.org/officeDocument/2006/relationships/worksheet" Target="/xl/worksheets/sheet5.xml" Id="R6d5f730060034336" /><Relationship Type="http://schemas.openxmlformats.org/officeDocument/2006/relationships/worksheet" Target="/xl/worksheets/sheet6.xml" Id="R2ecf06d2b68244d4" /><Relationship Type="http://schemas.openxmlformats.org/officeDocument/2006/relationships/worksheet" Target="/xl/worksheets/sheet7.xml" Id="Re962a208306d4b10" /><Relationship Type="http://schemas.openxmlformats.org/officeDocument/2006/relationships/worksheet" Target="/xl/worksheets/sheet8.xml" Id="R5e1cfc1535844df1" /><Relationship Type="http://schemas.openxmlformats.org/officeDocument/2006/relationships/worksheet" Target="/xl/worksheets/sheet9.xml" Id="R8e31abaeda5543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f79b75487841bc" /><Relationship Type="http://schemas.openxmlformats.org/officeDocument/2006/relationships/chart" Target="/xl/drawings/charts/chart2.xml" Id="Rd4f45af15cd24e7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4857651dc2a492c" /><Relationship Type="http://schemas.openxmlformats.org/officeDocument/2006/relationships/chart" Target="/xl/drawings/charts/chart4.xml" Id="Rda197292f4a74b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Purchase 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Subtotal</c:v>
          </c:tx>
          <c:cat>
            <c:strRef>
              <c:f>'Dashboard'!$A$22:$A$27</c:f>
              <c:strCache>
                <c:ptCount val="0"/>
              </c:strCache>
            </c:strRef>
          </c:cat>
          <c:val>
            <c:numRef>
              <c:f>'Dashboard'!$B$22:$B$27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Grand Total</c:v>
          </c:tx>
          <c:cat>
            <c:strRef>
              <c:f>'Dashboard'!$A$22:$A$27</c:f>
              <c:strCache>
                <c:ptCount val="0"/>
              </c:strCache>
            </c:strRef>
          </c:cat>
          <c:val>
            <c:numRef>
              <c:f>'Dashboard'!$C$22:$C$27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Spend</c:v>
          </c:tx>
          <c:cat>
            <c:strRef>
              <c:f>'Dashboard'!$E$22:$E$29</c:f>
              <c:strCache>
                <c:ptCount val="0"/>
              </c:strCache>
            </c:strRef>
          </c:cat>
          <c:val>
            <c:numRef>
              <c:f>'Dashboard'!$F$22:$F$29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每月未稅費用：機針與非機針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未稅費用</c:v>
          </c:tx>
          <c:cat>
            <c:strRef>
              <c:f>'月費用及機針占比'!$Q$3:$Q$8</c:f>
              <c:strCache>
                <c:ptCount val="0"/>
              </c:strCache>
            </c:strRef>
          </c:cat>
          <c:val>
            <c:numRef>
              <c:f>'月費用及機針占比'!$R$3:$R$8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機針費用</c:v>
          </c:tx>
          <c:cat>
            <c:strRef>
              <c:f>'月費用及機針占比'!$Q$3:$Q$8</c:f>
              <c:strCache>
                <c:ptCount val="0"/>
              </c:strCache>
            </c:strRef>
          </c:cat>
          <c:val>
            <c:numRef>
              <c:f>'月費用及機針占比'!$S$3:$S$8</c:f>
              <c:numCache>
                <c:formatCode>$0.00</c:formatCode>
                <c:ptCount val="0"/>
              </c:numCache>
            </c:numRef>
          </c:val>
        </c:ser>
        <c:ser>
          <c:idx val="2"/>
          <c:order val="2"/>
          <c:tx>
            <c:v>非機針費用</c:v>
          </c:tx>
          <c:cat>
            <c:strRef>
              <c:f>'月費用及機針占比'!$Q$3:$Q$8</c:f>
              <c:strCache>
                <c:ptCount val="0"/>
              </c:strCache>
            </c:strRef>
          </c:cat>
          <c:val>
            <c:numRef>
              <c:f>'月費用及機針占比'!$T$3:$T$8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每月機針費用占比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機針占比</c:v>
          </c:tx>
          <c:cat>
            <c:strRef>
              <c:f>'月費用及機針占比'!$Q$18:$Q$23</c:f>
              <c:strCache>
                <c:ptCount val="0"/>
              </c:strCache>
            </c:strRef>
          </c:cat>
          <c:val>
            <c:numRef>
              <c:f>'月費用及機針占比'!$R$18:$R$23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f79b75487841bc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f45af15cd24e7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857651dc2a492c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19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197292f4a74b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ctionDetailTable" displayName="TransactionDetailTable" ref="A1:W153" headerRowCount="1">
  <x:tableColumns count="23">
    <x:tableColumn id="1" name="Statement Month"/>
    <x:tableColumn id="2" name="Date"/>
    <x:tableColumn id="3" name="Invoice No"/>
    <x:tableColumn id="4" name="Supplier"/>
    <x:tableColumn id="5" name="Raw Item Name"/>
    <x:tableColumn id="6" name="Part No"/>
    <x:tableColumn id="7" name="Standard Name"/>
    <x:tableColumn id="8" name="Spec"/>
    <x:tableColumn id="9" name="Category"/>
    <x:tableColumn id="10" name="Item Type"/>
    <x:tableColumn id="11" name="Brand"/>
    <x:tableColumn id="12" name="Machine / Use"/>
    <x:tableColumn id="13" name="Qty"/>
    <x:tableColumn id="14" name="Unit"/>
    <x:tableColumn id="15" name="Unit Price (USD)"/>
    <x:tableColumn id="16" name="Calculated Amount"/>
    <x:tableColumn id="17" name="Source Amount"/>
    <x:tableColumn id="18" name="Difference"/>
    <x:tableColumn id="19" name="Include in Master"/>
    <x:tableColumn id="20" name="Confidence"/>
    <x:tableColumn id="21" name="Source File"/>
    <x:tableColumn id="22" name="Page"/>
    <x:tableColumn id="2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iceMasterTable" displayName="PriceMasterTable" ref="A4:W90" headerRowCount="1">
  <x:tableColumns count="23">
    <x:tableColumn id="1" name="Part No"/>
    <x:tableColumn id="2" name="Standard Name"/>
    <x:tableColumn id="3" name="Spec"/>
    <x:tableColumn id="4" name="Category"/>
    <x:tableColumn id="5" name="Item Type"/>
    <x:tableColumn id="6" name="Brand"/>
    <x:tableColumn id="7" name="Machine / Use"/>
    <x:tableColumn id="8" name="Unit"/>
    <x:tableColumn id="9" name="First Date"/>
    <x:tableColumn id="10" name="Latest Date"/>
    <x:tableColumn id="11" name="Purchase Count"/>
    <x:tableColumn id="12" name="Total Qty"/>
    <x:tableColumn id="13" name="Total Spend"/>
    <x:tableColumn id="14" name="Min Price"/>
    <x:tableColumn id="15" name="Max Price"/>
    <x:tableColumn id="16" name="Avg Price"/>
    <x:tableColumn id="17" name="First Price"/>
    <x:tableColumn id="18" name="Last Price"/>
    <x:tableColumn id="19" name="Price Spread %"/>
    <x:tableColumn id="20" name="Suggested Upper Limit"/>
    <x:tableColumn id="21" name="Reliability"/>
    <x:tableColumn id="22" name="Price Status"/>
    <x:tableColumn id="2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onthlySummaryTable" displayName="MonthlySummaryTable" ref="A3:K9" headerRowCount="1">
  <x:tableColumns count="11">
    <x:tableColumn id="1" name="Month"/>
    <x:tableColumn id="2" name="Subtotal"/>
    <x:tableColumn id="3" name="VAT 10%"/>
    <x:tableColumn id="4" name="Grand Total"/>
    <x:tableColumn id="5" name="Line Items"/>
    <x:tableColumn id="6" name="Unique Part Nos"/>
    <x:tableColumn id="7" name="Needle Spend"/>
    <x:tableColumn id="8" name="Needle %"/>
    <x:tableColumn id="9" name="Repair Service"/>
    <x:tableColumn id="10" name="Consumable Spend"/>
    <x:tableColumn id="11" name="Spare Part Spend"/>
  </x:tableColumns>
  <x:tableStyleInfo name="TableStyleMedium2" showRowStripes="1"/>
</x:table>
</file>

<file path=xl/tables/table4.xml><?xml version="1.0" encoding="utf-8"?>
<x:table xmlns:x="http://schemas.openxmlformats.org/spreadsheetml/2006/main" id="4" name="PriceComparisonTable" displayName="PriceComparisonTable" ref="A3:Q32" headerRowCount="1">
  <x:tableColumns count="17">
    <x:tableColumn id="1" name="Part No"/>
    <x:tableColumn id="2" name="Standard Name"/>
    <x:tableColumn id="3" name="Unit"/>
    <x:tableColumn id="4" name="Purchases"/>
    <x:tableColumn id="5" name="Jan"/>
    <x:tableColumn id="6" name="Feb"/>
    <x:tableColumn id="7" name="Mar"/>
    <x:tableColumn id="8" name="Apr"/>
    <x:tableColumn id="9" name="May"/>
    <x:tableColumn id="10" name="Jun"/>
    <x:tableColumn id="11" name="Min"/>
    <x:tableColumn id="12" name="Max"/>
    <x:tableColumn id="13" name="First"/>
    <x:tableColumn id="14" name="Last"/>
    <x:tableColumn id="15" name="Change %"/>
    <x:tableColumn id="16" name="Upper Trigger"/>
    <x:tableColumn id="17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HTMLImportTable" displayName="HTMLImportTable" ref="A4:L90" headerRowCount="1">
  <x:tableColumns count="12">
    <x:tableColumn id="1" name="PART NO"/>
    <x:tableColumn id="2" name="NAME"/>
    <x:tableColumn id="3" name="QTY"/>
    <x:tableColumn id="4" name="PRICE"/>
    <x:tableColumn id="5" name="SPEC"/>
    <x:tableColumn id="6" name="CATEGORY"/>
    <x:tableColumn id="7" name="BRAND"/>
    <x:tableColumn id="8" name="MACHINE TYPE"/>
    <x:tableColumn id="9" name="UNIT"/>
    <x:tableColumn id="10" name="MIN STOCK"/>
    <x:tableColumn id="11" name="MAX STOCK"/>
    <x:tableColumn id="12" name="REMARK"/>
  </x:tableColumns>
  <x:tableStyleInfo name="TableStyleMedium2" showRowStripes="1"/>
</x:table>
</file>

<file path=xl/tables/table6.xml><?xml version="1.0" encoding="utf-8"?>
<x:table xmlns:x="http://schemas.openxmlformats.org/spreadsheetml/2006/main" id="6" name="ReviewNeededTable" displayName="ReviewNeededTable" ref="A3:J9" headerRowCount="1">
  <x:tableColumns count="10">
    <x:tableColumn id="1" name="Date"/>
    <x:tableColumn id="2" name="Invoice No"/>
    <x:tableColumn id="3" name="Raw Item Name"/>
    <x:tableColumn id="4" name="Standard Part No"/>
    <x:tableColumn id="5" name="Standard Name"/>
    <x:tableColumn id="6" name="Qty"/>
    <x:tableColumn id="7" name="Unit Price"/>
    <x:tableColumn id="8" name="Confidence"/>
    <x:tableColumn id="9" name="Reason / Note"/>
    <x:tableColumn id="10" name="Source File"/>
  </x:tableColumns>
  <x:tableStyleInfo name="TableStyleMedium2" showRowStripes="1"/>
</x:table>
</file>

<file path=xl/tables/table7.xml><?xml version="1.0" encoding="utf-8"?>
<x:table xmlns:x="http://schemas.openxmlformats.org/spreadsheetml/2006/main" id="7" name="ComparisonRulesTable" displayName="ComparisonRulesTable" ref="A3:F9" headerRowCount="1">
  <x:tableColumns count="6">
    <x:tableColumn id="1" name="Rule"/>
    <x:tableColumn id="2" name="Definition"/>
    <x:tableColumn id="3" name="Action"/>
    <x:tableColumn id="4" name="Example"/>
    <x:tableColumn id="5" name="Why"/>
    <x:tableColumn id="6" name="System Use"/>
  </x:tableColumns>
  <x:tableStyleInfo name="TableStyleMedium2" showRowStripes="1"/>
</x:table>
</file>

<file path=xl/tables/table8.xml><?xml version="1.0" encoding="utf-8"?>
<x:table xmlns:x="http://schemas.openxmlformats.org/spreadsheetml/2006/main" id="8" name="PartNumberRulesTable" displayName="PartNumberRulesTable" ref="A12:F24" headerRowCount="1">
  <x:tableColumns count="6">
    <x:tableColumn id="1" name="Code Prefix"/>
    <x:tableColumn id="2" name="Category"/>
    <x:tableColumn id="3" name="Meaning"/>
    <x:tableColumn id="4" name="Example Part No"/>
    <x:tableColumn id="5" name="Example Name"/>
    <x:tableColumn id="6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MonthlyCostNeedleTable" displayName="MonthlyCostNeedleTable" ref="A4:J10" headerRowCount="1">
  <x:tableColumns count="10">
    <x:tableColumn id="1" name="月份"/>
    <x:tableColumn id="2" name="未稅費用"/>
    <x:tableColumn id="3" name="VAT 10%"/>
    <x:tableColumn id="4" name="含稅總費用"/>
    <x:tableColumn id="5" name="機針費用"/>
    <x:tableColumn id="6" name="機針占未稅費用"/>
    <x:tableColumn id="7" name="非機針費用"/>
    <x:tableColumn id="8" name="非機針占比"/>
    <x:tableColumn id="9" name="機針採購數量"/>
    <x:tableColumn id="10" name="機針交易筆數"/>
  </x:tableColumns>
  <x:tableStyleInfo name="TableStyleMedium2" showRowStripes="1"/>
</x:table>
</file>

<file path=xl/tables/table10.xml><?xml version="1.0" encoding="utf-8"?>
<x:table xmlns:x="http://schemas.openxmlformats.org/spreadsheetml/2006/main" id="10" name="NeedleMonthlyDetailTable" displayName="NeedleMonthlyDetailTable" ref="A15:O32" headerRowCount="1">
  <x:tableColumns count="15">
    <x:tableColumn id="1" name="PART NO"/>
    <x:tableColumn id="2" name="機針名稱"/>
    <x:tableColumn id="3" name="規格"/>
    <x:tableColumn id="4" name="單位"/>
    <x:tableColumn id="5" name="最近單價"/>
    <x:tableColumn id="6" name="1月費用"/>
    <x:tableColumn id="7" name="2月費用"/>
    <x:tableColumn id="8" name="3月費用"/>
    <x:tableColumn id="9" name="4月費用"/>
    <x:tableColumn id="10" name="5月費用"/>
    <x:tableColumn id="11" name="6月費用"/>
    <x:tableColumn id="12" name="累計費用"/>
    <x:tableColumn id="13" name="累計數量"/>
    <x:tableColumn id="14" name="占全部機針費用"/>
    <x:tableColumn id="15" name="採購筆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69297a428944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3d03838ab14d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306122d58348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351874eadf45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e2073e5206f49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cb0bcfd761c4d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1d3ef56861e4141" /><Relationship Type="http://schemas.openxmlformats.org/officeDocument/2006/relationships/table" Target="/xl/tables/table8.xml" Id="Rc0abaa1668cc4e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e2204cfbcb8340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4e1f88311fe64126" /><Relationship Type="http://schemas.openxmlformats.org/officeDocument/2006/relationships/table" Target="/xl/tables/table9.xml" Id="R03aede98ce424530" /><Relationship Type="http://schemas.openxmlformats.org/officeDocument/2006/relationships/table" Target="/xl/tables/table10.xml" Id="R70bbb2dfb6554a1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28" hidden="0" customWidth="1"/>
    <x:col min="5" max="5" width="34" hidden="0" customWidth="1"/>
    <x:col min="6" max="6" width="24" hidden="0" customWidth="1"/>
    <x:col min="7" max="7" width="31" hidden="0" customWidth="1"/>
    <x:col min="8" max="8" width="22" hidden="0" customWidth="1"/>
    <x:col min="9" max="9" width="22" hidden="0" customWidth="1"/>
    <x:col min="10" max="10" width="17" hidden="0" customWidth="1"/>
    <x:col min="11" max="11" width="15" hidden="0" customWidth="1"/>
    <x:col min="12" max="12" width="24" hidden="0" customWidth="1"/>
    <x:col min="13" max="13" width="10" hidden="0" customWidth="1"/>
    <x:col min="14" max="14" width="9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5" hidden="0" customWidth="1"/>
    <x:col min="20" max="20" width="12" hidden="0" customWidth="1"/>
    <x:col min="21" max="21" width="31" hidden="0" customWidth="1"/>
    <x:col min="22" max="22" width="8" hidden="0" customWidth="1"/>
    <x:col min="23" max="23" width="40" hidden="0" customWidth="1"/>
  </x:cols>
  <x:sheetData>
    <x:row r="1" ht="34" customHeight="1">
      <x:c r="A1" s="6" t="str">
        <x:v>Statement Month</x:v>
      </x:c>
      <x:c r="B1" s="6" t="str">
        <x:v>Date</x:v>
      </x:c>
      <x:c r="C1" s="6" t="str">
        <x:v>Invoice No</x:v>
      </x:c>
      <x:c r="D1" s="6" t="str">
        <x:v>Supplier</x:v>
      </x:c>
      <x:c r="E1" s="6" t="str">
        <x:v>Raw Item Name</x:v>
      </x:c>
      <x:c r="F1" s="6" t="str">
        <x:v>Part No</x:v>
      </x:c>
      <x:c r="G1" s="6" t="str">
        <x:v>Standard Name</x:v>
      </x:c>
      <x:c r="H1" s="6" t="str">
        <x:v>Spec</x:v>
      </x:c>
      <x:c r="I1" s="6" t="str">
        <x:v>Category</x:v>
      </x:c>
      <x:c r="J1" s="6" t="str">
        <x:v>Item Type</x:v>
      </x:c>
      <x:c r="K1" s="6" t="str">
        <x:v>Brand</x:v>
      </x:c>
      <x:c r="L1" s="6" t="str">
        <x:v>Machine / Use</x:v>
      </x:c>
      <x:c r="M1" s="6" t="str">
        <x:v>Qty</x:v>
      </x:c>
      <x:c r="N1" s="6" t="str">
        <x:v>Unit</x:v>
      </x:c>
      <x:c r="O1" s="6" t="str">
        <x:v>Unit Price (USD)</x:v>
      </x:c>
      <x:c r="P1" s="6" t="str">
        <x:v>Calculated Amount</x:v>
      </x:c>
      <x:c r="Q1" s="6" t="str">
        <x:v>Source Amount</x:v>
      </x:c>
      <x:c r="R1" s="6" t="str">
        <x:v>Difference</x:v>
      </x:c>
      <x:c r="S1" s="6" t="str">
        <x:v>Include in Master</x:v>
      </x:c>
      <x:c r="T1" s="6" t="str">
        <x:v>Confidence</x:v>
      </x:c>
      <x:c r="U1" s="6" t="str">
        <x:v>Source File</x:v>
      </x:c>
      <x:c r="V1" s="6" t="str">
        <x:v>Page</x:v>
      </x:c>
      <x:c r="W1" s="6" t="str">
        <x:v>Notes</x:v>
      </x:c>
    </x:row>
    <x:row r="2">
      <x:c r="A2" s="18" t="str">
        <x:v>2026-01</x:v>
      </x:c>
      <x:c r="B2" s="19" t="n">
        <x:v>46006</x:v>
      </x:c>
      <x:c r="C2" s="18" t="str">
        <x:v>YI-000091</x:v>
      </x:c>
      <x:c r="D2" s="18" t="str">
        <x:v>YI NEW SEWING MACHINE CO., LTD</x:v>
      </x:c>
      <x:c r="E2" s="18" t="str">
        <x:v>維修:600燙襯機</x:v>
      </x:c>
      <x:c r="F2" s="18" t="str">
        <x:v>SV-TSM600-REPAIR</x:v>
      </x:c>
      <x:c r="G2" s="18" t="str">
        <x:v>600燙襯機維修服務</x:v>
      </x:c>
      <x:c r="H2" s="18" t="str">
        <x:v>TSM-600</x:v>
      </x:c>
      <x:c r="I2" s="18" t="str">
        <x:v>Repair Service</x:v>
      </x:c>
      <x:c r="J2" s="18" t="str">
        <x:v>Repair Service</x:v>
      </x:c>
      <x:c r="K2" s="18" t="str"/>
      <x:c r="L2" s="18" t="str">
        <x:v>TSM-600 Fusing Machine</x:v>
      </x:c>
      <x:c r="M2" s="20" t="n">
        <x:v>1</x:v>
      </x:c>
      <x:c r="N2" s="18" t="str">
        <x:v>台</x:v>
      </x:c>
      <x:c r="O2" s="21" t="n">
        <x:v>0</x:v>
      </x:c>
      <x:c r="P2" s="21" t="n">
        <x:f>M2*O2</x:f>
        <x:v>0</x:v>
      </x:c>
      <x:c r="Q2" s="21" t="n">
        <x:v>0</x:v>
      </x:c>
      <x:c r="R2" s="21" t="n">
        <x:f>P2-Q2</x:f>
        <x:v>0</x:v>
      </x:c>
      <x:c r="S2" s="18" t="str">
        <x:v>No</x:v>
      </x:c>
      <x:c r="T2" s="18" t="str">
        <x:v>High</x:v>
      </x:c>
      <x:c r="U2" s="18" t="str">
        <x:v>Yi New Sewing Machine_Jan.'26.pdf</x:v>
      </x:c>
      <x:c r="V2" s="18" t="n">
        <x:v>1</x:v>
      </x:c>
      <x:c r="W2" s="18" t="str">
        <x:v>發票列示金額為空白／零</x:v>
      </x:c>
    </x:row>
    <x:row r="3">
      <x:c r="A3" s="18" t="str">
        <x:v>2026-01</x:v>
      </x:c>
      <x:c r="B3" s="19" t="n">
        <x:v>46006</x:v>
      </x:c>
      <x:c r="C3" s="18" t="str">
        <x:v>YI-000091</x:v>
      </x:c>
      <x:c r="D3" s="18" t="str">
        <x:v>YI NEW SEWING MACHINE CO., LTD</x:v>
      </x:c>
      <x:c r="E3" s="18" t="str">
        <x:v>600型燙襯機電塊（好）</x:v>
      </x:c>
      <x:c r="F3" s="18" t="str">
        <x:v>EL-TSM600-HEATER-BLOCK</x:v>
      </x:c>
      <x:c r="G3" s="18" t="str">
        <x:v>600型燙襯機電塊</x:v>
      </x:c>
      <x:c r="H3" s="18" t="str">
        <x:v>TSM-600</x:v>
      </x:c>
      <x:c r="I3" s="18" t="str">
        <x:v>Electrical/Control</x:v>
      </x:c>
      <x:c r="J3" s="18" t="str">
        <x:v>Spare Part</x:v>
      </x:c>
      <x:c r="K3" s="18" t="str"/>
      <x:c r="L3" s="18" t="str">
        <x:v>TSM-600 Fusing Machine</x:v>
      </x:c>
      <x:c r="M3" s="20" t="n">
        <x:v>1</x:v>
      </x:c>
      <x:c r="N3" s="18" t="str">
        <x:v>個</x:v>
      </x:c>
      <x:c r="O3" s="21" t="n">
        <x:v>25</x:v>
      </x:c>
      <x:c r="P3" s="21" t="n">
        <x:f>M3*O3</x:f>
        <x:v>25</x:v>
      </x:c>
      <x:c r="Q3" s="21" t="n">
        <x:v>25</x:v>
      </x:c>
      <x:c r="R3" s="21" t="n">
        <x:f>P3-Q3</x:f>
        <x:v>0</x:v>
      </x:c>
      <x:c r="S3" s="18" t="str">
        <x:v>Yes</x:v>
      </x:c>
      <x:c r="T3" s="18" t="str">
        <x:v>High</x:v>
      </x:c>
      <x:c r="U3" s="18" t="str">
        <x:v>Yi New Sewing Machine_Jan.'26.pdf</x:v>
      </x:c>
      <x:c r="V3" s="18" t="n">
        <x:v>1</x:v>
      </x:c>
      <x:c r="W3" s="18" t="str"/>
    </x:row>
    <x:row r="4">
      <x:c r="A4" s="18" t="str">
        <x:v>2026-01</x:v>
      </x:c>
      <x:c r="B4" s="19" t="n">
        <x:v>46006</x:v>
      </x:c>
      <x:c r="C4" s="18" t="str">
        <x:v>YI-000091</x:v>
      </x:c>
      <x:c r="D4" s="18" t="str">
        <x:v>YI NEW SEWING MACHINE CO., LTD</x:v>
      </x:c>
      <x:c r="E4" s="18" t="str">
        <x:v>600型燙襯機調電器（好）</x:v>
      </x:c>
      <x:c r="F4" s="18" t="str">
        <x:v>EL-TSM600-REGULATOR</x:v>
      </x:c>
      <x:c r="G4" s="18" t="str">
        <x:v>600型燙襯機調電器</x:v>
      </x:c>
      <x:c r="H4" s="18" t="str">
        <x:v>TSM-600</x:v>
      </x:c>
      <x:c r="I4" s="18" t="str">
        <x:v>Electrical/Control</x:v>
      </x:c>
      <x:c r="J4" s="18" t="str">
        <x:v>Spare Part</x:v>
      </x:c>
      <x:c r="K4" s="18" t="str"/>
      <x:c r="L4" s="18" t="str">
        <x:v>TSM-600 Fusing Machine</x:v>
      </x:c>
      <x:c r="M4" s="20" t="n">
        <x:v>1</x:v>
      </x:c>
      <x:c r="N4" s="18" t="str">
        <x:v>個</x:v>
      </x:c>
      <x:c r="O4" s="21" t="n">
        <x:v>12</x:v>
      </x:c>
      <x:c r="P4" s="21" t="n">
        <x:f>M4*O4</x:f>
        <x:v>12</x:v>
      </x:c>
      <x:c r="Q4" s="21" t="n">
        <x:v>12</x:v>
      </x:c>
      <x:c r="R4" s="21" t="n">
        <x:f>P4-Q4</x:f>
        <x:v>0</x:v>
      </x:c>
      <x:c r="S4" s="18" t="str">
        <x:v>Yes</x:v>
      </x:c>
      <x:c r="T4" s="18" t="str">
        <x:v>High</x:v>
      </x:c>
      <x:c r="U4" s="18" t="str">
        <x:v>Yi New Sewing Machine_Jan.'26.pdf</x:v>
      </x:c>
      <x:c r="V4" s="18" t="n">
        <x:v>1</x:v>
      </x:c>
      <x:c r="W4" s="18" t="str"/>
    </x:row>
    <x:row r="5">
      <x:c r="A5" s="18" t="str">
        <x:v>2026-01</x:v>
      </x:c>
      <x:c r="B5" s="19" t="n">
        <x:v>46006</x:v>
      </x:c>
      <x:c r="C5" s="18" t="str">
        <x:v>YI-000091</x:v>
      </x:c>
      <x:c r="D5" s="18" t="str">
        <x:v>YI NEW SEWING MACHINE CO., LTD</x:v>
      </x:c>
      <x:c r="E5" s="18" t="str">
        <x:v>600型燙襯機大溫電機</x:v>
      </x:c>
      <x:c r="F5" s="18" t="str">
        <x:v>EL-TSM600-HIGH-TEMP-MOTOR</x:v>
      </x:c>
      <x:c r="G5" s="18" t="str">
        <x:v>600型燙襯機大溫電機</x:v>
      </x:c>
      <x:c r="H5" s="18" t="str">
        <x:v>TSM-600</x:v>
      </x:c>
      <x:c r="I5" s="18" t="str">
        <x:v>Electrical/Control</x:v>
      </x:c>
      <x:c r="J5" s="18" t="str">
        <x:v>Spare Part</x:v>
      </x:c>
      <x:c r="K5" s="18" t="str"/>
      <x:c r="L5" s="18" t="str">
        <x:v>TSM-600 Fusing Machine</x:v>
      </x:c>
      <x:c r="M5" s="20" t="n">
        <x:v>1</x:v>
      </x:c>
      <x:c r="N5" s="18" t="str">
        <x:v>個</x:v>
      </x:c>
      <x:c r="O5" s="21" t="n">
        <x:v>18</x:v>
      </x:c>
      <x:c r="P5" s="21" t="n">
        <x:f>M5*O5</x:f>
        <x:v>18</x:v>
      </x:c>
      <x:c r="Q5" s="21" t="n">
        <x:v>18</x:v>
      </x:c>
      <x:c r="R5" s="21" t="n">
        <x:f>P5-Q5</x:f>
        <x:v>0</x:v>
      </x:c>
      <x:c r="S5" s="18" t="str">
        <x:v>Yes</x:v>
      </x:c>
      <x:c r="T5" s="18" t="str">
        <x:v>Medium</x:v>
      </x:c>
      <x:c r="U5" s="18" t="str">
        <x:v>Yi New Sewing Machine_Jan.'26.pdf</x:v>
      </x:c>
      <x:c r="V5" s="18" t="n">
        <x:v>1</x:v>
      </x:c>
      <x:c r="W5" s="18" t="str">
        <x:v>原始品名較不常見，建議以實物或供應商料號確認</x:v>
      </x:c>
    </x:row>
    <x:row r="6">
      <x:c r="A6" s="18" t="str">
        <x:v>2026-01</x:v>
      </x:c>
      <x:c r="B6" s="19" t="n">
        <x:v>46006</x:v>
      </x:c>
      <x:c r="C6" s="18" t="str">
        <x:v>YI-000091</x:v>
      </x:c>
      <x:c r="D6" s="18" t="str">
        <x:v>YI NEW SEWING MACHINE CO., LTD</x:v>
      </x:c>
      <x:c r="E6" s="18" t="str">
        <x:v>600型燙襯機接電座</x:v>
      </x:c>
      <x:c r="F6" s="18" t="str">
        <x:v>EL-TSM600-SOCKET</x:v>
      </x:c>
      <x:c r="G6" s="18" t="str">
        <x:v>600型燙襯機接電座</x:v>
      </x:c>
      <x:c r="H6" s="18" t="str">
        <x:v>TSM-600</x:v>
      </x:c>
      <x:c r="I6" s="18" t="str">
        <x:v>Electrical/Control</x:v>
      </x:c>
      <x:c r="J6" s="18" t="str">
        <x:v>Spare Part</x:v>
      </x:c>
      <x:c r="K6" s="18" t="str"/>
      <x:c r="L6" s="18" t="str">
        <x:v>TSM-600 Fusing Machine</x:v>
      </x:c>
      <x:c r="M6" s="20" t="n">
        <x:v>1</x:v>
      </x:c>
      <x:c r="N6" s="18" t="str">
        <x:v>個</x:v>
      </x:c>
      <x:c r="O6" s="21" t="n">
        <x:v>5</x:v>
      </x:c>
      <x:c r="P6" s="21" t="n">
        <x:f>M6*O6</x:f>
        <x:v>5</x:v>
      </x:c>
      <x:c r="Q6" s="21" t="n">
        <x:v>5</x:v>
      </x:c>
      <x:c r="R6" s="21" t="n">
        <x:f>P6-Q6</x:f>
        <x:v>0</x:v>
      </x:c>
      <x:c r="S6" s="18" t="str">
        <x:v>Yes</x:v>
      </x:c>
      <x:c r="T6" s="18" t="str">
        <x:v>High</x:v>
      </x:c>
      <x:c r="U6" s="18" t="str">
        <x:v>Yi New Sewing Machine_Jan.'26.pdf</x:v>
      </x:c>
      <x:c r="V6" s="18" t="n">
        <x:v>1</x:v>
      </x:c>
      <x:c r="W6" s="18" t="str"/>
    </x:row>
    <x:row r="7">
      <x:c r="A7" s="18" t="str">
        <x:v>2026-01</x:v>
      </x:c>
      <x:c r="B7" s="19" t="n">
        <x:v>46006</x:v>
      </x:c>
      <x:c r="C7" s="18" t="str">
        <x:v>YI-000091</x:v>
      </x:c>
      <x:c r="D7" s="18" t="str">
        <x:v>YI NEW SEWING MACHINE CO., LTD</x:v>
      </x:c>
      <x:c r="E7" s="18" t="str">
        <x:v>TSM-600型燙襯機溫控器</x:v>
      </x:c>
      <x:c r="F7" s="18" t="str">
        <x:v>EL-TSM600-TEMP-CONTROLLER</x:v>
      </x:c>
      <x:c r="G7" s="18" t="str">
        <x:v>TSM-600燙襯機溫控器</x:v>
      </x:c>
      <x:c r="H7" s="18" t="str">
        <x:v>TSM-600</x:v>
      </x:c>
      <x:c r="I7" s="18" t="str">
        <x:v>Electrical/Control</x:v>
      </x:c>
      <x:c r="J7" s="18" t="str">
        <x:v>Spare Part</x:v>
      </x:c>
      <x:c r="K7" s="18" t="str"/>
      <x:c r="L7" s="18" t="str">
        <x:v>TSM-600 Fusing Machine</x:v>
      </x:c>
      <x:c r="M7" s="20" t="n">
        <x:v>1</x:v>
      </x:c>
      <x:c r="N7" s="18" t="str">
        <x:v>個</x:v>
      </x:c>
      <x:c r="O7" s="21" t="n">
        <x:v>69</x:v>
      </x:c>
      <x:c r="P7" s="21" t="n">
        <x:f>M7*O7</x:f>
        <x:v>69</x:v>
      </x:c>
      <x:c r="Q7" s="21" t="n">
        <x:v>69</x:v>
      </x:c>
      <x:c r="R7" s="21" t="n">
        <x:f>P7-Q7</x:f>
        <x:v>0</x:v>
      </x:c>
      <x:c r="S7" s="18" t="str">
        <x:v>Yes</x:v>
      </x:c>
      <x:c r="T7" s="18" t="str">
        <x:v>High</x:v>
      </x:c>
      <x:c r="U7" s="18" t="str">
        <x:v>Yi New Sewing Machine_Jan.'26.pdf</x:v>
      </x:c>
      <x:c r="V7" s="18" t="n">
        <x:v>1</x:v>
      </x:c>
      <x:c r="W7" s="18" t="str"/>
    </x:row>
    <x:row r="8">
      <x:c r="A8" s="18" t="str">
        <x:v>2026-01</x:v>
      </x:c>
      <x:c r="B8" s="19" t="n">
        <x:v>46006</x:v>
      </x:c>
      <x:c r="C8" s="18" t="str">
        <x:v>YI-000091</x:v>
      </x:c>
      <x:c r="D8" s="18" t="str">
        <x:v>YI NEW SEWING MACHINE CO., LTD</x:v>
      </x:c>
      <x:c r="E8" s="18" t="str">
        <x:v>TSM-600型燙襯機邊開關</x:v>
      </x:c>
      <x:c r="F8" s="18" t="str">
        <x:v>EL-TSM600-SIDE-SWITCH</x:v>
      </x:c>
      <x:c r="G8" s="18" t="str">
        <x:v>TSM-600燙襯機邊開關</x:v>
      </x:c>
      <x:c r="H8" s="18" t="str">
        <x:v>TSM-600</x:v>
      </x:c>
      <x:c r="I8" s="18" t="str">
        <x:v>Electrical/Control</x:v>
      </x:c>
      <x:c r="J8" s="18" t="str">
        <x:v>Spare Part</x:v>
      </x:c>
      <x:c r="K8" s="18" t="str"/>
      <x:c r="L8" s="18" t="str">
        <x:v>TSM-600 Fusing Machine</x:v>
      </x:c>
      <x:c r="M8" s="20" t="n">
        <x:v>4</x:v>
      </x:c>
      <x:c r="N8" s="18" t="str">
        <x:v>個</x:v>
      </x:c>
      <x:c r="O8" s="21" t="n">
        <x:v>2.5</x:v>
      </x:c>
      <x:c r="P8" s="21" t="n">
        <x:f>M8*O8</x:f>
        <x:v>10</x:v>
      </x:c>
      <x:c r="Q8" s="21" t="n">
        <x:v>10</x:v>
      </x:c>
      <x:c r="R8" s="21" t="n">
        <x:f>P8-Q8</x:f>
        <x:v>0</x:v>
      </x:c>
      <x:c r="S8" s="18" t="str">
        <x:v>Yes</x:v>
      </x:c>
      <x:c r="T8" s="18" t="str">
        <x:v>High</x:v>
      </x:c>
      <x:c r="U8" s="18" t="str">
        <x:v>Yi New Sewing Machine_Jan.'26.pdf</x:v>
      </x:c>
      <x:c r="V8" s="18" t="n">
        <x:v>1</x:v>
      </x:c>
      <x:c r="W8" s="18" t="str"/>
    </x:row>
    <x:row r="9">
      <x:c r="A9" s="18" t="str">
        <x:v>2026-01</x:v>
      </x:c>
      <x:c r="B9" s="19" t="n">
        <x:v>46024</x:v>
      </x:c>
      <x:c r="C9" s="18" t="str">
        <x:v>YI-000096</x:v>
      </x:c>
      <x:c r="D9" s="18" t="str">
        <x:v>YI NEW SEWING MACHINE CO., LTD</x:v>
      </x:c>
      <x:c r="E9" s="18" t="str">
        <x:v>ORGAN: DCx27#12</x:v>
      </x:c>
      <x:c r="F9" s="18" t="str">
        <x:v>ND-DCX27-12</x:v>
      </x:c>
      <x:c r="G9" s="18" t="str">
        <x:v>風琴機針 DCx27 #12</x:v>
      </x:c>
      <x:c r="H9" s="18" t="str">
        <x:v>DCx27 #12</x:v>
      </x:c>
      <x:c r="I9" s="18" t="str">
        <x:v>Needle</x:v>
      </x:c>
      <x:c r="J9" s="18" t="str">
        <x:v>Consumable</x:v>
      </x:c>
      <x:c r="K9" s="18" t="str">
        <x:v>ORGAN/風琴</x:v>
      </x:c>
      <x:c r="L9" s="18" t="str">
        <x:v>Overlock</x:v>
      </x:c>
      <x:c r="M9" s="20" t="n">
        <x:v>100</x:v>
      </x:c>
      <x:c r="N9" s="18" t="str">
        <x:v>包</x:v>
      </x:c>
      <x:c r="O9" s="21" t="n">
        <x:v>1.3</x:v>
      </x:c>
      <x:c r="P9" s="21" t="n">
        <x:f>M9*O9</x:f>
        <x:v>130</x:v>
      </x:c>
      <x:c r="Q9" s="21" t="n">
        <x:v>130</x:v>
      </x:c>
      <x:c r="R9" s="21" t="n">
        <x:f>P9-Q9</x:f>
        <x:v>0</x:v>
      </x:c>
      <x:c r="S9" s="18" t="str">
        <x:v>Yes</x:v>
      </x:c>
      <x:c r="T9" s="18" t="str">
        <x:v>High</x:v>
      </x:c>
      <x:c r="U9" s="18" t="str">
        <x:v>Yi New Sewing Machine_Jan.'26.pdf</x:v>
      </x:c>
      <x:c r="V9" s="18" t="n">
        <x:v>1</x:v>
      </x:c>
      <x:c r="W9" s="18" t="str"/>
    </x:row>
    <x:row r="10">
      <x:c r="A10" s="18" t="str">
        <x:v>2026-01</x:v>
      </x:c>
      <x:c r="B10" s="19" t="n">
        <x:v>46024</x:v>
      </x:c>
      <x:c r="C10" s="18" t="str">
        <x:v>YI-000096</x:v>
      </x:c>
      <x:c r="D10" s="18" t="str">
        <x:v>YI NEW SEWING MACHINE CO., LTD</x:v>
      </x:c>
      <x:c r="E10" s="18" t="str">
        <x:v>ORGAN: UYx128 #11</x:v>
      </x:c>
      <x:c r="F10" s="18" t="str">
        <x:v>ND-UYX128-11</x:v>
      </x:c>
      <x:c r="G10" s="18" t="str">
        <x:v>風琴機針 UYx128 #11</x:v>
      </x:c>
      <x:c r="H10" s="18" t="str">
        <x:v>UYx128 #11</x:v>
      </x:c>
      <x:c r="I10" s="18" t="str">
        <x:v>Needle</x:v>
      </x:c>
      <x:c r="J10" s="18" t="str">
        <x:v>Consumable</x:v>
      </x:c>
      <x:c r="K10" s="18" t="str">
        <x:v>ORGAN/風琴</x:v>
      </x:c>
      <x:c r="L10" s="18" t="str">
        <x:v>Multi-needle / Chainstitch</x:v>
      </x:c>
      <x:c r="M10" s="20" t="n">
        <x:v>100</x:v>
      </x:c>
      <x:c r="N10" s="18" t="str">
        <x:v>包</x:v>
      </x:c>
      <x:c r="O10" s="21" t="n">
        <x:v>1.78</x:v>
      </x:c>
      <x:c r="P10" s="21" t="n">
        <x:f>M10*O10</x:f>
        <x:v>178</x:v>
      </x:c>
      <x:c r="Q10" s="21" t="n">
        <x:v>178</x:v>
      </x:c>
      <x:c r="R10" s="21" t="n">
        <x:f>P10-Q10</x:f>
        <x:v>0</x:v>
      </x:c>
      <x:c r="S10" s="18" t="str">
        <x:v>Yes</x:v>
      </x:c>
      <x:c r="T10" s="18" t="str">
        <x:v>High</x:v>
      </x:c>
      <x:c r="U10" s="18" t="str">
        <x:v>Yi New Sewing Machine_Jan.'26.pdf</x:v>
      </x:c>
      <x:c r="V10" s="18" t="n">
        <x:v>1</x:v>
      </x:c>
      <x:c r="W10" s="18" t="str"/>
    </x:row>
    <x:row r="11">
      <x:c r="A11" s="18" t="str">
        <x:v>2026-01</x:v>
      </x:c>
      <x:c r="B11" s="19" t="n">
        <x:v>46024</x:v>
      </x:c>
      <x:c r="C11" s="18" t="str">
        <x:v>YI-000096</x:v>
      </x:c>
      <x:c r="D11" s="18" t="str">
        <x:v>YI NEW SEWING MACHINE CO., LTD</x:v>
      </x:c>
      <x:c r="E11" s="18" t="str">
        <x:v>ORGAN: UOx113#14</x:v>
      </x:c>
      <x:c r="F11" s="18" t="str">
        <x:v>ND-UOX113-14</x:v>
      </x:c>
      <x:c r="G11" s="18" t="str">
        <x:v>風琴機針 UOx113 #14</x:v>
      </x:c>
      <x:c r="H11" s="18" t="str">
        <x:v>UOx113 #14</x:v>
      </x:c>
      <x:c r="I11" s="18" t="str">
        <x:v>Needle</x:v>
      </x:c>
      <x:c r="J11" s="18" t="str">
        <x:v>Consumable</x:v>
      </x:c>
      <x:c r="K11" s="18" t="str">
        <x:v>ORGAN/風琴</x:v>
      </x:c>
      <x:c r="L11" s="18" t="str">
        <x:v>Multi-needle</x:v>
      </x:c>
      <x:c r="M11" s="20" t="n">
        <x:v>100</x:v>
      </x:c>
      <x:c r="N11" s="18" t="str">
        <x:v>包</x:v>
      </x:c>
      <x:c r="O11" s="21" t="n">
        <x:v>3</x:v>
      </x:c>
      <x:c r="P11" s="21" t="n">
        <x:f>M11*O11</x:f>
        <x:v>300</x:v>
      </x:c>
      <x:c r="Q11" s="21" t="n">
        <x:v>300</x:v>
      </x:c>
      <x:c r="R11" s="21" t="n">
        <x:f>P11-Q11</x:f>
        <x:v>0</x:v>
      </x:c>
      <x:c r="S11" s="18" t="str">
        <x:v>Yes</x:v>
      </x:c>
      <x:c r="T11" s="18" t="str">
        <x:v>High</x:v>
      </x:c>
      <x:c r="U11" s="18" t="str">
        <x:v>Yi New Sewing Machine_Jan.'26.pdf</x:v>
      </x:c>
      <x:c r="V11" s="18" t="n">
        <x:v>1</x:v>
      </x:c>
      <x:c r="W11" s="18" t="str"/>
    </x:row>
    <x:row r="12">
      <x:c r="A12" s="18" t="str">
        <x:v>2026-01</x:v>
      </x:c>
      <x:c r="B12" s="19" t="n">
        <x:v>46024</x:v>
      </x:c>
      <x:c r="C12" s="18" t="str">
        <x:v>YI-000096</x:v>
      </x:c>
      <x:c r="D12" s="18" t="str">
        <x:v>YI NEW SEWING MACHINE CO., LTD</x:v>
      </x:c>
      <x:c r="E12" s="18" t="str">
        <x:v>京木一字螺絲刀</x:v>
      </x:c>
      <x:c r="F12" s="18" t="str">
        <x:v>TL-SCREWDRIVER-FLAT-JINGMU</x:v>
      </x:c>
      <x:c r="G12" s="18" t="str">
        <x:v>京木一字螺絲刀</x:v>
      </x:c>
      <x:c r="H12" s="18" t="str">
        <x:v>Flat</x:v>
      </x:c>
      <x:c r="I12" s="18" t="str">
        <x:v>Tools</x:v>
      </x:c>
      <x:c r="J12" s="18" t="str">
        <x:v>Tool</x:v>
      </x:c>
      <x:c r="K12" s="18" t="str">
        <x:v>京木</x:v>
      </x:c>
      <x:c r="L12" s="18" t="str">
        <x:v>Maintenance</x:v>
      </x:c>
      <x:c r="M12" s="20" t="n">
        <x:v>1</x:v>
      </x:c>
      <x:c r="N12" s="18" t="str">
        <x:v>個</x:v>
      </x:c>
      <x:c r="O12" s="21" t="n">
        <x:v>7</x:v>
      </x:c>
      <x:c r="P12" s="21" t="n">
        <x:f>M12*O12</x:f>
        <x:v>7</x:v>
      </x:c>
      <x:c r="Q12" s="21" t="n">
        <x:v>7</x:v>
      </x:c>
      <x:c r="R12" s="21" t="n">
        <x:f>P12-Q12</x:f>
        <x:v>0</x:v>
      </x:c>
      <x:c r="S12" s="18" t="str">
        <x:v>Yes</x:v>
      </x:c>
      <x:c r="T12" s="18" t="str">
        <x:v>High</x:v>
      </x:c>
      <x:c r="U12" s="18" t="str">
        <x:v>Yi New Sewing Machine_Jan.'26.pdf</x:v>
      </x:c>
      <x:c r="V12" s="18" t="n">
        <x:v>1</x:v>
      </x:c>
      <x:c r="W12" s="18" t="str"/>
    </x:row>
    <x:row r="13">
      <x:c r="A13" s="18" t="str">
        <x:v>2026-01</x:v>
      </x:c>
      <x:c r="B13" s="19" t="n">
        <x:v>46024</x:v>
      </x:c>
      <x:c r="C13" s="18" t="str">
        <x:v>YI-000096</x:v>
      </x:c>
      <x:c r="D13" s="18" t="str">
        <x:v>YI NEW SEWING MACHINE CO., LTD</x:v>
      </x:c>
      <x:c r="E13" s="18" t="str">
        <x:v>京木扳手六角</x:v>
      </x:c>
      <x:c r="F13" s="18" t="str">
        <x:v>TL-HEX-WRENCH-JINGMU</x:v>
      </x:c>
      <x:c r="G13" s="18" t="str">
        <x:v>京木六角扳手</x:v>
      </x:c>
      <x:c r="H13" s="18" t="str">
        <x:v>Set</x:v>
      </x:c>
      <x:c r="I13" s="18" t="str">
        <x:v>Tools</x:v>
      </x:c>
      <x:c r="J13" s="18" t="str">
        <x:v>Tool</x:v>
      </x:c>
      <x:c r="K13" s="18" t="str">
        <x:v>京木</x:v>
      </x:c>
      <x:c r="L13" s="18" t="str">
        <x:v>Maintenance</x:v>
      </x:c>
      <x:c r="M13" s="20" t="n">
        <x:v>1</x:v>
      </x:c>
      <x:c r="N13" s="18" t="str">
        <x:v>套</x:v>
      </x:c>
      <x:c r="O13" s="21" t="n">
        <x:v>20</x:v>
      </x:c>
      <x:c r="P13" s="21" t="n">
        <x:f>M13*O13</x:f>
        <x:v>20</x:v>
      </x:c>
      <x:c r="Q13" s="21" t="n">
        <x:v>20</x:v>
      </x:c>
      <x:c r="R13" s="21" t="n">
        <x:f>P13-Q13</x:f>
        <x:v>0</x:v>
      </x:c>
      <x:c r="S13" s="18" t="str">
        <x:v>Yes</x:v>
      </x:c>
      <x:c r="T13" s="18" t="str">
        <x:v>High</x:v>
      </x:c>
      <x:c r="U13" s="18" t="str">
        <x:v>Yi New Sewing Machine_Jan.'26.pdf</x:v>
      </x:c>
      <x:c r="V13" s="18" t="n">
        <x:v>1</x:v>
      </x:c>
      <x:c r="W13" s="18" t="str"/>
    </x:row>
    <x:row r="14">
      <x:c r="A14" s="18" t="str">
        <x:v>2026-01</x:v>
      </x:c>
      <x:c r="B14" s="19" t="n">
        <x:v>46027</x:v>
      </x:c>
      <x:c r="C14" s="18" t="str">
        <x:v>YI-000097</x:v>
      </x:c>
      <x:c r="D14" s="18" t="str">
        <x:v>YI NEW SEWING MACHINE CO., LTD</x:v>
      </x:c>
      <x:c r="E14" s="18" t="str">
        <x:v>熨斗鞋 ES-94(A)</x:v>
      </x:c>
      <x:c r="F14" s="18" t="str">
        <x:v>IR-ES94A-SHOE</x:v>
      </x:c>
      <x:c r="G14" s="18" t="str">
        <x:v>熨斗鞋 ES-94(A)</x:v>
      </x:c>
      <x:c r="H14" s="18" t="str">
        <x:v>ES-94(A)</x:v>
      </x:c>
      <x:c r="I14" s="18" t="str">
        <x:v>Ironing/Heat Transfer</x:v>
      </x:c>
      <x:c r="J14" s="18" t="str">
        <x:v>Consumable</x:v>
      </x:c>
      <x:c r="K14" s="18" t="str"/>
      <x:c r="L14" s="18" t="str">
        <x:v>Iron</x:v>
      </x:c>
      <x:c r="M14" s="20" t="n">
        <x:v>50</x:v>
      </x:c>
      <x:c r="N14" s="18" t="str">
        <x:v>個</x:v>
      </x:c>
      <x:c r="O14" s="21" t="n">
        <x:v>1.8</x:v>
      </x:c>
      <x:c r="P14" s="21" t="n">
        <x:f>M14*O14</x:f>
        <x:v>90</x:v>
      </x:c>
      <x:c r="Q14" s="21" t="n">
        <x:v>90</x:v>
      </x:c>
      <x:c r="R14" s="21" t="n">
        <x:f>P14-Q14</x:f>
        <x:v>0</x:v>
      </x:c>
      <x:c r="S14" s="18" t="str">
        <x:v>Yes</x:v>
      </x:c>
      <x:c r="T14" s="18" t="str">
        <x:v>High</x:v>
      </x:c>
      <x:c r="U14" s="18" t="str">
        <x:v>Yi New Sewing Machine_Jan.'26.pdf</x:v>
      </x:c>
      <x:c r="V14" s="18" t="n">
        <x:v>1</x:v>
      </x:c>
      <x:c r="W14" s="18" t="str"/>
    </x:row>
    <x:row r="15">
      <x:c r="A15" s="18" t="str">
        <x:v>2026-01</x:v>
      </x:c>
      <x:c r="B15" s="19" t="n">
        <x:v>46027</x:v>
      </x:c>
      <x:c r="C15" s="18" t="str">
        <x:v>YI-000097</x:v>
      </x:c>
      <x:c r="D15" s="18" t="str">
        <x:v>YI NEW SEWING MACHINE CO., LTD</x:v>
      </x:c>
      <x:c r="E15" s="18" t="str">
        <x:v>JJW-830</x:v>
      </x:c>
      <x:c r="F15" s="18" t="str">
        <x:v>CH-JJW830</x:v>
      </x:c>
      <x:c r="G15" s="18" t="str">
        <x:v>JJW-830</x:v>
      </x:c>
      <x:c r="H15" s="18" t="str">
        <x:v>JJW-830</x:v>
      </x:c>
      <x:c r="I15" s="18" t="str">
        <x:v>Consumable/Chemical</x:v>
      </x:c>
      <x:c r="J15" s="18" t="str">
        <x:v>Consumable</x:v>
      </x:c>
      <x:c r="K15" s="18" t="str"/>
      <x:c r="L15" s="18" t="str">
        <x:v>Maintenance</x:v>
      </x:c>
      <x:c r="M15" s="20" t="n">
        <x:v>20</x:v>
      </x:c>
      <x:c r="N15" s="18" t="str">
        <x:v>瓶</x:v>
      </x:c>
      <x:c r="O15" s="21" t="n">
        <x:v>2.8</x:v>
      </x:c>
      <x:c r="P15" s="21" t="n">
        <x:f>M15*O15</x:f>
        <x:v>56</x:v>
      </x:c>
      <x:c r="Q15" s="21" t="n">
        <x:v>56</x:v>
      </x:c>
      <x:c r="R15" s="21" t="n">
        <x:f>P15-Q15</x:f>
        <x:v>0</x:v>
      </x:c>
      <x:c r="S15" s="18" t="str">
        <x:v>Yes</x:v>
      </x:c>
      <x:c r="T15" s="18" t="str">
        <x:v>High</x:v>
      </x:c>
      <x:c r="U15" s="18" t="str">
        <x:v>Yi New Sewing Machine_Jan.'26.pdf</x:v>
      </x:c>
      <x:c r="V15" s="18" t="n">
        <x:v>1</x:v>
      </x:c>
      <x:c r="W15" s="18" t="str"/>
    </x:row>
    <x:row r="16">
      <x:c r="A16" s="18" t="str">
        <x:v>2026-01</x:v>
      </x:c>
      <x:c r="B16" s="19" t="n">
        <x:v>46027</x:v>
      </x:c>
      <x:c r="C16" s="18" t="str">
        <x:v>YI-000097</x:v>
      </x:c>
      <x:c r="D16" s="18" t="str">
        <x:v>YI NEW SEWING MACHINE CO., LTD</x:v>
      </x:c>
      <x:c r="E16" s="18" t="str">
        <x:v>正宗韓國吊瓶熨斗組</x:v>
      </x:c>
      <x:c r="F16" s="18" t="str">
        <x:v>IR-HANGING-BOTTLE-SET-KR</x:v>
      </x:c>
      <x:c r="G16" s="18" t="str">
        <x:v>韓國吊瓶熨斗組</x:v>
      </x:c>
      <x:c r="H16" s="18" t="str">
        <x:v>Complete Set</x:v>
      </x:c>
      <x:c r="I16" s="18" t="str">
        <x:v>Ironing/Heat Transfer</x:v>
      </x:c>
      <x:c r="J16" s="18" t="str">
        <x:v>Equipment</x:v>
      </x:c>
      <x:c r="K16" s="18" t="str">
        <x:v>Korea</x:v>
      </x:c>
      <x:c r="L16" s="18" t="str">
        <x:v>Iron</x:v>
      </x:c>
      <x:c r="M16" s="20" t="n">
        <x:v>4</x:v>
      </x:c>
      <x:c r="N16" s="18" t="str">
        <x:v>把</x:v>
      </x:c>
      <x:c r="O16" s="21" t="n">
        <x:v>29</x:v>
      </x:c>
      <x:c r="P16" s="21" t="n">
        <x:f>M16*O16</x:f>
        <x:v>116</x:v>
      </x:c>
      <x:c r="Q16" s="21" t="n">
        <x:v>116</x:v>
      </x:c>
      <x:c r="R16" s="21" t="n">
        <x:f>P16-Q16</x:f>
        <x:v>0</x:v>
      </x:c>
      <x:c r="S16" s="18" t="str">
        <x:v>Yes</x:v>
      </x:c>
      <x:c r="T16" s="18" t="str">
        <x:v>High</x:v>
      </x:c>
      <x:c r="U16" s="18" t="str">
        <x:v>Yi New Sewing Machine_Jan.'26.pdf</x:v>
      </x:c>
      <x:c r="V16" s="18" t="n">
        <x:v>1</x:v>
      </x:c>
      <x:c r="W16" s="18" t="str"/>
    </x:row>
    <x:row r="17">
      <x:c r="A17" s="18" t="str">
        <x:v>2026-01</x:v>
      </x:c>
      <x:c r="B17" s="19" t="n">
        <x:v>46027</x:v>
      </x:c>
      <x:c r="C17" s="18" t="str">
        <x:v>YI-000097</x:v>
      </x:c>
      <x:c r="D17" s="18" t="str">
        <x:v>YI NEW SEWING MACHINE CO., LTD</x:v>
      </x:c>
      <x:c r="E17" s="18" t="str">
        <x:v>ORGAN: UYx128 #11</x:v>
      </x:c>
      <x:c r="F17" s="18" t="str">
        <x:v>ND-UYX128-11</x:v>
      </x:c>
      <x:c r="G17" s="18" t="str">
        <x:v>風琴機針 UYx128 #11</x:v>
      </x:c>
      <x:c r="H17" s="18" t="str">
        <x:v>UYx128 #11</x:v>
      </x:c>
      <x:c r="I17" s="18" t="str">
        <x:v>Needle</x:v>
      </x:c>
      <x:c r="J17" s="18" t="str">
        <x:v>Consumable</x:v>
      </x:c>
      <x:c r="K17" s="18" t="str">
        <x:v>ORGAN/風琴</x:v>
      </x:c>
      <x:c r="L17" s="18" t="str">
        <x:v>Multi-needle / Chainstitch</x:v>
      </x:c>
      <x:c r="M17" s="20" t="n">
        <x:v>100</x:v>
      </x:c>
      <x:c r="N17" s="18" t="str">
        <x:v>包</x:v>
      </x:c>
      <x:c r="O17" s="21" t="n">
        <x:v>1.78</x:v>
      </x:c>
      <x:c r="P17" s="21" t="n">
        <x:f>M17*O17</x:f>
        <x:v>178</x:v>
      </x:c>
      <x:c r="Q17" s="21" t="n">
        <x:v>178</x:v>
      </x:c>
      <x:c r="R17" s="21" t="n">
        <x:f>P17-Q17</x:f>
        <x:v>0</x:v>
      </x:c>
      <x:c r="S17" s="18" t="str">
        <x:v>Yes</x:v>
      </x:c>
      <x:c r="T17" s="18" t="str">
        <x:v>High</x:v>
      </x:c>
      <x:c r="U17" s="18" t="str">
        <x:v>Yi New Sewing Machine_Jan.'26.pdf</x:v>
      </x:c>
      <x:c r="V17" s="18" t="n">
        <x:v>1</x:v>
      </x:c>
      <x:c r="W17" s="18" t="str"/>
    </x:row>
    <x:row r="18">
      <x:c r="A18" s="18" t="str">
        <x:v>2026-01</x:v>
      </x:c>
      <x:c r="B18" s="19" t="n">
        <x:v>46027</x:v>
      </x:c>
      <x:c r="C18" s="18" t="str">
        <x:v>YI-000097</x:v>
      </x:c>
      <x:c r="D18" s="18" t="str">
        <x:v>YI NEW SEWING MACHINE CO., LTD</x:v>
      </x:c>
      <x:c r="E18" s="18" t="str">
        <x:v>ORGAN: UOx113#14</x:v>
      </x:c>
      <x:c r="F18" s="18" t="str">
        <x:v>ND-UOX113-14</x:v>
      </x:c>
      <x:c r="G18" s="18" t="str">
        <x:v>風琴機針 UOx113 #14</x:v>
      </x:c>
      <x:c r="H18" s="18" t="str">
        <x:v>UOx113 #14</x:v>
      </x:c>
      <x:c r="I18" s="18" t="str">
        <x:v>Needle</x:v>
      </x:c>
      <x:c r="J18" s="18" t="str">
        <x:v>Consumable</x:v>
      </x:c>
      <x:c r="K18" s="18" t="str">
        <x:v>ORGAN/風琴</x:v>
      </x:c>
      <x:c r="L18" s="18" t="str">
        <x:v>Multi-needle</x:v>
      </x:c>
      <x:c r="M18" s="20" t="n">
        <x:v>100</x:v>
      </x:c>
      <x:c r="N18" s="18" t="str">
        <x:v>包</x:v>
      </x:c>
      <x:c r="O18" s="21" t="n">
        <x:v>3</x:v>
      </x:c>
      <x:c r="P18" s="21" t="n">
        <x:f>M18*O18</x:f>
        <x:v>300</x:v>
      </x:c>
      <x:c r="Q18" s="21" t="n">
        <x:v>300</x:v>
      </x:c>
      <x:c r="R18" s="21" t="n">
        <x:f>P18-Q18</x:f>
        <x:v>0</x:v>
      </x:c>
      <x:c r="S18" s="18" t="str">
        <x:v>Yes</x:v>
      </x:c>
      <x:c r="T18" s="18" t="str">
        <x:v>High</x:v>
      </x:c>
      <x:c r="U18" s="18" t="str">
        <x:v>Yi New Sewing Machine_Jan.'26.pdf</x:v>
      </x:c>
      <x:c r="V18" s="18" t="n">
        <x:v>1</x:v>
      </x:c>
      <x:c r="W18" s="18" t="str"/>
    </x:row>
    <x:row r="19">
      <x:c r="A19" s="18" t="str">
        <x:v>2026-01</x:v>
      </x:c>
      <x:c r="B19" s="19" t="n">
        <x:v>46036</x:v>
      </x:c>
      <x:c r="C19" s="18" t="str">
        <x:v>YI-000098</x:v>
      </x:c>
      <x:c r="D19" s="18" t="str">
        <x:v>YI NEW SEWING MACHINE CO., LTD</x:v>
      </x:c>
      <x:c r="E19" s="18" t="str">
        <x:v>3指鐵手套(M碼)</x:v>
      </x:c>
      <x:c r="F19" s="18" t="str">
        <x:v>SAF-METAL-GLOVE-3F-M</x:v>
      </x:c>
      <x:c r="G19" s="18" t="str">
        <x:v>三指鐵手套 M碼</x:v>
      </x:c>
      <x:c r="H19" s="18" t="str">
        <x:v>3-finger, M</x:v>
      </x:c>
      <x:c r="I19" s="18" t="str">
        <x:v>Cutting</x:v>
      </x:c>
      <x:c r="J19" s="18" t="str">
        <x:v>Tool</x:v>
      </x:c>
      <x:c r="K19" s="18" t="str"/>
      <x:c r="L19" s="18" t="str">
        <x:v>Cutting Safety</x:v>
      </x:c>
      <x:c r="M19" s="20" t="n">
        <x:v>10</x:v>
      </x:c>
      <x:c r="N19" s="18" t="str">
        <x:v>支</x:v>
      </x:c>
      <x:c r="O19" s="21" t="n">
        <x:v>33</x:v>
      </x:c>
      <x:c r="P19" s="21" t="n">
        <x:f>M19*O19</x:f>
        <x:v>330</x:v>
      </x:c>
      <x:c r="Q19" s="21" t="n">
        <x:v>330</x:v>
      </x:c>
      <x:c r="R19" s="21" t="n">
        <x:f>P19-Q19</x:f>
        <x:v>0</x:v>
      </x:c>
      <x:c r="S19" s="18" t="str">
        <x:v>Yes</x:v>
      </x:c>
      <x:c r="T19" s="18" t="str">
        <x:v>High</x:v>
      </x:c>
      <x:c r="U19" s="18" t="str">
        <x:v>Yi New Sewing Machine_Jan.'26.pdf</x:v>
      </x:c>
      <x:c r="V19" s="18" t="n">
        <x:v>1</x:v>
      </x:c>
      <x:c r="W19" s="18" t="str"/>
    </x:row>
    <x:row r="20">
      <x:c r="A20" s="18" t="str">
        <x:v>2026-01</x:v>
      </x:c>
      <x:c r="B20" s="19" t="n">
        <x:v>46038</x:v>
      </x:c>
      <x:c r="C20" s="18" t="str">
        <x:v>YI-000099</x:v>
      </x:c>
      <x:c r="D20" s="18" t="str">
        <x:v>YI NEW SEWING MACHINE CO., LTD</x:v>
      </x:c>
      <x:c r="E20" s="18" t="str">
        <x:v>日本12.D強力去污靈</x:v>
      </x:c>
      <x:c r="F20" s="18" t="str">
        <x:v>CH-12D-STAIN-REMOVER-JP</x:v>
      </x:c>
      <x:c r="G20" s="18" t="str">
        <x:v>日本12.D強力去污靈</x:v>
      </x:c>
      <x:c r="H20" s="18" t="str">
        <x:v>12.D</x:v>
      </x:c>
      <x:c r="I20" s="18" t="str">
        <x:v>Consumable/Chemical</x:v>
      </x:c>
      <x:c r="J20" s="18" t="str">
        <x:v>Consumable</x:v>
      </x:c>
      <x:c r="K20" s="18" t="str">
        <x:v>Japan</x:v>
      </x:c>
      <x:c r="L20" s="18" t="str">
        <x:v>Cleaning</x:v>
      </x:c>
      <x:c r="M20" s="20" t="n">
        <x:v>2</x:v>
      </x:c>
      <x:c r="N20" s="18" t="str">
        <x:v>瓶</x:v>
      </x:c>
      <x:c r="O20" s="21" t="n">
        <x:v>9</x:v>
      </x:c>
      <x:c r="P20" s="21" t="n">
        <x:f>M20*O20</x:f>
        <x:v>18</x:v>
      </x:c>
      <x:c r="Q20" s="21" t="n">
        <x:v>18</x:v>
      </x:c>
      <x:c r="R20" s="21" t="n">
        <x:f>P20-Q20</x:f>
        <x:v>0</x:v>
      </x:c>
      <x:c r="S20" s="18" t="str">
        <x:v>Yes</x:v>
      </x:c>
      <x:c r="T20" s="18" t="str">
        <x:v>High</x:v>
      </x:c>
      <x:c r="U20" s="18" t="str">
        <x:v>Yi New Sewing Machine_Jan.'26.pdf</x:v>
      </x:c>
      <x:c r="V20" s="18" t="n">
        <x:v>1</x:v>
      </x:c>
      <x:c r="W20" s="18" t="str"/>
    </x:row>
    <x:row r="21">
      <x:c r="A21" s="18" t="str">
        <x:v>2026-01</x:v>
      </x:c>
      <x:c r="B21" s="19" t="n">
        <x:v>46042</x:v>
      </x:c>
      <x:c r="C21" s="18" t="str">
        <x:v>YI-000100</x:v>
      </x:c>
      <x:c r="D21" s="18" t="str">
        <x:v>YI NEW SEWING MACHINE CO., LTD</x:v>
      </x:c>
      <x:c r="E21" s="18" t="str">
        <x:v>Organ : UYx128#11</x:v>
      </x:c>
      <x:c r="F21" s="18" t="str">
        <x:v>ND-UYX128-11</x:v>
      </x:c>
      <x:c r="G21" s="18" t="str">
        <x:v>風琴機針 UYx128 #11</x:v>
      </x:c>
      <x:c r="H21" s="18" t="str">
        <x:v>UYx128 #11</x:v>
      </x:c>
      <x:c r="I21" s="18" t="str">
        <x:v>Needle</x:v>
      </x:c>
      <x:c r="J21" s="18" t="str">
        <x:v>Consumable</x:v>
      </x:c>
      <x:c r="K21" s="18" t="str">
        <x:v>ORGAN/風琴</x:v>
      </x:c>
      <x:c r="L21" s="18" t="str">
        <x:v>Multi-needle / Chainstitch</x:v>
      </x:c>
      <x:c r="M21" s="20" t="n">
        <x:v>100</x:v>
      </x:c>
      <x:c r="N21" s="18" t="str">
        <x:v>包</x:v>
      </x:c>
      <x:c r="O21" s="21" t="n">
        <x:v>1.78</x:v>
      </x:c>
      <x:c r="P21" s="21" t="n">
        <x:f>M21*O21</x:f>
        <x:v>178</x:v>
      </x:c>
      <x:c r="Q21" s="21" t="n">
        <x:v>178</x:v>
      </x:c>
      <x:c r="R21" s="21" t="n">
        <x:f>P21-Q21</x:f>
        <x:v>0</x:v>
      </x:c>
      <x:c r="S21" s="18" t="str">
        <x:v>Yes</x:v>
      </x:c>
      <x:c r="T21" s="18" t="str">
        <x:v>High</x:v>
      </x:c>
      <x:c r="U21" s="18" t="str">
        <x:v>Yi New Sewing Machine_Jan.'26.pdf</x:v>
      </x:c>
      <x:c r="V21" s="18" t="n">
        <x:v>1</x:v>
      </x:c>
      <x:c r="W21" s="18" t="str"/>
    </x:row>
    <x:row r="22">
      <x:c r="A22" s="18" t="str">
        <x:v>2026-01</x:v>
      </x:c>
      <x:c r="B22" s="19" t="n">
        <x:v>46042</x:v>
      </x:c>
      <x:c r="C22" s="18" t="str">
        <x:v>YI-000100</x:v>
      </x:c>
      <x:c r="D22" s="18" t="str">
        <x:v>YI NEW SEWING MACHINE CO., LTD</x:v>
      </x:c>
      <x:c r="E22" s="18" t="str">
        <x:v>Organ : DCx27#12</x:v>
      </x:c>
      <x:c r="F22" s="18" t="str">
        <x:v>ND-DCX27-12</x:v>
      </x:c>
      <x:c r="G22" s="18" t="str">
        <x:v>風琴機針 DCx27 #12</x:v>
      </x:c>
      <x:c r="H22" s="18" t="str">
        <x:v>DCx27 #12</x:v>
      </x:c>
      <x:c r="I22" s="18" t="str">
        <x:v>Needle</x:v>
      </x:c>
      <x:c r="J22" s="18" t="str">
        <x:v>Consumable</x:v>
      </x:c>
      <x:c r="K22" s="18" t="str">
        <x:v>ORGAN/風琴</x:v>
      </x:c>
      <x:c r="L22" s="18" t="str">
        <x:v>Overlock</x:v>
      </x:c>
      <x:c r="M22" s="20" t="n">
        <x:v>100</x:v>
      </x:c>
      <x:c r="N22" s="18" t="str">
        <x:v>包</x:v>
      </x:c>
      <x:c r="O22" s="21" t="n">
        <x:v>1.3</x:v>
      </x:c>
      <x:c r="P22" s="21" t="n">
        <x:f>M22*O22</x:f>
        <x:v>130</x:v>
      </x:c>
      <x:c r="Q22" s="21" t="n">
        <x:v>130</x:v>
      </x:c>
      <x:c r="R22" s="21" t="n">
        <x:f>P22-Q22</x:f>
        <x:v>0</x:v>
      </x:c>
      <x:c r="S22" s="18" t="str">
        <x:v>Yes</x:v>
      </x:c>
      <x:c r="T22" s="18" t="str">
        <x:v>High</x:v>
      </x:c>
      <x:c r="U22" s="18" t="str">
        <x:v>Yi New Sewing Machine_Jan.'26.pdf</x:v>
      </x:c>
      <x:c r="V22" s="18" t="n">
        <x:v>1</x:v>
      </x:c>
      <x:c r="W22" s="18" t="str"/>
    </x:row>
    <x:row r="23">
      <x:c r="A23" s="18" t="str">
        <x:v>2026-01</x:v>
      </x:c>
      <x:c r="B23" s="19" t="n">
        <x:v>46042</x:v>
      </x:c>
      <x:c r="C23" s="18" t="str">
        <x:v>YI-000100</x:v>
      </x:c>
      <x:c r="D23" s="18" t="str">
        <x:v>YI NEW SEWING MACHINE CO., LTD</x:v>
      </x:c>
      <x:c r="E23" s="18" t="str">
        <x:v>505c3-224組-10in</x:v>
      </x:c>
      <x:c r="F23" s="18" t="str">
        <x:v>CT-505C3-224-10IN</x:v>
      </x:c>
      <x:c r="G23" s="18" t="str">
        <x:v>505C3-224組 10吋</x:v>
      </x:c>
      <x:c r="H23" s="18" t="str">
        <x:v>505C3-224, 10in</x:v>
      </x:c>
      <x:c r="I23" s="18" t="str">
        <x:v>Cutting</x:v>
      </x:c>
      <x:c r="J23" s="18" t="str">
        <x:v>Spare Part</x:v>
      </x:c>
      <x:c r="K23" s="18" t="str"/>
      <x:c r="L23" s="18" t="str">
        <x:v>Cutting Machine</x:v>
      </x:c>
      <x:c r="M23" s="20" t="n">
        <x:v>2</x:v>
      </x:c>
      <x:c r="N23" s="18" t="str">
        <x:v>個</x:v>
      </x:c>
      <x:c r="O23" s="21" t="n">
        <x:v>50</x:v>
      </x:c>
      <x:c r="P23" s="21" t="n">
        <x:f>M23*O23</x:f>
        <x:v>100</x:v>
      </x:c>
      <x:c r="Q23" s="21" t="n">
        <x:v>100</x:v>
      </x:c>
      <x:c r="R23" s="21" t="n">
        <x:f>P23-Q23</x:f>
        <x:v>0</x:v>
      </x:c>
      <x:c r="S23" s="18" t="str">
        <x:v>Yes</x:v>
      </x:c>
      <x:c r="T23" s="18" t="str">
        <x:v>Medium</x:v>
      </x:c>
      <x:c r="U23" s="18" t="str">
        <x:v>Yi New Sewing Machine_Jan.'26.pdf</x:v>
      </x:c>
      <x:c r="V23" s="18" t="n">
        <x:v>1</x:v>
      </x:c>
      <x:c r="W23" s="18" t="str">
        <x:v>原始品名保留；建議補機型與實物照片</x:v>
      </x:c>
    </x:row>
    <x:row r="24">
      <x:c r="A24" s="18" t="str">
        <x:v>2026-01</x:v>
      </x:c>
      <x:c r="B24" s="19" t="n">
        <x:v>46043</x:v>
      </x:c>
      <x:c r="C24" s="18" t="str">
        <x:v>YI-000101</x:v>
      </x:c>
      <x:c r="D24" s="18" t="str">
        <x:v>YI NEW SEWING MACHINE CO., LTD</x:v>
      </x:c>
      <x:c r="E24" s="18" t="str">
        <x:v>噴頭型530全能水</x:v>
      </x:c>
      <x:c r="F24" s="18" t="str">
        <x:v>CH-530-CLEANER-SPRAY</x:v>
      </x:c>
      <x:c r="G24" s="18" t="str">
        <x:v>530噴頭型全能水</x:v>
      </x:c>
      <x:c r="H24" s="18" t="str">
        <x:v>530</x:v>
      </x:c>
      <x:c r="I24" s="18" t="str">
        <x:v>Consumable/Chemical</x:v>
      </x:c>
      <x:c r="J24" s="18" t="str">
        <x:v>Consumable</x:v>
      </x:c>
      <x:c r="K24" s="18" t="str"/>
      <x:c r="L24" s="18" t="str">
        <x:v>Cleaning</x:v>
      </x:c>
      <x:c r="M24" s="20" t="n">
        <x:v>2</x:v>
      </x:c>
      <x:c r="N24" s="18" t="str">
        <x:v>瓶</x:v>
      </x:c>
      <x:c r="O24" s="21" t="n">
        <x:v>3.5</x:v>
      </x:c>
      <x:c r="P24" s="21" t="n">
        <x:f>M24*O24</x:f>
        <x:v>7</x:v>
      </x:c>
      <x:c r="Q24" s="21" t="n">
        <x:v>7</x:v>
      </x:c>
      <x:c r="R24" s="21" t="n">
        <x:f>P24-Q24</x:f>
        <x:v>0</x:v>
      </x:c>
      <x:c r="S24" s="18" t="str">
        <x:v>Yes</x:v>
      </x:c>
      <x:c r="T24" s="18" t="str">
        <x:v>High</x:v>
      </x:c>
      <x:c r="U24" s="18" t="str">
        <x:v>Yi New Sewing Machine_Jan.'26.pdf</x:v>
      </x:c>
      <x:c r="V24" s="18" t="n">
        <x:v>1</x:v>
      </x:c>
      <x:c r="W24" s="18" t="str"/>
    </x:row>
    <x:row r="25">
      <x:c r="A25" s="18" t="str">
        <x:v>2026-01</x:v>
      </x:c>
      <x:c r="B25" s="19" t="n">
        <x:v>46045</x:v>
      </x:c>
      <x:c r="C25" s="18" t="str">
        <x:v>YI-000102</x:v>
      </x:c>
      <x:c r="D25" s="18" t="str">
        <x:v>YI NEW SEWING MACHINE CO., LTD</x:v>
      </x:c>
      <x:c r="E25" s="18" t="str">
        <x:v>裁床不鏽鋼齒型花邊大剪刀9寸</x:v>
      </x:c>
      <x:c r="F25" s="18" t="str">
        <x:v>CT-SCISSOR-ZIGZAG-9IN</x:v>
      </x:c>
      <x:c r="G25" s="18" t="str">
        <x:v>裁床不鏽鋼齒型花邊大剪刀</x:v>
      </x:c>
      <x:c r="H25" s="18" t="str">
        <x:v>9 inch</x:v>
      </x:c>
      <x:c r="I25" s="18" t="str">
        <x:v>Cutting</x:v>
      </x:c>
      <x:c r="J25" s="18" t="str">
        <x:v>Tool</x:v>
      </x:c>
      <x:c r="K25" s="18" t="str"/>
      <x:c r="L25" s="18" t="str">
        <x:v>Cutting</x:v>
      </x:c>
      <x:c r="M25" s="20" t="n">
        <x:v>1</x:v>
      </x:c>
      <x:c r="N25" s="18" t="str">
        <x:v>把</x:v>
      </x:c>
      <x:c r="O25" s="21" t="n">
        <x:v>25</x:v>
      </x:c>
      <x:c r="P25" s="21" t="n">
        <x:f>M25*O25</x:f>
        <x:v>25</x:v>
      </x:c>
      <x:c r="Q25" s="21" t="n">
        <x:v>25</x:v>
      </x:c>
      <x:c r="R25" s="21" t="n">
        <x:f>P25-Q25</x:f>
        <x:v>0</x:v>
      </x:c>
      <x:c r="S25" s="18" t="str">
        <x:v>Yes</x:v>
      </x:c>
      <x:c r="T25" s="18" t="str">
        <x:v>High</x:v>
      </x:c>
      <x:c r="U25" s="18" t="str">
        <x:v>Yi New Sewing Machine_Jan.'26.pdf</x:v>
      </x:c>
      <x:c r="V25" s="18" t="n">
        <x:v>1</x:v>
      </x:c>
      <x:c r="W25" s="18" t="str"/>
    </x:row>
    <x:row r="26">
      <x:c r="A26" s="18" t="str">
        <x:v>2026-01</x:v>
      </x:c>
      <x:c r="B26" s="19" t="n">
        <x:v>46051</x:v>
      </x:c>
      <x:c r="C26" s="18" t="str">
        <x:v>YI-000103</x:v>
      </x:c>
      <x:c r="D26" s="18" t="str">
        <x:v>YI NEW SEWING MACHINE CO., LTD</x:v>
      </x:c>
      <x:c r="E26" s="18" t="str">
        <x:v>ORGAN: UYx128 #11</x:v>
      </x:c>
      <x:c r="F26" s="18" t="str">
        <x:v>ND-UYX128-11</x:v>
      </x:c>
      <x:c r="G26" s="18" t="str">
        <x:v>風琴機針 UYx128 #11</x:v>
      </x:c>
      <x:c r="H26" s="18" t="str">
        <x:v>UYx128 #11</x:v>
      </x:c>
      <x:c r="I26" s="18" t="str">
        <x:v>Needle</x:v>
      </x:c>
      <x:c r="J26" s="18" t="str">
        <x:v>Consumable</x:v>
      </x:c>
      <x:c r="K26" s="18" t="str">
        <x:v>ORGAN/風琴</x:v>
      </x:c>
      <x:c r="L26" s="18" t="str">
        <x:v>Multi-needle / Chainstitch</x:v>
      </x:c>
      <x:c r="M26" s="20" t="n">
        <x:v>100</x:v>
      </x:c>
      <x:c r="N26" s="18" t="str">
        <x:v>包</x:v>
      </x:c>
      <x:c r="O26" s="21" t="n">
        <x:v>1.78</x:v>
      </x:c>
      <x:c r="P26" s="21" t="n">
        <x:f>M26*O26</x:f>
        <x:v>178</x:v>
      </x:c>
      <x:c r="Q26" s="21" t="n">
        <x:v>178</x:v>
      </x:c>
      <x:c r="R26" s="21" t="n">
        <x:f>P26-Q26</x:f>
        <x:v>0</x:v>
      </x:c>
      <x:c r="S26" s="18" t="str">
        <x:v>Yes</x:v>
      </x:c>
      <x:c r="T26" s="18" t="str">
        <x:v>High</x:v>
      </x:c>
      <x:c r="U26" s="18" t="str">
        <x:v>Yi New Sewing Machine_Jan.'26.pdf</x:v>
      </x:c>
      <x:c r="V26" s="18" t="n">
        <x:v>1</x:v>
      </x:c>
      <x:c r="W26" s="18" t="str"/>
    </x:row>
    <x:row r="27">
      <x:c r="A27" s="18" t="str">
        <x:v>2026-01</x:v>
      </x:c>
      <x:c r="B27" s="19" t="n">
        <x:v>46051</x:v>
      </x:c>
      <x:c r="C27" s="18" t="str">
        <x:v>YI-000103</x:v>
      </x:c>
      <x:c r="D27" s="18" t="str">
        <x:v>YI NEW SEWING MACHINE CO., LTD</x:v>
      </x:c>
      <x:c r="E27" s="18" t="str">
        <x:v>ORGAN DCx27 #12</x:v>
      </x:c>
      <x:c r="F27" s="18" t="str">
        <x:v>ND-DCX27-12</x:v>
      </x:c>
      <x:c r="G27" s="18" t="str">
        <x:v>風琴機針 DCx27 #12</x:v>
      </x:c>
      <x:c r="H27" s="18" t="str">
        <x:v>DCx27 #12</x:v>
      </x:c>
      <x:c r="I27" s="18" t="str">
        <x:v>Needle</x:v>
      </x:c>
      <x:c r="J27" s="18" t="str">
        <x:v>Consumable</x:v>
      </x:c>
      <x:c r="K27" s="18" t="str">
        <x:v>ORGAN/風琴</x:v>
      </x:c>
      <x:c r="L27" s="18" t="str">
        <x:v>Overlock</x:v>
      </x:c>
      <x:c r="M27" s="20" t="n">
        <x:v>100</x:v>
      </x:c>
      <x:c r="N27" s="18" t="str">
        <x:v>包</x:v>
      </x:c>
      <x:c r="O27" s="21" t="n">
        <x:v>1.3</x:v>
      </x:c>
      <x:c r="P27" s="21" t="n">
        <x:f>M27*O27</x:f>
        <x:v>130</x:v>
      </x:c>
      <x:c r="Q27" s="21" t="n">
        <x:v>130</x:v>
      </x:c>
      <x:c r="R27" s="21" t="n">
        <x:f>P27-Q27</x:f>
        <x:v>0</x:v>
      </x:c>
      <x:c r="S27" s="18" t="str">
        <x:v>Yes</x:v>
      </x:c>
      <x:c r="T27" s="18" t="str">
        <x:v>High</x:v>
      </x:c>
      <x:c r="U27" s="18" t="str">
        <x:v>Yi New Sewing Machine_Jan.'26.pdf</x:v>
      </x:c>
      <x:c r="V27" s="18" t="n">
        <x:v>1</x:v>
      </x:c>
      <x:c r="W27" s="18" t="str"/>
    </x:row>
    <x:row r="28">
      <x:c r="A28" s="18" t="str">
        <x:v>2026-02</x:v>
      </x:c>
      <x:c r="B28" s="19" t="n">
        <x:v>46055</x:v>
      </x:c>
      <x:c r="C28" s="18" t="str">
        <x:v>YI-000105</x:v>
      </x:c>
      <x:c r="D28" s="18" t="str">
        <x:v>YI NEW SEWING MACHINE CO., LTD</x:v>
      </x:c>
      <x:c r="E28" s="18" t="str">
        <x:v>鐵氟龍條-1.0/mm</x:v>
      </x:c>
      <x:c r="F28" s="18" t="str">
        <x:v>CN-TEFLON-STRIP-1MM</x:v>
      </x:c>
      <x:c r="G28" s="18" t="str">
        <x:v>鐵氟龍條</x:v>
      </x:c>
      <x:c r="H28" s="18" t="str">
        <x:v>1.0 mm</x:v>
      </x:c>
      <x:c r="I28" s="18" t="str">
        <x:v>Consumable/Chemical</x:v>
      </x:c>
      <x:c r="J28" s="18" t="str">
        <x:v>Consumable</x:v>
      </x:c>
      <x:c r="K28" s="18" t="str">
        <x:v>Teflon</x:v>
      </x:c>
      <x:c r="L28" s="18" t="str">
        <x:v>Ironing/Sealing</x:v>
      </x:c>
      <x:c r="M28" s="20" t="n">
        <x:v>20</x:v>
      </x:c>
      <x:c r="N28" s="18" t="str">
        <x:v>條</x:v>
      </x:c>
      <x:c r="O28" s="21" t="n">
        <x:v>1.8</x:v>
      </x:c>
      <x:c r="P28" s="21" t="n">
        <x:f>M28*O28</x:f>
        <x:v>36</x:v>
      </x:c>
      <x:c r="Q28" s="21" t="n">
        <x:v>36</x:v>
      </x:c>
      <x:c r="R28" s="21" t="n">
        <x:f>P28-Q28</x:f>
        <x:v>0</x:v>
      </x:c>
      <x:c r="S28" s="18" t="str">
        <x:v>Yes</x:v>
      </x:c>
      <x:c r="T28" s="18" t="str">
        <x:v>High</x:v>
      </x:c>
      <x:c r="U28" s="18" t="str">
        <x:v>Yi New Sewing Machine_Feb.'26.pdf</x:v>
      </x:c>
      <x:c r="V28" s="18" t="n">
        <x:v>1</x:v>
      </x:c>
      <x:c r="W28" s="18" t="str"/>
    </x:row>
    <x:row r="29">
      <x:c r="A29" s="18" t="str">
        <x:v>2026-02</x:v>
      </x:c>
      <x:c r="B29" s="19" t="n">
        <x:v>46055</x:v>
      </x:c>
      <x:c r="C29" s="18" t="str">
        <x:v>YI-000105</x:v>
      </x:c>
      <x:c r="D29" s="18" t="str">
        <x:v>YI NEW SEWING MACHINE CO., LTD</x:v>
      </x:c>
      <x:c r="E29" s="18" t="str">
        <x:v>電工膠布</x:v>
      </x:c>
      <x:c r="F29" s="18" t="str">
        <x:v>EL-INSULATION-TAPE</x:v>
      </x:c>
      <x:c r="G29" s="18" t="str">
        <x:v>電工膠布</x:v>
      </x:c>
      <x:c r="H29" s="18" t="str">
        <x:v>Electrical Tape</x:v>
      </x:c>
      <x:c r="I29" s="18" t="str">
        <x:v>Electrical/Control</x:v>
      </x:c>
      <x:c r="J29" s="18" t="str">
        <x:v>Consumable</x:v>
      </x:c>
      <x:c r="K29" s="18" t="str"/>
      <x:c r="L29" s="18" t="str">
        <x:v>Electrical</x:v>
      </x:c>
      <x:c r="M29" s="20" t="n">
        <x:v>10</x:v>
      </x:c>
      <x:c r="N29" s="18" t="str">
        <x:v>卷</x:v>
      </x:c>
      <x:c r="O29" s="21" t="n">
        <x:v>5</x:v>
      </x:c>
      <x:c r="P29" s="21" t="n">
        <x:f>M29*O29</x:f>
        <x:v>50</x:v>
      </x:c>
      <x:c r="Q29" s="21" t="n">
        <x:v>50</x:v>
      </x:c>
      <x:c r="R29" s="21" t="n">
        <x:f>P29-Q29</x:f>
        <x:v>0</x:v>
      </x:c>
      <x:c r="S29" s="18" t="str">
        <x:v>Yes</x:v>
      </x:c>
      <x:c r="T29" s="18" t="str">
        <x:v>High</x:v>
      </x:c>
      <x:c r="U29" s="18" t="str">
        <x:v>Yi New Sewing Machine_Feb.'26.pdf</x:v>
      </x:c>
      <x:c r="V29" s="18" t="n">
        <x:v>1</x:v>
      </x:c>
      <x:c r="W29" s="18" t="str"/>
    </x:row>
    <x:row r="30">
      <x:c r="A30" s="18" t="str">
        <x:v>2026-02</x:v>
      </x:c>
      <x:c r="B30" s="19" t="n">
        <x:v>46055</x:v>
      </x:c>
      <x:c r="C30" s="18" t="str">
        <x:v>YI-000105</x:v>
      </x:c>
      <x:c r="D30" s="18" t="str">
        <x:v>YI NEW SEWING MACHINE CO., LTD</x:v>
      </x:c>
      <x:c r="E30" s="18" t="str">
        <x:v>維修:1790電子鎖眼IC主板</x:v>
      </x:c>
      <x:c r="F30" s="18" t="str">
        <x:v>EL-JUKI1790-IC-BOARD</x:v>
      </x:c>
      <x:c r="G30" s="18" t="str">
        <x:v>1790電子鎖眼機 IC 主板</x:v>
      </x:c>
      <x:c r="H30" s="18" t="str">
        <x:v>JUKI 1790</x:v>
      </x:c>
      <x:c r="I30" s="18" t="str">
        <x:v>Electrical/Control</x:v>
      </x:c>
      <x:c r="J30" s="18" t="str">
        <x:v>Spare Part</x:v>
      </x:c>
      <x:c r="K30" s="18" t="str">
        <x:v>JUKI</x:v>
      </x:c>
      <x:c r="L30" s="18" t="str">
        <x:v>Buttonhole</x:v>
      </x:c>
      <x:c r="M30" s="20" t="n">
        <x:v>1</x:v>
      </x:c>
      <x:c r="N30" s="18" t="str">
        <x:v>板</x:v>
      </x:c>
      <x:c r="O30" s="21" t="n">
        <x:v>120</x:v>
      </x:c>
      <x:c r="P30" s="21" t="n">
        <x:f>M30*O30</x:f>
        <x:v>120</x:v>
      </x:c>
      <x:c r="Q30" s="21" t="n">
        <x:v>120</x:v>
      </x:c>
      <x:c r="R30" s="21" t="n">
        <x:f>P30-Q30</x:f>
        <x:v>0</x:v>
      </x:c>
      <x:c r="S30" s="18" t="str">
        <x:v>Yes</x:v>
      </x:c>
      <x:c r="T30" s="18" t="str">
        <x:v>High</x:v>
      </x:c>
      <x:c r="U30" s="18" t="str">
        <x:v>Yi New Sewing Machine_Feb.'26.pdf</x:v>
      </x:c>
      <x:c r="V30" s="18" t="n">
        <x:v>1</x:v>
      </x:c>
      <x:c r="W30" s="18" t="str"/>
    </x:row>
    <x:row r="31">
      <x:c r="A31" s="18" t="str">
        <x:v>2026-02</x:v>
      </x:c>
      <x:c r="B31" s="19" t="n">
        <x:v>46057</x:v>
      </x:c>
      <x:c r="C31" s="18" t="str">
        <x:v>YI-000106</x:v>
      </x:c>
      <x:c r="D31" s="18" t="str">
        <x:v>YI NEW SEWING MACHINE CO., LTD</x:v>
      </x:c>
      <x:c r="E31" s="18" t="str">
        <x:v>風琴: UOx113 #14</x:v>
      </x:c>
      <x:c r="F31" s="18" t="str">
        <x:v>ND-UOX113-14</x:v>
      </x:c>
      <x:c r="G31" s="18" t="str">
        <x:v>風琴機針 UOx113 #14</x:v>
      </x:c>
      <x:c r="H31" s="18" t="str">
        <x:v>UOx113 #14</x:v>
      </x:c>
      <x:c r="I31" s="18" t="str">
        <x:v>Needle</x:v>
      </x:c>
      <x:c r="J31" s="18" t="str">
        <x:v>Consumable</x:v>
      </x:c>
      <x:c r="K31" s="18" t="str">
        <x:v>ORGAN/風琴</x:v>
      </x:c>
      <x:c r="L31" s="18" t="str">
        <x:v>Multi-needle</x:v>
      </x:c>
      <x:c r="M31" s="20" t="n">
        <x:v>50</x:v>
      </x:c>
      <x:c r="N31" s="18" t="str">
        <x:v>包</x:v>
      </x:c>
      <x:c r="O31" s="21" t="n">
        <x:v>3</x:v>
      </x:c>
      <x:c r="P31" s="21" t="n">
        <x:f>M31*O31</x:f>
        <x:v>150</x:v>
      </x:c>
      <x:c r="Q31" s="21" t="n">
        <x:v>150</x:v>
      </x:c>
      <x:c r="R31" s="21" t="n">
        <x:f>P31-Q31</x:f>
        <x:v>0</x:v>
      </x:c>
      <x:c r="S31" s="18" t="str">
        <x:v>Yes</x:v>
      </x:c>
      <x:c r="T31" s="18" t="str">
        <x:v>High</x:v>
      </x:c>
      <x:c r="U31" s="18" t="str">
        <x:v>Yi New Sewing Machine_Feb.'26.pdf</x:v>
      </x:c>
      <x:c r="V31" s="18" t="n">
        <x:v>1</x:v>
      </x:c>
      <x:c r="W31" s="18" t="str"/>
    </x:row>
    <x:row r="32">
      <x:c r="A32" s="18" t="str">
        <x:v>2026-02</x:v>
      </x:c>
      <x:c r="B32" s="19" t="n">
        <x:v>46060</x:v>
      </x:c>
      <x:c r="C32" s="18" t="str">
        <x:v>YI-000107</x:v>
      </x:c>
      <x:c r="D32" s="18" t="str">
        <x:v>YI NEW SEWING MACHINE CO., LTD</x:v>
      </x:c>
      <x:c r="E32" s="18" t="str">
        <x:v>JJW-830</x:v>
      </x:c>
      <x:c r="F32" s="18" t="str">
        <x:v>CH-JJW830</x:v>
      </x:c>
      <x:c r="G32" s="18" t="str">
        <x:v>JJW-830</x:v>
      </x:c>
      <x:c r="H32" s="18" t="str">
        <x:v>JJW-830</x:v>
      </x:c>
      <x:c r="I32" s="18" t="str">
        <x:v>Consumable/Chemical</x:v>
      </x:c>
      <x:c r="J32" s="18" t="str">
        <x:v>Consumable</x:v>
      </x:c>
      <x:c r="K32" s="18" t="str"/>
      <x:c r="L32" s="18" t="str">
        <x:v>Maintenance</x:v>
      </x:c>
      <x:c r="M32" s="20" t="n">
        <x:v>48</x:v>
      </x:c>
      <x:c r="N32" s="18" t="str">
        <x:v>瓶</x:v>
      </x:c>
      <x:c r="O32" s="21" t="n">
        <x:v>2.8</x:v>
      </x:c>
      <x:c r="P32" s="21" t="n">
        <x:f>M32*O32</x:f>
        <x:v>134.39999999999998</x:v>
      </x:c>
      <x:c r="Q32" s="21" t="n">
        <x:v>134.4</x:v>
      </x:c>
      <x:c r="R32" s="21" t="n">
        <x:f>P32-Q32</x:f>
        <x:v>-2.842170943040401e-14</x:v>
      </x:c>
      <x:c r="S32" s="18" t="str">
        <x:v>Yes</x:v>
      </x:c>
      <x:c r="T32" s="18" t="str">
        <x:v>High</x:v>
      </x:c>
      <x:c r="U32" s="18" t="str">
        <x:v>Yi New Sewing Machine_Feb.'26.pdf</x:v>
      </x:c>
      <x:c r="V32" s="18" t="n">
        <x:v>1</x:v>
      </x:c>
      <x:c r="W32" s="18" t="str"/>
    </x:row>
    <x:row r="33">
      <x:c r="A33" s="18" t="str">
        <x:v>2026-02</x:v>
      </x:c>
      <x:c r="B33" s="19" t="n">
        <x:v>46060</x:v>
      </x:c>
      <x:c r="C33" s="18" t="str">
        <x:v>YI-000107</x:v>
      </x:c>
      <x:c r="D33" s="18" t="str">
        <x:v>YI NEW SEWING MACHINE CO., LTD</x:v>
      </x:c>
      <x:c r="E33" s="18" t="str">
        <x:v>環球沙剪</x:v>
      </x:c>
      <x:c r="F33" s="18" t="str">
        <x:v>TL-THREAD-SNIP-GLOBE</x:v>
      </x:c>
      <x:c r="G33" s="18" t="str">
        <x:v>環球沙剪</x:v>
      </x:c>
      <x:c r="H33" s="18" t="str">
        <x:v>Thread Snip</x:v>
      </x:c>
      <x:c r="I33" s="18" t="str">
        <x:v>Tools</x:v>
      </x:c>
      <x:c r="J33" s="18" t="str">
        <x:v>Tool</x:v>
      </x:c>
      <x:c r="K33" s="18" t="str">
        <x:v>環球</x:v>
      </x:c>
      <x:c r="L33" s="18" t="str">
        <x:v>Sewing</x:v>
      </x:c>
      <x:c r="M33" s="20" t="n">
        <x:v>10</x:v>
      </x:c>
      <x:c r="N33" s="18" t="str">
        <x:v>打</x:v>
      </x:c>
      <x:c r="O33" s="21" t="n">
        <x:v>2.3</x:v>
      </x:c>
      <x:c r="P33" s="21" t="n">
        <x:f>M33*O33</x:f>
        <x:v>23</x:v>
      </x:c>
      <x:c r="Q33" s="21" t="n">
        <x:v>23</x:v>
      </x:c>
      <x:c r="R33" s="21" t="n">
        <x:f>P33-Q33</x:f>
        <x:v>0</x:v>
      </x:c>
      <x:c r="S33" s="18" t="str">
        <x:v>Yes</x:v>
      </x:c>
      <x:c r="T33" s="18" t="str">
        <x:v>High</x:v>
      </x:c>
      <x:c r="U33" s="18" t="str">
        <x:v>Yi New Sewing Machine_Feb.'26.pdf</x:v>
      </x:c>
      <x:c r="V33" s="18" t="n">
        <x:v>1</x:v>
      </x:c>
      <x:c r="W33" s="18" t="str"/>
    </x:row>
    <x:row r="34">
      <x:c r="A34" s="18" t="str">
        <x:v>2026-02</x:v>
      </x:c>
      <x:c r="B34" s="19" t="n">
        <x:v>46062</x:v>
      </x:c>
      <x:c r="C34" s="18" t="str">
        <x:v>YI-000108</x:v>
      </x:c>
      <x:c r="D34" s="18" t="str">
        <x:v>YI NEW SEWING MACHINE CO., LTD</x:v>
      </x:c>
      <x:c r="E34" s="18" t="str">
        <x:v>風琴: UOx113 #14</x:v>
      </x:c>
      <x:c r="F34" s="18" t="str">
        <x:v>ND-UOX113-14</x:v>
      </x:c>
      <x:c r="G34" s="18" t="str">
        <x:v>風琴機針 UOx113 #14</x:v>
      </x:c>
      <x:c r="H34" s="18" t="str">
        <x:v>UOx113 #14</x:v>
      </x:c>
      <x:c r="I34" s="18" t="str">
        <x:v>Needle</x:v>
      </x:c>
      <x:c r="J34" s="18" t="str">
        <x:v>Consumable</x:v>
      </x:c>
      <x:c r="K34" s="18" t="str">
        <x:v>ORGAN/風琴</x:v>
      </x:c>
      <x:c r="L34" s="18" t="str">
        <x:v>Multi-needle</x:v>
      </x:c>
      <x:c r="M34" s="20" t="n">
        <x:v>150</x:v>
      </x:c>
      <x:c r="N34" s="18" t="str">
        <x:v>包</x:v>
      </x:c>
      <x:c r="O34" s="21" t="n">
        <x:v>3</x:v>
      </x:c>
      <x:c r="P34" s="21" t="n">
        <x:f>M34*O34</x:f>
        <x:v>450</x:v>
      </x:c>
      <x:c r="Q34" s="21" t="n">
        <x:v>450</x:v>
      </x:c>
      <x:c r="R34" s="21" t="n">
        <x:f>P34-Q34</x:f>
        <x:v>0</x:v>
      </x:c>
      <x:c r="S34" s="18" t="str">
        <x:v>Yes</x:v>
      </x:c>
      <x:c r="T34" s="18" t="str">
        <x:v>High</x:v>
      </x:c>
      <x:c r="U34" s="18" t="str">
        <x:v>Yi New Sewing Machine_Feb.'26.pdf</x:v>
      </x:c>
      <x:c r="V34" s="18" t="n">
        <x:v>1</x:v>
      </x:c>
      <x:c r="W34" s="18" t="str"/>
    </x:row>
    <x:row r="35">
      <x:c r="A35" s="18" t="str">
        <x:v>2026-02</x:v>
      </x:c>
      <x:c r="B35" s="19" t="n">
        <x:v>46065</x:v>
      </x:c>
      <x:c r="C35" s="18" t="str">
        <x:v>YI-000109</x:v>
      </x:c>
      <x:c r="D35" s="18" t="str">
        <x:v>YI NEW SEWING MACHINE CO., LTD</x:v>
      </x:c>
      <x:c r="E35" s="18" t="str">
        <x:v>ORGAN: DBx1 #14</x:v>
      </x:c>
      <x:c r="F35" s="18" t="str">
        <x:v>ND-DBX1-14</x:v>
      </x:c>
      <x:c r="G35" s="18" t="str">
        <x:v>風琴機針 DBx1 #14</x:v>
      </x:c>
      <x:c r="H35" s="18" t="str">
        <x:v>DBx1 #14</x:v>
      </x:c>
      <x:c r="I35" s="18" t="str">
        <x:v>Needle</x:v>
      </x:c>
      <x:c r="J35" s="18" t="str">
        <x:v>Consumable</x:v>
      </x:c>
      <x:c r="K35" s="18" t="str">
        <x:v>ORGAN/風琴</x:v>
      </x:c>
      <x:c r="L35" s="18" t="str">
        <x:v>Single Needle</x:v>
      </x:c>
      <x:c r="M35" s="20" t="n">
        <x:v>100</x:v>
      </x:c>
      <x:c r="N35" s="18" t="str">
        <x:v>包</x:v>
      </x:c>
      <x:c r="O35" s="21" t="n">
        <x:v>0.78</x:v>
      </x:c>
      <x:c r="P35" s="21" t="n">
        <x:f>M35*O35</x:f>
        <x:v>78</x:v>
      </x:c>
      <x:c r="Q35" s="21" t="n">
        <x:v>78</x:v>
      </x:c>
      <x:c r="R35" s="21" t="n">
        <x:f>P35-Q35</x:f>
        <x:v>0</x:v>
      </x:c>
      <x:c r="S35" s="18" t="str">
        <x:v>Yes</x:v>
      </x:c>
      <x:c r="T35" s="18" t="str">
        <x:v>High</x:v>
      </x:c>
      <x:c r="U35" s="18" t="str">
        <x:v>Yi New Sewing Machine_Feb.'26.pdf</x:v>
      </x:c>
      <x:c r="V35" s="18" t="n">
        <x:v>1</x:v>
      </x:c>
      <x:c r="W35" s="18" t="str"/>
    </x:row>
    <x:row r="36">
      <x:c r="A36" s="18" t="str">
        <x:v>2026-02</x:v>
      </x:c>
      <x:c r="B36" s="19" t="n">
        <x:v>46065</x:v>
      </x:c>
      <x:c r="C36" s="18" t="str">
        <x:v>YI-000109</x:v>
      </x:c>
      <x:c r="D36" s="18" t="str">
        <x:v>YI NEW SEWING MACHINE CO., LTD</x:v>
      </x:c>
      <x:c r="E36" s="18" t="str">
        <x:v>ORGAN: DBx1 #16</x:v>
      </x:c>
      <x:c r="F36" s="18" t="str">
        <x:v>ND-DBX1-16</x:v>
      </x:c>
      <x:c r="G36" s="18" t="str">
        <x:v>風琴機針 DBx1 #16</x:v>
      </x:c>
      <x:c r="H36" s="18" t="str">
        <x:v>DBx1 #16</x:v>
      </x:c>
      <x:c r="I36" s="18" t="str">
        <x:v>Needle</x:v>
      </x:c>
      <x:c r="J36" s="18" t="str">
        <x:v>Consumable</x:v>
      </x:c>
      <x:c r="K36" s="18" t="str">
        <x:v>ORGAN/風琴</x:v>
      </x:c>
      <x:c r="L36" s="18" t="str">
        <x:v>Single Needle</x:v>
      </x:c>
      <x:c r="M36" s="20" t="n">
        <x:v>100</x:v>
      </x:c>
      <x:c r="N36" s="18" t="str">
        <x:v>包</x:v>
      </x:c>
      <x:c r="O36" s="21" t="n">
        <x:v>0.78</x:v>
      </x:c>
      <x:c r="P36" s="21" t="n">
        <x:f>M36*O36</x:f>
        <x:v>78</x:v>
      </x:c>
      <x:c r="Q36" s="21" t="n">
        <x:v>78</x:v>
      </x:c>
      <x:c r="R36" s="21" t="n">
        <x:f>P36-Q36</x:f>
        <x:v>0</x:v>
      </x:c>
      <x:c r="S36" s="18" t="str">
        <x:v>Yes</x:v>
      </x:c>
      <x:c r="T36" s="18" t="str">
        <x:v>High</x:v>
      </x:c>
      <x:c r="U36" s="18" t="str">
        <x:v>Yi New Sewing Machine_Feb.'26.pdf</x:v>
      </x:c>
      <x:c r="V36" s="18" t="n">
        <x:v>1</x:v>
      </x:c>
      <x:c r="W36" s="18" t="str"/>
    </x:row>
    <x:row r="37">
      <x:c r="A37" s="18" t="str">
        <x:v>2026-02</x:v>
      </x:c>
      <x:c r="B37" s="19" t="n">
        <x:v>46065</x:v>
      </x:c>
      <x:c r="C37" s="18" t="str">
        <x:v>YI-000109</x:v>
      </x:c>
      <x:c r="D37" s="18" t="str">
        <x:v>YI NEW SEWING MACHINE CO., LTD</x:v>
      </x:c>
      <x:c r="E37" s="18" t="str">
        <x:v>Organ : DCx27 #14</x:v>
      </x:c>
      <x:c r="F37" s="18" t="str">
        <x:v>ND-DCX27-14</x:v>
      </x:c>
      <x:c r="G37" s="18" t="str">
        <x:v>風琴機針 DCx27 #14</x:v>
      </x:c>
      <x:c r="H37" s="18" t="str">
        <x:v>DCx27 #14</x:v>
      </x:c>
      <x:c r="I37" s="18" t="str">
        <x:v>Needle</x:v>
      </x:c>
      <x:c r="J37" s="18" t="str">
        <x:v>Consumable</x:v>
      </x:c>
      <x:c r="K37" s="18" t="str">
        <x:v>ORGAN/風琴</x:v>
      </x:c>
      <x:c r="L37" s="18" t="str">
        <x:v>Overlock</x:v>
      </x:c>
      <x:c r="M37" s="20" t="n">
        <x:v>100</x:v>
      </x:c>
      <x:c r="N37" s="18" t="str">
        <x:v>包</x:v>
      </x:c>
      <x:c r="O37" s="21" t="n">
        <x:v>1.3</x:v>
      </x:c>
      <x:c r="P37" s="21" t="n">
        <x:f>M37*O37</x:f>
        <x:v>130</x:v>
      </x:c>
      <x:c r="Q37" s="21" t="n">
        <x:v>130</x:v>
      </x:c>
      <x:c r="R37" s="21" t="n">
        <x:f>P37-Q37</x:f>
        <x:v>0</x:v>
      </x:c>
      <x:c r="S37" s="18" t="str">
        <x:v>Yes</x:v>
      </x:c>
      <x:c r="T37" s="18" t="str">
        <x:v>High</x:v>
      </x:c>
      <x:c r="U37" s="18" t="str">
        <x:v>Yi New Sewing Machine_Feb.'26.pdf</x:v>
      </x:c>
      <x:c r="V37" s="18" t="n">
        <x:v>1</x:v>
      </x:c>
      <x:c r="W37" s="18" t="str"/>
    </x:row>
    <x:row r="38">
      <x:c r="A38" s="18" t="str">
        <x:v>2026-02</x:v>
      </x:c>
      <x:c r="B38" s="19" t="n">
        <x:v>46065</x:v>
      </x:c>
      <x:c r="C38" s="18" t="str">
        <x:v>YI-000109</x:v>
      </x:c>
      <x:c r="D38" s="18" t="str">
        <x:v>YI NEW SEWING MACHINE CO., LTD</x:v>
      </x:c>
      <x:c r="E38" s="18" t="str">
        <x:v>Organ : DCx27 #16</x:v>
      </x:c>
      <x:c r="F38" s="18" t="str">
        <x:v>ND-DCX27-16</x:v>
      </x:c>
      <x:c r="G38" s="18" t="str">
        <x:v>風琴機針 DCx27 #16</x:v>
      </x:c>
      <x:c r="H38" s="18" t="str">
        <x:v>DCx27 #16</x:v>
      </x:c>
      <x:c r="I38" s="18" t="str">
        <x:v>Needle</x:v>
      </x:c>
      <x:c r="J38" s="18" t="str">
        <x:v>Consumable</x:v>
      </x:c>
      <x:c r="K38" s="18" t="str">
        <x:v>ORGAN/風琴</x:v>
      </x:c>
      <x:c r="L38" s="18" t="str">
        <x:v>Overlock</x:v>
      </x:c>
      <x:c r="M38" s="20" t="n">
        <x:v>100</x:v>
      </x:c>
      <x:c r="N38" s="18" t="str">
        <x:v>包</x:v>
      </x:c>
      <x:c r="O38" s="21" t="n">
        <x:v>1.3</x:v>
      </x:c>
      <x:c r="P38" s="21" t="n">
        <x:f>M38*O38</x:f>
        <x:v>130</x:v>
      </x:c>
      <x:c r="Q38" s="21" t="n">
        <x:v>130</x:v>
      </x:c>
      <x:c r="R38" s="21" t="n">
        <x:f>P38-Q38</x:f>
        <x:v>0</x:v>
      </x:c>
      <x:c r="S38" s="18" t="str">
        <x:v>Yes</x:v>
      </x:c>
      <x:c r="T38" s="18" t="str">
        <x:v>High</x:v>
      </x:c>
      <x:c r="U38" s="18" t="str">
        <x:v>Yi New Sewing Machine_Feb.'26.pdf</x:v>
      </x:c>
      <x:c r="V38" s="18" t="n">
        <x:v>1</x:v>
      </x:c>
      <x:c r="W38" s="18" t="str"/>
    </x:row>
    <x:row r="39">
      <x:c r="A39" s="18" t="str">
        <x:v>2026-02</x:v>
      </x:c>
      <x:c r="B39" s="19" t="n">
        <x:v>46065</x:v>
      </x:c>
      <x:c r="C39" s="18" t="str">
        <x:v>YI-000109</x:v>
      </x:c>
      <x:c r="D39" s="18" t="str">
        <x:v>YI NEW SEWING MACHINE CO., LTD</x:v>
      </x:c>
      <x:c r="E39" s="18" t="str">
        <x:v>Organ : DPx5 #14</x:v>
      </x:c>
      <x:c r="F39" s="18" t="str">
        <x:v>ND-DPX5-14</x:v>
      </x:c>
      <x:c r="G39" s="18" t="str">
        <x:v>風琴機針 DPx5 #14</x:v>
      </x:c>
      <x:c r="H39" s="18" t="str">
        <x:v>DPx5 #14</x:v>
      </x:c>
      <x:c r="I39" s="18" t="str">
        <x:v>Needle</x:v>
      </x:c>
      <x:c r="J39" s="18" t="str">
        <x:v>Consumable</x:v>
      </x:c>
      <x:c r="K39" s="18" t="str">
        <x:v>ORGAN/風琴</x:v>
      </x:c>
      <x:c r="L39" s="18" t="str">
        <x:v>Lockstitch</x:v>
      </x:c>
      <x:c r="M39" s="20" t="n">
        <x:v>100</x:v>
      </x:c>
      <x:c r="N39" s="18" t="str">
        <x:v>包</x:v>
      </x:c>
      <x:c r="O39" s="21" t="n">
        <x:v>0.78</x:v>
      </x:c>
      <x:c r="P39" s="21" t="n">
        <x:f>M39*O39</x:f>
        <x:v>78</x:v>
      </x:c>
      <x:c r="Q39" s="21" t="n">
        <x:v>78</x:v>
      </x:c>
      <x:c r="R39" s="21" t="n">
        <x:f>P39-Q39</x:f>
        <x:v>0</x:v>
      </x:c>
      <x:c r="S39" s="18" t="str">
        <x:v>Yes</x:v>
      </x:c>
      <x:c r="T39" s="18" t="str">
        <x:v>High</x:v>
      </x:c>
      <x:c r="U39" s="18" t="str">
        <x:v>Yi New Sewing Machine_Feb.'26.pdf</x:v>
      </x:c>
      <x:c r="V39" s="18" t="n">
        <x:v>1</x:v>
      </x:c>
      <x:c r="W39" s="18" t="str"/>
    </x:row>
    <x:row r="40">
      <x:c r="A40" s="18" t="str">
        <x:v>2026-02</x:v>
      </x:c>
      <x:c r="B40" s="19" t="n">
        <x:v>46065</x:v>
      </x:c>
      <x:c r="C40" s="18" t="str">
        <x:v>YI-000109</x:v>
      </x:c>
      <x:c r="D40" s="18" t="str">
        <x:v>YI NEW SEWING MACHINE CO., LTD</x:v>
      </x:c>
      <x:c r="E40" s="18" t="str">
        <x:v>Organ : DPx5 #16</x:v>
      </x:c>
      <x:c r="F40" s="18" t="str">
        <x:v>ND-DPX5-16</x:v>
      </x:c>
      <x:c r="G40" s="18" t="str">
        <x:v>風琴機針 DPx5 #16</x:v>
      </x:c>
      <x:c r="H40" s="18" t="str">
        <x:v>DPx5 #16</x:v>
      </x:c>
      <x:c r="I40" s="18" t="str">
        <x:v>Needle</x:v>
      </x:c>
      <x:c r="J40" s="18" t="str">
        <x:v>Consumable</x:v>
      </x:c>
      <x:c r="K40" s="18" t="str">
        <x:v>ORGAN/風琴</x:v>
      </x:c>
      <x:c r="L40" s="18" t="str">
        <x:v>Lockstitch</x:v>
      </x:c>
      <x:c r="M40" s="20" t="n">
        <x:v>100</x:v>
      </x:c>
      <x:c r="N40" s="18" t="str">
        <x:v>包</x:v>
      </x:c>
      <x:c r="O40" s="21" t="n">
        <x:v>0.78</x:v>
      </x:c>
      <x:c r="P40" s="21" t="n">
        <x:f>M40*O40</x:f>
        <x:v>78</x:v>
      </x:c>
      <x:c r="Q40" s="21" t="n">
        <x:v>78</x:v>
      </x:c>
      <x:c r="R40" s="21" t="n">
        <x:f>P40-Q40</x:f>
        <x:v>0</x:v>
      </x:c>
      <x:c r="S40" s="18" t="str">
        <x:v>Yes</x:v>
      </x:c>
      <x:c r="T40" s="18" t="str">
        <x:v>High</x:v>
      </x:c>
      <x:c r="U40" s="18" t="str">
        <x:v>Yi New Sewing Machine_Feb.'26.pdf</x:v>
      </x:c>
      <x:c r="V40" s="18" t="n">
        <x:v>1</x:v>
      </x:c>
      <x:c r="W40" s="18" t="str"/>
    </x:row>
    <x:row r="41">
      <x:c r="A41" s="18" t="str">
        <x:v>2026-02</x:v>
      </x:c>
      <x:c r="B41" s="19" t="n">
        <x:v>46067</x:v>
      </x:c>
      <x:c r="C41" s="18" t="str">
        <x:v>YI-000110</x:v>
      </x:c>
      <x:c r="D41" s="18" t="str">
        <x:v>YI NEW SEWING MACHINE CO., LTD</x:v>
      </x:c>
      <x:c r="E41" s="18" t="str">
        <x:v>SIRUBA-747KD馬達聯軸器</x:v>
      </x:c>
      <x:c r="F41" s="18" t="str">
        <x:v>MT-SIRUBA747KD-COUPLER</x:v>
      </x:c>
      <x:c r="G41" s="18" t="str">
        <x:v>SIRUBA-747KD 馬達聯軸器</x:v>
      </x:c>
      <x:c r="H41" s="18" t="str">
        <x:v>747KD</x:v>
      </x:c>
      <x:c r="I41" s="18" t="str">
        <x:v>Motor/Drive</x:v>
      </x:c>
      <x:c r="J41" s="18" t="str">
        <x:v>Spare Part</x:v>
      </x:c>
      <x:c r="K41" s="18" t="str">
        <x:v>SIRUBA</x:v>
      </x:c>
      <x:c r="L41" s="18" t="str">
        <x:v>Overlock</x:v>
      </x:c>
      <x:c r="M41" s="20" t="n">
        <x:v>20</x:v>
      </x:c>
      <x:c r="N41" s="18" t="str">
        <x:v>個</x:v>
      </x:c>
      <x:c r="O41" s="21" t="n">
        <x:v>9.5</x:v>
      </x:c>
      <x:c r="P41" s="21" t="n">
        <x:f>M41*O41</x:f>
        <x:v>190</x:v>
      </x:c>
      <x:c r="Q41" s="21" t="n">
        <x:v>190</x:v>
      </x:c>
      <x:c r="R41" s="21" t="n">
        <x:f>P41-Q41</x:f>
        <x:v>0</x:v>
      </x:c>
      <x:c r="S41" s="18" t="str">
        <x:v>Yes</x:v>
      </x:c>
      <x:c r="T41" s="18" t="str">
        <x:v>High</x:v>
      </x:c>
      <x:c r="U41" s="18" t="str">
        <x:v>Yi New Sewing Machine_Feb.'26.pdf</x:v>
      </x:c>
      <x:c r="V41" s="18" t="n">
        <x:v>1</x:v>
      </x:c>
      <x:c r="W41" s="18" t="str"/>
    </x:row>
    <x:row r="42">
      <x:c r="A42" s="18" t="str">
        <x:v>2026-02</x:v>
      </x:c>
      <x:c r="B42" s="19" t="n">
        <x:v>46067</x:v>
      </x:c>
      <x:c r="C42" s="18" t="str">
        <x:v>YI-000110</x:v>
      </x:c>
      <x:c r="D42" s="18" t="str">
        <x:v>YI NEW SEWING MACHINE CO., LTD</x:v>
      </x:c>
      <x:c r="E42" s="18" t="str">
        <x:v>E22 針板</x:v>
      </x:c>
      <x:c r="F42" s="18" t="str">
        <x:v>NP-E22</x:v>
      </x:c>
      <x:c r="G42" s="18" t="str">
        <x:v>E22 針板</x:v>
      </x:c>
      <x:c r="H42" s="18" t="str">
        <x:v>E22</x:v>
      </x:c>
      <x:c r="I42" s="18" t="str">
        <x:v>Needle Plate/Feed Dog</x:v>
      </x:c>
      <x:c r="J42" s="18" t="str">
        <x:v>Spare Part</x:v>
      </x:c>
      <x:c r="K42" s="18" t="str"/>
      <x:c r="L42" s="18" t="str">
        <x:v>Single Needle</x:v>
      </x:c>
      <x:c r="M42" s="20" t="n">
        <x:v>30</x:v>
      </x:c>
      <x:c r="N42" s="18" t="str">
        <x:v>個</x:v>
      </x:c>
      <x:c r="O42" s="21" t="n">
        <x:v>0.35</x:v>
      </x:c>
      <x:c r="P42" s="21" t="n">
        <x:f>M42*O42</x:f>
        <x:v>10.5</x:v>
      </x:c>
      <x:c r="Q42" s="21" t="n">
        <x:v>10.5</x:v>
      </x:c>
      <x:c r="R42" s="21" t="n">
        <x:f>P42-Q42</x:f>
        <x:v>0</x:v>
      </x:c>
      <x:c r="S42" s="18" t="str">
        <x:v>Yes</x:v>
      </x:c>
      <x:c r="T42" s="18" t="str">
        <x:v>High</x:v>
      </x:c>
      <x:c r="U42" s="18" t="str">
        <x:v>Yi New Sewing Machine_Feb.'26.pdf</x:v>
      </x:c>
      <x:c r="V42" s="18" t="n">
        <x:v>1</x:v>
      </x:c>
      <x:c r="W42" s="18" t="str"/>
    </x:row>
    <x:row r="43">
      <x:c r="A43" s="18" t="str">
        <x:v>2026-02</x:v>
      </x:c>
      <x:c r="B43" s="19" t="n">
        <x:v>46067</x:v>
      </x:c>
      <x:c r="C43" s="18" t="str">
        <x:v>YI-000110</x:v>
      </x:c>
      <x:c r="D43" s="18" t="str">
        <x:v>YI NEW SEWING MACHINE CO., LTD</x:v>
      </x:c>
      <x:c r="E43" s="18" t="str">
        <x:v>SIRUBA-747K牙齒組</x:v>
      </x:c>
      <x:c r="F43" s="18" t="str">
        <x:v>FD-SIRUBA747K-SET</x:v>
      </x:c>
      <x:c r="G43" s="18" t="str">
        <x:v>SIRUBA-747K 牙齒組</x:v>
      </x:c>
      <x:c r="H43" s="18" t="str">
        <x:v>747K</x:v>
      </x:c>
      <x:c r="I43" s="18" t="str">
        <x:v>Needle Plate/Feed Dog</x:v>
      </x:c>
      <x:c r="J43" s="18" t="str">
        <x:v>Spare Part</x:v>
      </x:c>
      <x:c r="K43" s="18" t="str">
        <x:v>SIRUBA</x:v>
      </x:c>
      <x:c r="L43" s="18" t="str">
        <x:v>Overlock</x:v>
      </x:c>
      <x:c r="M43" s="20" t="n">
        <x:v>10</x:v>
      </x:c>
      <x:c r="N43" s="18" t="str">
        <x:v>套</x:v>
      </x:c>
      <x:c r="O43" s="21" t="n">
        <x:v>6.5</x:v>
      </x:c>
      <x:c r="P43" s="21" t="n">
        <x:f>M43*O43</x:f>
        <x:v>65</x:v>
      </x:c>
      <x:c r="Q43" s="21" t="n">
        <x:v>65</x:v>
      </x:c>
      <x:c r="R43" s="21" t="n">
        <x:f>P43-Q43</x:f>
        <x:v>0</x:v>
      </x:c>
      <x:c r="S43" s="18" t="str">
        <x:v>Yes</x:v>
      </x:c>
      <x:c r="T43" s="18" t="str">
        <x:v>High</x:v>
      </x:c>
      <x:c r="U43" s="18" t="str">
        <x:v>Yi New Sewing Machine_Feb.'26.pdf</x:v>
      </x:c>
      <x:c r="V43" s="18" t="n">
        <x:v>1</x:v>
      </x:c>
      <x:c r="W43" s="18" t="str"/>
    </x:row>
    <x:row r="44">
      <x:c r="A44" s="18" t="str">
        <x:v>2026-02</x:v>
      </x:c>
      <x:c r="B44" s="19" t="n">
        <x:v>46067</x:v>
      </x:c>
      <x:c r="C44" s="18" t="str">
        <x:v>YI-000110</x:v>
      </x:c>
      <x:c r="D44" s="18" t="str">
        <x:v>YI NEW SEWING MACHINE CO., LTD</x:v>
      </x:c>
      <x:c r="E44" s="18" t="str">
        <x:v>SIRUBA-747K針板</x:v>
      </x:c>
      <x:c r="F44" s="18" t="str">
        <x:v>NP-SIRUBA747K</x:v>
      </x:c>
      <x:c r="G44" s="18" t="str">
        <x:v>SIRUBA-747K 針板</x:v>
      </x:c>
      <x:c r="H44" s="18" t="str">
        <x:v>747K</x:v>
      </x:c>
      <x:c r="I44" s="18" t="str">
        <x:v>Needle Plate/Feed Dog</x:v>
      </x:c>
      <x:c r="J44" s="18" t="str">
        <x:v>Spare Part</x:v>
      </x:c>
      <x:c r="K44" s="18" t="str">
        <x:v>SIRUBA</x:v>
      </x:c>
      <x:c r="L44" s="18" t="str">
        <x:v>Overlock</x:v>
      </x:c>
      <x:c r="M44" s="20" t="n">
        <x:v>20</x:v>
      </x:c>
      <x:c r="N44" s="18" t="str">
        <x:v>個</x:v>
      </x:c>
      <x:c r="O44" s="21" t="n">
        <x:v>2.5</x:v>
      </x:c>
      <x:c r="P44" s="21" t="n">
        <x:f>M44*O44</x:f>
        <x:v>50</x:v>
      </x:c>
      <x:c r="Q44" s="21" t="n">
        <x:v>50</x:v>
      </x:c>
      <x:c r="R44" s="21" t="n">
        <x:f>P44-Q44</x:f>
        <x:v>0</x:v>
      </x:c>
      <x:c r="S44" s="18" t="str">
        <x:v>Yes</x:v>
      </x:c>
      <x:c r="T44" s="18" t="str">
        <x:v>High</x:v>
      </x:c>
      <x:c r="U44" s="18" t="str">
        <x:v>Yi New Sewing Machine_Feb.'26.pdf</x:v>
      </x:c>
      <x:c r="V44" s="18" t="n">
        <x:v>1</x:v>
      </x:c>
      <x:c r="W44" s="18" t="str"/>
    </x:row>
    <x:row r="45">
      <x:c r="A45" s="18" t="str">
        <x:v>2026-03</x:v>
      </x:c>
      <x:c r="B45" s="19" t="n">
        <x:v>46085</x:v>
      </x:c>
      <x:c r="C45" s="18" t="str">
        <x:v>YI-000111</x:v>
      </x:c>
      <x:c r="D45" s="18" t="str">
        <x:v>YI NEW SEWING MACHINE CO., LTD</x:v>
      </x:c>
      <x:c r="E45" s="18" t="str">
        <x:v>維修：元一自動拉布機</x:v>
      </x:c>
      <x:c r="F45" s="18" t="str">
        <x:v>SV-YUANYI-SPREADER-REPAIR</x:v>
      </x:c>
      <x:c r="G45" s="18" t="str">
        <x:v>元一自動拉布機維修</x:v>
      </x:c>
      <x:c r="H45" s="18" t="str">
        <x:v>Automatic Spreader</x:v>
      </x:c>
      <x:c r="I45" s="18" t="str">
        <x:v>Repair Service</x:v>
      </x:c>
      <x:c r="J45" s="18" t="str">
        <x:v>Repair Service</x:v>
      </x:c>
      <x:c r="K45" s="18" t="str">
        <x:v>元一</x:v>
      </x:c>
      <x:c r="L45" s="18" t="str">
        <x:v>Cutting</x:v>
      </x:c>
      <x:c r="M45" s="20" t="n">
        <x:v>2</x:v>
      </x:c>
      <x:c r="N45" s="18" t="str">
        <x:v>台</x:v>
      </x:c>
      <x:c r="O45" s="21" t="n">
        <x:v>180</x:v>
      </x:c>
      <x:c r="P45" s="21" t="n">
        <x:f>M45*O45</x:f>
        <x:v>360</x:v>
      </x:c>
      <x:c r="Q45" s="21" t="n">
        <x:v>360</x:v>
      </x:c>
      <x:c r="R45" s="21" t="n">
        <x:f>P45-Q45</x:f>
        <x:v>0</x:v>
      </x:c>
      <x:c r="S45" s="18" t="str">
        <x:v>No</x:v>
      </x:c>
      <x:c r="T45" s="18" t="str">
        <x:v>High</x:v>
      </x:c>
      <x:c r="U45" s="18" t="str">
        <x:v>Yi New Sewing Machine_Mar.'26.pdf</x:v>
      </x:c>
      <x:c r="V45" s="18" t="n">
        <x:v>1</x:v>
      </x:c>
      <x:c r="W45" s="18" t="str"/>
    </x:row>
    <x:row r="46">
      <x:c r="A46" s="18" t="str">
        <x:v>2026-03</x:v>
      </x:c>
      <x:c r="B46" s="19" t="n">
        <x:v>46085</x:v>
      </x:c>
      <x:c r="C46" s="18" t="str">
        <x:v>YI-000111</x:v>
      </x:c>
      <x:c r="D46" s="18" t="str">
        <x:v>YI NEW SEWING MACHINE CO., LTD</x:v>
      </x:c>
      <x:c r="E46" s="18" t="str">
        <x:v>維修：元一自動拉布機鏈條=2條$45</x:v>
      </x:c>
      <x:c r="F46" s="18" t="str">
        <x:v>CT-YUANYI-SPREADER-CHAIN</x:v>
      </x:c>
      <x:c r="G46" s="18" t="str">
        <x:v>元一自動拉布機鏈條</x:v>
      </x:c>
      <x:c r="H46" s="18" t="str">
        <x:v>Automatic Spreader</x:v>
      </x:c>
      <x:c r="I46" s="18" t="str">
        <x:v>Cutting</x:v>
      </x:c>
      <x:c r="J46" s="18" t="str">
        <x:v>Spare Part</x:v>
      </x:c>
      <x:c r="K46" s="18" t="str">
        <x:v>元一</x:v>
      </x:c>
      <x:c r="L46" s="18" t="str">
        <x:v>Cutting</x:v>
      </x:c>
      <x:c r="M46" s="20" t="n">
        <x:v>2</x:v>
      </x:c>
      <x:c r="N46" s="18" t="str">
        <x:v>條</x:v>
      </x:c>
      <x:c r="O46" s="21" t="n">
        <x:v>45</x:v>
      </x:c>
      <x:c r="P46" s="21" t="n">
        <x:f>M46*O46</x:f>
        <x:v>90</x:v>
      </x:c>
      <x:c r="Q46" s="21" t="n">
        <x:v>90</x:v>
      </x:c>
      <x:c r="R46" s="21" t="n">
        <x:f>P46-Q46</x:f>
        <x:v>0</x:v>
      </x:c>
      <x:c r="S46" s="18" t="str">
        <x:v>Yes</x:v>
      </x:c>
      <x:c r="T46" s="18" t="str">
        <x:v>High</x:v>
      </x:c>
      <x:c r="U46" s="18" t="str">
        <x:v>Yi New Sewing Machine_Mar.'26.pdf</x:v>
      </x:c>
      <x:c r="V46" s="18" t="n">
        <x:v>1</x:v>
      </x:c>
      <x:c r="W46" s="18" t="str"/>
    </x:row>
    <x:row r="47">
      <x:c r="A47" s="18" t="str">
        <x:v>2026-03</x:v>
      </x:c>
      <x:c r="B47" s="19" t="n">
        <x:v>46085</x:v>
      </x:c>
      <x:c r="C47" s="18" t="str">
        <x:v>YI-000111</x:v>
      </x:c>
      <x:c r="D47" s="18" t="str">
        <x:v>YI NEW SEWING MACHINE CO., LTD</x:v>
      </x:c>
      <x:c r="E47" s="18" t="str">
        <x:v>維修：元一自動拉布機電滑軌</x:v>
      </x:c>
      <x:c r="F47" s="18" t="str">
        <x:v>EL-YUANYI-SPREADER-RAIL</x:v>
      </x:c>
      <x:c r="G47" s="18" t="str">
        <x:v>元一自動拉布機電滑軌</x:v>
      </x:c>
      <x:c r="H47" s="18" t="str">
        <x:v>Automatic Spreader</x:v>
      </x:c>
      <x:c r="I47" s="18" t="str">
        <x:v>Electrical/Control</x:v>
      </x:c>
      <x:c r="J47" s="18" t="str">
        <x:v>Spare Part</x:v>
      </x:c>
      <x:c r="K47" s="18" t="str">
        <x:v>元一</x:v>
      </x:c>
      <x:c r="L47" s="18" t="str">
        <x:v>Cutting</x:v>
      </x:c>
      <x:c r="M47" s="20" t="n">
        <x:v>2</x:v>
      </x:c>
      <x:c r="N47" s="18" t="str">
        <x:v>台</x:v>
      </x:c>
      <x:c r="O47" s="21" t="n">
        <x:v>95</x:v>
      </x:c>
      <x:c r="P47" s="21" t="n">
        <x:f>M47*O47</x:f>
        <x:v>190</x:v>
      </x:c>
      <x:c r="Q47" s="21" t="n">
        <x:v>190</x:v>
      </x:c>
      <x:c r="R47" s="21" t="n">
        <x:f>P47-Q47</x:f>
        <x:v>0</x:v>
      </x:c>
      <x:c r="S47" s="18" t="str">
        <x:v>Yes</x:v>
      </x:c>
      <x:c r="T47" s="18" t="str">
        <x:v>High</x:v>
      </x:c>
      <x:c r="U47" s="18" t="str">
        <x:v>Yi New Sewing Machine_Mar.'26.pdf</x:v>
      </x:c>
      <x:c r="V47" s="18" t="n">
        <x:v>1</x:v>
      </x:c>
      <x:c r="W47" s="18" t="str"/>
    </x:row>
    <x:row r="48">
      <x:c r="A48" s="18" t="str">
        <x:v>2026-03</x:v>
      </x:c>
      <x:c r="B48" s="19" t="n">
        <x:v>46085</x:v>
      </x:c>
      <x:c r="C48" s="18" t="str">
        <x:v>YI-000111</x:v>
      </x:c>
      <x:c r="D48" s="18" t="str">
        <x:v>YI NEW SEWING MACHINE CO., LTD</x:v>
      </x:c>
      <x:c r="E48" s="18" t="str">
        <x:v>維修：元一自動拉布機信號線</x:v>
      </x:c>
      <x:c r="F48" s="18" t="str">
        <x:v>EL-YUANYI-SPREADER-SIGNAL-CABLE</x:v>
      </x:c>
      <x:c r="G48" s="18" t="str">
        <x:v>元一自動拉布機信號線</x:v>
      </x:c>
      <x:c r="H48" s="18" t="str">
        <x:v>Automatic Spreader</x:v>
      </x:c>
      <x:c r="I48" s="18" t="str">
        <x:v>Electrical/Control</x:v>
      </x:c>
      <x:c r="J48" s="18" t="str">
        <x:v>Spare Part</x:v>
      </x:c>
      <x:c r="K48" s="18" t="str">
        <x:v>元一</x:v>
      </x:c>
      <x:c r="L48" s="18" t="str">
        <x:v>Cutting</x:v>
      </x:c>
      <x:c r="M48" s="20" t="n">
        <x:v>2</x:v>
      </x:c>
      <x:c r="N48" s="18" t="str">
        <x:v>條</x:v>
      </x:c>
      <x:c r="O48" s="21" t="n">
        <x:v>45</x:v>
      </x:c>
      <x:c r="P48" s="21" t="n">
        <x:f>M48*O48</x:f>
        <x:v>90</x:v>
      </x:c>
      <x:c r="Q48" s="21" t="n">
        <x:v>90</x:v>
      </x:c>
      <x:c r="R48" s="21" t="n">
        <x:f>P48-Q48</x:f>
        <x:v>0</x:v>
      </x:c>
      <x:c r="S48" s="18" t="str">
        <x:v>Yes</x:v>
      </x:c>
      <x:c r="T48" s="18" t="str">
        <x:v>High</x:v>
      </x:c>
      <x:c r="U48" s="18" t="str">
        <x:v>Yi New Sewing Machine_Mar.'26.pdf</x:v>
      </x:c>
      <x:c r="V48" s="18" t="n">
        <x:v>1</x:v>
      </x:c>
      <x:c r="W48" s="18" t="str"/>
    </x:row>
    <x:row r="49">
      <x:c r="A49" s="18" t="str">
        <x:v>2026-03</x:v>
      </x:c>
      <x:c r="B49" s="19" t="n">
        <x:v>46085</x:v>
      </x:c>
      <x:c r="C49" s="18" t="str">
        <x:v>YI-000111</x:v>
      </x:c>
      <x:c r="D49" s="18" t="str">
        <x:v>YI NEW SEWING MACHINE CO., LTD</x:v>
      </x:c>
      <x:c r="E49" s="18" t="str">
        <x:v>維修：元一自動拉布機行程電磁延長信號線</x:v>
      </x:c>
      <x:c r="F49" s="18" t="str">
        <x:v>EL-YUANYI-SPREADER-EXT-CABLE</x:v>
      </x:c>
      <x:c r="G49" s="18" t="str">
        <x:v>元一自動拉布機行程電磁延長信號線</x:v>
      </x:c>
      <x:c r="H49" s="18" t="str">
        <x:v>Automatic Spreader</x:v>
      </x:c>
      <x:c r="I49" s="18" t="str">
        <x:v>Electrical/Control</x:v>
      </x:c>
      <x:c r="J49" s="18" t="str">
        <x:v>Spare Part</x:v>
      </x:c>
      <x:c r="K49" s="18" t="str">
        <x:v>元一</x:v>
      </x:c>
      <x:c r="L49" s="18" t="str">
        <x:v>Cutting</x:v>
      </x:c>
      <x:c r="M49" s="20" t="n">
        <x:v>1</x:v>
      </x:c>
      <x:c r="N49" s="18" t="str">
        <x:v>條</x:v>
      </x:c>
      <x:c r="O49" s="21" t="n">
        <x:v>65</x:v>
      </x:c>
      <x:c r="P49" s="21" t="n">
        <x:f>M49*O49</x:f>
        <x:v>65</x:v>
      </x:c>
      <x:c r="Q49" s="21" t="n">
        <x:v>65</x:v>
      </x:c>
      <x:c r="R49" s="21" t="n">
        <x:f>P49-Q49</x:f>
        <x:v>0</x:v>
      </x:c>
      <x:c r="S49" s="18" t="str">
        <x:v>Yes</x:v>
      </x:c>
      <x:c r="T49" s="18" t="str">
        <x:v>High</x:v>
      </x:c>
      <x:c r="U49" s="18" t="str">
        <x:v>Yi New Sewing Machine_Mar.'26.pdf</x:v>
      </x:c>
      <x:c r="V49" s="18" t="n">
        <x:v>1</x:v>
      </x:c>
      <x:c r="W49" s="18" t="str"/>
    </x:row>
    <x:row r="50">
      <x:c r="A50" s="18" t="str">
        <x:v>2026-03</x:v>
      </x:c>
      <x:c r="B50" s="19" t="n">
        <x:v>46085</x:v>
      </x:c>
      <x:c r="C50" s="18" t="str">
        <x:v>YI-000112</x:v>
      </x:c>
      <x:c r="D50" s="18" t="str">
        <x:v>YI NEW SEWING MACHINE CO., LTD</x:v>
      </x:c>
      <x:c r="E50" s="18" t="str">
        <x:v>ORGAN: UYx128 #14</x:v>
      </x:c>
      <x:c r="F50" s="18" t="str">
        <x:v>ND-UYX128-14</x:v>
      </x:c>
      <x:c r="G50" s="18" t="str">
        <x:v>風琴機針 UYx128 #14</x:v>
      </x:c>
      <x:c r="H50" s="18" t="str">
        <x:v>UYx128 #14</x:v>
      </x:c>
      <x:c r="I50" s="18" t="str">
        <x:v>Needle</x:v>
      </x:c>
      <x:c r="J50" s="18" t="str">
        <x:v>Consumable</x:v>
      </x:c>
      <x:c r="K50" s="18" t="str">
        <x:v>ORGAN/風琴</x:v>
      </x:c>
      <x:c r="L50" s="18" t="str">
        <x:v>Multi-needle / Chainstitch</x:v>
      </x:c>
      <x:c r="M50" s="20" t="n">
        <x:v>150</x:v>
      </x:c>
      <x:c r="N50" s="18" t="str">
        <x:v>包</x:v>
      </x:c>
      <x:c r="O50" s="21" t="n">
        <x:v>1.78</x:v>
      </x:c>
      <x:c r="P50" s="21" t="n">
        <x:f>M50*O50</x:f>
        <x:v>267</x:v>
      </x:c>
      <x:c r="Q50" s="21" t="n">
        <x:v>267</x:v>
      </x:c>
      <x:c r="R50" s="21" t="n">
        <x:f>P50-Q50</x:f>
        <x:v>0</x:v>
      </x:c>
      <x:c r="S50" s="18" t="str">
        <x:v>Yes</x:v>
      </x:c>
      <x:c r="T50" s="18" t="str">
        <x:v>High</x:v>
      </x:c>
      <x:c r="U50" s="18" t="str">
        <x:v>Yi New Sewing Machine_Mar.'26.pdf</x:v>
      </x:c>
      <x:c r="V50" s="18" t="n">
        <x:v>1</x:v>
      </x:c>
      <x:c r="W50" s="18" t="str"/>
    </x:row>
    <x:row r="51">
      <x:c r="A51" s="18" t="str">
        <x:v>2026-03</x:v>
      </x:c>
      <x:c r="B51" s="19" t="n">
        <x:v>46085</x:v>
      </x:c>
      <x:c r="C51" s="18" t="str">
        <x:v>YI-000112</x:v>
      </x:c>
      <x:c r="D51" s="18" t="str">
        <x:v>YI NEW SEWING MACHINE CO., LTD</x:v>
      </x:c>
      <x:c r="E51" s="18" t="str">
        <x:v>ORGAN: UOx113#14</x:v>
      </x:c>
      <x:c r="F51" s="18" t="str">
        <x:v>ND-UOX113-14</x:v>
      </x:c>
      <x:c r="G51" s="18" t="str">
        <x:v>風琴機針 UOx113 #14</x:v>
      </x:c>
      <x:c r="H51" s="18" t="str">
        <x:v>UOx113 #14</x:v>
      </x:c>
      <x:c r="I51" s="18" t="str">
        <x:v>Needle</x:v>
      </x:c>
      <x:c r="J51" s="18" t="str">
        <x:v>Consumable</x:v>
      </x:c>
      <x:c r="K51" s="18" t="str">
        <x:v>ORGAN/風琴</x:v>
      </x:c>
      <x:c r="L51" s="18" t="str">
        <x:v>Multi-needle</x:v>
      </x:c>
      <x:c r="M51" s="20" t="n">
        <x:v>50</x:v>
      </x:c>
      <x:c r="N51" s="18" t="str">
        <x:v>包</x:v>
      </x:c>
      <x:c r="O51" s="21" t="n">
        <x:v>3</x:v>
      </x:c>
      <x:c r="P51" s="21" t="n">
        <x:f>M51*O51</x:f>
        <x:v>150</x:v>
      </x:c>
      <x:c r="Q51" s="21" t="n">
        <x:v>150</x:v>
      </x:c>
      <x:c r="R51" s="21" t="n">
        <x:f>P51-Q51</x:f>
        <x:v>0</x:v>
      </x:c>
      <x:c r="S51" s="18" t="str">
        <x:v>Yes</x:v>
      </x:c>
      <x:c r="T51" s="18" t="str">
        <x:v>High</x:v>
      </x:c>
      <x:c r="U51" s="18" t="str">
        <x:v>Yi New Sewing Machine_Mar.'26.pdf</x:v>
      </x:c>
      <x:c r="V51" s="18" t="n">
        <x:v>1</x:v>
      </x:c>
      <x:c r="W51" s="18" t="str"/>
    </x:row>
    <x:row r="52">
      <x:c r="A52" s="18" t="str">
        <x:v>2026-03</x:v>
      </x:c>
      <x:c r="B52" s="19" t="n">
        <x:v>46086</x:v>
      </x:c>
      <x:c r="C52" s="18" t="str">
        <x:v>YI-000113</x:v>
      </x:c>
      <x:c r="D52" s="18" t="str">
        <x:v>YI NEW SEWING MACHINE CO., LTD</x:v>
      </x:c>
      <x:c r="E52" s="18" t="str">
        <x:v>拷克上勾針 -LP226</x:v>
      </x:c>
      <x:c r="F52" s="18" t="str">
        <x:v>LP-LP226-UPPER</x:v>
      </x:c>
      <x:c r="G52" s="18" t="str">
        <x:v>拷克上勾針 LP226</x:v>
      </x:c>
      <x:c r="H52" s="18" t="str">
        <x:v>LP226</x:v>
      </x:c>
      <x:c r="I52" s="18" t="str">
        <x:v>Knife/Looper</x:v>
      </x:c>
      <x:c r="J52" s="18" t="str">
        <x:v>Spare Part</x:v>
      </x:c>
      <x:c r="K52" s="18" t="str"/>
      <x:c r="L52" s="18" t="str">
        <x:v>Overlock</x:v>
      </x:c>
      <x:c r="M52" s="20" t="n">
        <x:v>20</x:v>
      </x:c>
      <x:c r="N52" s="18" t="str">
        <x:v>個</x:v>
      </x:c>
      <x:c r="O52" s="21" t="n">
        <x:v>1.5</x:v>
      </x:c>
      <x:c r="P52" s="21" t="n">
        <x:f>M52*O52</x:f>
        <x:v>30</x:v>
      </x:c>
      <x:c r="Q52" s="21" t="n">
        <x:v>30</x:v>
      </x:c>
      <x:c r="R52" s="21" t="n">
        <x:f>P52-Q52</x:f>
        <x:v>0</x:v>
      </x:c>
      <x:c r="S52" s="18" t="str">
        <x:v>Yes</x:v>
      </x:c>
      <x:c r="T52" s="18" t="str">
        <x:v>High</x:v>
      </x:c>
      <x:c r="U52" s="18" t="str">
        <x:v>Yi New Sewing Machine_Mar.'26.pdf</x:v>
      </x:c>
      <x:c r="V52" s="18" t="n">
        <x:v>1</x:v>
      </x:c>
      <x:c r="W52" s="18" t="str"/>
    </x:row>
    <x:row r="53">
      <x:c r="A53" s="18" t="str">
        <x:v>2026-03</x:v>
      </x:c>
      <x:c r="B53" s="19" t="n">
        <x:v>46086</x:v>
      </x:c>
      <x:c r="C53" s="18" t="str">
        <x:v>YI-000113</x:v>
      </x:c>
      <x:c r="D53" s="18" t="str">
        <x:v>YI NEW SEWING MACHINE CO., LTD</x:v>
      </x:c>
      <x:c r="E53" s="18" t="str">
        <x:v>拷克上刀 -KR23</x:v>
      </x:c>
      <x:c r="F53" s="18" t="str">
        <x:v>KN-KR23-UPPER</x:v>
      </x:c>
      <x:c r="G53" s="18" t="str">
        <x:v>拷克上刀 KR23</x:v>
      </x:c>
      <x:c r="H53" s="18" t="str">
        <x:v>KR23</x:v>
      </x:c>
      <x:c r="I53" s="18" t="str">
        <x:v>Knife/Looper</x:v>
      </x:c>
      <x:c r="J53" s="18" t="str">
        <x:v>Spare Part</x:v>
      </x:c>
      <x:c r="K53" s="18" t="str"/>
      <x:c r="L53" s="18" t="str">
        <x:v>Overlock</x:v>
      </x:c>
      <x:c r="M53" s="20" t="n">
        <x:v>10</x:v>
      </x:c>
      <x:c r="N53" s="18" t="str">
        <x:v>支</x:v>
      </x:c>
      <x:c r="O53" s="21" t="n">
        <x:v>0.6</x:v>
      </x:c>
      <x:c r="P53" s="21" t="n">
        <x:f>M53*O53</x:f>
        <x:v>6</x:v>
      </x:c>
      <x:c r="Q53" s="21" t="n">
        <x:v>6</x:v>
      </x:c>
      <x:c r="R53" s="21" t="n">
        <x:f>P53-Q53</x:f>
        <x:v>0</x:v>
      </x:c>
      <x:c r="S53" s="18" t="str">
        <x:v>Yes</x:v>
      </x:c>
      <x:c r="T53" s="18" t="str">
        <x:v>High</x:v>
      </x:c>
      <x:c r="U53" s="18" t="str">
        <x:v>Yi New Sewing Machine_Mar.'26.pdf</x:v>
      </x:c>
      <x:c r="V53" s="18" t="n">
        <x:v>1</x:v>
      </x:c>
      <x:c r="W53" s="18" t="str"/>
    </x:row>
    <x:row r="54">
      <x:c r="A54" s="18" t="str">
        <x:v>2026-03</x:v>
      </x:c>
      <x:c r="B54" s="19" t="n">
        <x:v>46086</x:v>
      </x:c>
      <x:c r="C54" s="18" t="str">
        <x:v>YI-000113</x:v>
      </x:c>
      <x:c r="D54" s="18" t="str">
        <x:v>YI NEW SEWING MACHINE CO., LTD</x:v>
      </x:c>
      <x:c r="E54" s="18" t="str">
        <x:v>平車電子梭芯（鋁）</x:v>
      </x:c>
      <x:c r="F54" s="18" t="str">
        <x:v>BB-SN-ALUMINUM</x:v>
      </x:c>
      <x:c r="G54" s="18" t="str">
        <x:v>平車電子梭芯（鋁）</x:v>
      </x:c>
      <x:c r="H54" s="18" t="str">
        <x:v>Aluminum</x:v>
      </x:c>
      <x:c r="I54" s="18" t="str">
        <x:v>Bobbin/Shuttle</x:v>
      </x:c>
      <x:c r="J54" s="18" t="str">
        <x:v>Spare Part</x:v>
      </x:c>
      <x:c r="K54" s="18" t="str"/>
      <x:c r="L54" s="18" t="str">
        <x:v>Single Needle</x:v>
      </x:c>
      <x:c r="M54" s="20" t="n">
        <x:v>100</x:v>
      </x:c>
      <x:c r="N54" s="18" t="str">
        <x:v>個</x:v>
      </x:c>
      <x:c r="O54" s="21" t="n">
        <x:v>0.1</x:v>
      </x:c>
      <x:c r="P54" s="21" t="n">
        <x:f>M54*O54</x:f>
        <x:v>10</x:v>
      </x:c>
      <x:c r="Q54" s="21" t="n">
        <x:v>10</x:v>
      </x:c>
      <x:c r="R54" s="21" t="n">
        <x:f>P54-Q54</x:f>
        <x:v>0</x:v>
      </x:c>
      <x:c r="S54" s="18" t="str">
        <x:v>Yes</x:v>
      </x:c>
      <x:c r="T54" s="18" t="str">
        <x:v>High</x:v>
      </x:c>
      <x:c r="U54" s="18" t="str">
        <x:v>Yi New Sewing Machine_Mar.'26.pdf</x:v>
      </x:c>
      <x:c r="V54" s="18" t="n">
        <x:v>1</x:v>
      </x:c>
      <x:c r="W54" s="18" t="str"/>
    </x:row>
    <x:row r="55">
      <x:c r="A55" s="18" t="str">
        <x:v>2026-03</x:v>
      </x:c>
      <x:c r="B55" s="19" t="n">
        <x:v>46086</x:v>
      </x:c>
      <x:c r="C55" s="18" t="str">
        <x:v>YI-000113</x:v>
      </x:c>
      <x:c r="D55" s="18" t="str">
        <x:v>YI NEW SEWING MACHINE CO., LTD</x:v>
      </x:c>
      <x:c r="E55" s="18" t="str">
        <x:v>CL1/16N 壓腳</x:v>
      </x:c>
      <x:c r="F55" s="18" t="str">
        <x:v>PF-CL1-16N</x:v>
      </x:c>
      <x:c r="G55" s="18" t="str">
        <x:v>CL1/16N 壓腳</x:v>
      </x:c>
      <x:c r="H55" s="18" t="str">
        <x:v>CL1/16N</x:v>
      </x:c>
      <x:c r="I55" s="18" t="str">
        <x:v>Presser Foot</x:v>
      </x:c>
      <x:c r="J55" s="18" t="str">
        <x:v>Spare Part</x:v>
      </x:c>
      <x:c r="K55" s="18" t="str"/>
      <x:c r="L55" s="18" t="str">
        <x:v>Single Needle</x:v>
      </x:c>
      <x:c r="M55" s="20" t="n">
        <x:v>20</x:v>
      </x:c>
      <x:c r="N55" s="18" t="str">
        <x:v>個</x:v>
      </x:c>
      <x:c r="O55" s="21" t="n">
        <x:v>0.6</x:v>
      </x:c>
      <x:c r="P55" s="21" t="n">
        <x:f>M55*O55</x:f>
        <x:v>12</x:v>
      </x:c>
      <x:c r="Q55" s="21" t="n">
        <x:v>12</x:v>
      </x:c>
      <x:c r="R55" s="21" t="n">
        <x:f>P55-Q55</x:f>
        <x:v>0</x:v>
      </x:c>
      <x:c r="S55" s="18" t="str">
        <x:v>Yes</x:v>
      </x:c>
      <x:c r="T55" s="18" t="str">
        <x:v>High</x:v>
      </x:c>
      <x:c r="U55" s="18" t="str">
        <x:v>Yi New Sewing Machine_Mar.'26.pdf</x:v>
      </x:c>
      <x:c r="V55" s="18" t="n">
        <x:v>1</x:v>
      </x:c>
      <x:c r="W55" s="18" t="str"/>
    </x:row>
    <x:row r="56">
      <x:c r="A56" s="18" t="str">
        <x:v>2026-03</x:v>
      </x:c>
      <x:c r="B56" s="19" t="n">
        <x:v>46086</x:v>
      </x:c>
      <x:c r="C56" s="18" t="str">
        <x:v>YI-000113</x:v>
      </x:c>
      <x:c r="D56" s="18" t="str">
        <x:v>YI NEW SEWING MACHINE CO., LTD</x:v>
      </x:c>
      <x:c r="E56" s="18" t="str">
        <x:v>CR1/16N 壓腳</x:v>
      </x:c>
      <x:c r="F56" s="18" t="str">
        <x:v>PF-CR1-16N</x:v>
      </x:c>
      <x:c r="G56" s="18" t="str">
        <x:v>CR1/16N 壓腳</x:v>
      </x:c>
      <x:c r="H56" s="18" t="str">
        <x:v>CR1/16N</x:v>
      </x:c>
      <x:c r="I56" s="18" t="str">
        <x:v>Presser Foot</x:v>
      </x:c>
      <x:c r="J56" s="18" t="str">
        <x:v>Spare Part</x:v>
      </x:c>
      <x:c r="K56" s="18" t="str"/>
      <x:c r="L56" s="18" t="str">
        <x:v>Single Needle</x:v>
      </x:c>
      <x:c r="M56" s="20" t="n">
        <x:v>20</x:v>
      </x:c>
      <x:c r="N56" s="18" t="str">
        <x:v>個</x:v>
      </x:c>
      <x:c r="O56" s="21" t="n">
        <x:v>0.6</x:v>
      </x:c>
      <x:c r="P56" s="21" t="n">
        <x:f>M56*O56</x:f>
        <x:v>12</x:v>
      </x:c>
      <x:c r="Q56" s="21" t="n">
        <x:v>12</x:v>
      </x:c>
      <x:c r="R56" s="21" t="n">
        <x:f>P56-Q56</x:f>
        <x:v>0</x:v>
      </x:c>
      <x:c r="S56" s="18" t="str">
        <x:v>Yes</x:v>
      </x:c>
      <x:c r="T56" s="18" t="str">
        <x:v>High</x:v>
      </x:c>
      <x:c r="U56" s="18" t="str">
        <x:v>Yi New Sewing Machine_Mar.'26.pdf</x:v>
      </x:c>
      <x:c r="V56" s="18" t="n">
        <x:v>1</x:v>
      </x:c>
      <x:c r="W56" s="18" t="str"/>
    </x:row>
    <x:row r="57">
      <x:c r="A57" s="18" t="str">
        <x:v>2026-03</x:v>
      </x:c>
      <x:c r="B57" s="19" t="n">
        <x:v>46086</x:v>
      </x:c>
      <x:c r="C57" s="18" t="str">
        <x:v>YI-000113</x:v>
      </x:c>
      <x:c r="D57" s="18" t="str">
        <x:v>YI NEW SEWING MACHINE CO., LTD</x:v>
      </x:c>
      <x:c r="E57" s="18" t="str">
        <x:v>平車電子梭殼</x:v>
      </x:c>
      <x:c r="F57" s="18" t="str">
        <x:v>BC-SN-ELECTRONIC</x:v>
      </x:c>
      <x:c r="G57" s="18" t="str">
        <x:v>平車電子梭殼</x:v>
      </x:c>
      <x:c r="H57" s="18" t="str">
        <x:v>Electronic Type</x:v>
      </x:c>
      <x:c r="I57" s="18" t="str">
        <x:v>Bobbin/Shuttle</x:v>
      </x:c>
      <x:c r="J57" s="18" t="str">
        <x:v>Spare Part</x:v>
      </x:c>
      <x:c r="K57" s="18" t="str"/>
      <x:c r="L57" s="18" t="str">
        <x:v>Single Needle</x:v>
      </x:c>
      <x:c r="M57" s="20" t="n">
        <x:v>50</x:v>
      </x:c>
      <x:c r="N57" s="18" t="str">
        <x:v>個</x:v>
      </x:c>
      <x:c r="O57" s="21" t="n">
        <x:v>0.45</x:v>
      </x:c>
      <x:c r="P57" s="21" t="n">
        <x:f>M57*O57</x:f>
        <x:v>22.5</x:v>
      </x:c>
      <x:c r="Q57" s="21" t="n">
        <x:v>22.5</x:v>
      </x:c>
      <x:c r="R57" s="21" t="n">
        <x:f>P57-Q57</x:f>
        <x:v>0</x:v>
      </x:c>
      <x:c r="S57" s="18" t="str">
        <x:v>Yes</x:v>
      </x:c>
      <x:c r="T57" s="18" t="str">
        <x:v>High</x:v>
      </x:c>
      <x:c r="U57" s="18" t="str">
        <x:v>Yi New Sewing Machine_Mar.'26.pdf</x:v>
      </x:c>
      <x:c r="V57" s="18" t="n">
        <x:v>1</x:v>
      </x:c>
      <x:c r="W57" s="18" t="str"/>
    </x:row>
    <x:row r="58">
      <x:c r="A58" s="18" t="str">
        <x:v>2026-03</x:v>
      </x:c>
      <x:c r="B58" s="19" t="n">
        <x:v>46090</x:v>
      </x:c>
      <x:c r="C58" s="18" t="str">
        <x:v>YI-000114</x:v>
      </x:c>
      <x:c r="D58" s="18" t="str">
        <x:v>YI NEW SEWING MACHINE CO., LTD</x:v>
      </x:c>
      <x:c r="E58" s="18" t="str">
        <x:v>ORGAN UYx128 #12</x:v>
      </x:c>
      <x:c r="F58" s="18" t="str">
        <x:v>ND-UYX128-12</x:v>
      </x:c>
      <x:c r="G58" s="18" t="str">
        <x:v>風琴機針 UYx128 #12</x:v>
      </x:c>
      <x:c r="H58" s="18" t="str">
        <x:v>UYx128 #12</x:v>
      </x:c>
      <x:c r="I58" s="18" t="str">
        <x:v>Needle</x:v>
      </x:c>
      <x:c r="J58" s="18" t="str">
        <x:v>Consumable</x:v>
      </x:c>
      <x:c r="K58" s="18" t="str">
        <x:v>ORGAN/風琴</x:v>
      </x:c>
      <x:c r="L58" s="18" t="str">
        <x:v>Multi-needle / Chainstitch</x:v>
      </x:c>
      <x:c r="M58" s="20" t="n">
        <x:v>150</x:v>
      </x:c>
      <x:c r="N58" s="18" t="str">
        <x:v>包</x:v>
      </x:c>
      <x:c r="O58" s="21" t="n">
        <x:v>1.78</x:v>
      </x:c>
      <x:c r="P58" s="21" t="n">
        <x:f>M58*O58</x:f>
        <x:v>267</x:v>
      </x:c>
      <x:c r="Q58" s="21" t="n">
        <x:v>267</x:v>
      </x:c>
      <x:c r="R58" s="21" t="n">
        <x:f>P58-Q58</x:f>
        <x:v>0</x:v>
      </x:c>
      <x:c r="S58" s="18" t="str">
        <x:v>Yes</x:v>
      </x:c>
      <x:c r="T58" s="18" t="str">
        <x:v>High</x:v>
      </x:c>
      <x:c r="U58" s="18" t="str">
        <x:v>Yi New Sewing Machine_Mar.'26.pdf</x:v>
      </x:c>
      <x:c r="V58" s="18" t="n">
        <x:v>1</x:v>
      </x:c>
      <x:c r="W58" s="18" t="str"/>
    </x:row>
    <x:row r="59">
      <x:c r="A59" s="18" t="str">
        <x:v>2026-03</x:v>
      </x:c>
      <x:c r="B59" s="19" t="n">
        <x:v>46090</x:v>
      </x:c>
      <x:c r="C59" s="18" t="str">
        <x:v>YI-000114</x:v>
      </x:c>
      <x:c r="D59" s="18" t="str">
        <x:v>YI NEW SEWING MACHINE CO., LTD</x:v>
      </x:c>
      <x:c r="E59" s="18" t="str">
        <x:v>ORGAN DCx27 #12</x:v>
      </x:c>
      <x:c r="F59" s="18" t="str">
        <x:v>ND-DCX27-12</x:v>
      </x:c>
      <x:c r="G59" s="18" t="str">
        <x:v>風琴機針 DCx27 #12</x:v>
      </x:c>
      <x:c r="H59" s="18" t="str">
        <x:v>DCx27 #12</x:v>
      </x:c>
      <x:c r="I59" s="18" t="str">
        <x:v>Needle</x:v>
      </x:c>
      <x:c r="J59" s="18" t="str">
        <x:v>Consumable</x:v>
      </x:c>
      <x:c r="K59" s="18" t="str">
        <x:v>ORGAN/風琴</x:v>
      </x:c>
      <x:c r="L59" s="18" t="str">
        <x:v>Overlock</x:v>
      </x:c>
      <x:c r="M59" s="20" t="n">
        <x:v>150</x:v>
      </x:c>
      <x:c r="N59" s="18" t="str">
        <x:v>包</x:v>
      </x:c>
      <x:c r="O59" s="21" t="n">
        <x:v>1.3</x:v>
      </x:c>
      <x:c r="P59" s="21" t="n">
        <x:f>M59*O59</x:f>
        <x:v>195</x:v>
      </x:c>
      <x:c r="Q59" s="21" t="n">
        <x:v>195</x:v>
      </x:c>
      <x:c r="R59" s="21" t="n">
        <x:f>P59-Q59</x:f>
        <x:v>0</x:v>
      </x:c>
      <x:c r="S59" s="18" t="str">
        <x:v>Yes</x:v>
      </x:c>
      <x:c r="T59" s="18" t="str">
        <x:v>High</x:v>
      </x:c>
      <x:c r="U59" s="18" t="str">
        <x:v>Yi New Sewing Machine_Mar.'26.pdf</x:v>
      </x:c>
      <x:c r="V59" s="18" t="n">
        <x:v>1</x:v>
      </x:c>
      <x:c r="W59" s="18" t="str"/>
    </x:row>
    <x:row r="60">
      <x:c r="A60" s="18" t="str">
        <x:v>2026-03</x:v>
      </x:c>
      <x:c r="B60" s="19" t="n">
        <x:v>46090</x:v>
      </x:c>
      <x:c r="C60" s="18" t="str">
        <x:v>YI-000114</x:v>
      </x:c>
      <x:c r="D60" s="18" t="str">
        <x:v>YI NEW SEWING MACHINE CO., LTD</x:v>
      </x:c>
      <x:c r="E60" s="18" t="str">
        <x:v>編號紙#5 Number</x:v>
      </x:c>
      <x:c r="F60" s="18" t="str">
        <x:v>CN-NUMBER-PAPER-5</x:v>
      </x:c>
      <x:c r="G60" s="18" t="str">
        <x:v>編號紙 #5</x:v>
      </x:c>
      <x:c r="H60" s="18" t="str">
        <x:v>No.5</x:v>
      </x:c>
      <x:c r="I60" s="18" t="str">
        <x:v>Consumable/Chemical</x:v>
      </x:c>
      <x:c r="J60" s="18" t="str">
        <x:v>Consumable</x:v>
      </x:c>
      <x:c r="K60" s="18" t="str"/>
      <x:c r="L60" s="18" t="str">
        <x:v>Cutting/Bundle</x:v>
      </x:c>
      <x:c r="M60" s="20" t="n">
        <x:v>2</x:v>
      </x:c>
      <x:c r="N60" s="18" t="str">
        <x:v>箱</x:v>
      </x:c>
      <x:c r="O60" s="21" t="n">
        <x:v>110</x:v>
      </x:c>
      <x:c r="P60" s="21" t="n">
        <x:f>M60*O60</x:f>
        <x:v>220</x:v>
      </x:c>
      <x:c r="Q60" s="21" t="n">
        <x:v>220</x:v>
      </x:c>
      <x:c r="R60" s="21" t="n">
        <x:f>P60-Q60</x:f>
        <x:v>0</x:v>
      </x:c>
      <x:c r="S60" s="18" t="str">
        <x:v>Yes</x:v>
      </x:c>
      <x:c r="T60" s="18" t="str">
        <x:v>High</x:v>
      </x:c>
      <x:c r="U60" s="18" t="str">
        <x:v>Yi New Sewing Machine_Mar.'26.pdf</x:v>
      </x:c>
      <x:c r="V60" s="18" t="n">
        <x:v>1</x:v>
      </x:c>
      <x:c r="W60" s="18" t="str"/>
    </x:row>
    <x:row r="61">
      <x:c r="A61" s="18" t="str">
        <x:v>2026-03</x:v>
      </x:c>
      <x:c r="B61" s="19" t="n">
        <x:v>46090</x:v>
      </x:c>
      <x:c r="C61" s="18" t="str">
        <x:v>YI-000114</x:v>
      </x:c>
      <x:c r="D61" s="18" t="str">
        <x:v>YI NEW SEWING MACHINE CO., LTD</x:v>
      </x:c>
      <x:c r="E61" s="18" t="str">
        <x:v>沙剪刀</x:v>
      </x:c>
      <x:c r="F61" s="18" t="str">
        <x:v>TL-THREAD-SNIP-GLOBE</x:v>
      </x:c>
      <x:c r="G61" s="18" t="str">
        <x:v>環球沙剪</x:v>
      </x:c>
      <x:c r="H61" s="18" t="str">
        <x:v>Thread Snip</x:v>
      </x:c>
      <x:c r="I61" s="18" t="str">
        <x:v>Tools</x:v>
      </x:c>
      <x:c r="J61" s="18" t="str">
        <x:v>Tool</x:v>
      </x:c>
      <x:c r="K61" s="18" t="str">
        <x:v>環球</x:v>
      </x:c>
      <x:c r="L61" s="18" t="str">
        <x:v>Sewing</x:v>
      </x:c>
      <x:c r="M61" s="20" t="n">
        <x:v>5</x:v>
      </x:c>
      <x:c r="N61" s="18" t="str">
        <x:v>打</x:v>
      </x:c>
      <x:c r="O61" s="21" t="n">
        <x:v>2.3</x:v>
      </x:c>
      <x:c r="P61" s="21" t="n">
        <x:f>M61*O61</x:f>
        <x:v>11.5</x:v>
      </x:c>
      <x:c r="Q61" s="21" t="n">
        <x:v>11.5</x:v>
      </x:c>
      <x:c r="R61" s="21" t="n">
        <x:f>P61-Q61</x:f>
        <x:v>0</x:v>
      </x:c>
      <x:c r="S61" s="18" t="str">
        <x:v>Yes</x:v>
      </x:c>
      <x:c r="T61" s="18" t="str">
        <x:v>Medium</x:v>
      </x:c>
      <x:c r="U61" s="18" t="str">
        <x:v>Yi New Sewing Machine_Mar.'26.pdf</x:v>
      </x:c>
      <x:c r="V61" s="18" t="n">
        <x:v>1</x:v>
      </x:c>
      <x:c r="W61" s="18" t="str">
        <x:v>原始發票寫「沙剪刀」，依同價同品項合併至環球沙剪</x:v>
      </x:c>
    </x:row>
    <x:row r="62">
      <x:c r="A62" s="18" t="str">
        <x:v>2026-03</x:v>
      </x:c>
      <x:c r="B62" s="19" t="n">
        <x:v>46090</x:v>
      </x:c>
      <x:c r="C62" s="18" t="str">
        <x:v>YI-000115</x:v>
      </x:c>
      <x:c r="D62" s="18" t="str">
        <x:v>YI NEW SEWING MACHINE CO., LTD</x:v>
      </x:c>
      <x:c r="E62" s="18" t="str">
        <x:v>焊錫膏</x:v>
      </x:c>
      <x:c r="F62" s="18" t="str">
        <x:v>EL-SOLDER-PASTE</x:v>
      </x:c>
      <x:c r="G62" s="18" t="str">
        <x:v>焊錫膏</x:v>
      </x:c>
      <x:c r="H62" s="18" t="str">
        <x:v>Solder Paste</x:v>
      </x:c>
      <x:c r="I62" s="18" t="str">
        <x:v>Electrical/Control</x:v>
      </x:c>
      <x:c r="J62" s="18" t="str">
        <x:v>Consumable</x:v>
      </x:c>
      <x:c r="K62" s="18" t="str"/>
      <x:c r="L62" s="18" t="str">
        <x:v>Electrical</x:v>
      </x:c>
      <x:c r="M62" s="20" t="n">
        <x:v>1</x:v>
      </x:c>
      <x:c r="N62" s="18" t="str">
        <x:v>罐</x:v>
      </x:c>
      <x:c r="O62" s="21" t="n">
        <x:v>8</x:v>
      </x:c>
      <x:c r="P62" s="21" t="n">
        <x:f>M62*O62</x:f>
        <x:v>8</x:v>
      </x:c>
      <x:c r="Q62" s="21" t="n">
        <x:v>8</x:v>
      </x:c>
      <x:c r="R62" s="21" t="n">
        <x:f>P62-Q62</x:f>
        <x:v>0</x:v>
      </x:c>
      <x:c r="S62" s="18" t="str">
        <x:v>Yes</x:v>
      </x:c>
      <x:c r="T62" s="18" t="str">
        <x:v>High</x:v>
      </x:c>
      <x:c r="U62" s="18" t="str">
        <x:v>Yi New Sewing Machine_Mar.'26.pdf</x:v>
      </x:c>
      <x:c r="V62" s="18" t="n">
        <x:v>1</x:v>
      </x:c>
      <x:c r="W62" s="18" t="str"/>
    </x:row>
    <x:row r="63">
      <x:c r="A63" s="18" t="str">
        <x:v>2026-03</x:v>
      </x:c>
      <x:c r="B63" s="19" t="n">
        <x:v>46090</x:v>
      </x:c>
      <x:c r="C63" s="18" t="str">
        <x:v>YI-000115</x:v>
      </x:c>
      <x:c r="D63" s="18" t="str">
        <x:v>YI NEW SEWING MACHINE CO., LTD</x:v>
      </x:c>
      <x:c r="E63" s="18" t="str">
        <x:v>焊錫條 -0.65kg 63%</x:v>
      </x:c>
      <x:c r="F63" s="18" t="str">
        <x:v>EL-SOLDER-BAR-065KG-63</x:v>
      </x:c>
      <x:c r="G63" s="18" t="str">
        <x:v>焊錫條 0.65kg 63%</x:v>
      </x:c>
      <x:c r="H63" s="18" t="str">
        <x:v>0.65kg, 63%</x:v>
      </x:c>
      <x:c r="I63" s="18" t="str">
        <x:v>Electrical/Control</x:v>
      </x:c>
      <x:c r="J63" s="18" t="str">
        <x:v>Consumable</x:v>
      </x:c>
      <x:c r="K63" s="18" t="str"/>
      <x:c r="L63" s="18" t="str">
        <x:v>Electrical</x:v>
      </x:c>
      <x:c r="M63" s="20" t="n">
        <x:v>1</x:v>
      </x:c>
      <x:c r="N63" s="18" t="str">
        <x:v>個</x:v>
      </x:c>
      <x:c r="O63" s="21" t="n">
        <x:v>15</x:v>
      </x:c>
      <x:c r="P63" s="21" t="n">
        <x:f>M63*O63</x:f>
        <x:v>15</x:v>
      </x:c>
      <x:c r="Q63" s="21" t="n">
        <x:v>15</x:v>
      </x:c>
      <x:c r="R63" s="21" t="n">
        <x:f>P63-Q63</x:f>
        <x:v>0</x:v>
      </x:c>
      <x:c r="S63" s="18" t="str">
        <x:v>Yes</x:v>
      </x:c>
      <x:c r="T63" s="18" t="str">
        <x:v>High</x:v>
      </x:c>
      <x:c r="U63" s="18" t="str">
        <x:v>Yi New Sewing Machine_Mar.'26.pdf</x:v>
      </x:c>
      <x:c r="V63" s="18" t="n">
        <x:v>1</x:v>
      </x:c>
      <x:c r="W63" s="18" t="str"/>
    </x:row>
    <x:row r="64">
      <x:c r="A64" s="18" t="str">
        <x:v>2026-03</x:v>
      </x:c>
      <x:c r="B64" s="19" t="n">
        <x:v>46091</x:v>
      </x:c>
      <x:c r="C64" s="18" t="str">
        <x:v>YI-000116</x:v>
      </x:c>
      <x:c r="D64" s="18" t="str">
        <x:v>YI NEW SEWING MACHINE CO., LTD</x:v>
      </x:c>
      <x:c r="E64" s="18" t="str">
        <x:v>ORGAN: UOx113#14</x:v>
      </x:c>
      <x:c r="F64" s="18" t="str">
        <x:v>ND-UOX113-14</x:v>
      </x:c>
      <x:c r="G64" s="18" t="str">
        <x:v>風琴機針 UOx113 #14</x:v>
      </x:c>
      <x:c r="H64" s="18" t="str">
        <x:v>UOx113 #14</x:v>
      </x:c>
      <x:c r="I64" s="18" t="str">
        <x:v>Needle</x:v>
      </x:c>
      <x:c r="J64" s="18" t="str">
        <x:v>Consumable</x:v>
      </x:c>
      <x:c r="K64" s="18" t="str">
        <x:v>ORGAN/風琴</x:v>
      </x:c>
      <x:c r="L64" s="18" t="str">
        <x:v>Multi-needle</x:v>
      </x:c>
      <x:c r="M64" s="20" t="n">
        <x:v>50</x:v>
      </x:c>
      <x:c r="N64" s="18" t="str">
        <x:v>包</x:v>
      </x:c>
      <x:c r="O64" s="21" t="n">
        <x:v>3</x:v>
      </x:c>
      <x:c r="P64" s="21" t="n">
        <x:f>M64*O64</x:f>
        <x:v>150</x:v>
      </x:c>
      <x:c r="Q64" s="21" t="n">
        <x:v>150</x:v>
      </x:c>
      <x:c r="R64" s="21" t="n">
        <x:f>P64-Q64</x:f>
        <x:v>0</x:v>
      </x:c>
      <x:c r="S64" s="18" t="str">
        <x:v>Yes</x:v>
      </x:c>
      <x:c r="T64" s="18" t="str">
        <x:v>High</x:v>
      </x:c>
      <x:c r="U64" s="18" t="str">
        <x:v>Yi New Sewing Machine_Mar.'26.pdf</x:v>
      </x:c>
      <x:c r="V64" s="18" t="n">
        <x:v>1</x:v>
      </x:c>
      <x:c r="W64" s="18" t="str"/>
    </x:row>
    <x:row r="65">
      <x:c r="A65" s="18" t="str">
        <x:v>2026-03</x:v>
      </x:c>
      <x:c r="B65" s="19" t="n">
        <x:v>46091</x:v>
      </x:c>
      <x:c r="C65" s="18" t="str">
        <x:v>YI-000116</x:v>
      </x:c>
      <x:c r="D65" s="18" t="str">
        <x:v>YI NEW SEWING MACHINE CO., LTD</x:v>
      </x:c>
      <x:c r="E65" s="18" t="str">
        <x:v>熱轉印高溫墊</x:v>
      </x:c>
      <x:c r="F65" s="18" t="str">
        <x:v>HT-HIGH-TEMP-PAD</x:v>
      </x:c>
      <x:c r="G65" s="18" t="str">
        <x:v>熱轉印高溫墊</x:v>
      </x:c>
      <x:c r="H65" s="18" t="str">
        <x:v>High Temperature</x:v>
      </x:c>
      <x:c r="I65" s="18" t="str">
        <x:v>Ironing/Heat Transfer</x:v>
      </x:c>
      <x:c r="J65" s="18" t="str">
        <x:v>Consumable</x:v>
      </x:c>
      <x:c r="K65" s="18" t="str"/>
      <x:c r="L65" s="18" t="str">
        <x:v>Heat Transfer</x:v>
      </x:c>
      <x:c r="M65" s="20" t="n">
        <x:v>2</x:v>
      </x:c>
      <x:c r="N65" s="18" t="str">
        <x:v>張</x:v>
      </x:c>
      <x:c r="O65" s="21" t="n">
        <x:v>23</x:v>
      </x:c>
      <x:c r="P65" s="21" t="n">
        <x:f>M65*O65</x:f>
        <x:v>46</x:v>
      </x:c>
      <x:c r="Q65" s="21" t="n">
        <x:v>46</x:v>
      </x:c>
      <x:c r="R65" s="21" t="n">
        <x:f>P65-Q65</x:f>
        <x:v>0</x:v>
      </x:c>
      <x:c r="S65" s="18" t="str">
        <x:v>Yes</x:v>
      </x:c>
      <x:c r="T65" s="18" t="str">
        <x:v>High</x:v>
      </x:c>
      <x:c r="U65" s="18" t="str">
        <x:v>Yi New Sewing Machine_Mar.'26.pdf</x:v>
      </x:c>
      <x:c r="V65" s="18" t="n">
        <x:v>1</x:v>
      </x:c>
      <x:c r="W65" s="18" t="str"/>
    </x:row>
    <x:row r="66">
      <x:c r="A66" s="18" t="str">
        <x:v>2026-03</x:v>
      </x:c>
      <x:c r="B66" s="19" t="n">
        <x:v>46091</x:v>
      </x:c>
      <x:c r="C66" s="18" t="str">
        <x:v>YI-000116</x:v>
      </x:c>
      <x:c r="D66" s="18" t="str">
        <x:v>YI NEW SEWING MACHINE CO., LTD</x:v>
      </x:c>
      <x:c r="E66" s="18" t="str">
        <x:v>台灣產強效益美精去污劑</x:v>
      </x:c>
      <x:c r="F66" s="18" t="str">
        <x:v>CH-YIMEIJING-STAIN-REMOVER</x:v>
      </x:c>
      <x:c r="G66" s="18" t="str">
        <x:v>台灣產強效益美精去污劑</x:v>
      </x:c>
      <x:c r="H66" s="18" t="str">
        <x:v>Strong</x:v>
      </x:c>
      <x:c r="I66" s="18" t="str">
        <x:v>Consumable/Chemical</x:v>
      </x:c>
      <x:c r="J66" s="18" t="str">
        <x:v>Consumable</x:v>
      </x:c>
      <x:c r="K66" s="18" t="str">
        <x:v>Taiwan</x:v>
      </x:c>
      <x:c r="L66" s="18" t="str">
        <x:v>Cleaning</x:v>
      </x:c>
      <x:c r="M66" s="20" t="n">
        <x:v>1</x:v>
      </x:c>
      <x:c r="N66" s="18" t="str">
        <x:v>罐</x:v>
      </x:c>
      <x:c r="O66" s="21" t="n">
        <x:v>6.5</x:v>
      </x:c>
      <x:c r="P66" s="21" t="n">
        <x:f>M66*O66</x:f>
        <x:v>6.5</x:v>
      </x:c>
      <x:c r="Q66" s="21" t="n">
        <x:v>6.5</x:v>
      </x:c>
      <x:c r="R66" s="21" t="n">
        <x:f>P66-Q66</x:f>
        <x:v>0</x:v>
      </x:c>
      <x:c r="S66" s="18" t="str">
        <x:v>Yes</x:v>
      </x:c>
      <x:c r="T66" s="18" t="str">
        <x:v>Medium</x:v>
      </x:c>
      <x:c r="U66" s="18" t="str">
        <x:v>Yi New Sewing Machine_Mar.'26.pdf</x:v>
      </x:c>
      <x:c r="V66" s="18" t="n">
        <x:v>1</x:v>
      </x:c>
      <x:c r="W66" s="18" t="str">
        <x:v>原始中文辨識可能需供應商再次確認</x:v>
      </x:c>
    </x:row>
    <x:row r="67">
      <x:c r="A67" s="18" t="str">
        <x:v>2026-03</x:v>
      </x:c>
      <x:c r="B67" s="19" t="n">
        <x:v>46094</x:v>
      </x:c>
      <x:c r="C67" s="18" t="str">
        <x:v>YI-000118</x:v>
      </x:c>
      <x:c r="D67" s="18" t="str">
        <x:v>YI NEW SEWING MACHINE CO., LTD</x:v>
      </x:c>
      <x:c r="E67" s="18" t="str">
        <x:v>元一自動拉布機封邊平衡馬達</x:v>
      </x:c>
      <x:c r="F67" s="18" t="str">
        <x:v>MT-YUANYI-SPREADER-BALANCE-MOTOR</x:v>
      </x:c>
      <x:c r="G67" s="18" t="str">
        <x:v>元一自動拉布機封邊平衡馬達</x:v>
      </x:c>
      <x:c r="H67" s="18" t="str">
        <x:v>Automatic Spreader</x:v>
      </x:c>
      <x:c r="I67" s="18" t="str">
        <x:v>Motor/Drive</x:v>
      </x:c>
      <x:c r="J67" s="18" t="str">
        <x:v>Spare Part</x:v>
      </x:c>
      <x:c r="K67" s="18" t="str">
        <x:v>元一</x:v>
      </x:c>
      <x:c r="L67" s="18" t="str">
        <x:v>Cutting</x:v>
      </x:c>
      <x:c r="M67" s="20" t="n">
        <x:v>1</x:v>
      </x:c>
      <x:c r="N67" s="18" t="str">
        <x:v>個</x:v>
      </x:c>
      <x:c r="O67" s="21" t="n">
        <x:v>250</x:v>
      </x:c>
      <x:c r="P67" s="21" t="n">
        <x:f>M67*O67</x:f>
        <x:v>250</x:v>
      </x:c>
      <x:c r="Q67" s="21" t="n">
        <x:v>250</x:v>
      </x:c>
      <x:c r="R67" s="21" t="n">
        <x:f>P67-Q67</x:f>
        <x:v>0</x:v>
      </x:c>
      <x:c r="S67" s="18" t="str">
        <x:v>Yes</x:v>
      </x:c>
      <x:c r="T67" s="18" t="str">
        <x:v>High</x:v>
      </x:c>
      <x:c r="U67" s="18" t="str">
        <x:v>Yi New Sewing Machine_Mar.'26.pdf</x:v>
      </x:c>
      <x:c r="V67" s="18" t="n">
        <x:v>1</x:v>
      </x:c>
      <x:c r="W67" s="18" t="str"/>
    </x:row>
    <x:row r="68">
      <x:c r="A68" s="18" t="str">
        <x:v>2026-03</x:v>
      </x:c>
      <x:c r="B68" s="19" t="n">
        <x:v>46102</x:v>
      </x:c>
      <x:c r="C68" s="18" t="str">
        <x:v>YI-000119</x:v>
      </x:c>
      <x:c r="D68" s="18" t="str">
        <x:v>YI NEW SEWING MACHINE CO., LTD</x:v>
      </x:c>
      <x:c r="E68" s="18" t="str">
        <x:v>東元啟動組合開關（日本）</x:v>
      </x:c>
      <x:c r="F68" s="18" t="str">
        <x:v>EL-TECO-STARTER-SWITCH-JP</x:v>
      </x:c>
      <x:c r="G68" s="18" t="str">
        <x:v>東元啟動組合開關（日本）</x:v>
      </x:c>
      <x:c r="H68" s="18" t="str">
        <x:v>Starter Combination</x:v>
      </x:c>
      <x:c r="I68" s="18" t="str">
        <x:v>Electrical/Control</x:v>
      </x:c>
      <x:c r="J68" s="18" t="str">
        <x:v>Spare Part</x:v>
      </x:c>
      <x:c r="K68" s="18" t="str">
        <x:v>TECO/東元</x:v>
      </x:c>
      <x:c r="L68" s="18" t="str">
        <x:v>Motor Control</x:v>
      </x:c>
      <x:c r="M68" s="20" t="n">
        <x:v>10</x:v>
      </x:c>
      <x:c r="N68" s="18" t="str">
        <x:v>組</x:v>
      </x:c>
      <x:c r="O68" s="21" t="n">
        <x:v>28.5</x:v>
      </x:c>
      <x:c r="P68" s="21" t="n">
        <x:f>M68*O68</x:f>
        <x:v>285</x:v>
      </x:c>
      <x:c r="Q68" s="21" t="n">
        <x:v>285</x:v>
      </x:c>
      <x:c r="R68" s="21" t="n">
        <x:f>P68-Q68</x:f>
        <x:v>0</x:v>
      </x:c>
      <x:c r="S68" s="18" t="str">
        <x:v>Yes</x:v>
      </x:c>
      <x:c r="T68" s="18" t="str">
        <x:v>High</x:v>
      </x:c>
      <x:c r="U68" s="18" t="str">
        <x:v>Yi New Sewing Machine_Mar.'26.pdf</x:v>
      </x:c>
      <x:c r="V68" s="18" t="n">
        <x:v>1</x:v>
      </x:c>
      <x:c r="W68" s="18" t="str"/>
    </x:row>
    <x:row r="69">
      <x:c r="A69" s="18" t="str">
        <x:v>2026-03</x:v>
      </x:c>
      <x:c r="B69" s="19" t="n">
        <x:v>46106</x:v>
      </x:c>
      <x:c r="C69" s="18" t="str">
        <x:v>YI-000120</x:v>
      </x:c>
      <x:c r="D69" s="18" t="str">
        <x:v>YI NEW SEWING MACHINE CO., LTD</x:v>
      </x:c>
      <x:c r="E69" s="18" t="str">
        <x:v>ORGAN: DBx1#9</x:v>
      </x:c>
      <x:c r="F69" s="18" t="str">
        <x:v>ND-DBX1-9</x:v>
      </x:c>
      <x:c r="G69" s="18" t="str">
        <x:v>風琴機針 DBx1 #9</x:v>
      </x:c>
      <x:c r="H69" s="18" t="str">
        <x:v>DBx1 #9</x:v>
      </x:c>
      <x:c r="I69" s="18" t="str">
        <x:v>Needle</x:v>
      </x:c>
      <x:c r="J69" s="18" t="str">
        <x:v>Consumable</x:v>
      </x:c>
      <x:c r="K69" s="18" t="str">
        <x:v>ORGAN/風琴</x:v>
      </x:c>
      <x:c r="L69" s="18" t="str">
        <x:v>Single Needle</x:v>
      </x:c>
      <x:c r="M69" s="20" t="n">
        <x:v>50</x:v>
      </x:c>
      <x:c r="N69" s="18" t="str">
        <x:v>包</x:v>
      </x:c>
      <x:c r="O69" s="21" t="n">
        <x:v>0.78</x:v>
      </x:c>
      <x:c r="P69" s="21" t="n">
        <x:f>M69*O69</x:f>
        <x:v>39</x:v>
      </x:c>
      <x:c r="Q69" s="21" t="n">
        <x:v>39</x:v>
      </x:c>
      <x:c r="R69" s="21" t="n">
        <x:f>P69-Q69</x:f>
        <x:v>0</x:v>
      </x:c>
      <x:c r="S69" s="18" t="str">
        <x:v>Yes</x:v>
      </x:c>
      <x:c r="T69" s="18" t="str">
        <x:v>High</x:v>
      </x:c>
      <x:c r="U69" s="18" t="str">
        <x:v>Yi New Sewing Machine_Mar.'26.pdf</x:v>
      </x:c>
      <x:c r="V69" s="18" t="n">
        <x:v>1</x:v>
      </x:c>
      <x:c r="W69" s="18" t="str"/>
    </x:row>
    <x:row r="70">
      <x:c r="A70" s="18" t="str">
        <x:v>2026-03</x:v>
      </x:c>
      <x:c r="B70" s="19" t="n">
        <x:v>46106</x:v>
      </x:c>
      <x:c r="C70" s="18" t="str">
        <x:v>YI-000120</x:v>
      </x:c>
      <x:c r="D70" s="18" t="str">
        <x:v>YI NEW SEWING MACHINE CO., LTD</x:v>
      </x:c>
      <x:c r="E70" s="18" t="str">
        <x:v>ORGAN: DBx1#11</x:v>
      </x:c>
      <x:c r="F70" s="18" t="str">
        <x:v>ND-DBX1-11</x:v>
      </x:c>
      <x:c r="G70" s="18" t="str">
        <x:v>風琴機針 DBx1 #11</x:v>
      </x:c>
      <x:c r="H70" s="18" t="str">
        <x:v>DBx1 #11</x:v>
      </x:c>
      <x:c r="I70" s="18" t="str">
        <x:v>Needle</x:v>
      </x:c>
      <x:c r="J70" s="18" t="str">
        <x:v>Consumable</x:v>
      </x:c>
      <x:c r="K70" s="18" t="str">
        <x:v>ORGAN/風琴</x:v>
      </x:c>
      <x:c r="L70" s="18" t="str">
        <x:v>Single Needle</x:v>
      </x:c>
      <x:c r="M70" s="20" t="n">
        <x:v>50</x:v>
      </x:c>
      <x:c r="N70" s="18" t="str">
        <x:v>包</x:v>
      </x:c>
      <x:c r="O70" s="21" t="n">
        <x:v>0.78</x:v>
      </x:c>
      <x:c r="P70" s="21" t="n">
        <x:f>M70*O70</x:f>
        <x:v>39</x:v>
      </x:c>
      <x:c r="Q70" s="21" t="n">
        <x:v>39</x:v>
      </x:c>
      <x:c r="R70" s="21" t="n">
        <x:f>P70-Q70</x:f>
        <x:v>0</x:v>
      </x:c>
      <x:c r="S70" s="18" t="str">
        <x:v>Yes</x:v>
      </x:c>
      <x:c r="T70" s="18" t="str">
        <x:v>High</x:v>
      </x:c>
      <x:c r="U70" s="18" t="str">
        <x:v>Yi New Sewing Machine_Mar.'26.pdf</x:v>
      </x:c>
      <x:c r="V70" s="18" t="n">
        <x:v>1</x:v>
      </x:c>
      <x:c r="W70" s="18" t="str"/>
    </x:row>
    <x:row r="71">
      <x:c r="A71" s="18" t="str">
        <x:v>2026-03</x:v>
      </x:c>
      <x:c r="B71" s="19" t="n">
        <x:v>46106</x:v>
      </x:c>
      <x:c r="C71" s="18" t="str">
        <x:v>YI-000120</x:v>
      </x:c>
      <x:c r="D71" s="18" t="str">
        <x:v>YI NEW SEWING MACHINE CO., LTD</x:v>
      </x:c>
      <x:c r="E71" s="18" t="str">
        <x:v>ORGAN: DBx1 #12</x:v>
      </x:c>
      <x:c r="F71" s="18" t="str">
        <x:v>ND-DBX1-12</x:v>
      </x:c>
      <x:c r="G71" s="18" t="str">
        <x:v>風琴機針 DBx1 #12</x:v>
      </x:c>
      <x:c r="H71" s="18" t="str">
        <x:v>DBx1 #12</x:v>
      </x:c>
      <x:c r="I71" s="18" t="str">
        <x:v>Needle</x:v>
      </x:c>
      <x:c r="J71" s="18" t="str">
        <x:v>Consumable</x:v>
      </x:c>
      <x:c r="K71" s="18" t="str">
        <x:v>ORGAN/風琴</x:v>
      </x:c>
      <x:c r="L71" s="18" t="str">
        <x:v>Single Needle</x:v>
      </x:c>
      <x:c r="M71" s="20" t="n">
        <x:v>50</x:v>
      </x:c>
      <x:c r="N71" s="18" t="str">
        <x:v>包</x:v>
      </x:c>
      <x:c r="O71" s="21" t="n">
        <x:v>0.78</x:v>
      </x:c>
      <x:c r="P71" s="21" t="n">
        <x:f>M71*O71</x:f>
        <x:v>39</x:v>
      </x:c>
      <x:c r="Q71" s="21" t="n">
        <x:v>39</x:v>
      </x:c>
      <x:c r="R71" s="21" t="n">
        <x:f>P71-Q71</x:f>
        <x:v>0</x:v>
      </x:c>
      <x:c r="S71" s="18" t="str">
        <x:v>Yes</x:v>
      </x:c>
      <x:c r="T71" s="18" t="str">
        <x:v>High</x:v>
      </x:c>
      <x:c r="U71" s="18" t="str">
        <x:v>Yi New Sewing Machine_Mar.'26.pdf</x:v>
      </x:c>
      <x:c r="V71" s="18" t="n">
        <x:v>1</x:v>
      </x:c>
      <x:c r="W71" s="18" t="str"/>
    </x:row>
    <x:row r="72">
      <x:c r="A72" s="18" t="str">
        <x:v>2026-03</x:v>
      </x:c>
      <x:c r="B72" s="19" t="n">
        <x:v>46106</x:v>
      </x:c>
      <x:c r="C72" s="18" t="str">
        <x:v>YI-000120</x:v>
      </x:c>
      <x:c r="D72" s="18" t="str">
        <x:v>YI NEW SEWING MACHINE CO., LTD</x:v>
      </x:c>
      <x:c r="E72" s="18" t="str">
        <x:v>ORGAN: UOx113#16</x:v>
      </x:c>
      <x:c r="F72" s="18" t="str">
        <x:v>ND-UOX113-16</x:v>
      </x:c>
      <x:c r="G72" s="18" t="str">
        <x:v>風琴機針 UOx113 #16</x:v>
      </x:c>
      <x:c r="H72" s="18" t="str">
        <x:v>UOx113 #16</x:v>
      </x:c>
      <x:c r="I72" s="18" t="str">
        <x:v>Needle</x:v>
      </x:c>
      <x:c r="J72" s="18" t="str">
        <x:v>Consumable</x:v>
      </x:c>
      <x:c r="K72" s="18" t="str">
        <x:v>ORGAN/風琴</x:v>
      </x:c>
      <x:c r="L72" s="18" t="str">
        <x:v>Multi-needle</x:v>
      </x:c>
      <x:c r="M72" s="20" t="n">
        <x:v>50</x:v>
      </x:c>
      <x:c r="N72" s="18" t="str">
        <x:v>包</x:v>
      </x:c>
      <x:c r="O72" s="21" t="n">
        <x:v>3</x:v>
      </x:c>
      <x:c r="P72" s="21" t="n">
        <x:f>M72*O72</x:f>
        <x:v>150</x:v>
      </x:c>
      <x:c r="Q72" s="21" t="n">
        <x:v>150</x:v>
      </x:c>
      <x:c r="R72" s="21" t="n">
        <x:f>P72-Q72</x:f>
        <x:v>0</x:v>
      </x:c>
      <x:c r="S72" s="18" t="str">
        <x:v>Yes</x:v>
      </x:c>
      <x:c r="T72" s="18" t="str">
        <x:v>High</x:v>
      </x:c>
      <x:c r="U72" s="18" t="str">
        <x:v>Yi New Sewing Machine_Mar.'26.pdf</x:v>
      </x:c>
      <x:c r="V72" s="18" t="n">
        <x:v>1</x:v>
      </x:c>
      <x:c r="W72" s="18" t="str"/>
    </x:row>
    <x:row r="73">
      <x:c r="A73" s="18" t="str">
        <x:v>2026-03</x:v>
      </x:c>
      <x:c r="B73" s="19" t="n">
        <x:v>46106</x:v>
      </x:c>
      <x:c r="C73" s="18" t="str">
        <x:v>YI-000121</x:v>
      </x:c>
      <x:c r="D73" s="18" t="str">
        <x:v>YI NEW SEWING MACHINE CO., LTD</x:v>
      </x:c>
      <x:c r="E73" s="18" t="str">
        <x:v>502膠水・大瓶</x:v>
      </x:c>
      <x:c r="F73" s="18" t="str">
        <x:v>CH-502-GLUE-LARGE</x:v>
      </x:c>
      <x:c r="G73" s="18" t="str">
        <x:v>502膠水（大瓶）</x:v>
      </x:c>
      <x:c r="H73" s="18" t="str">
        <x:v>Large Bottle</x:v>
      </x:c>
      <x:c r="I73" s="18" t="str">
        <x:v>Consumable/Chemical</x:v>
      </x:c>
      <x:c r="J73" s="18" t="str">
        <x:v>Consumable</x:v>
      </x:c>
      <x:c r="K73" s="18" t="str"/>
      <x:c r="L73" s="18" t="str">
        <x:v>Maintenance</x:v>
      </x:c>
      <x:c r="M73" s="20" t="n">
        <x:v>10</x:v>
      </x:c>
      <x:c r="N73" s="18" t="str">
        <x:v>瓶</x:v>
      </x:c>
      <x:c r="O73" s="21" t="n">
        <x:v>0.65</x:v>
      </x:c>
      <x:c r="P73" s="21" t="n">
        <x:f>M73*O73</x:f>
        <x:v>6.5</x:v>
      </x:c>
      <x:c r="Q73" s="21" t="n">
        <x:v>6.5</x:v>
      </x:c>
      <x:c r="R73" s="21" t="n">
        <x:f>P73-Q73</x:f>
        <x:v>0</x:v>
      </x:c>
      <x:c r="S73" s="18" t="str">
        <x:v>Yes</x:v>
      </x:c>
      <x:c r="T73" s="18" t="str">
        <x:v>High</x:v>
      </x:c>
      <x:c r="U73" s="18" t="str">
        <x:v>Yi New Sewing Machine_Mar.'26.pdf</x:v>
      </x:c>
      <x:c r="V73" s="18" t="n">
        <x:v>1</x:v>
      </x:c>
      <x:c r="W73" s="18" t="str"/>
    </x:row>
    <x:row r="74">
      <x:c r="A74" s="18" t="str">
        <x:v>2026-04</x:v>
      </x:c>
      <x:c r="B74" s="19" t="n">
        <x:v>46113</x:v>
      </x:c>
      <x:c r="C74" s="18" t="str">
        <x:v>YI-000122</x:v>
      </x:c>
      <x:c r="D74" s="18" t="str">
        <x:v>YI NEW SEWING MACHINE CO., LTD</x:v>
      </x:c>
      <x:c r="E74" s="18" t="str">
        <x:v>ORGAN: UYx128 #12</x:v>
      </x:c>
      <x:c r="F74" s="18" t="str">
        <x:v>ND-UYX128-12</x:v>
      </x:c>
      <x:c r="G74" s="18" t="str">
        <x:v>風琴機針 UYx128 #12</x:v>
      </x:c>
      <x:c r="H74" s="18" t="str">
        <x:v>UYx128 #12</x:v>
      </x:c>
      <x:c r="I74" s="18" t="str">
        <x:v>Needle</x:v>
      </x:c>
      <x:c r="J74" s="18" t="str">
        <x:v>Consumable</x:v>
      </x:c>
      <x:c r="K74" s="18" t="str">
        <x:v>ORGAN/風琴</x:v>
      </x:c>
      <x:c r="L74" s="18" t="str">
        <x:v>Multi-needle / Chainstitch</x:v>
      </x:c>
      <x:c r="M74" s="20" t="n">
        <x:v>150</x:v>
      </x:c>
      <x:c r="N74" s="18" t="str">
        <x:v>包</x:v>
      </x:c>
      <x:c r="O74" s="21" t="n">
        <x:v>1.78</x:v>
      </x:c>
      <x:c r="P74" s="21" t="n">
        <x:f>M74*O74</x:f>
        <x:v>267</x:v>
      </x:c>
      <x:c r="Q74" s="21" t="n">
        <x:v>267</x:v>
      </x:c>
      <x:c r="R74" s="21" t="n">
        <x:f>P74-Q74</x:f>
        <x:v>0</x:v>
      </x:c>
      <x:c r="S74" s="18" t="str">
        <x:v>Yes</x:v>
      </x:c>
      <x:c r="T74" s="18" t="str">
        <x:v>High</x:v>
      </x:c>
      <x:c r="U74" s="18" t="str">
        <x:v>Yi New Sewing Machine_Apr.'26.pdf</x:v>
      </x:c>
      <x:c r="V74" s="18" t="n">
        <x:v>1</x:v>
      </x:c>
      <x:c r="W74" s="18" t="str"/>
    </x:row>
    <x:row r="75">
      <x:c r="A75" s="18" t="str">
        <x:v>2026-04</x:v>
      </x:c>
      <x:c r="B75" s="19" t="n">
        <x:v>46113</x:v>
      </x:c>
      <x:c r="C75" s="18" t="str">
        <x:v>YI-000122</x:v>
      </x:c>
      <x:c r="D75" s="18" t="str">
        <x:v>YI NEW SEWING MACHINE CO., LTD</x:v>
      </x:c>
      <x:c r="E75" s="18" t="str">
        <x:v>ORGAN: DCx27 #12</x:v>
      </x:c>
      <x:c r="F75" s="18" t="str">
        <x:v>ND-DCX27-12</x:v>
      </x:c>
      <x:c r="G75" s="18" t="str">
        <x:v>風琴機針 DCx27 #12</x:v>
      </x:c>
      <x:c r="H75" s="18" t="str">
        <x:v>DCx27 #12</x:v>
      </x:c>
      <x:c r="I75" s="18" t="str">
        <x:v>Needle</x:v>
      </x:c>
      <x:c r="J75" s="18" t="str">
        <x:v>Consumable</x:v>
      </x:c>
      <x:c r="K75" s="18" t="str">
        <x:v>ORGAN/風琴</x:v>
      </x:c>
      <x:c r="L75" s="18" t="str">
        <x:v>Overlock</x:v>
      </x:c>
      <x:c r="M75" s="20" t="n">
        <x:v>150</x:v>
      </x:c>
      <x:c r="N75" s="18" t="str">
        <x:v>包</x:v>
      </x:c>
      <x:c r="O75" s="21" t="n">
        <x:v>1.3</x:v>
      </x:c>
      <x:c r="P75" s="21" t="n">
        <x:f>M75*O75</x:f>
        <x:v>195</x:v>
      </x:c>
      <x:c r="Q75" s="21" t="n">
        <x:v>195</x:v>
      </x:c>
      <x:c r="R75" s="21" t="n">
        <x:f>P75-Q75</x:f>
        <x:v>0</x:v>
      </x:c>
      <x:c r="S75" s="18" t="str">
        <x:v>Yes</x:v>
      </x:c>
      <x:c r="T75" s="18" t="str">
        <x:v>High</x:v>
      </x:c>
      <x:c r="U75" s="18" t="str">
        <x:v>Yi New Sewing Machine_Apr.'26.pdf</x:v>
      </x:c>
      <x:c r="V75" s="18" t="n">
        <x:v>1</x:v>
      </x:c>
      <x:c r="W75" s="18" t="str"/>
    </x:row>
    <x:row r="76">
      <x:c r="A76" s="18" t="str">
        <x:v>2026-04</x:v>
      </x:c>
      <x:c r="B76" s="19" t="n">
        <x:v>46116</x:v>
      </x:c>
      <x:c r="C76" s="18" t="str">
        <x:v>YI-000123</x:v>
      </x:c>
      <x:c r="D76" s="18" t="str">
        <x:v>YI NEW SEWING MACHINE CO., LTD</x:v>
      </x:c>
      <x:c r="E76" s="18" t="str">
        <x:v>JUKI-781壓腳</x:v>
      </x:c>
      <x:c r="F76" s="18" t="str">
        <x:v>PF-JUKI781</x:v>
      </x:c>
      <x:c r="G76" s="18" t="str">
        <x:v>JUKI-781 壓腳</x:v>
      </x:c>
      <x:c r="H76" s="18" t="str">
        <x:v>JUKI-781</x:v>
      </x:c>
      <x:c r="I76" s="18" t="str">
        <x:v>Presser Foot</x:v>
      </x:c>
      <x:c r="J76" s="18" t="str">
        <x:v>Spare Part</x:v>
      </x:c>
      <x:c r="K76" s="18" t="str">
        <x:v>JUKI</x:v>
      </x:c>
      <x:c r="L76" s="18" t="str">
        <x:v>Buttonhole</x:v>
      </x:c>
      <x:c r="M76" s="20" t="n">
        <x:v>3</x:v>
      </x:c>
      <x:c r="N76" s="18" t="str">
        <x:v>個</x:v>
      </x:c>
      <x:c r="O76" s="21" t="n">
        <x:v>6</x:v>
      </x:c>
      <x:c r="P76" s="21" t="n">
        <x:f>M76*O76</x:f>
        <x:v>18</x:v>
      </x:c>
      <x:c r="Q76" s="21" t="n">
        <x:v>18</x:v>
      </x:c>
      <x:c r="R76" s="21" t="n">
        <x:f>P76-Q76</x:f>
        <x:v>0</x:v>
      </x:c>
      <x:c r="S76" s="18" t="str">
        <x:v>Yes</x:v>
      </x:c>
      <x:c r="T76" s="18" t="str">
        <x:v>High</x:v>
      </x:c>
      <x:c r="U76" s="18" t="str">
        <x:v>Yi New Sewing Machine_Apr.'26.pdf</x:v>
      </x:c>
      <x:c r="V76" s="18" t="n">
        <x:v>1</x:v>
      </x:c>
      <x:c r="W76" s="18" t="str"/>
    </x:row>
    <x:row r="77">
      <x:c r="A77" s="18" t="str">
        <x:v>2026-04</x:v>
      </x:c>
      <x:c r="B77" s="19" t="n">
        <x:v>46116</x:v>
      </x:c>
      <x:c r="C77" s="18" t="str">
        <x:v>YI-000123</x:v>
      </x:c>
      <x:c r="D77" s="18" t="str">
        <x:v>YI NEW SEWING MACHINE CO., LTD</x:v>
      </x:c>
      <x:c r="E77" s="18" t="str">
        <x:v>風琴: UOx113 #12</x:v>
      </x:c>
      <x:c r="F77" s="18" t="str">
        <x:v>ND-UOX113-12</x:v>
      </x:c>
      <x:c r="G77" s="18" t="str">
        <x:v>風琴機針 UOx113 #12</x:v>
      </x:c>
      <x:c r="H77" s="18" t="str">
        <x:v>UOx113 #12</x:v>
      </x:c>
      <x:c r="I77" s="18" t="str">
        <x:v>Needle</x:v>
      </x:c>
      <x:c r="J77" s="18" t="str">
        <x:v>Consumable</x:v>
      </x:c>
      <x:c r="K77" s="18" t="str">
        <x:v>ORGAN/風琴</x:v>
      </x:c>
      <x:c r="L77" s="18" t="str">
        <x:v>Multi-needle</x:v>
      </x:c>
      <x:c r="M77" s="20" t="n">
        <x:v>80</x:v>
      </x:c>
      <x:c r="N77" s="18" t="str">
        <x:v>包</x:v>
      </x:c>
      <x:c r="O77" s="21" t="n">
        <x:v>3</x:v>
      </x:c>
      <x:c r="P77" s="21" t="n">
        <x:f>M77*O77</x:f>
        <x:v>240</x:v>
      </x:c>
      <x:c r="Q77" s="21" t="n">
        <x:v>240</x:v>
      </x:c>
      <x:c r="R77" s="21" t="n">
        <x:f>P77-Q77</x:f>
        <x:v>0</x:v>
      </x:c>
      <x:c r="S77" s="18" t="str">
        <x:v>Yes</x:v>
      </x:c>
      <x:c r="T77" s="18" t="str">
        <x:v>High</x:v>
      </x:c>
      <x:c r="U77" s="18" t="str">
        <x:v>Yi New Sewing Machine_Apr.'26.pdf</x:v>
      </x:c>
      <x:c r="V77" s="18" t="n">
        <x:v>1</x:v>
      </x:c>
      <x:c r="W77" s="18" t="str"/>
    </x:row>
    <x:row r="78">
      <x:c r="A78" s="18" t="str">
        <x:v>2026-04</x:v>
      </x:c>
      <x:c r="B78" s="19" t="n">
        <x:v>46116</x:v>
      </x:c>
      <x:c r="C78" s="18" t="str">
        <x:v>YI-000123</x:v>
      </x:c>
      <x:c r="D78" s="18" t="str">
        <x:v>YI NEW SEWING MACHINE CO., LTD</x:v>
      </x:c>
      <x:c r="E78" s="18" t="str">
        <x:v>風琴: UYx128 #12</x:v>
      </x:c>
      <x:c r="F78" s="18" t="str">
        <x:v>ND-UYX128-12</x:v>
      </x:c>
      <x:c r="G78" s="18" t="str">
        <x:v>風琴機針 UYx128 #12</x:v>
      </x:c>
      <x:c r="H78" s="18" t="str">
        <x:v>UYx128 #12</x:v>
      </x:c>
      <x:c r="I78" s="18" t="str">
        <x:v>Needle</x:v>
      </x:c>
      <x:c r="J78" s="18" t="str">
        <x:v>Consumable</x:v>
      </x:c>
      <x:c r="K78" s="18" t="str">
        <x:v>ORGAN/風琴</x:v>
      </x:c>
      <x:c r="L78" s="18" t="str">
        <x:v>Multi-needle / Chainstitch</x:v>
      </x:c>
      <x:c r="M78" s="20" t="n">
        <x:v>50</x:v>
      </x:c>
      <x:c r="N78" s="18" t="str">
        <x:v>包</x:v>
      </x:c>
      <x:c r="O78" s="21" t="n">
        <x:v>1.78</x:v>
      </x:c>
      <x:c r="P78" s="21" t="n">
        <x:f>M78*O78</x:f>
        <x:v>89</x:v>
      </x:c>
      <x:c r="Q78" s="21" t="n">
        <x:v>89</x:v>
      </x:c>
      <x:c r="R78" s="21" t="n">
        <x:f>P78-Q78</x:f>
        <x:v>0</x:v>
      </x:c>
      <x:c r="S78" s="18" t="str">
        <x:v>Yes</x:v>
      </x:c>
      <x:c r="T78" s="18" t="str">
        <x:v>High</x:v>
      </x:c>
      <x:c r="U78" s="18" t="str">
        <x:v>Yi New Sewing Machine_Apr.'26.pdf</x:v>
      </x:c>
      <x:c r="V78" s="18" t="n">
        <x:v>1</x:v>
      </x:c>
      <x:c r="W78" s="18" t="str"/>
    </x:row>
    <x:row r="79">
      <x:c r="A79" s="18" t="str">
        <x:v>2026-04</x:v>
      </x:c>
      <x:c r="B79" s="19" t="n">
        <x:v>46116</x:v>
      </x:c>
      <x:c r="C79" s="18" t="str">
        <x:v>YI-000123</x:v>
      </x:c>
      <x:c r="D79" s="18" t="str">
        <x:v>YI NEW SEWING MACHINE CO., LTD</x:v>
      </x:c>
      <x:c r="E79" s="18" t="str">
        <x:v>風琴: DCx27 #12</x:v>
      </x:c>
      <x:c r="F79" s="18" t="str">
        <x:v>ND-DCX27-12</x:v>
      </x:c>
      <x:c r="G79" s="18" t="str">
        <x:v>風琴機針 DCx27 #12</x:v>
      </x:c>
      <x:c r="H79" s="18" t="str">
        <x:v>DCx27 #12</x:v>
      </x:c>
      <x:c r="I79" s="18" t="str">
        <x:v>Needle</x:v>
      </x:c>
      <x:c r="J79" s="18" t="str">
        <x:v>Consumable</x:v>
      </x:c>
      <x:c r="K79" s="18" t="str">
        <x:v>ORGAN/風琴</x:v>
      </x:c>
      <x:c r="L79" s="18" t="str">
        <x:v>Overlock</x:v>
      </x:c>
      <x:c r="M79" s="20" t="n">
        <x:v>50</x:v>
      </x:c>
      <x:c r="N79" s="18" t="str">
        <x:v>包</x:v>
      </x:c>
      <x:c r="O79" s="21" t="n">
        <x:v>1.3</x:v>
      </x:c>
      <x:c r="P79" s="21" t="n">
        <x:f>M79*O79</x:f>
        <x:v>65</x:v>
      </x:c>
      <x:c r="Q79" s="21" t="n">
        <x:v>65</x:v>
      </x:c>
      <x:c r="R79" s="21" t="n">
        <x:f>P79-Q79</x:f>
        <x:v>0</x:v>
      </x:c>
      <x:c r="S79" s="18" t="str">
        <x:v>Yes</x:v>
      </x:c>
      <x:c r="T79" s="18" t="str">
        <x:v>High</x:v>
      </x:c>
      <x:c r="U79" s="18" t="str">
        <x:v>Yi New Sewing Machine_Apr.'26.pdf</x:v>
      </x:c>
      <x:c r="V79" s="18" t="n">
        <x:v>1</x:v>
      </x:c>
      <x:c r="W79" s="18" t="str"/>
    </x:row>
    <x:row r="80">
      <x:c r="A80" s="18" t="str">
        <x:v>2026-04</x:v>
      </x:c>
      <x:c r="B80" s="19" t="n">
        <x:v>46135</x:v>
      </x:c>
      <x:c r="C80" s="18" t="str">
        <x:v>YI-000124</x:v>
      </x:c>
      <x:c r="D80" s="18" t="str">
        <x:v>YI NEW SEWING MACHINE CO., LTD</x:v>
      </x:c>
      <x:c r="E80" s="18" t="str">
        <x:v>Organ : DPx5 #14</x:v>
      </x:c>
      <x:c r="F80" s="18" t="str">
        <x:v>ND-DPX5-14</x:v>
      </x:c>
      <x:c r="G80" s="18" t="str">
        <x:v>風琴機針 DPx5 #14</x:v>
      </x:c>
      <x:c r="H80" s="18" t="str">
        <x:v>DPx5 #14</x:v>
      </x:c>
      <x:c r="I80" s="18" t="str">
        <x:v>Needle</x:v>
      </x:c>
      <x:c r="J80" s="18" t="str">
        <x:v>Consumable</x:v>
      </x:c>
      <x:c r="K80" s="18" t="str">
        <x:v>ORGAN/風琴</x:v>
      </x:c>
      <x:c r="L80" s="18" t="str">
        <x:v>Lockstitch</x:v>
      </x:c>
      <x:c r="M80" s="20" t="n">
        <x:v>50</x:v>
      </x:c>
      <x:c r="N80" s="18" t="str">
        <x:v>包</x:v>
      </x:c>
      <x:c r="O80" s="21" t="n">
        <x:v>0.78</x:v>
      </x:c>
      <x:c r="P80" s="21" t="n">
        <x:f>M80*O80</x:f>
        <x:v>39</x:v>
      </x:c>
      <x:c r="Q80" s="21" t="n">
        <x:v>39</x:v>
      </x:c>
      <x:c r="R80" s="21" t="n">
        <x:f>P80-Q80</x:f>
        <x:v>0</x:v>
      </x:c>
      <x:c r="S80" s="18" t="str">
        <x:v>Yes</x:v>
      </x:c>
      <x:c r="T80" s="18" t="str">
        <x:v>High</x:v>
      </x:c>
      <x:c r="U80" s="18" t="str">
        <x:v>Yi New Sewing Machine_Apr.'26.pdf</x:v>
      </x:c>
      <x:c r="V80" s="18" t="n">
        <x:v>1</x:v>
      </x:c>
      <x:c r="W80" s="18" t="str"/>
    </x:row>
    <x:row r="81">
      <x:c r="A81" s="18" t="str">
        <x:v>2026-04</x:v>
      </x:c>
      <x:c r="B81" s="19" t="n">
        <x:v>46135</x:v>
      </x:c>
      <x:c r="C81" s="18" t="str">
        <x:v>YI-000124</x:v>
      </x:c>
      <x:c r="D81" s="18" t="str">
        <x:v>YI NEW SEWING MACHINE CO., LTD</x:v>
      </x:c>
      <x:c r="E81" s="18" t="str">
        <x:v>Organ : DCx27 #12</x:v>
      </x:c>
      <x:c r="F81" s="18" t="str">
        <x:v>ND-DCX27-12</x:v>
      </x:c>
      <x:c r="G81" s="18" t="str">
        <x:v>風琴機針 DCx27 #12</x:v>
      </x:c>
      <x:c r="H81" s="18" t="str">
        <x:v>DCx27 #12</x:v>
      </x:c>
      <x:c r="I81" s="18" t="str">
        <x:v>Needle</x:v>
      </x:c>
      <x:c r="J81" s="18" t="str">
        <x:v>Consumable</x:v>
      </x:c>
      <x:c r="K81" s="18" t="str">
        <x:v>ORGAN/風琴</x:v>
      </x:c>
      <x:c r="L81" s="18" t="str">
        <x:v>Overlock</x:v>
      </x:c>
      <x:c r="M81" s="20" t="n">
        <x:v>50</x:v>
      </x:c>
      <x:c r="N81" s="18" t="str">
        <x:v>包</x:v>
      </x:c>
      <x:c r="O81" s="21" t="n">
        <x:v>1.3</x:v>
      </x:c>
      <x:c r="P81" s="21" t="n">
        <x:f>M81*O81</x:f>
        <x:v>65</x:v>
      </x:c>
      <x:c r="Q81" s="21" t="n">
        <x:v>65</x:v>
      </x:c>
      <x:c r="R81" s="21" t="n">
        <x:f>P81-Q81</x:f>
        <x:v>0</x:v>
      </x:c>
      <x:c r="S81" s="18" t="str">
        <x:v>Yes</x:v>
      </x:c>
      <x:c r="T81" s="18" t="str">
        <x:v>High</x:v>
      </x:c>
      <x:c r="U81" s="18" t="str">
        <x:v>Yi New Sewing Machine_Apr.'26.pdf</x:v>
      </x:c>
      <x:c r="V81" s="18" t="n">
        <x:v>1</x:v>
      </x:c>
      <x:c r="W81" s="18" t="str"/>
    </x:row>
    <x:row r="82">
      <x:c r="A82" s="18" t="str">
        <x:v>2026-04</x:v>
      </x:c>
      <x:c r="B82" s="19" t="n">
        <x:v>46135</x:v>
      </x:c>
      <x:c r="C82" s="18" t="str">
        <x:v>YI-000124</x:v>
      </x:c>
      <x:c r="D82" s="18" t="str">
        <x:v>YI NEW SEWING MACHINE CO., LTD</x:v>
      </x:c>
      <x:c r="E82" s="18" t="str">
        <x:v>Organ : DCx27 #16</x:v>
      </x:c>
      <x:c r="F82" s="18" t="str">
        <x:v>ND-DCX27-16</x:v>
      </x:c>
      <x:c r="G82" s="18" t="str">
        <x:v>風琴機針 DCx27 #16</x:v>
      </x:c>
      <x:c r="H82" s="18" t="str">
        <x:v>DCx27 #16</x:v>
      </x:c>
      <x:c r="I82" s="18" t="str">
        <x:v>Needle</x:v>
      </x:c>
      <x:c r="J82" s="18" t="str">
        <x:v>Consumable</x:v>
      </x:c>
      <x:c r="K82" s="18" t="str">
        <x:v>ORGAN/風琴</x:v>
      </x:c>
      <x:c r="L82" s="18" t="str">
        <x:v>Overlock</x:v>
      </x:c>
      <x:c r="M82" s="20" t="n">
        <x:v>50</x:v>
      </x:c>
      <x:c r="N82" s="18" t="str">
        <x:v>包</x:v>
      </x:c>
      <x:c r="O82" s="21" t="n">
        <x:v>1.3</x:v>
      </x:c>
      <x:c r="P82" s="21" t="n">
        <x:f>M82*O82</x:f>
        <x:v>65</x:v>
      </x:c>
      <x:c r="Q82" s="21" t="n">
        <x:v>65</x:v>
      </x:c>
      <x:c r="R82" s="21" t="n">
        <x:f>P82-Q82</x:f>
        <x:v>0</x:v>
      </x:c>
      <x:c r="S82" s="18" t="str">
        <x:v>Yes</x:v>
      </x:c>
      <x:c r="T82" s="18" t="str">
        <x:v>High</x:v>
      </x:c>
      <x:c r="U82" s="18" t="str">
        <x:v>Yi New Sewing Machine_Apr.'26.pdf</x:v>
      </x:c>
      <x:c r="V82" s="18" t="n">
        <x:v>1</x:v>
      </x:c>
      <x:c r="W82" s="18" t="str"/>
    </x:row>
    <x:row r="83">
      <x:c r="A83" s="18" t="str">
        <x:v>2026-04</x:v>
      </x:c>
      <x:c r="B83" s="19" t="n">
        <x:v>46135</x:v>
      </x:c>
      <x:c r="C83" s="18" t="str">
        <x:v>YI-000124</x:v>
      </x:c>
      <x:c r="D83" s="18" t="str">
        <x:v>YI NEW SEWING MACHINE CO., LTD</x:v>
      </x:c>
      <x:c r="E83" s="18" t="str">
        <x:v>Organ : DPx17 #16</x:v>
      </x:c>
      <x:c r="F83" s="18" t="str">
        <x:v>ND-DPX17-16</x:v>
      </x:c>
      <x:c r="G83" s="18" t="str">
        <x:v>風琴機針 DPx17 #16</x:v>
      </x:c>
      <x:c r="H83" s="18" t="str">
        <x:v>DPx17 #16</x:v>
      </x:c>
      <x:c r="I83" s="18" t="str">
        <x:v>Needle</x:v>
      </x:c>
      <x:c r="J83" s="18" t="str">
        <x:v>Consumable</x:v>
      </x:c>
      <x:c r="K83" s="18" t="str">
        <x:v>ORGAN/風琴</x:v>
      </x:c>
      <x:c r="L83" s="18" t="str">
        <x:v>Buttonhole / Special</x:v>
      </x:c>
      <x:c r="M83" s="20" t="n">
        <x:v>50</x:v>
      </x:c>
      <x:c r="N83" s="18" t="str">
        <x:v>包</x:v>
      </x:c>
      <x:c r="O83" s="21" t="n">
        <x:v>1.3</x:v>
      </x:c>
      <x:c r="P83" s="21" t="n">
        <x:f>M83*O83</x:f>
        <x:v>65</x:v>
      </x:c>
      <x:c r="Q83" s="21" t="n">
        <x:v>65</x:v>
      </x:c>
      <x:c r="R83" s="21" t="n">
        <x:f>P83-Q83</x:f>
        <x:v>0</x:v>
      </x:c>
      <x:c r="S83" s="18" t="str">
        <x:v>Yes</x:v>
      </x:c>
      <x:c r="T83" s="18" t="str">
        <x:v>High</x:v>
      </x:c>
      <x:c r="U83" s="18" t="str">
        <x:v>Yi New Sewing Machine_Apr.'26.pdf</x:v>
      </x:c>
      <x:c r="V83" s="18" t="n">
        <x:v>1</x:v>
      </x:c>
      <x:c r="W83" s="18" t="str"/>
    </x:row>
    <x:row r="84">
      <x:c r="A84" s="18" t="str">
        <x:v>2026-04</x:v>
      </x:c>
      <x:c r="B84" s="19" t="n">
        <x:v>46135</x:v>
      </x:c>
      <x:c r="C84" s="18" t="str">
        <x:v>YI-000124</x:v>
      </x:c>
      <x:c r="D84" s="18" t="str">
        <x:v>YI NEW SEWING MACHINE CO., LTD</x:v>
      </x:c>
      <x:c r="E84" s="18" t="str">
        <x:v>ORGAN: DBx1 #14</x:v>
      </x:c>
      <x:c r="F84" s="18" t="str">
        <x:v>ND-DBX1-14</x:v>
      </x:c>
      <x:c r="G84" s="18" t="str">
        <x:v>風琴機針 DBx1 #14</x:v>
      </x:c>
      <x:c r="H84" s="18" t="str">
        <x:v>DBx1 #14</x:v>
      </x:c>
      <x:c r="I84" s="18" t="str">
        <x:v>Needle</x:v>
      </x:c>
      <x:c r="J84" s="18" t="str">
        <x:v>Consumable</x:v>
      </x:c>
      <x:c r="K84" s="18" t="str">
        <x:v>ORGAN/風琴</x:v>
      </x:c>
      <x:c r="L84" s="18" t="str">
        <x:v>Single Needle</x:v>
      </x:c>
      <x:c r="M84" s="20" t="n">
        <x:v>50</x:v>
      </x:c>
      <x:c r="N84" s="18" t="str">
        <x:v>包</x:v>
      </x:c>
      <x:c r="O84" s="21" t="n">
        <x:v>0.78</x:v>
      </x:c>
      <x:c r="P84" s="21" t="n">
        <x:f>M84*O84</x:f>
        <x:v>39</x:v>
      </x:c>
      <x:c r="Q84" s="21" t="n">
        <x:v>39</x:v>
      </x:c>
      <x:c r="R84" s="21" t="n">
        <x:f>P84-Q84</x:f>
        <x:v>0</x:v>
      </x:c>
      <x:c r="S84" s="18" t="str">
        <x:v>Yes</x:v>
      </x:c>
      <x:c r="T84" s="18" t="str">
        <x:v>High</x:v>
      </x:c>
      <x:c r="U84" s="18" t="str">
        <x:v>Yi New Sewing Machine_Apr.'26.pdf</x:v>
      </x:c>
      <x:c r="V84" s="18" t="n">
        <x:v>1</x:v>
      </x:c>
      <x:c r="W84" s="18" t="str"/>
    </x:row>
    <x:row r="85">
      <x:c r="A85" s="18" t="str">
        <x:v>2026-04</x:v>
      </x:c>
      <x:c r="B85" s="19" t="n">
        <x:v>46135</x:v>
      </x:c>
      <x:c r="C85" s="18" t="str">
        <x:v>YI-000124</x:v>
      </x:c>
      <x:c r="D85" s="18" t="str">
        <x:v>YI NEW SEWING MACHINE CO., LTD</x:v>
      </x:c>
      <x:c r="E85" s="18" t="str">
        <x:v>ORGAN: DBx1 #16</x:v>
      </x:c>
      <x:c r="F85" s="18" t="str">
        <x:v>ND-DBX1-16</x:v>
      </x:c>
      <x:c r="G85" s="18" t="str">
        <x:v>風琴機針 DBx1 #16</x:v>
      </x:c>
      <x:c r="H85" s="18" t="str">
        <x:v>DBx1 #16</x:v>
      </x:c>
      <x:c r="I85" s="18" t="str">
        <x:v>Needle</x:v>
      </x:c>
      <x:c r="J85" s="18" t="str">
        <x:v>Consumable</x:v>
      </x:c>
      <x:c r="K85" s="18" t="str">
        <x:v>ORGAN/風琴</x:v>
      </x:c>
      <x:c r="L85" s="18" t="str">
        <x:v>Single Needle</x:v>
      </x:c>
      <x:c r="M85" s="20" t="n">
        <x:v>50</x:v>
      </x:c>
      <x:c r="N85" s="18" t="str">
        <x:v>包</x:v>
      </x:c>
      <x:c r="O85" s="21" t="n">
        <x:v>0.78</x:v>
      </x:c>
      <x:c r="P85" s="21" t="n">
        <x:f>M85*O85</x:f>
        <x:v>39</x:v>
      </x:c>
      <x:c r="Q85" s="21" t="n">
        <x:v>39</x:v>
      </x:c>
      <x:c r="R85" s="21" t="n">
        <x:f>P85-Q85</x:f>
        <x:v>0</x:v>
      </x:c>
      <x:c r="S85" s="18" t="str">
        <x:v>Yes</x:v>
      </x:c>
      <x:c r="T85" s="18" t="str">
        <x:v>High</x:v>
      </x:c>
      <x:c r="U85" s="18" t="str">
        <x:v>Yi New Sewing Machine_Apr.'26.pdf</x:v>
      </x:c>
      <x:c r="V85" s="18" t="n">
        <x:v>1</x:v>
      </x:c>
      <x:c r="W85" s="18" t="str"/>
    </x:row>
    <x:row r="86">
      <x:c r="A86" s="18" t="str">
        <x:v>2026-04</x:v>
      </x:c>
      <x:c r="B86" s="19" t="n">
        <x:v>46135</x:v>
      </x:c>
      <x:c r="C86" s="18" t="str">
        <x:v>YI-000125</x:v>
      </x:c>
      <x:c r="D86" s="18" t="str">
        <x:v>YI NEW SEWING MACHINE CO., LTD</x:v>
      </x:c>
      <x:c r="E86" s="18" t="str">
        <x:v>鐵氟龍條-1.0/mm</x:v>
      </x:c>
      <x:c r="F86" s="18" t="str">
        <x:v>CN-TEFLON-STRIP-1MM</x:v>
      </x:c>
      <x:c r="G86" s="18" t="str">
        <x:v>鐵氟龍條</x:v>
      </x:c>
      <x:c r="H86" s="18" t="str">
        <x:v>1.0 mm</x:v>
      </x:c>
      <x:c r="I86" s="18" t="str">
        <x:v>Consumable/Chemical</x:v>
      </x:c>
      <x:c r="J86" s="18" t="str">
        <x:v>Consumable</x:v>
      </x:c>
      <x:c r="K86" s="18" t="str">
        <x:v>Teflon</x:v>
      </x:c>
      <x:c r="L86" s="18" t="str">
        <x:v>Ironing/Sealing</x:v>
      </x:c>
      <x:c r="M86" s="20" t="n">
        <x:v>20</x:v>
      </x:c>
      <x:c r="N86" s="18" t="str">
        <x:v>條</x:v>
      </x:c>
      <x:c r="O86" s="21" t="n">
        <x:v>1.8</x:v>
      </x:c>
      <x:c r="P86" s="21" t="n">
        <x:f>M86*O86</x:f>
        <x:v>36</x:v>
      </x:c>
      <x:c r="Q86" s="21" t="n">
        <x:v>36</x:v>
      </x:c>
      <x:c r="R86" s="21" t="n">
        <x:f>P86-Q86</x:f>
        <x:v>0</x:v>
      </x:c>
      <x:c r="S86" s="18" t="str">
        <x:v>Yes</x:v>
      </x:c>
      <x:c r="T86" s="18" t="str">
        <x:v>High</x:v>
      </x:c>
      <x:c r="U86" s="18" t="str">
        <x:v>Yi New Sewing Machine_Apr.'26.pdf</x:v>
      </x:c>
      <x:c r="V86" s="18" t="n">
        <x:v>1</x:v>
      </x:c>
      <x:c r="W86" s="18" t="str"/>
    </x:row>
    <x:row r="87">
      <x:c r="A87" s="18" t="str">
        <x:v>2026-04</x:v>
      </x:c>
      <x:c r="B87" s="19" t="n">
        <x:v>46135</x:v>
      </x:c>
      <x:c r="C87" s="18" t="str">
        <x:v>YI-000125</x:v>
      </x:c>
      <x:c r="D87" s="18" t="str">
        <x:v>YI NEW SEWING MACHINE CO., LTD</x:v>
      </x:c>
      <x:c r="E87" s="18" t="str">
        <x:v>JUKI-8700A螢幕貼</x:v>
      </x:c>
      <x:c r="F87" s="18" t="str">
        <x:v>EL-JUKI8700A-SCREEN-FILM</x:v>
      </x:c>
      <x:c r="G87" s="18" t="str">
        <x:v>JUKI-8700A 螢幕貼</x:v>
      </x:c>
      <x:c r="H87" s="18" t="str">
        <x:v>8700A</x:v>
      </x:c>
      <x:c r="I87" s="18" t="str">
        <x:v>Electrical/Control</x:v>
      </x:c>
      <x:c r="J87" s="18" t="str">
        <x:v>Consumable</x:v>
      </x:c>
      <x:c r="K87" s="18" t="str">
        <x:v>JUKI</x:v>
      </x:c>
      <x:c r="L87" s="18" t="str">
        <x:v>Single Needle</x:v>
      </x:c>
      <x:c r="M87" s="20" t="n">
        <x:v>10</x:v>
      </x:c>
      <x:c r="N87" s="18" t="str">
        <x:v>個</x:v>
      </x:c>
      <x:c r="O87" s="21" t="n">
        <x:v>5.8</x:v>
      </x:c>
      <x:c r="P87" s="21" t="n">
        <x:f>M87*O87</x:f>
        <x:v>58</x:v>
      </x:c>
      <x:c r="Q87" s="21" t="n">
        <x:v>58</x:v>
      </x:c>
      <x:c r="R87" s="21" t="n">
        <x:f>P87-Q87</x:f>
        <x:v>0</x:v>
      </x:c>
      <x:c r="S87" s="18" t="str">
        <x:v>Yes</x:v>
      </x:c>
      <x:c r="T87" s="18" t="str">
        <x:v>High</x:v>
      </x:c>
      <x:c r="U87" s="18" t="str">
        <x:v>Yi New Sewing Machine_Apr.'26.pdf</x:v>
      </x:c>
      <x:c r="V87" s="18" t="n">
        <x:v>1</x:v>
      </x:c>
      <x:c r="W87" s="18" t="str"/>
    </x:row>
    <x:row r="88">
      <x:c r="A88" s="18" t="str">
        <x:v>2026-04</x:v>
      </x:c>
      <x:c r="B88" s="19" t="n">
        <x:v>46135</x:v>
      </x:c>
      <x:c r="C88" s="18" t="str">
        <x:v>YI-000125</x:v>
      </x:c>
      <x:c r="D88" s="18" t="str">
        <x:v>YI NEW SEWING MACHINE CO., LTD</x:v>
      </x:c>
      <x:c r="E88" s="18" t="str">
        <x:v>JUKI-7000A螢幕貼</x:v>
      </x:c>
      <x:c r="F88" s="18" t="str">
        <x:v>EL-JUKI7000A-SCREEN-FILM</x:v>
      </x:c>
      <x:c r="G88" s="18" t="str">
        <x:v>JUKI-7000A 螢幕貼</x:v>
      </x:c>
      <x:c r="H88" s="18" t="str">
        <x:v>7000A</x:v>
      </x:c>
      <x:c r="I88" s="18" t="str">
        <x:v>Electrical/Control</x:v>
      </x:c>
      <x:c r="J88" s="18" t="str">
        <x:v>Consumable</x:v>
      </x:c>
      <x:c r="K88" s="18" t="str">
        <x:v>JUKI</x:v>
      </x:c>
      <x:c r="L88" s="18" t="str">
        <x:v>Single Needle</x:v>
      </x:c>
      <x:c r="M88" s="20" t="n">
        <x:v>10</x:v>
      </x:c>
      <x:c r="N88" s="18" t="str">
        <x:v>個</x:v>
      </x:c>
      <x:c r="O88" s="21" t="n">
        <x:v>6</x:v>
      </x:c>
      <x:c r="P88" s="21" t="n">
        <x:f>M88*O88</x:f>
        <x:v>60</x:v>
      </x:c>
      <x:c r="Q88" s="21" t="n">
        <x:v>60</x:v>
      </x:c>
      <x:c r="R88" s="21" t="n">
        <x:f>P88-Q88</x:f>
        <x:v>0</x:v>
      </x:c>
      <x:c r="S88" s="18" t="str">
        <x:v>Yes</x:v>
      </x:c>
      <x:c r="T88" s="18" t="str">
        <x:v>High</x:v>
      </x:c>
      <x:c r="U88" s="18" t="str">
        <x:v>Yi New Sewing Machine_Apr.'26.pdf</x:v>
      </x:c>
      <x:c r="V88" s="18" t="n">
        <x:v>1</x:v>
      </x:c>
      <x:c r="W88" s="18" t="str"/>
    </x:row>
    <x:row r="89">
      <x:c r="A89" s="18" t="str">
        <x:v>2026-04</x:v>
      </x:c>
      <x:c r="B89" s="19" t="n">
        <x:v>46135</x:v>
      </x:c>
      <x:c r="C89" s="18" t="str">
        <x:v>YI-000125</x:v>
      </x:c>
      <x:c r="D89" s="18" t="str">
        <x:v>YI NEW SEWING MACHINE CO., LTD</x:v>
      </x:c>
      <x:c r="E89" s="18" t="str">
        <x:v>JUKI-8700A活動刀</x:v>
      </x:c>
      <x:c r="F89" s="18" t="str">
        <x:v>KN-JUKI8700A-MOVING</x:v>
      </x:c>
      <x:c r="G89" s="18" t="str">
        <x:v>JUKI-8700A 活動刀</x:v>
      </x:c>
      <x:c r="H89" s="18" t="str">
        <x:v>8700A</x:v>
      </x:c>
      <x:c r="I89" s="18" t="str">
        <x:v>Knife/Looper</x:v>
      </x:c>
      <x:c r="J89" s="18" t="str">
        <x:v>Spare Part</x:v>
      </x:c>
      <x:c r="K89" s="18" t="str">
        <x:v>JUKI</x:v>
      </x:c>
      <x:c r="L89" s="18" t="str">
        <x:v>Single Needle</x:v>
      </x:c>
      <x:c r="M89" s="20" t="n">
        <x:v>10</x:v>
      </x:c>
      <x:c r="N89" s="18" t="str">
        <x:v>個</x:v>
      </x:c>
      <x:c r="O89" s="21" t="n">
        <x:v>2.3</x:v>
      </x:c>
      <x:c r="P89" s="21" t="n">
        <x:f>M89*O89</x:f>
        <x:v>23</x:v>
      </x:c>
      <x:c r="Q89" s="21" t="n">
        <x:v>23</x:v>
      </x:c>
      <x:c r="R89" s="21" t="n">
        <x:f>P89-Q89</x:f>
        <x:v>0</x:v>
      </x:c>
      <x:c r="S89" s="18" t="str">
        <x:v>Yes</x:v>
      </x:c>
      <x:c r="T89" s="18" t="str">
        <x:v>High</x:v>
      </x:c>
      <x:c r="U89" s="18" t="str">
        <x:v>Yi New Sewing Machine_Apr.'26.pdf</x:v>
      </x:c>
      <x:c r="V89" s="18" t="n">
        <x:v>1</x:v>
      </x:c>
      <x:c r="W89" s="18" t="str"/>
    </x:row>
    <x:row r="90">
      <x:c r="A90" s="18" t="str">
        <x:v>2026-04</x:v>
      </x:c>
      <x:c r="B90" s="19" t="n">
        <x:v>46139</x:v>
      </x:c>
      <x:c r="C90" s="18" t="str">
        <x:v>YI-000126</x:v>
      </x:c>
      <x:c r="D90" s="18" t="str">
        <x:v>YI NEW SEWING MACHINE CO., LTD</x:v>
      </x:c>
      <x:c r="E90" s="18" t="str">
        <x:v>ORGAN DCx27 #12</x:v>
      </x:c>
      <x:c r="F90" s="18" t="str">
        <x:v>ND-DCX27-12</x:v>
      </x:c>
      <x:c r="G90" s="18" t="str">
        <x:v>風琴機針 DCx27 #12</x:v>
      </x:c>
      <x:c r="H90" s="18" t="str">
        <x:v>DCx27 #12</x:v>
      </x:c>
      <x:c r="I90" s="18" t="str">
        <x:v>Needle</x:v>
      </x:c>
      <x:c r="J90" s="18" t="str">
        <x:v>Consumable</x:v>
      </x:c>
      <x:c r="K90" s="18" t="str">
        <x:v>ORGAN/風琴</x:v>
      </x:c>
      <x:c r="L90" s="18" t="str">
        <x:v>Overlock</x:v>
      </x:c>
      <x:c r="M90" s="20" t="n">
        <x:v>150</x:v>
      </x:c>
      <x:c r="N90" s="18" t="str">
        <x:v>包</x:v>
      </x:c>
      <x:c r="O90" s="21" t="n">
        <x:v>1.3</x:v>
      </x:c>
      <x:c r="P90" s="21" t="n">
        <x:f>M90*O90</x:f>
        <x:v>195</x:v>
      </x:c>
      <x:c r="Q90" s="21" t="n">
        <x:v>195</x:v>
      </x:c>
      <x:c r="R90" s="21" t="n">
        <x:f>P90-Q90</x:f>
        <x:v>0</x:v>
      </x:c>
      <x:c r="S90" s="18" t="str">
        <x:v>Yes</x:v>
      </x:c>
      <x:c r="T90" s="18" t="str">
        <x:v>High</x:v>
      </x:c>
      <x:c r="U90" s="18" t="str">
        <x:v>Yi New Sewing Machine_Apr.'26.pdf</x:v>
      </x:c>
      <x:c r="V90" s="18" t="n">
        <x:v>1</x:v>
      </x:c>
      <x:c r="W90" s="18" t="str"/>
    </x:row>
    <x:row r="91">
      <x:c r="A91" s="18" t="str">
        <x:v>2026-04</x:v>
      </x:c>
      <x:c r="B91" s="19" t="n">
        <x:v>46139</x:v>
      </x:c>
      <x:c r="C91" s="18" t="str">
        <x:v>YI-000126</x:v>
      </x:c>
      <x:c r="D91" s="18" t="str">
        <x:v>YI NEW SEWING MACHINE CO., LTD</x:v>
      </x:c>
      <x:c r="E91" s="18" t="str">
        <x:v>ORGAN: UYx128 #12</x:v>
      </x:c>
      <x:c r="F91" s="18" t="str">
        <x:v>ND-UYX128-12</x:v>
      </x:c>
      <x:c r="G91" s="18" t="str">
        <x:v>風琴機針 UYx128 #12</x:v>
      </x:c>
      <x:c r="H91" s="18" t="str">
        <x:v>UYx128 #12</x:v>
      </x:c>
      <x:c r="I91" s="18" t="str">
        <x:v>Needle</x:v>
      </x:c>
      <x:c r="J91" s="18" t="str">
        <x:v>Consumable</x:v>
      </x:c>
      <x:c r="K91" s="18" t="str">
        <x:v>ORGAN/風琴</x:v>
      </x:c>
      <x:c r="L91" s="18" t="str">
        <x:v>Multi-needle / Chainstitch</x:v>
      </x:c>
      <x:c r="M91" s="20" t="n">
        <x:v>100</x:v>
      </x:c>
      <x:c r="N91" s="18" t="str">
        <x:v>包</x:v>
      </x:c>
      <x:c r="O91" s="21" t="n">
        <x:v>1.78</x:v>
      </x:c>
      <x:c r="P91" s="21" t="n">
        <x:f>M91*O91</x:f>
        <x:v>178</x:v>
      </x:c>
      <x:c r="Q91" s="21" t="n">
        <x:v>178</x:v>
      </x:c>
      <x:c r="R91" s="21" t="n">
        <x:f>P91-Q91</x:f>
        <x:v>0</x:v>
      </x:c>
      <x:c r="S91" s="18" t="str">
        <x:v>Yes</x:v>
      </x:c>
      <x:c r="T91" s="18" t="str">
        <x:v>High</x:v>
      </x:c>
      <x:c r="U91" s="18" t="str">
        <x:v>Yi New Sewing Machine_Apr.'26.pdf</x:v>
      </x:c>
      <x:c r="V91" s="18" t="n">
        <x:v>1</x:v>
      </x:c>
      <x:c r="W91" s="18" t="str"/>
    </x:row>
    <x:row r="92">
      <x:c r="A92" s="18" t="str">
        <x:v>2026-05</x:v>
      </x:c>
      <x:c r="B92" s="19" t="n">
        <x:v>46144</x:v>
      </x:c>
      <x:c r="C92" s="18" t="str">
        <x:v>YI-000127</x:v>
      </x:c>
      <x:c r="D92" s="18" t="str">
        <x:v>YI NEW SEWING MACHINE CO., LTD</x:v>
      </x:c>
      <x:c r="E92" s="18" t="str">
        <x:v>熨斗鞋 ES-94(A)</x:v>
      </x:c>
      <x:c r="F92" s="18" t="str">
        <x:v>IR-ES94A-SHOE</x:v>
      </x:c>
      <x:c r="G92" s="18" t="str">
        <x:v>熨斗鞋 ES-94(A)</x:v>
      </x:c>
      <x:c r="H92" s="18" t="str">
        <x:v>ES-94(A)</x:v>
      </x:c>
      <x:c r="I92" s="18" t="str">
        <x:v>Ironing/Heat Transfer</x:v>
      </x:c>
      <x:c r="J92" s="18" t="str">
        <x:v>Consumable</x:v>
      </x:c>
      <x:c r="K92" s="18" t="str"/>
      <x:c r="L92" s="18" t="str">
        <x:v>Iron</x:v>
      </x:c>
      <x:c r="M92" s="20" t="n">
        <x:v>50</x:v>
      </x:c>
      <x:c r="N92" s="18" t="str">
        <x:v>個</x:v>
      </x:c>
      <x:c r="O92" s="21" t="n">
        <x:v>1.8</x:v>
      </x:c>
      <x:c r="P92" s="21" t="n">
        <x:f>M92*O92</x:f>
        <x:v>90</x:v>
      </x:c>
      <x:c r="Q92" s="21" t="n">
        <x:v>90</x:v>
      </x:c>
      <x:c r="R92" s="21" t="n">
        <x:f>P92-Q92</x:f>
        <x:v>0</x:v>
      </x:c>
      <x:c r="S92" s="18" t="str">
        <x:v>Yes</x:v>
      </x:c>
      <x:c r="T92" s="18" t="str">
        <x:v>High</x:v>
      </x:c>
      <x:c r="U92" s="18" t="str">
        <x:v>Yi New Sewing Machine_May.'26.pdf</x:v>
      </x:c>
      <x:c r="V92" s="18" t="n">
        <x:v>1</x:v>
      </x:c>
      <x:c r="W92" s="18" t="str"/>
    </x:row>
    <x:row r="93">
      <x:c r="A93" s="18" t="str">
        <x:v>2026-05</x:v>
      </x:c>
      <x:c r="B93" s="19" t="n">
        <x:v>46144</x:v>
      </x:c>
      <x:c r="C93" s="18" t="str">
        <x:v>YI-000127</x:v>
      </x:c>
      <x:c r="D93" s="18" t="str">
        <x:v>YI NEW SEWING MACHINE CO., LTD</x:v>
      </x:c>
      <x:c r="E93" s="18" t="str">
        <x:v>環球沙剪</x:v>
      </x:c>
      <x:c r="F93" s="18" t="str">
        <x:v>TL-THREAD-SNIP-GLOBE</x:v>
      </x:c>
      <x:c r="G93" s="18" t="str">
        <x:v>環球沙剪</x:v>
      </x:c>
      <x:c r="H93" s="18" t="str">
        <x:v>Thread Snip</x:v>
      </x:c>
      <x:c r="I93" s="18" t="str">
        <x:v>Tools</x:v>
      </x:c>
      <x:c r="J93" s="18" t="str">
        <x:v>Tool</x:v>
      </x:c>
      <x:c r="K93" s="18" t="str">
        <x:v>環球</x:v>
      </x:c>
      <x:c r="L93" s="18" t="str">
        <x:v>Sewing</x:v>
      </x:c>
      <x:c r="M93" s="20" t="n">
        <x:v>20</x:v>
      </x:c>
      <x:c r="N93" s="18" t="str">
        <x:v>打</x:v>
      </x:c>
      <x:c r="O93" s="21" t="n">
        <x:v>2.3</x:v>
      </x:c>
      <x:c r="P93" s="21" t="n">
        <x:f>M93*O93</x:f>
        <x:v>46</x:v>
      </x:c>
      <x:c r="Q93" s="21" t="n">
        <x:v>46</x:v>
      </x:c>
      <x:c r="R93" s="21" t="n">
        <x:f>P93-Q93</x:f>
        <x:v>0</x:v>
      </x:c>
      <x:c r="S93" s="18" t="str">
        <x:v>Yes</x:v>
      </x:c>
      <x:c r="T93" s="18" t="str">
        <x:v>High</x:v>
      </x:c>
      <x:c r="U93" s="18" t="str">
        <x:v>Yi New Sewing Machine_May.'26.pdf</x:v>
      </x:c>
      <x:c r="V93" s="18" t="n">
        <x:v>1</x:v>
      </x:c>
      <x:c r="W93" s="18" t="str"/>
    </x:row>
    <x:row r="94">
      <x:c r="A94" s="18" t="str">
        <x:v>2026-05</x:v>
      </x:c>
      <x:c r="B94" s="19" t="n">
        <x:v>46144</x:v>
      </x:c>
      <x:c r="C94" s="18" t="str">
        <x:v>YI-000127</x:v>
      </x:c>
      <x:c r="D94" s="18" t="str">
        <x:v>YI NEW SEWING MACHINE CO., LTD</x:v>
      </x:c>
      <x:c r="E94" s="18" t="str">
        <x:v>張小牌10吋大剪刀</x:v>
      </x:c>
      <x:c r="F94" s="18" t="str">
        <x:v>TL-SCISSOR-ZHANGXIAO-10IN</x:v>
      </x:c>
      <x:c r="G94" s="18" t="str">
        <x:v>張小牌10吋大剪刀</x:v>
      </x:c>
      <x:c r="H94" s="18" t="str">
        <x:v>10 inch</x:v>
      </x:c>
      <x:c r="I94" s="18" t="str">
        <x:v>Tools</x:v>
      </x:c>
      <x:c r="J94" s="18" t="str">
        <x:v>Tool</x:v>
      </x:c>
      <x:c r="K94" s="18" t="str">
        <x:v>張小牌</x:v>
      </x:c>
      <x:c r="L94" s="18" t="str">
        <x:v>Cutting/Sewing</x:v>
      </x:c>
      <x:c r="M94" s="20" t="n">
        <x:v>11</x:v>
      </x:c>
      <x:c r="N94" s="18" t="str">
        <x:v>個</x:v>
      </x:c>
      <x:c r="O94" s="21" t="n">
        <x:v>7</x:v>
      </x:c>
      <x:c r="P94" s="21" t="n">
        <x:f>M94*O94</x:f>
        <x:v>77</x:v>
      </x:c>
      <x:c r="Q94" s="21" t="n">
        <x:v>77</x:v>
      </x:c>
      <x:c r="R94" s="21" t="n">
        <x:f>P94-Q94</x:f>
        <x:v>0</x:v>
      </x:c>
      <x:c r="S94" s="18" t="str">
        <x:v>Yes</x:v>
      </x:c>
      <x:c r="T94" s="18" t="str">
        <x:v>High</x:v>
      </x:c>
      <x:c r="U94" s="18" t="str">
        <x:v>Yi New Sewing Machine_May.'26.pdf</x:v>
      </x:c>
      <x:c r="V94" s="18" t="n">
        <x:v>1</x:v>
      </x:c>
      <x:c r="W94" s="18" t="str"/>
    </x:row>
    <x:row r="95">
      <x:c r="A95" s="18" t="str">
        <x:v>2026-05</x:v>
      </x:c>
      <x:c r="B95" s="19" t="n">
        <x:v>46144</x:v>
      </x:c>
      <x:c r="C95" s="18" t="str">
        <x:v>YI-000127</x:v>
      </x:c>
      <x:c r="D95" s="18" t="str">
        <x:v>YI NEW SEWING MACHINE CO., LTD</x:v>
      </x:c>
      <x:c r="E95" s="18" t="str">
        <x:v>CL1/16N 壓腳</x:v>
      </x:c>
      <x:c r="F95" s="18" t="str">
        <x:v>PF-CL1-16N</x:v>
      </x:c>
      <x:c r="G95" s="18" t="str">
        <x:v>CL1/16N 壓腳</x:v>
      </x:c>
      <x:c r="H95" s="18" t="str">
        <x:v>CL1/16N</x:v>
      </x:c>
      <x:c r="I95" s="18" t="str">
        <x:v>Presser Foot</x:v>
      </x:c>
      <x:c r="J95" s="18" t="str">
        <x:v>Spare Part</x:v>
      </x:c>
      <x:c r="K95" s="18" t="str"/>
      <x:c r="L95" s="18" t="str">
        <x:v>Single Needle</x:v>
      </x:c>
      <x:c r="M95" s="20" t="n">
        <x:v>20</x:v>
      </x:c>
      <x:c r="N95" s="18" t="str">
        <x:v>個</x:v>
      </x:c>
      <x:c r="O95" s="21" t="n">
        <x:v>0.6</x:v>
      </x:c>
      <x:c r="P95" s="21" t="n">
        <x:f>M95*O95</x:f>
        <x:v>12</x:v>
      </x:c>
      <x:c r="Q95" s="21" t="n">
        <x:v>12</x:v>
      </x:c>
      <x:c r="R95" s="21" t="n">
        <x:f>P95-Q95</x:f>
        <x:v>0</x:v>
      </x:c>
      <x:c r="S95" s="18" t="str">
        <x:v>Yes</x:v>
      </x:c>
      <x:c r="T95" s="18" t="str">
        <x:v>High</x:v>
      </x:c>
      <x:c r="U95" s="18" t="str">
        <x:v>Yi New Sewing Machine_May.'26.pdf</x:v>
      </x:c>
      <x:c r="V95" s="18" t="n">
        <x:v>1</x:v>
      </x:c>
      <x:c r="W95" s="18" t="str"/>
    </x:row>
    <x:row r="96">
      <x:c r="A96" s="18" t="str">
        <x:v>2026-05</x:v>
      </x:c>
      <x:c r="B96" s="19" t="n">
        <x:v>46144</x:v>
      </x:c>
      <x:c r="C96" s="18" t="str">
        <x:v>YI-000127</x:v>
      </x:c>
      <x:c r="D96" s="18" t="str">
        <x:v>YI NEW SEWING MACHINE CO., LTD</x:v>
      </x:c>
      <x:c r="E96" s="18" t="str">
        <x:v>JUKI-1900梭芯</x:v>
      </x:c>
      <x:c r="F96" s="18" t="str">
        <x:v>BB-JUKI1900</x:v>
      </x:c>
      <x:c r="G96" s="18" t="str">
        <x:v>JUKI-1900 梭芯</x:v>
      </x:c>
      <x:c r="H96" s="18" t="str">
        <x:v>1900</x:v>
      </x:c>
      <x:c r="I96" s="18" t="str">
        <x:v>Bobbin/Shuttle</x:v>
      </x:c>
      <x:c r="J96" s="18" t="str">
        <x:v>Spare Part</x:v>
      </x:c>
      <x:c r="K96" s="18" t="str">
        <x:v>JUKI</x:v>
      </x:c>
      <x:c r="L96" s="18" t="str">
        <x:v>Bartack</x:v>
      </x:c>
      <x:c r="M96" s="20" t="n">
        <x:v>100</x:v>
      </x:c>
      <x:c r="N96" s="18" t="str">
        <x:v>個</x:v>
      </x:c>
      <x:c r="O96" s="21" t="n">
        <x:v>0.2</x:v>
      </x:c>
      <x:c r="P96" s="21" t="n">
        <x:f>M96*O96</x:f>
        <x:v>20</x:v>
      </x:c>
      <x:c r="Q96" s="21" t="n">
        <x:v>20</x:v>
      </x:c>
      <x:c r="R96" s="21" t="n">
        <x:f>P96-Q96</x:f>
        <x:v>0</x:v>
      </x:c>
      <x:c r="S96" s="18" t="str">
        <x:v>Yes</x:v>
      </x:c>
      <x:c r="T96" s="18" t="str">
        <x:v>High</x:v>
      </x:c>
      <x:c r="U96" s="18" t="str">
        <x:v>Yi New Sewing Machine_May.'26.pdf</x:v>
      </x:c>
      <x:c r="V96" s="18" t="n">
        <x:v>1</x:v>
      </x:c>
      <x:c r="W96" s="18" t="str"/>
    </x:row>
    <x:row r="97">
      <x:c r="A97" s="18" t="str">
        <x:v>2026-05</x:v>
      </x:c>
      <x:c r="B97" s="19" t="n">
        <x:v>46144</x:v>
      </x:c>
      <x:c r="C97" s="18" t="str">
        <x:v>YI-000127</x:v>
      </x:c>
      <x:c r="D97" s="18" t="str">
        <x:v>YI NEW SEWING MACHINE CO., LTD</x:v>
      </x:c>
      <x:c r="E97" s="18" t="str">
        <x:v>平雙針小梭芯（鋁）</x:v>
      </x:c>
      <x:c r="F97" s="18" t="str">
        <x:v>BB-TWIN-NEEDLE-SMALL-AL</x:v>
      </x:c>
      <x:c r="G97" s="18" t="str">
        <x:v>平雙針小梭芯（鋁）</x:v>
      </x:c>
      <x:c r="H97" s="18" t="str">
        <x:v>Aluminum</x:v>
      </x:c>
      <x:c r="I97" s="18" t="str">
        <x:v>Bobbin/Shuttle</x:v>
      </x:c>
      <x:c r="J97" s="18" t="str">
        <x:v>Spare Part</x:v>
      </x:c>
      <x:c r="K97" s="18" t="str"/>
      <x:c r="L97" s="18" t="str">
        <x:v>Twin Needle</x:v>
      </x:c>
      <x:c r="M97" s="20" t="n">
        <x:v>100</x:v>
      </x:c>
      <x:c r="N97" s="18" t="str">
        <x:v>個</x:v>
      </x:c>
      <x:c r="O97" s="21" t="n">
        <x:v>0.2</x:v>
      </x:c>
      <x:c r="P97" s="21" t="n">
        <x:f>M97*O97</x:f>
        <x:v>20</x:v>
      </x:c>
      <x:c r="Q97" s="21" t="n">
        <x:v>20</x:v>
      </x:c>
      <x:c r="R97" s="21" t="n">
        <x:f>P97-Q97</x:f>
        <x:v>0</x:v>
      </x:c>
      <x:c r="S97" s="18" t="str">
        <x:v>Yes</x:v>
      </x:c>
      <x:c r="T97" s="18" t="str">
        <x:v>High</x:v>
      </x:c>
      <x:c r="U97" s="18" t="str">
        <x:v>Yi New Sewing Machine_May.'26.pdf</x:v>
      </x:c>
      <x:c r="V97" s="18" t="n">
        <x:v>1</x:v>
      </x:c>
      <x:c r="W97" s="18" t="str"/>
    </x:row>
    <x:row r="98">
      <x:c r="A98" s="18" t="str">
        <x:v>2026-05</x:v>
      </x:c>
      <x:c r="B98" s="19" t="n">
        <x:v>46144</x:v>
      </x:c>
      <x:c r="C98" s="18" t="str">
        <x:v>YI-000127</x:v>
      </x:c>
      <x:c r="D98" s="18" t="str">
        <x:v>YI NEW SEWING MACHINE CO., LTD</x:v>
      </x:c>
      <x:c r="E98" s="18" t="str">
        <x:v>正宗韓國吊瓶熨斗組</x:v>
      </x:c>
      <x:c r="F98" s="18" t="str">
        <x:v>IR-HANGING-BOTTLE-SET-KR</x:v>
      </x:c>
      <x:c r="G98" s="18" t="str">
        <x:v>韓國吊瓶熨斗組</x:v>
      </x:c>
      <x:c r="H98" s="18" t="str">
        <x:v>Complete Set</x:v>
      </x:c>
      <x:c r="I98" s="18" t="str">
        <x:v>Ironing/Heat Transfer</x:v>
      </x:c>
      <x:c r="J98" s="18" t="str">
        <x:v>Equipment</x:v>
      </x:c>
      <x:c r="K98" s="18" t="str">
        <x:v>Korea</x:v>
      </x:c>
      <x:c r="L98" s="18" t="str">
        <x:v>Iron</x:v>
      </x:c>
      <x:c r="M98" s="20" t="n">
        <x:v>4</x:v>
      </x:c>
      <x:c r="N98" s="18" t="str">
        <x:v>把</x:v>
      </x:c>
      <x:c r="O98" s="21" t="n">
        <x:v>29</x:v>
      </x:c>
      <x:c r="P98" s="21" t="n">
        <x:f>M98*O98</x:f>
        <x:v>116</x:v>
      </x:c>
      <x:c r="Q98" s="21" t="n">
        <x:v>116</x:v>
      </x:c>
      <x:c r="R98" s="21" t="n">
        <x:f>P98-Q98</x:f>
        <x:v>0</x:v>
      </x:c>
      <x:c r="S98" s="18" t="str">
        <x:v>Yes</x:v>
      </x:c>
      <x:c r="T98" s="18" t="str">
        <x:v>High</x:v>
      </x:c>
      <x:c r="U98" s="18" t="str">
        <x:v>Yi New Sewing Machine_May.'26.pdf</x:v>
      </x:c>
      <x:c r="V98" s="18" t="n">
        <x:v>1</x:v>
      </x:c>
      <x:c r="W98" s="18" t="str"/>
    </x:row>
    <x:row r="99">
      <x:c r="A99" s="18" t="str">
        <x:v>2026-05</x:v>
      </x:c>
      <x:c r="B99" s="19" t="n">
        <x:v>46144</x:v>
      </x:c>
      <x:c r="C99" s="18" t="str">
        <x:v>YI-000127</x:v>
      </x:c>
      <x:c r="D99" s="18" t="str">
        <x:v>YI NEW SEWING MACHINE CO., LTD</x:v>
      </x:c>
      <x:c r="E99" s="18" t="str">
        <x:v>平車電子梭殼</x:v>
      </x:c>
      <x:c r="F99" s="18" t="str">
        <x:v>BC-SN-ELECTRONIC</x:v>
      </x:c>
      <x:c r="G99" s="18" t="str">
        <x:v>平車電子梭殼</x:v>
      </x:c>
      <x:c r="H99" s="18" t="str">
        <x:v>Electronic Type</x:v>
      </x:c>
      <x:c r="I99" s="18" t="str">
        <x:v>Bobbin/Shuttle</x:v>
      </x:c>
      <x:c r="J99" s="18" t="str">
        <x:v>Spare Part</x:v>
      </x:c>
      <x:c r="K99" s="18" t="str"/>
      <x:c r="L99" s="18" t="str">
        <x:v>Single Needle</x:v>
      </x:c>
      <x:c r="M99" s="20" t="n">
        <x:v>50</x:v>
      </x:c>
      <x:c r="N99" s="18" t="str">
        <x:v>個</x:v>
      </x:c>
      <x:c r="O99" s="21" t="n">
        <x:v>0.45</x:v>
      </x:c>
      <x:c r="P99" s="21" t="n">
        <x:f>M99*O99</x:f>
        <x:v>22.5</x:v>
      </x:c>
      <x:c r="Q99" s="21" t="n">
        <x:v>22.5</x:v>
      </x:c>
      <x:c r="R99" s="21" t="n">
        <x:f>P99-Q99</x:f>
        <x:v>0</x:v>
      </x:c>
      <x:c r="S99" s="18" t="str">
        <x:v>Yes</x:v>
      </x:c>
      <x:c r="T99" s="18" t="str">
        <x:v>High</x:v>
      </x:c>
      <x:c r="U99" s="18" t="str">
        <x:v>Yi New Sewing Machine_May.'26.pdf</x:v>
      </x:c>
      <x:c r="V99" s="18" t="n">
        <x:v>1</x:v>
      </x:c>
      <x:c r="W99" s="18" t="str"/>
    </x:row>
    <x:row r="100">
      <x:c r="A100" s="18" t="str">
        <x:v>2026-05</x:v>
      </x:c>
      <x:c r="B100" s="19" t="n">
        <x:v>46144</x:v>
      </x:c>
      <x:c r="C100" s="18" t="str">
        <x:v>YI-000128</x:v>
      </x:c>
      <x:c r="D100" s="18" t="str">
        <x:v>YI NEW SEWING MACHINE CO., LTD</x:v>
      </x:c>
      <x:c r="E100" s="18" t="str">
        <x:v>絕緣板-1.0mm（黃）</x:v>
      </x:c>
      <x:c r="F100" s="18" t="str">
        <x:v>EL-INSULATION-BOARD-1MM-YL</x:v>
      </x:c>
      <x:c r="G100" s="18" t="str">
        <x:v>絕緣板（黃）</x:v>
      </x:c>
      <x:c r="H100" s="18" t="str">
        <x:v>1.0 mm</x:v>
      </x:c>
      <x:c r="I100" s="18" t="str">
        <x:v>Electrical/Control</x:v>
      </x:c>
      <x:c r="J100" s="18" t="str">
        <x:v>Consumable</x:v>
      </x:c>
      <x:c r="K100" s="18" t="str"/>
      <x:c r="L100" s="18" t="str">
        <x:v>Electrical</x:v>
      </x:c>
      <x:c r="M100" s="20" t="n">
        <x:v>2</x:v>
      </x:c>
      <x:c r="N100" s="18" t="str">
        <x:v>張</x:v>
      </x:c>
      <x:c r="O100" s="21" t="n">
        <x:v>24</x:v>
      </x:c>
      <x:c r="P100" s="21" t="n">
        <x:f>M100*O100</x:f>
        <x:v>48</x:v>
      </x:c>
      <x:c r="Q100" s="21" t="n">
        <x:v>48</x:v>
      </x:c>
      <x:c r="R100" s="21" t="n">
        <x:f>P100-Q100</x:f>
        <x:v>0</x:v>
      </x:c>
      <x:c r="S100" s="18" t="str">
        <x:v>Yes</x:v>
      </x:c>
      <x:c r="T100" s="18" t="str">
        <x:v>High</x:v>
      </x:c>
      <x:c r="U100" s="18" t="str">
        <x:v>Yi New Sewing Machine_May.'26.pdf</x:v>
      </x:c>
      <x:c r="V100" s="18" t="n">
        <x:v>1</x:v>
      </x:c>
      <x:c r="W100" s="18" t="str"/>
    </x:row>
    <x:row r="101">
      <x:c r="A101" s="18" t="str">
        <x:v>2026-05</x:v>
      </x:c>
      <x:c r="B101" s="19" t="n">
        <x:v>46144</x:v>
      </x:c>
      <x:c r="C101" s="18" t="str">
        <x:v>YI-000128</x:v>
      </x:c>
      <x:c r="D101" s="18" t="str">
        <x:v>YI NEW SEWING MACHINE CO., LTD</x:v>
      </x:c>
      <x:c r="E101" s="18" t="str">
        <x:v>沙紙#280</x:v>
      </x:c>
      <x:c r="F101" s="18" t="str">
        <x:v>CN-SANDPAPER-280</x:v>
      </x:c>
      <x:c r="G101" s="18" t="str">
        <x:v>砂紙 #280</x:v>
      </x:c>
      <x:c r="H101" s="18" t="str">
        <x:v>#280</x:v>
      </x:c>
      <x:c r="I101" s="18" t="str">
        <x:v>Consumable/Chemical</x:v>
      </x:c>
      <x:c r="J101" s="18" t="str">
        <x:v>Consumable</x:v>
      </x:c>
      <x:c r="K101" s="18" t="str"/>
      <x:c r="L101" s="18" t="str">
        <x:v>Maintenance</x:v>
      </x:c>
      <x:c r="M101" s="20" t="n">
        <x:v>1</x:v>
      </x:c>
      <x:c r="N101" s="18" t="str">
        <x:v>包</x:v>
      </x:c>
      <x:c r="O101" s="21" t="n">
        <x:v>21</x:v>
      </x:c>
      <x:c r="P101" s="21" t="n">
        <x:f>M101*O101</x:f>
        <x:v>21</x:v>
      </x:c>
      <x:c r="Q101" s="21" t="n">
        <x:v>21</x:v>
      </x:c>
      <x:c r="R101" s="21" t="n">
        <x:f>P101-Q101</x:f>
        <x:v>0</x:v>
      </x:c>
      <x:c r="S101" s="18" t="str">
        <x:v>Yes</x:v>
      </x:c>
      <x:c r="T101" s="18" t="str">
        <x:v>High</x:v>
      </x:c>
      <x:c r="U101" s="18" t="str">
        <x:v>Yi New Sewing Machine_May.'26.pdf</x:v>
      </x:c>
      <x:c r="V101" s="18" t="n">
        <x:v>1</x:v>
      </x:c>
      <x:c r="W101" s="18" t="str"/>
    </x:row>
    <x:row r="102">
      <x:c r="A102" s="18" t="str">
        <x:v>2026-05</x:v>
      </x:c>
      <x:c r="B102" s="19" t="n">
        <x:v>46144</x:v>
      </x:c>
      <x:c r="C102" s="18" t="str">
        <x:v>YI-000128</x:v>
      </x:c>
      <x:c r="D102" s="18" t="str">
        <x:v>YI NEW SEWING MACHINE CO., LTD</x:v>
      </x:c>
      <x:c r="E102" s="18" t="str">
        <x:v>平車跳線彈簧</x:v>
      </x:c>
      <x:c r="F102" s="18" t="str">
        <x:v>SP-SN-THREAD-SPRING</x:v>
      </x:c>
      <x:c r="G102" s="18" t="str">
        <x:v>平車跳線彈簧</x:v>
      </x:c>
      <x:c r="H102" s="18" t="str">
        <x:v>Thread Take-up Spring</x:v>
      </x:c>
      <x:c r="I102" s="18" t="str">
        <x:v>Other</x:v>
      </x:c>
      <x:c r="J102" s="18" t="str">
        <x:v>Spare Part</x:v>
      </x:c>
      <x:c r="K102" s="18" t="str"/>
      <x:c r="L102" s="18" t="str">
        <x:v>Single Needle</x:v>
      </x:c>
      <x:c r="M102" s="20" t="n">
        <x:v>100</x:v>
      </x:c>
      <x:c r="N102" s="18" t="str">
        <x:v>個</x:v>
      </x:c>
      <x:c r="O102" s="21" t="n">
        <x:v>0.1</x:v>
      </x:c>
      <x:c r="P102" s="21" t="n">
        <x:f>M102*O102</x:f>
        <x:v>10</x:v>
      </x:c>
      <x:c r="Q102" s="21" t="n">
        <x:v>10</x:v>
      </x:c>
      <x:c r="R102" s="21" t="n">
        <x:f>P102-Q102</x:f>
        <x:v>0</x:v>
      </x:c>
      <x:c r="S102" s="18" t="str">
        <x:v>Yes</x:v>
      </x:c>
      <x:c r="T102" s="18" t="str">
        <x:v>High</x:v>
      </x:c>
      <x:c r="U102" s="18" t="str">
        <x:v>Yi New Sewing Machine_May.'26.pdf</x:v>
      </x:c>
      <x:c r="V102" s="18" t="n">
        <x:v>1</x:v>
      </x:c>
      <x:c r="W102" s="18" t="str"/>
    </x:row>
    <x:row r="103">
      <x:c r="A103" s="18" t="str">
        <x:v>2026-05</x:v>
      </x:c>
      <x:c r="B103" s="19" t="n">
        <x:v>46144</x:v>
      </x:c>
      <x:c r="C103" s="18" t="str">
        <x:v>YI-000128</x:v>
      </x:c>
      <x:c r="D103" s="18" t="str">
        <x:v>YI NEW SEWING MACHINE CO., LTD</x:v>
      </x:c>
      <x:c r="E103" s="18" t="str">
        <x:v>JUKI-8700活動刀</x:v>
      </x:c>
      <x:c r="F103" s="18" t="str">
        <x:v>KN-JUKI8700A-MOVING</x:v>
      </x:c>
      <x:c r="G103" s="18" t="str">
        <x:v>JUKI-8700A 活動刀</x:v>
      </x:c>
      <x:c r="H103" s="18" t="str">
        <x:v>8700/8700A</x:v>
      </x:c>
      <x:c r="I103" s="18" t="str">
        <x:v>Knife/Looper</x:v>
      </x:c>
      <x:c r="J103" s="18" t="str">
        <x:v>Spare Part</x:v>
      </x:c>
      <x:c r="K103" s="18" t="str">
        <x:v>JUKI</x:v>
      </x:c>
      <x:c r="L103" s="18" t="str">
        <x:v>Single Needle</x:v>
      </x:c>
      <x:c r="M103" s="20" t="n">
        <x:v>10</x:v>
      </x:c>
      <x:c r="N103" s="18" t="str">
        <x:v>支</x:v>
      </x:c>
      <x:c r="O103" s="21" t="n">
        <x:v>2.5</x:v>
      </x:c>
      <x:c r="P103" s="21" t="n">
        <x:f>M103*O103</x:f>
        <x:v>25</x:v>
      </x:c>
      <x:c r="Q103" s="21" t="n">
        <x:v>25</x:v>
      </x:c>
      <x:c r="R103" s="21" t="n">
        <x:f>P103-Q103</x:f>
        <x:v>0</x:v>
      </x:c>
      <x:c r="S103" s="18" t="str">
        <x:v>Yes</x:v>
      </x:c>
      <x:c r="T103" s="18" t="str">
        <x:v>Medium</x:v>
      </x:c>
      <x:c r="U103" s="18" t="str">
        <x:v>Yi New Sewing Machine_May.'26.pdf</x:v>
      </x:c>
      <x:c r="V103" s="18" t="n">
        <x:v>1</x:v>
      </x:c>
      <x:c r="W103" s="18" t="str">
        <x:v>原始發票型號寫8700，與4月8700A合併比較</x:v>
      </x:c>
    </x:row>
    <x:row r="104">
      <x:c r="A104" s="18" t="str">
        <x:v>2026-05</x:v>
      </x:c>
      <x:c r="B104" s="19" t="n">
        <x:v>46144</x:v>
      </x:c>
      <x:c r="C104" s="18" t="str">
        <x:v>YI-000128</x:v>
      </x:c>
      <x:c r="D104" s="18" t="str">
        <x:v>YI NEW SEWING MACHINE CO., LTD</x:v>
      </x:c>
      <x:c r="E104" s="18" t="str">
        <x:v>風琴: UOx113 #12</x:v>
      </x:c>
      <x:c r="F104" s="18" t="str">
        <x:v>ND-UOX113-12</x:v>
      </x:c>
      <x:c r="G104" s="18" t="str">
        <x:v>風琴機針 UOx113 #12</x:v>
      </x:c>
      <x:c r="H104" s="18" t="str">
        <x:v>UOx113 #12</x:v>
      </x:c>
      <x:c r="I104" s="18" t="str">
        <x:v>Needle</x:v>
      </x:c>
      <x:c r="J104" s="18" t="str">
        <x:v>Consumable</x:v>
      </x:c>
      <x:c r="K104" s="18" t="str">
        <x:v>ORGAN/風琴</x:v>
      </x:c>
      <x:c r="L104" s="18" t="str">
        <x:v>Multi-needle</x:v>
      </x:c>
      <x:c r="M104" s="20" t="n">
        <x:v>50</x:v>
      </x:c>
      <x:c r="N104" s="18" t="str">
        <x:v>包</x:v>
      </x:c>
      <x:c r="O104" s="21" t="n">
        <x:v>3</x:v>
      </x:c>
      <x:c r="P104" s="21" t="n">
        <x:f>M104*O104</x:f>
        <x:v>150</x:v>
      </x:c>
      <x:c r="Q104" s="21" t="n">
        <x:v>150</x:v>
      </x:c>
      <x:c r="R104" s="21" t="n">
        <x:f>P104-Q104</x:f>
        <x:v>0</x:v>
      </x:c>
      <x:c r="S104" s="18" t="str">
        <x:v>Yes</x:v>
      </x:c>
      <x:c r="T104" s="18" t="str">
        <x:v>High</x:v>
      </x:c>
      <x:c r="U104" s="18" t="str">
        <x:v>Yi New Sewing Machine_May.'26.pdf</x:v>
      </x:c>
      <x:c r="V104" s="18" t="n">
        <x:v>1</x:v>
      </x:c>
      <x:c r="W104" s="18" t="str"/>
    </x:row>
    <x:row r="105">
      <x:c r="A105" s="18" t="str">
        <x:v>2026-05</x:v>
      </x:c>
      <x:c r="B105" s="19" t="n">
        <x:v>46144</x:v>
      </x:c>
      <x:c r="C105" s="18" t="str">
        <x:v>YI-000128</x:v>
      </x:c>
      <x:c r="D105" s="18" t="str">
        <x:v>YI NEW SEWING MACHINE CO., LTD</x:v>
      </x:c>
      <x:c r="E105" s="18" t="str">
        <x:v>747-鎖針線鉤</x:v>
      </x:c>
      <x:c r="F105" s="18" t="str">
        <x:v>LP-747-THREAD-HOOK</x:v>
      </x:c>
      <x:c r="G105" s="18" t="str">
        <x:v>747鎖針線鉤</x:v>
      </x:c>
      <x:c r="H105" s="18" t="str">
        <x:v>747</x:v>
      </x:c>
      <x:c r="I105" s="18" t="str">
        <x:v>Knife/Looper</x:v>
      </x:c>
      <x:c r="J105" s="18" t="str">
        <x:v>Spare Part</x:v>
      </x:c>
      <x:c r="K105" s="18" t="str"/>
      <x:c r="L105" s="18" t="str">
        <x:v>Overlock</x:v>
      </x:c>
      <x:c r="M105" s="20" t="n">
        <x:v>100</x:v>
      </x:c>
      <x:c r="N105" s="18" t="str">
        <x:v>個</x:v>
      </x:c>
      <x:c r="O105" s="21" t="n">
        <x:v>0.05</x:v>
      </x:c>
      <x:c r="P105" s="21" t="n">
        <x:f>M105*O105</x:f>
        <x:v>5</x:v>
      </x:c>
      <x:c r="Q105" s="21" t="n">
        <x:v>5</x:v>
      </x:c>
      <x:c r="R105" s="21" t="n">
        <x:f>P105-Q105</x:f>
        <x:v>0</x:v>
      </x:c>
      <x:c r="S105" s="18" t="str">
        <x:v>Yes</x:v>
      </x:c>
      <x:c r="T105" s="18" t="str">
        <x:v>High</x:v>
      </x:c>
      <x:c r="U105" s="18" t="str">
        <x:v>Yi New Sewing Machine_May.'26.pdf</x:v>
      </x:c>
      <x:c r="V105" s="18" t="n">
        <x:v>1</x:v>
      </x:c>
      <x:c r="W105" s="18" t="str"/>
    </x:row>
    <x:row r="106">
      <x:c r="A106" s="18" t="str">
        <x:v>2026-05</x:v>
      </x:c>
      <x:c r="B106" s="19" t="n">
        <x:v>46144</x:v>
      </x:c>
      <x:c r="C106" s="18" t="str">
        <x:v>YI-000128</x:v>
      </x:c>
      <x:c r="D106" s="18" t="str">
        <x:v>YI NEW SEWING MACHINE CO., LTD</x:v>
      </x:c>
      <x:c r="E106" s="18" t="str">
        <x:v>19GL-大皮尺</x:v>
      </x:c>
      <x:c r="F106" s="18" t="str">
        <x:v>TL-TAPE-19GL</x:v>
      </x:c>
      <x:c r="G106" s="18" t="str">
        <x:v>19GL 大皮尺</x:v>
      </x:c>
      <x:c r="H106" s="18" t="str">
        <x:v>19GL</x:v>
      </x:c>
      <x:c r="I106" s="18" t="str">
        <x:v>Tools</x:v>
      </x:c>
      <x:c r="J106" s="18" t="str">
        <x:v>Tool</x:v>
      </x:c>
      <x:c r="K106" s="18" t="str"/>
      <x:c r="L106" s="18" t="str">
        <x:v>Measuring</x:v>
      </x:c>
      <x:c r="M106" s="20" t="n">
        <x:v>10</x:v>
      </x:c>
      <x:c r="N106" s="18" t="str">
        <x:v>條</x:v>
      </x:c>
      <x:c r="O106" s="21" t="n">
        <x:v>0.65</x:v>
      </x:c>
      <x:c r="P106" s="21" t="n">
        <x:f>M106*O106</x:f>
        <x:v>6.5</x:v>
      </x:c>
      <x:c r="Q106" s="21" t="n">
        <x:v>6.5</x:v>
      </x:c>
      <x:c r="R106" s="21" t="n">
        <x:f>P106-Q106</x:f>
        <x:v>0</x:v>
      </x:c>
      <x:c r="S106" s="18" t="str">
        <x:v>Yes</x:v>
      </x:c>
      <x:c r="T106" s="18" t="str">
        <x:v>High</x:v>
      </x:c>
      <x:c r="U106" s="18" t="str">
        <x:v>Yi New Sewing Machine_May.'26.pdf</x:v>
      </x:c>
      <x:c r="V106" s="18" t="n">
        <x:v>1</x:v>
      </x:c>
      <x:c r="W106" s="18" t="str"/>
    </x:row>
    <x:row r="107">
      <x:c r="A107" s="18" t="str">
        <x:v>2026-05</x:v>
      </x:c>
      <x:c r="B107" s="19" t="n">
        <x:v>46147</x:v>
      </x:c>
      <x:c r="C107" s="18" t="str">
        <x:v>YI-000129</x:v>
      </x:c>
      <x:c r="D107" s="18" t="str">
        <x:v>YI NEW SEWING MACHINE CO., LTD</x:v>
      </x:c>
      <x:c r="E107" s="18" t="str">
        <x:v>風琴: UOx113 #12</x:v>
      </x:c>
      <x:c r="F107" s="18" t="str">
        <x:v>ND-UOX113-12</x:v>
      </x:c>
      <x:c r="G107" s="18" t="str">
        <x:v>風琴機針 UOx113 #12</x:v>
      </x:c>
      <x:c r="H107" s="18" t="str">
        <x:v>UOx113 #12</x:v>
      </x:c>
      <x:c r="I107" s="18" t="str">
        <x:v>Needle</x:v>
      </x:c>
      <x:c r="J107" s="18" t="str">
        <x:v>Consumable</x:v>
      </x:c>
      <x:c r="K107" s="18" t="str">
        <x:v>ORGAN/風琴</x:v>
      </x:c>
      <x:c r="L107" s="18" t="str">
        <x:v>Multi-needle</x:v>
      </x:c>
      <x:c r="M107" s="20" t="n">
        <x:v>100</x:v>
      </x:c>
      <x:c r="N107" s="18" t="str">
        <x:v>包</x:v>
      </x:c>
      <x:c r="O107" s="21" t="n">
        <x:v>3</x:v>
      </x:c>
      <x:c r="P107" s="21" t="n">
        <x:f>M107*O107</x:f>
        <x:v>300</x:v>
      </x:c>
      <x:c r="Q107" s="21" t="n">
        <x:v>300</x:v>
      </x:c>
      <x:c r="R107" s="21" t="n">
        <x:f>P107-Q107</x:f>
        <x:v>0</x:v>
      </x:c>
      <x:c r="S107" s="18" t="str">
        <x:v>Yes</x:v>
      </x:c>
      <x:c r="T107" s="18" t="str">
        <x:v>High</x:v>
      </x:c>
      <x:c r="U107" s="18" t="str">
        <x:v>Yi New Sewing Machine_May.'26.pdf</x:v>
      </x:c>
      <x:c r="V107" s="18" t="n">
        <x:v>1</x:v>
      </x:c>
      <x:c r="W107" s="18" t="str"/>
    </x:row>
    <x:row r="108">
      <x:c r="A108" s="18" t="str">
        <x:v>2026-05</x:v>
      </x:c>
      <x:c r="B108" s="19" t="n">
        <x:v>46147</x:v>
      </x:c>
      <x:c r="C108" s="18" t="str">
        <x:v>YI-000129</x:v>
      </x:c>
      <x:c r="D108" s="18" t="str">
        <x:v>YI NEW SEWING MACHINE CO., LTD</x:v>
      </x:c>
      <x:c r="E108" s="18" t="str">
        <x:v>風琴: UYx128 #14</x:v>
      </x:c>
      <x:c r="F108" s="18" t="str">
        <x:v>ND-UYX128-14</x:v>
      </x:c>
      <x:c r="G108" s="18" t="str">
        <x:v>風琴機針 UYx128 #14</x:v>
      </x:c>
      <x:c r="H108" s="18" t="str">
        <x:v>UYx128 #14</x:v>
      </x:c>
      <x:c r="I108" s="18" t="str">
        <x:v>Needle</x:v>
      </x:c>
      <x:c r="J108" s="18" t="str">
        <x:v>Consumable</x:v>
      </x:c>
      <x:c r="K108" s="18" t="str">
        <x:v>ORGAN/風琴</x:v>
      </x:c>
      <x:c r="L108" s="18" t="str">
        <x:v>Multi-needle / Chainstitch</x:v>
      </x:c>
      <x:c r="M108" s="20" t="n">
        <x:v>100</x:v>
      </x:c>
      <x:c r="N108" s="18" t="str">
        <x:v>包</x:v>
      </x:c>
      <x:c r="O108" s="21" t="n">
        <x:v>1.78</x:v>
      </x:c>
      <x:c r="P108" s="21" t="n">
        <x:f>M108*O108</x:f>
        <x:v>178</x:v>
      </x:c>
      <x:c r="Q108" s="21" t="n">
        <x:v>178</x:v>
      </x:c>
      <x:c r="R108" s="21" t="n">
        <x:f>P108-Q108</x:f>
        <x:v>0</x:v>
      </x:c>
      <x:c r="S108" s="18" t="str">
        <x:v>Yes</x:v>
      </x:c>
      <x:c r="T108" s="18" t="str">
        <x:v>High</x:v>
      </x:c>
      <x:c r="U108" s="18" t="str">
        <x:v>Yi New Sewing Machine_May.'26.pdf</x:v>
      </x:c>
      <x:c r="V108" s="18" t="n">
        <x:v>1</x:v>
      </x:c>
      <x:c r="W108" s="18" t="str"/>
    </x:row>
    <x:row r="109">
      <x:c r="A109" s="18" t="str">
        <x:v>2026-05</x:v>
      </x:c>
      <x:c r="B109" s="19" t="n">
        <x:v>46147</x:v>
      </x:c>
      <x:c r="C109" s="18" t="str">
        <x:v>YI-000129</x:v>
      </x:c>
      <x:c r="D109" s="18" t="str">
        <x:v>YI NEW SEWING MACHINE CO., LTD</x:v>
      </x:c>
      <x:c r="E109" s="18" t="str">
        <x:v>風琴: DCx27 #14</x:v>
      </x:c>
      <x:c r="F109" s="18" t="str">
        <x:v>ND-DCX27-14</x:v>
      </x:c>
      <x:c r="G109" s="18" t="str">
        <x:v>風琴機針 DCx27 #14</x:v>
      </x:c>
      <x:c r="H109" s="18" t="str">
        <x:v>DCx27 #14</x:v>
      </x:c>
      <x:c r="I109" s="18" t="str">
        <x:v>Needle</x:v>
      </x:c>
      <x:c r="J109" s="18" t="str">
        <x:v>Consumable</x:v>
      </x:c>
      <x:c r="K109" s="18" t="str">
        <x:v>ORGAN/風琴</x:v>
      </x:c>
      <x:c r="L109" s="18" t="str">
        <x:v>Overlock</x:v>
      </x:c>
      <x:c r="M109" s="20" t="n">
        <x:v>100</x:v>
      </x:c>
      <x:c r="N109" s="18" t="str">
        <x:v>包</x:v>
      </x:c>
      <x:c r="O109" s="21" t="n">
        <x:v>1.3</x:v>
      </x:c>
      <x:c r="P109" s="21" t="n">
        <x:f>M109*O109</x:f>
        <x:v>130</x:v>
      </x:c>
      <x:c r="Q109" s="21" t="n">
        <x:v>130</x:v>
      </x:c>
      <x:c r="R109" s="21" t="n">
        <x:f>P109-Q109</x:f>
        <x:v>0</x:v>
      </x:c>
      <x:c r="S109" s="18" t="str">
        <x:v>Yes</x:v>
      </x:c>
      <x:c r="T109" s="18" t="str">
        <x:v>High</x:v>
      </x:c>
      <x:c r="U109" s="18" t="str">
        <x:v>Yi New Sewing Machine_May.'26.pdf</x:v>
      </x:c>
      <x:c r="V109" s="18" t="n">
        <x:v>1</x:v>
      </x:c>
      <x:c r="W109" s="18" t="str"/>
    </x:row>
    <x:row r="110">
      <x:c r="A110" s="18" t="str">
        <x:v>2026-05</x:v>
      </x:c>
      <x:c r="B110" s="19" t="n">
        <x:v>46154</x:v>
      </x:c>
      <x:c r="C110" s="18" t="str">
        <x:v>YI-000130</x:v>
      </x:c>
      <x:c r="D110" s="18" t="str">
        <x:v>YI NEW SEWING MACHINE CO., LTD</x:v>
      </x:c>
      <x:c r="E110" s="18" t="str">
        <x:v>裁刀底盤組</x:v>
      </x:c>
      <x:c r="F110" s="18" t="str">
        <x:v>CT-CUTTER-BASE-SET</x:v>
      </x:c>
      <x:c r="G110" s="18" t="str">
        <x:v>裁刀底盤組</x:v>
      </x:c>
      <x:c r="H110" s="18" t="str">
        <x:v>Set</x:v>
      </x:c>
      <x:c r="I110" s="18" t="str">
        <x:v>Cutting</x:v>
      </x:c>
      <x:c r="J110" s="18" t="str">
        <x:v>Spare Part</x:v>
      </x:c>
      <x:c r="K110" s="18" t="str"/>
      <x:c r="L110" s="18" t="str">
        <x:v>Cutting Machine</x:v>
      </x:c>
      <x:c r="M110" s="20" t="n">
        <x:v>2</x:v>
      </x:c>
      <x:c r="N110" s="18" t="str">
        <x:v>套</x:v>
      </x:c>
      <x:c r="O110" s="21" t="n">
        <x:v>38</x:v>
      </x:c>
      <x:c r="P110" s="21" t="n">
        <x:f>M110*O110</x:f>
        <x:v>76</x:v>
      </x:c>
      <x:c r="Q110" s="21" t="n">
        <x:v>76</x:v>
      </x:c>
      <x:c r="R110" s="21" t="n">
        <x:f>P110-Q110</x:f>
        <x:v>0</x:v>
      </x:c>
      <x:c r="S110" s="18" t="str">
        <x:v>Yes</x:v>
      </x:c>
      <x:c r="T110" s="18" t="str">
        <x:v>High</x:v>
      </x:c>
      <x:c r="U110" s="18" t="str">
        <x:v>Yi New Sewing Machine_May.'26.pdf</x:v>
      </x:c>
      <x:c r="V110" s="18" t="n">
        <x:v>1</x:v>
      </x:c>
      <x:c r="W110" s="18" t="str"/>
    </x:row>
    <x:row r="111">
      <x:c r="A111" s="18" t="str">
        <x:v>2026-05</x:v>
      </x:c>
      <x:c r="B111" s="19" t="n">
        <x:v>46154</x:v>
      </x:c>
      <x:c r="C111" s="18" t="str">
        <x:v>YI-000130</x:v>
      </x:c>
      <x:c r="D111" s="18" t="str">
        <x:v>YI NEW SEWING MACHINE CO., LTD</x:v>
      </x:c>
      <x:c r="E111" s="18" t="str">
        <x:v>強化型針車油-30L</x:v>
      </x:c>
      <x:c r="F111" s="18" t="str">
        <x:v>CN-SEWING-OIL-30L</x:v>
      </x:c>
      <x:c r="G111" s="18" t="str">
        <x:v>強化型針車油</x:v>
      </x:c>
      <x:c r="H111" s="18" t="str">
        <x:v>30L</x:v>
      </x:c>
      <x:c r="I111" s="18" t="str">
        <x:v>Consumable/Chemical</x:v>
      </x:c>
      <x:c r="J111" s="18" t="str">
        <x:v>Consumable</x:v>
      </x:c>
      <x:c r="K111" s="18" t="str"/>
      <x:c r="L111" s="18" t="str">
        <x:v>Sewing Machine</x:v>
      </x:c>
      <x:c r="M111" s="20" t="n">
        <x:v>1</x:v>
      </x:c>
      <x:c r="N111" s="18" t="str">
        <x:v>桶</x:v>
      </x:c>
      <x:c r="O111" s="21" t="n">
        <x:v>65</x:v>
      </x:c>
      <x:c r="P111" s="21" t="n">
        <x:f>M111*O111</x:f>
        <x:v>65</x:v>
      </x:c>
      <x:c r="Q111" s="21" t="n">
        <x:v>65</x:v>
      </x:c>
      <x:c r="R111" s="21" t="n">
        <x:f>P111-Q111</x:f>
        <x:v>0</x:v>
      </x:c>
      <x:c r="S111" s="18" t="str">
        <x:v>Yes</x:v>
      </x:c>
      <x:c r="T111" s="18" t="str">
        <x:v>High</x:v>
      </x:c>
      <x:c r="U111" s="18" t="str">
        <x:v>Yi New Sewing Machine_May.'26.pdf</x:v>
      </x:c>
      <x:c r="V111" s="18" t="n">
        <x:v>1</x:v>
      </x:c>
      <x:c r="W111" s="18" t="str"/>
    </x:row>
    <x:row r="112">
      <x:c r="A112" s="18" t="str">
        <x:v>2026-05</x:v>
      </x:c>
      <x:c r="B112" s="19" t="n">
        <x:v>46168</x:v>
      </x:c>
      <x:c r="C112" s="18" t="str">
        <x:v>YI-000131</x:v>
      </x:c>
      <x:c r="D112" s="18" t="str">
        <x:v>YI NEW SEWING MACHINE CO., LTD</x:v>
      </x:c>
      <x:c r="E112" s="18" t="str">
        <x:v>斷布機（含軌道）</x:v>
      </x:c>
      <x:c r="F112" s="18" t="str">
        <x:v>EQ-FABRIC-CUTTER-RAIL</x:v>
      </x:c>
      <x:c r="G112" s="18" t="str">
        <x:v>斷布機（含軌道）</x:v>
      </x:c>
      <x:c r="H112" s="18" t="str">
        <x:v>With Rail</x:v>
      </x:c>
      <x:c r="I112" s="18" t="str">
        <x:v>Equipment</x:v>
      </x:c>
      <x:c r="J112" s="18" t="str">
        <x:v>Equipment</x:v>
      </x:c>
      <x:c r="K112" s="18" t="str"/>
      <x:c r="L112" s="18" t="str">
        <x:v>Cutting</x:v>
      </x:c>
      <x:c r="M112" s="20" t="n">
        <x:v>3</x:v>
      </x:c>
      <x:c r="N112" s="18" t="str">
        <x:v>台</x:v>
      </x:c>
      <x:c r="O112" s="21" t="n">
        <x:v>175</x:v>
      </x:c>
      <x:c r="P112" s="21" t="n">
        <x:f>M112*O112</x:f>
        <x:v>525</x:v>
      </x:c>
      <x:c r="Q112" s="21" t="n">
        <x:v>525</x:v>
      </x:c>
      <x:c r="R112" s="21" t="n">
        <x:f>P112-Q112</x:f>
        <x:v>0</x:v>
      </x:c>
      <x:c r="S112" s="18" t="str">
        <x:v>Yes</x:v>
      </x:c>
      <x:c r="T112" s="18" t="str">
        <x:v>High</x:v>
      </x:c>
      <x:c r="U112" s="18" t="str">
        <x:v>Yi New Sewing Machine_May.'26.pdf</x:v>
      </x:c>
      <x:c r="V112" s="18" t="n">
        <x:v>1</x:v>
      </x:c>
      <x:c r="W112" s="18" t="str"/>
    </x:row>
    <x:row r="113">
      <x:c r="A113" s="18" t="str">
        <x:v>2026-05</x:v>
      </x:c>
      <x:c r="B113" s="19" t="n">
        <x:v>46168</x:v>
      </x:c>
      <x:c r="C113" s="18" t="str">
        <x:v>YI-000132</x:v>
      </x:c>
      <x:c r="D113" s="18" t="str">
        <x:v>YI NEW SEWING MACHINE CO., LTD</x:v>
      </x:c>
      <x:c r="E113" s="18" t="str">
        <x:v>韓國熊貓圓形畫粉</x:v>
      </x:c>
      <x:c r="F113" s="18" t="str">
        <x:v>CN-TAILOR-CHALK-PANDA-KR</x:v>
      </x:c>
      <x:c r="G113" s="18" t="str">
        <x:v>韓國熊貓圓形畫粉</x:v>
      </x:c>
      <x:c r="H113" s="18" t="str">
        <x:v>Round</x:v>
      </x:c>
      <x:c r="I113" s="18" t="str">
        <x:v>Consumable/Chemical</x:v>
      </x:c>
      <x:c r="J113" s="18" t="str">
        <x:v>Consumable</x:v>
      </x:c>
      <x:c r="K113" s="18" t="str">
        <x:v>Panda/Korea</x:v>
      </x:c>
      <x:c r="L113" s="18" t="str">
        <x:v>Marking</x:v>
      </x:c>
      <x:c r="M113" s="20" t="n">
        <x:v>20</x:v>
      </x:c>
      <x:c r="N113" s="18" t="str">
        <x:v>盒</x:v>
      </x:c>
      <x:c r="O113" s="21" t="n">
        <x:v>1.8</x:v>
      </x:c>
      <x:c r="P113" s="21" t="n">
        <x:f>M113*O113</x:f>
        <x:v>36</x:v>
      </x:c>
      <x:c r="Q113" s="21" t="n">
        <x:v>36</x:v>
      </x:c>
      <x:c r="R113" s="21" t="n">
        <x:f>P113-Q113</x:f>
        <x:v>0</x:v>
      </x:c>
      <x:c r="S113" s="18" t="str">
        <x:v>Yes</x:v>
      </x:c>
      <x:c r="T113" s="18" t="str">
        <x:v>High</x:v>
      </x:c>
      <x:c r="U113" s="18" t="str">
        <x:v>Yi New Sewing Machine_May.'26.pdf</x:v>
      </x:c>
      <x:c r="V113" s="18" t="n">
        <x:v>1</x:v>
      </x:c>
      <x:c r="W113" s="18" t="str"/>
    </x:row>
    <x:row r="114">
      <x:c r="A114" s="18" t="str">
        <x:v>2026-05</x:v>
      </x:c>
      <x:c r="B114" s="19" t="n">
        <x:v>46168</x:v>
      </x:c>
      <x:c r="C114" s="18" t="str">
        <x:v>YI-000132</x:v>
      </x:c>
      <x:c r="D114" s="18" t="str">
        <x:v>YI NEW SEWING MACHINE CO., LTD</x:v>
      </x:c>
      <x:c r="E114" s="18" t="str">
        <x:v>拷克上勾針 -LP226</x:v>
      </x:c>
      <x:c r="F114" s="18" t="str">
        <x:v>LP-LP226-UPPER</x:v>
      </x:c>
      <x:c r="G114" s="18" t="str">
        <x:v>拷克上勾針 LP226</x:v>
      </x:c>
      <x:c r="H114" s="18" t="str">
        <x:v>LP226</x:v>
      </x:c>
      <x:c r="I114" s="18" t="str">
        <x:v>Knife/Looper</x:v>
      </x:c>
      <x:c r="J114" s="18" t="str">
        <x:v>Spare Part</x:v>
      </x:c>
      <x:c r="K114" s="18" t="str"/>
      <x:c r="L114" s="18" t="str">
        <x:v>Overlock</x:v>
      </x:c>
      <x:c r="M114" s="20" t="n">
        <x:v>20</x:v>
      </x:c>
      <x:c r="N114" s="18" t="str">
        <x:v>個</x:v>
      </x:c>
      <x:c r="O114" s="21" t="n">
        <x:v>1.5</x:v>
      </x:c>
      <x:c r="P114" s="21" t="n">
        <x:f>M114*O114</x:f>
        <x:v>30</x:v>
      </x:c>
      <x:c r="Q114" s="21" t="n">
        <x:v>30</x:v>
      </x:c>
      <x:c r="R114" s="21" t="n">
        <x:f>P114-Q114</x:f>
        <x:v>0</x:v>
      </x:c>
      <x:c r="S114" s="18" t="str">
        <x:v>Yes</x:v>
      </x:c>
      <x:c r="T114" s="18" t="str">
        <x:v>High</x:v>
      </x:c>
      <x:c r="U114" s="18" t="str">
        <x:v>Yi New Sewing Machine_May.'26.pdf</x:v>
      </x:c>
      <x:c r="V114" s="18" t="n">
        <x:v>1</x:v>
      </x:c>
      <x:c r="W114" s="18" t="str"/>
    </x:row>
    <x:row r="115">
      <x:c r="A115" s="18" t="str">
        <x:v>2026-05</x:v>
      </x:c>
      <x:c r="B115" s="19" t="n">
        <x:v>46168</x:v>
      </x:c>
      <x:c r="C115" s="18" t="str">
        <x:v>YI-000132</x:v>
      </x:c>
      <x:c r="D115" s="18" t="str">
        <x:v>YI NEW SEWING MACHINE CO., LTD</x:v>
      </x:c>
      <x:c r="E115" s="18" t="str">
        <x:v>Brother 固定刀</x:v>
      </x:c>
      <x:c r="F115" s="18" t="str">
        <x:v>KN-BROTHER-FIXED</x:v>
      </x:c>
      <x:c r="G115" s="18" t="str">
        <x:v>Brother 固定刀</x:v>
      </x:c>
      <x:c r="H115" s="18" t="str">
        <x:v>Fixed Knife</x:v>
      </x:c>
      <x:c r="I115" s="18" t="str">
        <x:v>Knife/Looper</x:v>
      </x:c>
      <x:c r="J115" s="18" t="str">
        <x:v>Spare Part</x:v>
      </x:c>
      <x:c r="K115" s="18" t="str">
        <x:v>Brother</x:v>
      </x:c>
      <x:c r="L115" s="18" t="str">
        <x:v>Sewing Machine</x:v>
      </x:c>
      <x:c r="M115" s="20" t="n">
        <x:v>10</x:v>
      </x:c>
      <x:c r="N115" s="18" t="str">
        <x:v>支</x:v>
      </x:c>
      <x:c r="O115" s="21" t="n">
        <x:v>1.2</x:v>
      </x:c>
      <x:c r="P115" s="21" t="n">
        <x:f>M115*O115</x:f>
        <x:v>12</x:v>
      </x:c>
      <x:c r="Q115" s="21" t="n">
        <x:v>12</x:v>
      </x:c>
      <x:c r="R115" s="21" t="n">
        <x:f>P115-Q115</x:f>
        <x:v>0</x:v>
      </x:c>
      <x:c r="S115" s="18" t="str">
        <x:v>Yes</x:v>
      </x:c>
      <x:c r="T115" s="18" t="str">
        <x:v>High</x:v>
      </x:c>
      <x:c r="U115" s="18" t="str">
        <x:v>Yi New Sewing Machine_May.'26.pdf</x:v>
      </x:c>
      <x:c r="V115" s="18" t="n">
        <x:v>1</x:v>
      </x:c>
      <x:c r="W115" s="18" t="str"/>
    </x:row>
    <x:row r="116">
      <x:c r="A116" s="18" t="str">
        <x:v>2026-05</x:v>
      </x:c>
      <x:c r="B116" s="19" t="n">
        <x:v>46168</x:v>
      </x:c>
      <x:c r="C116" s="18" t="str">
        <x:v>YI-000132</x:v>
      </x:c>
      <x:c r="D116" s="18" t="str">
        <x:v>YI NEW SEWING MACHINE CO., LTD</x:v>
      </x:c>
      <x:c r="E116" s="18" t="str">
        <x:v>風琴: UOx113 #12</x:v>
      </x:c>
      <x:c r="F116" s="18" t="str">
        <x:v>ND-UOX113-12</x:v>
      </x:c>
      <x:c r="G116" s="18" t="str">
        <x:v>風琴機針 UOx113 #12</x:v>
      </x:c>
      <x:c r="H116" s="18" t="str">
        <x:v>UOx113 #12</x:v>
      </x:c>
      <x:c r="I116" s="18" t="str">
        <x:v>Needle</x:v>
      </x:c>
      <x:c r="J116" s="18" t="str">
        <x:v>Consumable</x:v>
      </x:c>
      <x:c r="K116" s="18" t="str">
        <x:v>ORGAN/風琴</x:v>
      </x:c>
      <x:c r="L116" s="18" t="str">
        <x:v>Multi-needle</x:v>
      </x:c>
      <x:c r="M116" s="20" t="n">
        <x:v>50</x:v>
      </x:c>
      <x:c r="N116" s="18" t="str">
        <x:v>包</x:v>
      </x:c>
      <x:c r="O116" s="21" t="n">
        <x:v>3</x:v>
      </x:c>
      <x:c r="P116" s="21" t="n">
        <x:f>M116*O116</x:f>
        <x:v>150</x:v>
      </x:c>
      <x:c r="Q116" s="21" t="n">
        <x:v>150</x:v>
      </x:c>
      <x:c r="R116" s="21" t="n">
        <x:f>P116-Q116</x:f>
        <x:v>0</x:v>
      </x:c>
      <x:c r="S116" s="18" t="str">
        <x:v>Yes</x:v>
      </x:c>
      <x:c r="T116" s="18" t="str">
        <x:v>High</x:v>
      </x:c>
      <x:c r="U116" s="18" t="str">
        <x:v>Yi New Sewing Machine_May.'26.pdf</x:v>
      </x:c>
      <x:c r="V116" s="18" t="n">
        <x:v>1</x:v>
      </x:c>
      <x:c r="W116" s="18" t="str"/>
    </x:row>
    <x:row r="117">
      <x:c r="A117" s="18" t="str">
        <x:v>2026-05</x:v>
      </x:c>
      <x:c r="B117" s="19" t="n">
        <x:v>46168</x:v>
      </x:c>
      <x:c r="C117" s="18" t="str">
        <x:v>YI-000132</x:v>
      </x:c>
      <x:c r="D117" s="18" t="str">
        <x:v>YI NEW SEWING MACHINE CO., LTD</x:v>
      </x:c>
      <x:c r="E117" s="18" t="str">
        <x:v>風琴: UYx128 #12</x:v>
      </x:c>
      <x:c r="F117" s="18" t="str">
        <x:v>ND-UYX128-12</x:v>
      </x:c>
      <x:c r="G117" s="18" t="str">
        <x:v>風琴機針 UYx128 #12</x:v>
      </x:c>
      <x:c r="H117" s="18" t="str">
        <x:v>UYx128 #12</x:v>
      </x:c>
      <x:c r="I117" s="18" t="str">
        <x:v>Needle</x:v>
      </x:c>
      <x:c r="J117" s="18" t="str">
        <x:v>Consumable</x:v>
      </x:c>
      <x:c r="K117" s="18" t="str">
        <x:v>ORGAN/風琴</x:v>
      </x:c>
      <x:c r="L117" s="18" t="str">
        <x:v>Multi-needle / Chainstitch</x:v>
      </x:c>
      <x:c r="M117" s="20" t="n">
        <x:v>50</x:v>
      </x:c>
      <x:c r="N117" s="18" t="str">
        <x:v>包</x:v>
      </x:c>
      <x:c r="O117" s="21" t="n">
        <x:v>1.78</x:v>
      </x:c>
      <x:c r="P117" s="21" t="n">
        <x:f>M117*O117</x:f>
        <x:v>89</x:v>
      </x:c>
      <x:c r="Q117" s="21" t="n">
        <x:v>89</x:v>
      </x:c>
      <x:c r="R117" s="21" t="n">
        <x:f>P117-Q117</x:f>
        <x:v>0</x:v>
      </x:c>
      <x:c r="S117" s="18" t="str">
        <x:v>Yes</x:v>
      </x:c>
      <x:c r="T117" s="18" t="str">
        <x:v>High</x:v>
      </x:c>
      <x:c r="U117" s="18" t="str">
        <x:v>Yi New Sewing Machine_May.'26.pdf</x:v>
      </x:c>
      <x:c r="V117" s="18" t="n">
        <x:v>1</x:v>
      </x:c>
      <x:c r="W117" s="18" t="str"/>
    </x:row>
    <x:row r="118">
      <x:c r="A118" s="18" t="str">
        <x:v>2026-05</x:v>
      </x:c>
      <x:c r="B118" s="19" t="n">
        <x:v>46168</x:v>
      </x:c>
      <x:c r="C118" s="18" t="str">
        <x:v>YI-000132</x:v>
      </x:c>
      <x:c r="D118" s="18" t="str">
        <x:v>YI NEW SEWING MACHINE CO., LTD</x:v>
      </x:c>
      <x:c r="E118" s="18" t="str">
        <x:v>拷克上刀 -KR23</x:v>
      </x:c>
      <x:c r="F118" s="18" t="str">
        <x:v>KN-KR23-UPPER</x:v>
      </x:c>
      <x:c r="G118" s="18" t="str">
        <x:v>拷克上刀 KR23</x:v>
      </x:c>
      <x:c r="H118" s="18" t="str">
        <x:v>KR23</x:v>
      </x:c>
      <x:c r="I118" s="18" t="str">
        <x:v>Knife/Looper</x:v>
      </x:c>
      <x:c r="J118" s="18" t="str">
        <x:v>Spare Part</x:v>
      </x:c>
      <x:c r="K118" s="18" t="str"/>
      <x:c r="L118" s="18" t="str">
        <x:v>Overlock</x:v>
      </x:c>
      <x:c r="M118" s="20" t="n">
        <x:v>10</x:v>
      </x:c>
      <x:c r="N118" s="18" t="str">
        <x:v>支</x:v>
      </x:c>
      <x:c r="O118" s="21" t="n">
        <x:v>0.6</x:v>
      </x:c>
      <x:c r="P118" s="21" t="n">
        <x:f>M118*O118</x:f>
        <x:v>6</x:v>
      </x:c>
      <x:c r="Q118" s="21" t="n">
        <x:v>6</x:v>
      </x:c>
      <x:c r="R118" s="21" t="n">
        <x:f>P118-Q118</x:f>
        <x:v>0</x:v>
      </x:c>
      <x:c r="S118" s="18" t="str">
        <x:v>Yes</x:v>
      </x:c>
      <x:c r="T118" s="18" t="str">
        <x:v>High</x:v>
      </x:c>
      <x:c r="U118" s="18" t="str">
        <x:v>Yi New Sewing Machine_May.'26.pdf</x:v>
      </x:c>
      <x:c r="V118" s="18" t="n">
        <x:v>1</x:v>
      </x:c>
      <x:c r="W118" s="18" t="str"/>
    </x:row>
    <x:row r="119">
      <x:c r="A119" s="18" t="str">
        <x:v>2026-05</x:v>
      </x:c>
      <x:c r="B119" s="19" t="n">
        <x:v>46168</x:v>
      </x:c>
      <x:c r="C119" s="18" t="str">
        <x:v>YI-000132</x:v>
      </x:c>
      <x:c r="D119" s="18" t="str">
        <x:v>YI NEW SEWING MACHINE CO., LTD</x:v>
      </x:c>
      <x:c r="E119" s="18" t="str">
        <x:v>吊瓶熨斗開關</x:v>
      </x:c>
      <x:c r="F119" s="18" t="str">
        <x:v>IR-HANGING-BOTTLE-SWITCH</x:v>
      </x:c>
      <x:c r="G119" s="18" t="str">
        <x:v>吊瓶熨斗開關</x:v>
      </x:c>
      <x:c r="H119" s="18" t="str">
        <x:v>Switch</x:v>
      </x:c>
      <x:c r="I119" s="18" t="str">
        <x:v>Ironing/Heat Transfer</x:v>
      </x:c>
      <x:c r="J119" s="18" t="str">
        <x:v>Spare Part</x:v>
      </x:c>
      <x:c r="K119" s="18" t="str"/>
      <x:c r="L119" s="18" t="str">
        <x:v>Iron</x:v>
      </x:c>
      <x:c r="M119" s="20" t="n">
        <x:v>10</x:v>
      </x:c>
      <x:c r="N119" s="18" t="str">
        <x:v>個</x:v>
      </x:c>
      <x:c r="O119" s="21" t="n">
        <x:v>4.5</x:v>
      </x:c>
      <x:c r="P119" s="21" t="n">
        <x:f>M119*O119</x:f>
        <x:v>45</x:v>
      </x:c>
      <x:c r="Q119" s="21" t="n">
        <x:v>45</x:v>
      </x:c>
      <x:c r="R119" s="21" t="n">
        <x:f>P119-Q119</x:f>
        <x:v>0</x:v>
      </x:c>
      <x:c r="S119" s="18" t="str">
        <x:v>Yes</x:v>
      </x:c>
      <x:c r="T119" s="18" t="str">
        <x:v>High</x:v>
      </x:c>
      <x:c r="U119" s="18" t="str">
        <x:v>Yi New Sewing Machine_May.'26.pdf</x:v>
      </x:c>
      <x:c r="V119" s="18" t="n">
        <x:v>1</x:v>
      </x:c>
      <x:c r="W119" s="18" t="str"/>
    </x:row>
    <x:row r="120">
      <x:c r="A120" s="18" t="str">
        <x:v>2026-05</x:v>
      </x:c>
      <x:c r="B120" s="19" t="n">
        <x:v>46168</x:v>
      </x:c>
      <x:c r="C120" s="18" t="str">
        <x:v>YI-000132</x:v>
      </x:c>
      <x:c r="D120" s="18" t="str">
        <x:v>YI NEW SEWING MACHINE CO., LTD</x:v>
      </x:c>
      <x:c r="E120" s="18" t="str">
        <x:v>強化型針車油 30L</x:v>
      </x:c>
      <x:c r="F120" s="18" t="str">
        <x:v>CN-SEWING-OIL-30L</x:v>
      </x:c>
      <x:c r="G120" s="18" t="str">
        <x:v>強化型針車油</x:v>
      </x:c>
      <x:c r="H120" s="18" t="str">
        <x:v>30L</x:v>
      </x:c>
      <x:c r="I120" s="18" t="str">
        <x:v>Consumable/Chemical</x:v>
      </x:c>
      <x:c r="J120" s="18" t="str">
        <x:v>Consumable</x:v>
      </x:c>
      <x:c r="K120" s="18" t="str"/>
      <x:c r="L120" s="18" t="str">
        <x:v>Sewing Machine</x:v>
      </x:c>
      <x:c r="M120" s="20" t="n">
        <x:v>1</x:v>
      </x:c>
      <x:c r="N120" s="18" t="str">
        <x:v>桶</x:v>
      </x:c>
      <x:c r="O120" s="21" t="n">
        <x:v>65</x:v>
      </x:c>
      <x:c r="P120" s="21" t="n">
        <x:f>M120*O120</x:f>
        <x:v>65</x:v>
      </x:c>
      <x:c r="Q120" s="21" t="n">
        <x:v>65</x:v>
      </x:c>
      <x:c r="R120" s="21" t="n">
        <x:f>P120-Q120</x:f>
        <x:v>0</x:v>
      </x:c>
      <x:c r="S120" s="18" t="str">
        <x:v>Yes</x:v>
      </x:c>
      <x:c r="T120" s="18" t="str">
        <x:v>High</x:v>
      </x:c>
      <x:c r="U120" s="18" t="str">
        <x:v>Yi New Sewing Machine_May.'26.pdf</x:v>
      </x:c>
      <x:c r="V120" s="18" t="n">
        <x:v>1</x:v>
      </x:c>
      <x:c r="W120" s="18" t="str"/>
    </x:row>
    <x:row r="121">
      <x:c r="A121" s="18" t="str">
        <x:v>2026-05</x:v>
      </x:c>
      <x:c r="B121" s="19" t="n">
        <x:v>46168</x:v>
      </x:c>
      <x:c r="C121" s="18" t="str">
        <x:v>YI-000132</x:v>
      </x:c>
      <x:c r="D121" s="18" t="str">
        <x:v>YI NEW SEWING MACHINE CO., LTD</x:v>
      </x:c>
      <x:c r="E121" s="18" t="str">
        <x:v>502膠水・大瓶</x:v>
      </x:c>
      <x:c r="F121" s="18" t="str">
        <x:v>CH-502-GLUE-LARGE</x:v>
      </x:c>
      <x:c r="G121" s="18" t="str">
        <x:v>502膠水（大瓶）</x:v>
      </x:c>
      <x:c r="H121" s="18" t="str">
        <x:v>Large Bottle</x:v>
      </x:c>
      <x:c r="I121" s="18" t="str">
        <x:v>Consumable/Chemical</x:v>
      </x:c>
      <x:c r="J121" s="18" t="str">
        <x:v>Consumable</x:v>
      </x:c>
      <x:c r="K121" s="18" t="str"/>
      <x:c r="L121" s="18" t="str">
        <x:v>Maintenance</x:v>
      </x:c>
      <x:c r="M121" s="20" t="n">
        <x:v>10</x:v>
      </x:c>
      <x:c r="N121" s="18" t="str">
        <x:v>瓶</x:v>
      </x:c>
      <x:c r="O121" s="21" t="n">
        <x:v>0.65</x:v>
      </x:c>
      <x:c r="P121" s="21" t="n">
        <x:f>M121*O121</x:f>
        <x:v>6.5</x:v>
      </x:c>
      <x:c r="Q121" s="21" t="n">
        <x:v>6.5</x:v>
      </x:c>
      <x:c r="R121" s="21" t="n">
        <x:f>P121-Q121</x:f>
        <x:v>0</x:v>
      </x:c>
      <x:c r="S121" s="18" t="str">
        <x:v>Yes</x:v>
      </x:c>
      <x:c r="T121" s="18" t="str">
        <x:v>High</x:v>
      </x:c>
      <x:c r="U121" s="18" t="str">
        <x:v>Yi New Sewing Machine_May.'26.pdf</x:v>
      </x:c>
      <x:c r="V121" s="18" t="n">
        <x:v>1</x:v>
      </x:c>
      <x:c r="W121" s="18" t="str"/>
    </x:row>
    <x:row r="122">
      <x:c r="A122" s="18" t="str">
        <x:v>2026-05</x:v>
      </x:c>
      <x:c r="B122" s="19" t="n">
        <x:v>46168</x:v>
      </x:c>
      <x:c r="C122" s="18" t="str">
        <x:v>YI-000132</x:v>
      </x:c>
      <x:c r="D122" s="18" t="str">
        <x:v>YI NEW SEWING MACHINE CO., LTD</x:v>
      </x:c>
      <x:c r="E122" s="18" t="str">
        <x:v>SIRUBA-747KD馬達聯軸器</x:v>
      </x:c>
      <x:c r="F122" s="18" t="str">
        <x:v>MT-SIRUBA747KD-COUPLER</x:v>
      </x:c>
      <x:c r="G122" s="18" t="str">
        <x:v>SIRUBA-747KD 馬達聯軸器</x:v>
      </x:c>
      <x:c r="H122" s="18" t="str">
        <x:v>747KD</x:v>
      </x:c>
      <x:c r="I122" s="18" t="str">
        <x:v>Motor/Drive</x:v>
      </x:c>
      <x:c r="J122" s="18" t="str">
        <x:v>Spare Part</x:v>
      </x:c>
      <x:c r="K122" s="18" t="str">
        <x:v>SIRUBA</x:v>
      </x:c>
      <x:c r="L122" s="18" t="str">
        <x:v>Overlock</x:v>
      </x:c>
      <x:c r="M122" s="20" t="n">
        <x:v>20</x:v>
      </x:c>
      <x:c r="N122" s="18" t="str">
        <x:v>個</x:v>
      </x:c>
      <x:c r="O122" s="21" t="n">
        <x:v>9.5</x:v>
      </x:c>
      <x:c r="P122" s="21" t="n">
        <x:f>M122*O122</x:f>
        <x:v>190</x:v>
      </x:c>
      <x:c r="Q122" s="21" t="n">
        <x:v>190</x:v>
      </x:c>
      <x:c r="R122" s="21" t="n">
        <x:f>P122-Q122</x:f>
        <x:v>0</x:v>
      </x:c>
      <x:c r="S122" s="18" t="str">
        <x:v>Yes</x:v>
      </x:c>
      <x:c r="T122" s="18" t="str">
        <x:v>High</x:v>
      </x:c>
      <x:c r="U122" s="18" t="str">
        <x:v>Yi New Sewing Machine_May.'26.pdf</x:v>
      </x:c>
      <x:c r="V122" s="18" t="n">
        <x:v>1</x:v>
      </x:c>
      <x:c r="W122" s="18" t="str"/>
    </x:row>
    <x:row r="123">
      <x:c r="A123" s="18" t="str">
        <x:v>2026-06</x:v>
      </x:c>
      <x:c r="B123" s="19" t="n">
        <x:v>46171</x:v>
      </x:c>
      <x:c r="C123" s="18" t="str">
        <x:v>YI-000132 (2)</x:v>
      </x:c>
      <x:c r="D123" s="18" t="str">
        <x:v>YI NEW SEWING MACHINE CO., LTD</x:v>
      </x:c>
      <x:c r="E123" s="18" t="str">
        <x:v>H208K 牙齒</x:v>
      </x:c>
      <x:c r="F123" s="18" t="str">
        <x:v>FD-H208K</x:v>
      </x:c>
      <x:c r="G123" s="18" t="str">
        <x:v>H208K 牙齒</x:v>
      </x:c>
      <x:c r="H123" s="18" t="str">
        <x:v>H208K</x:v>
      </x:c>
      <x:c r="I123" s="18" t="str">
        <x:v>Needle Plate/Feed Dog</x:v>
      </x:c>
      <x:c r="J123" s="18" t="str">
        <x:v>Spare Part</x:v>
      </x:c>
      <x:c r="K123" s="18" t="str"/>
      <x:c r="L123" s="18" t="str">
        <x:v>Sewing Machine</x:v>
      </x:c>
      <x:c r="M123" s="20" t="n">
        <x:v>5</x:v>
      </x:c>
      <x:c r="N123" s="18" t="str">
        <x:v>個</x:v>
      </x:c>
      <x:c r="O123" s="21" t="n">
        <x:v>3.25</x:v>
      </x:c>
      <x:c r="P123" s="21" t="n">
        <x:f>M123*O123</x:f>
        <x:v>16.25</x:v>
      </x:c>
      <x:c r="Q123" s="21" t="n">
        <x:v>16.25</x:v>
      </x:c>
      <x:c r="R123" s="21" t="n">
        <x:f>P123-Q123</x:f>
        <x:v>0</x:v>
      </x:c>
      <x:c r="S123" s="18" t="str">
        <x:v>Yes</x:v>
      </x:c>
      <x:c r="T123" s="18" t="str">
        <x:v>High</x:v>
      </x:c>
      <x:c r="U123" s="18" t="str">
        <x:v>Yi New Sewing Machine_Jun.'26.pdf</x:v>
      </x:c>
      <x:c r="V123" s="18" t="n">
        <x:v>1</x:v>
      </x:c>
      <x:c r="W123" s="18" t="str"/>
    </x:row>
    <x:row r="124">
      <x:c r="A124" s="18" t="str">
        <x:v>2026-06</x:v>
      </x:c>
      <x:c r="B124" s="19" t="n">
        <x:v>46175</x:v>
      </x:c>
      <x:c r="C124" s="18" t="str">
        <x:v>YI-000133</x:v>
      </x:c>
      <x:c r="D124" s="18" t="str">
        <x:v>YI NEW SEWING MACHINE CO., LTD</x:v>
      </x:c>
      <x:c r="E124" s="18" t="str">
        <x:v>Organ : DCx27 #16</x:v>
      </x:c>
      <x:c r="F124" s="18" t="str">
        <x:v>ND-DCX27-16</x:v>
      </x:c>
      <x:c r="G124" s="18" t="str">
        <x:v>風琴機針 DCx27 #16</x:v>
      </x:c>
      <x:c r="H124" s="18" t="str">
        <x:v>DCx27 #16</x:v>
      </x:c>
      <x:c r="I124" s="18" t="str">
        <x:v>Needle</x:v>
      </x:c>
      <x:c r="J124" s="18" t="str">
        <x:v>Consumable</x:v>
      </x:c>
      <x:c r="K124" s="18" t="str">
        <x:v>ORGAN/風琴</x:v>
      </x:c>
      <x:c r="L124" s="18" t="str">
        <x:v>Overlock</x:v>
      </x:c>
      <x:c r="M124" s="20" t="n">
        <x:v>50</x:v>
      </x:c>
      <x:c r="N124" s="18" t="str">
        <x:v>包</x:v>
      </x:c>
      <x:c r="O124" s="21" t="n">
        <x:v>1.3</x:v>
      </x:c>
      <x:c r="P124" s="21" t="n">
        <x:f>M124*O124</x:f>
        <x:v>65</x:v>
      </x:c>
      <x:c r="Q124" s="21" t="n">
        <x:v>65</x:v>
      </x:c>
      <x:c r="R124" s="21" t="n">
        <x:f>P124-Q124</x:f>
        <x:v>0</x:v>
      </x:c>
      <x:c r="S124" s="18" t="str">
        <x:v>Yes</x:v>
      </x:c>
      <x:c r="T124" s="18" t="str">
        <x:v>High</x:v>
      </x:c>
      <x:c r="U124" s="18" t="str">
        <x:v>Yi New Sewing Machine_Jun.'26.pdf</x:v>
      </x:c>
      <x:c r="V124" s="18" t="n">
        <x:v>1</x:v>
      </x:c>
      <x:c r="W124" s="18" t="str"/>
    </x:row>
    <x:row r="125">
      <x:c r="A125" s="18" t="str">
        <x:v>2026-06</x:v>
      </x:c>
      <x:c r="B125" s="19" t="n">
        <x:v>46175</x:v>
      </x:c>
      <x:c r="C125" s="18" t="str">
        <x:v>YI-000133</x:v>
      </x:c>
      <x:c r="D125" s="18" t="str">
        <x:v>YI NEW SEWING MACHINE CO., LTD</x:v>
      </x:c>
      <x:c r="E125" s="18" t="str">
        <x:v>Organ : DCx27 #14</x:v>
      </x:c>
      <x:c r="F125" s="18" t="str">
        <x:v>ND-DCX27-14</x:v>
      </x:c>
      <x:c r="G125" s="18" t="str">
        <x:v>風琴機針 DCx27 #14</x:v>
      </x:c>
      <x:c r="H125" s="18" t="str">
        <x:v>DCx27 #14</x:v>
      </x:c>
      <x:c r="I125" s="18" t="str">
        <x:v>Needle</x:v>
      </x:c>
      <x:c r="J125" s="18" t="str">
        <x:v>Consumable</x:v>
      </x:c>
      <x:c r="K125" s="18" t="str">
        <x:v>ORGAN/風琴</x:v>
      </x:c>
      <x:c r="L125" s="18" t="str">
        <x:v>Overlock</x:v>
      </x:c>
      <x:c r="M125" s="20" t="n">
        <x:v>50</x:v>
      </x:c>
      <x:c r="N125" s="18" t="str">
        <x:v>包</x:v>
      </x:c>
      <x:c r="O125" s="21" t="n">
        <x:v>1.3</x:v>
      </x:c>
      <x:c r="P125" s="21" t="n">
        <x:f>M125*O125</x:f>
        <x:v>65</x:v>
      </x:c>
      <x:c r="Q125" s="21" t="n">
        <x:v>65</x:v>
      </x:c>
      <x:c r="R125" s="21" t="n">
        <x:f>P125-Q125</x:f>
        <x:v>0</x:v>
      </x:c>
      <x:c r="S125" s="18" t="str">
        <x:v>Yes</x:v>
      </x:c>
      <x:c r="T125" s="18" t="str">
        <x:v>High</x:v>
      </x:c>
      <x:c r="U125" s="18" t="str">
        <x:v>Yi New Sewing Machine_Jun.'26.pdf</x:v>
      </x:c>
      <x:c r="V125" s="18" t="n">
        <x:v>1</x:v>
      </x:c>
      <x:c r="W125" s="18" t="str"/>
    </x:row>
    <x:row r="126">
      <x:c r="A126" s="18" t="str">
        <x:v>2026-06</x:v>
      </x:c>
      <x:c r="B126" s="19" t="n">
        <x:v>46175</x:v>
      </x:c>
      <x:c r="C126" s="18" t="str">
        <x:v>YI-000133</x:v>
      </x:c>
      <x:c r="D126" s="18" t="str">
        <x:v>YI NEW SEWING MACHINE CO., LTD</x:v>
      </x:c>
      <x:c r="E126" s="18" t="str">
        <x:v>Organ : DBx1 #16</x:v>
      </x:c>
      <x:c r="F126" s="18" t="str">
        <x:v>ND-DBX1-16</x:v>
      </x:c>
      <x:c r="G126" s="18" t="str">
        <x:v>風琴機針 DBx1 #16</x:v>
      </x:c>
      <x:c r="H126" s="18" t="str">
        <x:v>DBx1 #16</x:v>
      </x:c>
      <x:c r="I126" s="18" t="str">
        <x:v>Needle</x:v>
      </x:c>
      <x:c r="J126" s="18" t="str">
        <x:v>Consumable</x:v>
      </x:c>
      <x:c r="K126" s="18" t="str">
        <x:v>ORGAN/風琴</x:v>
      </x:c>
      <x:c r="L126" s="18" t="str">
        <x:v>Single Needle</x:v>
      </x:c>
      <x:c r="M126" s="20" t="n">
        <x:v>50</x:v>
      </x:c>
      <x:c r="N126" s="18" t="str">
        <x:v>包</x:v>
      </x:c>
      <x:c r="O126" s="21" t="n">
        <x:v>0.78</x:v>
      </x:c>
      <x:c r="P126" s="21" t="n">
        <x:f>M126*O126</x:f>
        <x:v>39</x:v>
      </x:c>
      <x:c r="Q126" s="21" t="n">
        <x:v>39</x:v>
      </x:c>
      <x:c r="R126" s="21" t="n">
        <x:f>P126-Q126</x:f>
        <x:v>0</x:v>
      </x:c>
      <x:c r="S126" s="18" t="str">
        <x:v>Yes</x:v>
      </x:c>
      <x:c r="T126" s="18" t="str">
        <x:v>High</x:v>
      </x:c>
      <x:c r="U126" s="18" t="str">
        <x:v>Yi New Sewing Machine_Jun.'26.pdf</x:v>
      </x:c>
      <x:c r="V126" s="18" t="n">
        <x:v>1</x:v>
      </x:c>
      <x:c r="W126" s="18" t="str"/>
    </x:row>
    <x:row r="127">
      <x:c r="A127" s="18" t="str">
        <x:v>2026-06</x:v>
      </x:c>
      <x:c r="B127" s="19" t="n">
        <x:v>46175</x:v>
      </x:c>
      <x:c r="C127" s="18" t="str">
        <x:v>YI-000133</x:v>
      </x:c>
      <x:c r="D127" s="18" t="str">
        <x:v>YI NEW SEWING MACHINE CO., LTD</x:v>
      </x:c>
      <x:c r="E127" s="18" t="str">
        <x:v>Organ : DBx1 #14</x:v>
      </x:c>
      <x:c r="F127" s="18" t="str">
        <x:v>ND-DBX1-14</x:v>
      </x:c>
      <x:c r="G127" s="18" t="str">
        <x:v>風琴機針 DBx1 #14</x:v>
      </x:c>
      <x:c r="H127" s="18" t="str">
        <x:v>DBx1 #14</x:v>
      </x:c>
      <x:c r="I127" s="18" t="str">
        <x:v>Needle</x:v>
      </x:c>
      <x:c r="J127" s="18" t="str">
        <x:v>Consumable</x:v>
      </x:c>
      <x:c r="K127" s="18" t="str">
        <x:v>ORGAN/風琴</x:v>
      </x:c>
      <x:c r="L127" s="18" t="str">
        <x:v>Single Needle</x:v>
      </x:c>
      <x:c r="M127" s="20" t="n">
        <x:v>50</x:v>
      </x:c>
      <x:c r="N127" s="18" t="str">
        <x:v>包</x:v>
      </x:c>
      <x:c r="O127" s="21" t="n">
        <x:v>0.78</x:v>
      </x:c>
      <x:c r="P127" s="21" t="n">
        <x:f>M127*O127</x:f>
        <x:v>39</x:v>
      </x:c>
      <x:c r="Q127" s="21" t="n">
        <x:v>39</x:v>
      </x:c>
      <x:c r="R127" s="21" t="n">
        <x:f>P127-Q127</x:f>
        <x:v>0</x:v>
      </x:c>
      <x:c r="S127" s="18" t="str">
        <x:v>Yes</x:v>
      </x:c>
      <x:c r="T127" s="18" t="str">
        <x:v>High</x:v>
      </x:c>
      <x:c r="U127" s="18" t="str">
        <x:v>Yi New Sewing Machine_Jun.'26.pdf</x:v>
      </x:c>
      <x:c r="V127" s="18" t="n">
        <x:v>1</x:v>
      </x:c>
      <x:c r="W127" s="18" t="str"/>
    </x:row>
    <x:row r="128">
      <x:c r="A128" s="18" t="str">
        <x:v>2026-06</x:v>
      </x:c>
      <x:c r="B128" s="19" t="n">
        <x:v>46175</x:v>
      </x:c>
      <x:c r="C128" s="18" t="str">
        <x:v>YI-000133</x:v>
      </x:c>
      <x:c r="D128" s="18" t="str">
        <x:v>YI NEW SEWING MACHINE CO., LTD</x:v>
      </x:c>
      <x:c r="E128" s="18" t="str">
        <x:v>Organ : DPx5 #14</x:v>
      </x:c>
      <x:c r="F128" s="18" t="str">
        <x:v>ND-DPX5-14</x:v>
      </x:c>
      <x:c r="G128" s="18" t="str">
        <x:v>風琴機針 DPx5 #14</x:v>
      </x:c>
      <x:c r="H128" s="18" t="str">
        <x:v>DPx5 #14</x:v>
      </x:c>
      <x:c r="I128" s="18" t="str">
        <x:v>Needle</x:v>
      </x:c>
      <x:c r="J128" s="18" t="str">
        <x:v>Consumable</x:v>
      </x:c>
      <x:c r="K128" s="18" t="str">
        <x:v>ORGAN/風琴</x:v>
      </x:c>
      <x:c r="L128" s="18" t="str">
        <x:v>Lockstitch</x:v>
      </x:c>
      <x:c r="M128" s="20" t="n">
        <x:v>50</x:v>
      </x:c>
      <x:c r="N128" s="18" t="str">
        <x:v>包</x:v>
      </x:c>
      <x:c r="O128" s="21" t="n">
        <x:v>0.78</x:v>
      </x:c>
      <x:c r="P128" s="21" t="n">
        <x:f>M128*O128</x:f>
        <x:v>39</x:v>
      </x:c>
      <x:c r="Q128" s="21" t="n">
        <x:v>39</x:v>
      </x:c>
      <x:c r="R128" s="21" t="n">
        <x:f>P128-Q128</x:f>
        <x:v>0</x:v>
      </x:c>
      <x:c r="S128" s="18" t="str">
        <x:v>Yes</x:v>
      </x:c>
      <x:c r="T128" s="18" t="str">
        <x:v>High</x:v>
      </x:c>
      <x:c r="U128" s="18" t="str">
        <x:v>Yi New Sewing Machine_Jun.'26.pdf</x:v>
      </x:c>
      <x:c r="V128" s="18" t="n">
        <x:v>1</x:v>
      </x:c>
      <x:c r="W128" s="18" t="str"/>
    </x:row>
    <x:row r="129">
      <x:c r="A129" s="18" t="str">
        <x:v>2026-06</x:v>
      </x:c>
      <x:c r="B129" s="19" t="n">
        <x:v>46175</x:v>
      </x:c>
      <x:c r="C129" s="18" t="str">
        <x:v>YI-000133</x:v>
      </x:c>
      <x:c r="D129" s="18" t="str">
        <x:v>YI NEW SEWING MACHINE CO., LTD</x:v>
      </x:c>
      <x:c r="E129" s="18" t="str">
        <x:v>Organ : DPx5 #16</x:v>
      </x:c>
      <x:c r="F129" s="18" t="str">
        <x:v>ND-DPX5-16</x:v>
      </x:c>
      <x:c r="G129" s="18" t="str">
        <x:v>風琴機針 DPx5 #16</x:v>
      </x:c>
      <x:c r="H129" s="18" t="str">
        <x:v>DPx5 #16</x:v>
      </x:c>
      <x:c r="I129" s="18" t="str">
        <x:v>Needle</x:v>
      </x:c>
      <x:c r="J129" s="18" t="str">
        <x:v>Consumable</x:v>
      </x:c>
      <x:c r="K129" s="18" t="str">
        <x:v>ORGAN/風琴</x:v>
      </x:c>
      <x:c r="L129" s="18" t="str">
        <x:v>Lockstitch</x:v>
      </x:c>
      <x:c r="M129" s="20" t="n">
        <x:v>50</x:v>
      </x:c>
      <x:c r="N129" s="18" t="str">
        <x:v>包</x:v>
      </x:c>
      <x:c r="O129" s="21" t="n">
        <x:v>0.78</x:v>
      </x:c>
      <x:c r="P129" s="21" t="n">
        <x:f>M129*O129</x:f>
        <x:v>39</x:v>
      </x:c>
      <x:c r="Q129" s="21" t="n">
        <x:v>39</x:v>
      </x:c>
      <x:c r="R129" s="21" t="n">
        <x:f>P129-Q129</x:f>
        <x:v>0</x:v>
      </x:c>
      <x:c r="S129" s="18" t="str">
        <x:v>Yes</x:v>
      </x:c>
      <x:c r="T129" s="18" t="str">
        <x:v>High</x:v>
      </x:c>
      <x:c r="U129" s="18" t="str">
        <x:v>Yi New Sewing Machine_Jun.'26.pdf</x:v>
      </x:c>
      <x:c r="V129" s="18" t="n">
        <x:v>1</x:v>
      </x:c>
      <x:c r="W129" s="18" t="str"/>
    </x:row>
    <x:row r="130">
      <x:c r="A130" s="18" t="str">
        <x:v>2026-06</x:v>
      </x:c>
      <x:c r="B130" s="19" t="n">
        <x:v>46175</x:v>
      </x:c>
      <x:c r="C130" s="18" t="str">
        <x:v>YI-000133</x:v>
      </x:c>
      <x:c r="D130" s="18" t="str">
        <x:v>YI NEW SEWING MACHINE CO., LTD</x:v>
      </x:c>
      <x:c r="E130" s="18" t="str">
        <x:v>Organ : UOx113 #12</x:v>
      </x:c>
      <x:c r="F130" s="18" t="str">
        <x:v>ND-UOX113-12</x:v>
      </x:c>
      <x:c r="G130" s="18" t="str">
        <x:v>風琴機針 UOx113 #12</x:v>
      </x:c>
      <x:c r="H130" s="18" t="str">
        <x:v>UOx113 #12</x:v>
      </x:c>
      <x:c r="I130" s="18" t="str">
        <x:v>Needle</x:v>
      </x:c>
      <x:c r="J130" s="18" t="str">
        <x:v>Consumable</x:v>
      </x:c>
      <x:c r="K130" s="18" t="str">
        <x:v>ORGAN/風琴</x:v>
      </x:c>
      <x:c r="L130" s="18" t="str">
        <x:v>Multi-needle</x:v>
      </x:c>
      <x:c r="M130" s="20" t="n">
        <x:v>50</x:v>
      </x:c>
      <x:c r="N130" s="18" t="str">
        <x:v>包</x:v>
      </x:c>
      <x:c r="O130" s="21" t="n">
        <x:v>3</x:v>
      </x:c>
      <x:c r="P130" s="21" t="n">
        <x:f>M130*O130</x:f>
        <x:v>150</x:v>
      </x:c>
      <x:c r="Q130" s="21" t="n">
        <x:v>150</x:v>
      </x:c>
      <x:c r="R130" s="21" t="n">
        <x:f>P130-Q130</x:f>
        <x:v>0</x:v>
      </x:c>
      <x:c r="S130" s="18" t="str">
        <x:v>Yes</x:v>
      </x:c>
      <x:c r="T130" s="18" t="str">
        <x:v>High</x:v>
      </x:c>
      <x:c r="U130" s="18" t="str">
        <x:v>Yi New Sewing Machine_Jun.'26.pdf</x:v>
      </x:c>
      <x:c r="V130" s="18" t="n">
        <x:v>1</x:v>
      </x:c>
      <x:c r="W130" s="18" t="str"/>
    </x:row>
    <x:row r="131">
      <x:c r="A131" s="18" t="str">
        <x:v>2026-06</x:v>
      </x:c>
      <x:c r="B131" s="19" t="n">
        <x:v>46181</x:v>
      </x:c>
      <x:c r="C131" s="18" t="str">
        <x:v>YI-000134</x:v>
      </x:c>
      <x:c r="D131" s="18" t="str">
        <x:v>YI NEW SEWING MACHINE CO., LTD</x:v>
      </x:c>
      <x:c r="E131" s="18" t="str">
        <x:v>台灣電烙鐵頭</x:v>
      </x:c>
      <x:c r="F131" s="18" t="str">
        <x:v>EL-SOLDERING-IRON-TIP-TW</x:v>
      </x:c>
      <x:c r="G131" s="18" t="str">
        <x:v>台灣電烙鐵頭</x:v>
      </x:c>
      <x:c r="H131" s="18" t="str">
        <x:v>Tip</x:v>
      </x:c>
      <x:c r="I131" s="18" t="str">
        <x:v>Electrical/Control</x:v>
      </x:c>
      <x:c r="J131" s="18" t="str">
        <x:v>Spare Part</x:v>
      </x:c>
      <x:c r="K131" s="18" t="str">
        <x:v>Taiwan</x:v>
      </x:c>
      <x:c r="L131" s="18" t="str">
        <x:v>Electrical</x:v>
      </x:c>
      <x:c r="M131" s="20" t="n">
        <x:v>2</x:v>
      </x:c>
      <x:c r="N131" s="18" t="str">
        <x:v>支</x:v>
      </x:c>
      <x:c r="O131" s="21" t="n">
        <x:v>6</x:v>
      </x:c>
      <x:c r="P131" s="21" t="n">
        <x:f>M131*O131</x:f>
        <x:v>12</x:v>
      </x:c>
      <x:c r="Q131" s="21" t="n">
        <x:v>12</x:v>
      </x:c>
      <x:c r="R131" s="21" t="n">
        <x:f>P131-Q131</x:f>
        <x:v>0</x:v>
      </x:c>
      <x:c r="S131" s="18" t="str">
        <x:v>Yes</x:v>
      </x:c>
      <x:c r="T131" s="18" t="str">
        <x:v>High</x:v>
      </x:c>
      <x:c r="U131" s="18" t="str">
        <x:v>Yi New Sewing Machine_Jun.'26.pdf</x:v>
      </x:c>
      <x:c r="V131" s="18" t="n">
        <x:v>1</x:v>
      </x:c>
      <x:c r="W131" s="18" t="str"/>
    </x:row>
    <x:row r="132">
      <x:c r="A132" s="18" t="str">
        <x:v>2026-06</x:v>
      </x:c>
      <x:c r="B132" s="19" t="n">
        <x:v>46181</x:v>
      </x:c>
      <x:c r="C132" s="18" t="str">
        <x:v>YI-000134</x:v>
      </x:c>
      <x:c r="D132" s="18" t="str">
        <x:v>YI NEW SEWING MACHINE CO., LTD</x:v>
      </x:c>
      <x:c r="E132" s="18" t="str">
        <x:v>鐵氟龍條-1.0/mm</x:v>
      </x:c>
      <x:c r="F132" s="18" t="str">
        <x:v>CN-TEFLON-STRIP-1MM</x:v>
      </x:c>
      <x:c r="G132" s="18" t="str">
        <x:v>鐵氟龍條</x:v>
      </x:c>
      <x:c r="H132" s="18" t="str">
        <x:v>1.0 mm</x:v>
      </x:c>
      <x:c r="I132" s="18" t="str">
        <x:v>Consumable/Chemical</x:v>
      </x:c>
      <x:c r="J132" s="18" t="str">
        <x:v>Consumable</x:v>
      </x:c>
      <x:c r="K132" s="18" t="str">
        <x:v>Teflon</x:v>
      </x:c>
      <x:c r="L132" s="18" t="str">
        <x:v>Ironing/Sealing</x:v>
      </x:c>
      <x:c r="M132" s="20" t="n">
        <x:v>10</x:v>
      </x:c>
      <x:c r="N132" s="18" t="str">
        <x:v>條</x:v>
      </x:c>
      <x:c r="O132" s="21" t="n">
        <x:v>1.8</x:v>
      </x:c>
      <x:c r="P132" s="21" t="n">
        <x:f>M132*O132</x:f>
        <x:v>18</x:v>
      </x:c>
      <x:c r="Q132" s="21" t="n">
        <x:v>18</x:v>
      </x:c>
      <x:c r="R132" s="21" t="n">
        <x:f>P132-Q132</x:f>
        <x:v>0</x:v>
      </x:c>
      <x:c r="S132" s="18" t="str">
        <x:v>Yes</x:v>
      </x:c>
      <x:c r="T132" s="18" t="str">
        <x:v>High</x:v>
      </x:c>
      <x:c r="U132" s="18" t="str">
        <x:v>Yi New Sewing Machine_Jun.'26.pdf</x:v>
      </x:c>
      <x:c r="V132" s="18" t="n">
        <x:v>1</x:v>
      </x:c>
      <x:c r="W132" s="18" t="str"/>
    </x:row>
    <x:row r="133">
      <x:c r="A133" s="18" t="str">
        <x:v>2026-06</x:v>
      </x:c>
      <x:c r="B133" s="19" t="n">
        <x:v>46181</x:v>
      </x:c>
      <x:c r="C133" s="18" t="str">
        <x:v>YI-000134</x:v>
      </x:c>
      <x:c r="D133" s="18" t="str">
        <x:v>YI NEW SEWING MACHINE CO., LTD</x:v>
      </x:c>
      <x:c r="E133" s="18" t="str">
        <x:v>風琴: UYx128 #12</x:v>
      </x:c>
      <x:c r="F133" s="18" t="str">
        <x:v>ND-UYX128-12</x:v>
      </x:c>
      <x:c r="G133" s="18" t="str">
        <x:v>風琴機針 UYx128 #12</x:v>
      </x:c>
      <x:c r="H133" s="18" t="str">
        <x:v>UYx128 #12</x:v>
      </x:c>
      <x:c r="I133" s="18" t="str">
        <x:v>Needle</x:v>
      </x:c>
      <x:c r="J133" s="18" t="str">
        <x:v>Consumable</x:v>
      </x:c>
      <x:c r="K133" s="18" t="str">
        <x:v>ORGAN/風琴</x:v>
      </x:c>
      <x:c r="L133" s="18" t="str">
        <x:v>Multi-needle / Chainstitch</x:v>
      </x:c>
      <x:c r="M133" s="20" t="n">
        <x:v>100</x:v>
      </x:c>
      <x:c r="N133" s="18" t="str">
        <x:v>包</x:v>
      </x:c>
      <x:c r="O133" s="21" t="n">
        <x:v>1.78</x:v>
      </x:c>
      <x:c r="P133" s="21" t="n">
        <x:f>M133*O133</x:f>
        <x:v>178</x:v>
      </x:c>
      <x:c r="Q133" s="21" t="n">
        <x:v>178</x:v>
      </x:c>
      <x:c r="R133" s="21" t="n">
        <x:f>P133-Q133</x:f>
        <x:v>0</x:v>
      </x:c>
      <x:c r="S133" s="18" t="str">
        <x:v>Yes</x:v>
      </x:c>
      <x:c r="T133" s="18" t="str">
        <x:v>High</x:v>
      </x:c>
      <x:c r="U133" s="18" t="str">
        <x:v>Yi New Sewing Machine_Jun.'26.pdf</x:v>
      </x:c>
      <x:c r="V133" s="18" t="n">
        <x:v>1</x:v>
      </x:c>
      <x:c r="W133" s="18" t="str"/>
    </x:row>
    <x:row r="134">
      <x:c r="A134" s="18" t="str">
        <x:v>2026-06</x:v>
      </x:c>
      <x:c r="B134" s="19" t="n">
        <x:v>46181</x:v>
      </x:c>
      <x:c r="C134" s="18" t="str">
        <x:v>YI-000134</x:v>
      </x:c>
      <x:c r="D134" s="18" t="str">
        <x:v>YI NEW SEWING MACHINE CO., LTD</x:v>
      </x:c>
      <x:c r="E134" s="18" t="str">
        <x:v>風琴:DCx27 #12</x:v>
      </x:c>
      <x:c r="F134" s="18" t="str">
        <x:v>ND-DCX27-12</x:v>
      </x:c>
      <x:c r="G134" s="18" t="str">
        <x:v>風琴機針 DCx27 #12</x:v>
      </x:c>
      <x:c r="H134" s="18" t="str">
        <x:v>DCx27 #12</x:v>
      </x:c>
      <x:c r="I134" s="18" t="str">
        <x:v>Needle</x:v>
      </x:c>
      <x:c r="J134" s="18" t="str">
        <x:v>Consumable</x:v>
      </x:c>
      <x:c r="K134" s="18" t="str">
        <x:v>ORGAN/風琴</x:v>
      </x:c>
      <x:c r="L134" s="18" t="str">
        <x:v>Overlock</x:v>
      </x:c>
      <x:c r="M134" s="20" t="n">
        <x:v>100</x:v>
      </x:c>
      <x:c r="N134" s="18" t="str">
        <x:v>包</x:v>
      </x:c>
      <x:c r="O134" s="21" t="n">
        <x:v>1.3</x:v>
      </x:c>
      <x:c r="P134" s="21" t="n">
        <x:f>M134*O134</x:f>
        <x:v>130</x:v>
      </x:c>
      <x:c r="Q134" s="21" t="n">
        <x:v>130</x:v>
      </x:c>
      <x:c r="R134" s="21" t="n">
        <x:f>P134-Q134</x:f>
        <x:v>0</x:v>
      </x:c>
      <x:c r="S134" s="18" t="str">
        <x:v>Yes</x:v>
      </x:c>
      <x:c r="T134" s="18" t="str">
        <x:v>High</x:v>
      </x:c>
      <x:c r="U134" s="18" t="str">
        <x:v>Yi New Sewing Machine_Jun.'26.pdf</x:v>
      </x:c>
      <x:c r="V134" s="18" t="n">
        <x:v>1</x:v>
      </x:c>
      <x:c r="W134" s="18" t="str"/>
    </x:row>
    <x:row r="135">
      <x:c r="A135" s="18" t="str">
        <x:v>2026-06</x:v>
      </x:c>
      <x:c r="B135" s="19" t="n">
        <x:v>46181</x:v>
      </x:c>
      <x:c r="C135" s="18" t="str">
        <x:v>YI-000134</x:v>
      </x:c>
      <x:c r="D135" s="18" t="str">
        <x:v>YI NEW SEWING MACHINE CO., LTD</x:v>
      </x:c>
      <x:c r="E135" s="18" t="str">
        <x:v>台灣產電烙鐵發熱芯 -150W</x:v>
      </x:c>
      <x:c r="F135" s="18" t="str">
        <x:v>EL-SOLDERING-HEATER-150W-TW</x:v>
      </x:c>
      <x:c r="G135" s="18" t="str">
        <x:v>台灣產電烙鐵發熱芯</x:v>
      </x:c>
      <x:c r="H135" s="18" t="str">
        <x:v>150W</x:v>
      </x:c>
      <x:c r="I135" s="18" t="str">
        <x:v>Electrical/Control</x:v>
      </x:c>
      <x:c r="J135" s="18" t="str">
        <x:v>Spare Part</x:v>
      </x:c>
      <x:c r="K135" s="18" t="str">
        <x:v>Taiwan</x:v>
      </x:c>
      <x:c r="L135" s="18" t="str">
        <x:v>Electrical</x:v>
      </x:c>
      <x:c r="M135" s="20" t="n">
        <x:v>5</x:v>
      </x:c>
      <x:c r="N135" s="18" t="str">
        <x:v>支</x:v>
      </x:c>
      <x:c r="O135" s="21" t="n">
        <x:v>7</x:v>
      </x:c>
      <x:c r="P135" s="21" t="n">
        <x:f>M135*O135</x:f>
        <x:v>35</x:v>
      </x:c>
      <x:c r="Q135" s="21" t="n">
        <x:v>35</x:v>
      </x:c>
      <x:c r="R135" s="21" t="n">
        <x:f>P135-Q135</x:f>
        <x:v>0</x:v>
      </x:c>
      <x:c r="S135" s="18" t="str">
        <x:v>Yes</x:v>
      </x:c>
      <x:c r="T135" s="18" t="str">
        <x:v>High</x:v>
      </x:c>
      <x:c r="U135" s="18" t="str">
        <x:v>Yi New Sewing Machine_Jun.'26.pdf</x:v>
      </x:c>
      <x:c r="V135" s="18" t="n">
        <x:v>1</x:v>
      </x:c>
      <x:c r="W135" s="18" t="str"/>
    </x:row>
    <x:row r="136">
      <x:c r="A136" s="18" t="str">
        <x:v>2026-06</x:v>
      </x:c>
      <x:c r="B136" s="19" t="n">
        <x:v>46181</x:v>
      </x:c>
      <x:c r="C136" s="18" t="str">
        <x:v>YI-000134</x:v>
      </x:c>
      <x:c r="D136" s="18" t="str">
        <x:v>YI NEW SEWING MACHINE CO., LTD</x:v>
      </x:c>
      <x:c r="E136" s="18" t="str">
        <x:v>台灣產電烙鐵-150W</x:v>
      </x:c>
      <x:c r="F136" s="18" t="str">
        <x:v>TL-SOLDERING-IRON-150W-TW</x:v>
      </x:c>
      <x:c r="G136" s="18" t="str">
        <x:v>台灣產電烙鐵</x:v>
      </x:c>
      <x:c r="H136" s="18" t="str">
        <x:v>150W</x:v>
      </x:c>
      <x:c r="I136" s="18" t="str">
        <x:v>Tools</x:v>
      </x:c>
      <x:c r="J136" s="18" t="str">
        <x:v>Tool</x:v>
      </x:c>
      <x:c r="K136" s="18" t="str">
        <x:v>Taiwan</x:v>
      </x:c>
      <x:c r="L136" s="18" t="str">
        <x:v>Electrical</x:v>
      </x:c>
      <x:c r="M136" s="20" t="n">
        <x:v>2</x:v>
      </x:c>
      <x:c r="N136" s="18" t="str">
        <x:v>把</x:v>
      </x:c>
      <x:c r="O136" s="21" t="n">
        <x:v>20</x:v>
      </x:c>
      <x:c r="P136" s="21" t="n">
        <x:f>M136*O136</x:f>
        <x:v>40</x:v>
      </x:c>
      <x:c r="Q136" s="21" t="n">
        <x:v>40</x:v>
      </x:c>
      <x:c r="R136" s="21" t="n">
        <x:f>P136-Q136</x:f>
        <x:v>0</x:v>
      </x:c>
      <x:c r="S136" s="18" t="str">
        <x:v>Yes</x:v>
      </x:c>
      <x:c r="T136" s="18" t="str">
        <x:v>High</x:v>
      </x:c>
      <x:c r="U136" s="18" t="str">
        <x:v>Yi New Sewing Machine_Jun.'26.pdf</x:v>
      </x:c>
      <x:c r="V136" s="18" t="n">
        <x:v>1</x:v>
      </x:c>
      <x:c r="W136" s="18" t="str"/>
    </x:row>
    <x:row r="137">
      <x:c r="A137" s="18" t="str">
        <x:v>2026-06</x:v>
      </x:c>
      <x:c r="B137" s="19" t="n">
        <x:v>46181</x:v>
      </x:c>
      <x:c r="C137" s="18" t="str">
        <x:v>YI-000134</x:v>
      </x:c>
      <x:c r="D137" s="18" t="str">
        <x:v>YI NEW SEWING MACHINE CO., LTD</x:v>
      </x:c>
      <x:c r="E137" s="18" t="str">
        <x:v>鎖眼刀 3/4"</x:v>
      </x:c>
      <x:c r="F137" s="18" t="str">
        <x:v>KN-BUTTONHOLE-3-4</x:v>
      </x:c>
      <x:c r="G137" s="18" t="str">
        <x:v>鎖眼刀</x:v>
      </x:c>
      <x:c r="H137" s="18" t="str">
        <x:v>3/4 inch</x:v>
      </x:c>
      <x:c r="I137" s="18" t="str">
        <x:v>Knife/Looper</x:v>
      </x:c>
      <x:c r="J137" s="18" t="str">
        <x:v>Spare Part</x:v>
      </x:c>
      <x:c r="K137" s="18" t="str"/>
      <x:c r="L137" s="18" t="str">
        <x:v>Buttonhole</x:v>
      </x:c>
      <x:c r="M137" s="20" t="n">
        <x:v>3</x:v>
      </x:c>
      <x:c r="N137" s="18" t="str">
        <x:v>盒</x:v>
      </x:c>
      <x:c r="O137" s="21" t="n">
        <x:v>2.5</x:v>
      </x:c>
      <x:c r="P137" s="21" t="n">
        <x:f>M137*O137</x:f>
        <x:v>7.5</x:v>
      </x:c>
      <x:c r="Q137" s="21" t="n">
        <x:v>7.5</x:v>
      </x:c>
      <x:c r="R137" s="21" t="n">
        <x:f>P137-Q137</x:f>
        <x:v>0</x:v>
      </x:c>
      <x:c r="S137" s="18" t="str">
        <x:v>Yes</x:v>
      </x:c>
      <x:c r="T137" s="18" t="str">
        <x:v>High</x:v>
      </x:c>
      <x:c r="U137" s="18" t="str">
        <x:v>Yi New Sewing Machine_Jun.'26.pdf</x:v>
      </x:c>
      <x:c r="V137" s="18" t="n">
        <x:v>1</x:v>
      </x:c>
      <x:c r="W137" s="18" t="str"/>
    </x:row>
    <x:row r="138">
      <x:c r="A138" s="18" t="str">
        <x:v>2026-06</x:v>
      </x:c>
      <x:c r="B138" s="19" t="n">
        <x:v>46182</x:v>
      </x:c>
      <x:c r="C138" s="18" t="str">
        <x:v>YI-000135</x:v>
      </x:c>
      <x:c r="D138" s="18" t="str">
        <x:v>YI NEW SEWING MACHINE CO., LTD</x:v>
      </x:c>
      <x:c r="E138" s="18" t="str">
        <x:v>S950壓腳（全鋼）</x:v>
      </x:c>
      <x:c r="F138" s="18" t="str">
        <x:v>PF-S950-STEEL</x:v>
      </x:c>
      <x:c r="G138" s="18" t="str">
        <x:v>S950壓腳（全鋼）</x:v>
      </x:c>
      <x:c r="H138" s="18" t="str">
        <x:v>S950</x:v>
      </x:c>
      <x:c r="I138" s="18" t="str">
        <x:v>Presser Foot</x:v>
      </x:c>
      <x:c r="J138" s="18" t="str">
        <x:v>Spare Part</x:v>
      </x:c>
      <x:c r="K138" s="18" t="str"/>
      <x:c r="L138" s="18" t="str">
        <x:v>Single Needle</x:v>
      </x:c>
      <x:c r="M138" s="20" t="n">
        <x:v>10</x:v>
      </x:c>
      <x:c r="N138" s="18" t="str">
        <x:v>個</x:v>
      </x:c>
      <x:c r="O138" s="21" t="n">
        <x:v>1.8</x:v>
      </x:c>
      <x:c r="P138" s="21" t="n">
        <x:f>M138*O138</x:f>
        <x:v>18</x:v>
      </x:c>
      <x:c r="Q138" s="21" t="n">
        <x:v>18</x:v>
      </x:c>
      <x:c r="R138" s="21" t="n">
        <x:f>P138-Q138</x:f>
        <x:v>0</x:v>
      </x:c>
      <x:c r="S138" s="18" t="str">
        <x:v>Yes</x:v>
      </x:c>
      <x:c r="T138" s="18" t="str">
        <x:v>High</x:v>
      </x:c>
      <x:c r="U138" s="18" t="str">
        <x:v>Yi New Sewing Machine_Jun.'26.pdf</x:v>
      </x:c>
      <x:c r="V138" s="18" t="n">
        <x:v>1</x:v>
      </x:c>
      <x:c r="W138" s="18" t="str"/>
    </x:row>
    <x:row r="139">
      <x:c r="A139" s="18" t="str">
        <x:v>2026-06</x:v>
      </x:c>
      <x:c r="B139" s="19" t="n">
        <x:v>46182</x:v>
      </x:c>
      <x:c r="C139" s="18" t="str">
        <x:v>YI-000135</x:v>
      </x:c>
      <x:c r="D139" s="18" t="str">
        <x:v>YI NEW SEWING MACHINE CO., LTD</x:v>
      </x:c>
      <x:c r="E139" s="18" t="str">
        <x:v>風琴: UOx113 #12</x:v>
      </x:c>
      <x:c r="F139" s="18" t="str">
        <x:v>ND-UOX113-12</x:v>
      </x:c>
      <x:c r="G139" s="18" t="str">
        <x:v>風琴機針 UOx113 #12</x:v>
      </x:c>
      <x:c r="H139" s="18" t="str">
        <x:v>UOx113 #12</x:v>
      </x:c>
      <x:c r="I139" s="18" t="str">
        <x:v>Needle</x:v>
      </x:c>
      <x:c r="J139" s="18" t="str">
        <x:v>Consumable</x:v>
      </x:c>
      <x:c r="K139" s="18" t="str">
        <x:v>ORGAN/風琴</x:v>
      </x:c>
      <x:c r="L139" s="18" t="str">
        <x:v>Multi-needle</x:v>
      </x:c>
      <x:c r="M139" s="20" t="n">
        <x:v>50</x:v>
      </x:c>
      <x:c r="N139" s="18" t="str">
        <x:v>包</x:v>
      </x:c>
      <x:c r="O139" s="21" t="n">
        <x:v>3</x:v>
      </x:c>
      <x:c r="P139" s="21" t="n">
        <x:f>M139*O139</x:f>
        <x:v>150</x:v>
      </x:c>
      <x:c r="Q139" s="21" t="n">
        <x:v>150</x:v>
      </x:c>
      <x:c r="R139" s="21" t="n">
        <x:f>P139-Q139</x:f>
        <x:v>0</x:v>
      </x:c>
      <x:c r="S139" s="18" t="str">
        <x:v>Yes</x:v>
      </x:c>
      <x:c r="T139" s="18" t="str">
        <x:v>High</x:v>
      </x:c>
      <x:c r="U139" s="18" t="str">
        <x:v>Yi New Sewing Machine_Jun.'26.pdf</x:v>
      </x:c>
      <x:c r="V139" s="18" t="n">
        <x:v>1</x:v>
      </x:c>
      <x:c r="W139" s="18" t="str"/>
    </x:row>
    <x:row r="140">
      <x:c r="A140" s="18" t="str">
        <x:v>2026-06</x:v>
      </x:c>
      <x:c r="B140" s="19" t="n">
        <x:v>46182</x:v>
      </x:c>
      <x:c r="C140" s="18" t="str">
        <x:v>YI-000135</x:v>
      </x:c>
      <x:c r="D140" s="18" t="str">
        <x:v>YI NEW SEWING MACHINE CO., LTD</x:v>
      </x:c>
      <x:c r="E140" s="18" t="str">
        <x:v>E22 針板</x:v>
      </x:c>
      <x:c r="F140" s="18" t="str">
        <x:v>NP-E22</x:v>
      </x:c>
      <x:c r="G140" s="18" t="str">
        <x:v>E22 針板</x:v>
      </x:c>
      <x:c r="H140" s="18" t="str">
        <x:v>E22</x:v>
      </x:c>
      <x:c r="I140" s="18" t="str">
        <x:v>Needle Plate/Feed Dog</x:v>
      </x:c>
      <x:c r="J140" s="18" t="str">
        <x:v>Spare Part</x:v>
      </x:c>
      <x:c r="K140" s="18" t="str"/>
      <x:c r="L140" s="18" t="str">
        <x:v>Single Needle</x:v>
      </x:c>
      <x:c r="M140" s="20" t="n">
        <x:v>50</x:v>
      </x:c>
      <x:c r="N140" s="18" t="str">
        <x:v>個</x:v>
      </x:c>
      <x:c r="O140" s="21" t="n">
        <x:v>0.35</x:v>
      </x:c>
      <x:c r="P140" s="21" t="n">
        <x:f>M140*O140</x:f>
        <x:v>17.5</x:v>
      </x:c>
      <x:c r="Q140" s="21" t="n">
        <x:v>17.5</x:v>
      </x:c>
      <x:c r="R140" s="21" t="n">
        <x:f>P140-Q140</x:f>
        <x:v>0</x:v>
      </x:c>
      <x:c r="S140" s="18" t="str">
        <x:v>Yes</x:v>
      </x:c>
      <x:c r="T140" s="18" t="str">
        <x:v>High</x:v>
      </x:c>
      <x:c r="U140" s="18" t="str">
        <x:v>Yi New Sewing Machine_Jun.'26.pdf</x:v>
      </x:c>
      <x:c r="V140" s="18" t="n">
        <x:v>1</x:v>
      </x:c>
      <x:c r="W140" s="18" t="str"/>
    </x:row>
    <x:row r="141">
      <x:c r="A141" s="18" t="str">
        <x:v>2026-06</x:v>
      </x:c>
      <x:c r="B141" s="19" t="n">
        <x:v>46182</x:v>
      </x:c>
      <x:c r="C141" s="18" t="str">
        <x:v>YI-000135</x:v>
      </x:c>
      <x:c r="D141" s="18" t="str">
        <x:v>YI NEW SEWING MACHINE CO., LTD</x:v>
      </x:c>
      <x:c r="E141" s="18" t="str">
        <x:v>平車E型牙齒</x:v>
      </x:c>
      <x:c r="F141" s="18" t="str">
        <x:v>FD-SN-E-TYPE</x:v>
      </x:c>
      <x:c r="G141" s="18" t="str">
        <x:v>平車E型牙齒</x:v>
      </x:c>
      <x:c r="H141" s="18" t="str">
        <x:v>E Type</x:v>
      </x:c>
      <x:c r="I141" s="18" t="str">
        <x:v>Needle Plate/Feed Dog</x:v>
      </x:c>
      <x:c r="J141" s="18" t="str">
        <x:v>Spare Part</x:v>
      </x:c>
      <x:c r="K141" s="18" t="str"/>
      <x:c r="L141" s="18" t="str">
        <x:v>Single Needle</x:v>
      </x:c>
      <x:c r="M141" s="20" t="n">
        <x:v>100</x:v>
      </x:c>
      <x:c r="N141" s="18" t="str">
        <x:v>個</x:v>
      </x:c>
      <x:c r="O141" s="21" t="n">
        <x:v>0.5</x:v>
      </x:c>
      <x:c r="P141" s="21" t="n">
        <x:f>M141*O141</x:f>
        <x:v>50</x:v>
      </x:c>
      <x:c r="Q141" s="21" t="n">
        <x:v>50</x:v>
      </x:c>
      <x:c r="R141" s="21" t="n">
        <x:f>P141-Q141</x:f>
        <x:v>0</x:v>
      </x:c>
      <x:c r="S141" s="18" t="str">
        <x:v>Yes</x:v>
      </x:c>
      <x:c r="T141" s="18" t="str">
        <x:v>High</x:v>
      </x:c>
      <x:c r="U141" s="18" t="str">
        <x:v>Yi New Sewing Machine_Jun.'26.pdf</x:v>
      </x:c>
      <x:c r="V141" s="18" t="n">
        <x:v>1</x:v>
      </x:c>
      <x:c r="W141" s="18" t="str"/>
    </x:row>
    <x:row r="142">
      <x:c r="A142" s="18" t="str">
        <x:v>2026-06</x:v>
      </x:c>
      <x:c r="B142" s="19" t="n">
        <x:v>46182</x:v>
      </x:c>
      <x:c r="C142" s="18" t="str">
        <x:v>YI-000137</x:v>
      </x:c>
      <x:c r="D142" s="18" t="str">
        <x:v>YI NEW SEWING MACHINE CO., LTD</x:v>
      </x:c>
      <x:c r="E142" s="18" t="str">
        <x:v>SiRUBA-747Ks小頭拷克牙齒組（原裝）</x:v>
      </x:c>
      <x:c r="F142" s="18" t="str">
        <x:v>FD-SIRUBA747KS-SMALL-ORIG</x:v>
      </x:c>
      <x:c r="G142" s="18" t="str">
        <x:v>SIRUBA-747KS小頭拷克牙齒組（原裝）</x:v>
      </x:c>
      <x:c r="H142" s="18" t="str">
        <x:v>747KS</x:v>
      </x:c>
      <x:c r="I142" s="18" t="str">
        <x:v>Needle Plate/Feed Dog</x:v>
      </x:c>
      <x:c r="J142" s="18" t="str">
        <x:v>Spare Part</x:v>
      </x:c>
      <x:c r="K142" s="18" t="str">
        <x:v>SIRUBA</x:v>
      </x:c>
      <x:c r="L142" s="18" t="str">
        <x:v>Overlock</x:v>
      </x:c>
      <x:c r="M142" s="20" t="n">
        <x:v>5</x:v>
      </x:c>
      <x:c r="N142" s="18" t="str">
        <x:v>套</x:v>
      </x:c>
      <x:c r="O142" s="21" t="n">
        <x:v>15</x:v>
      </x:c>
      <x:c r="P142" s="21" t="n">
        <x:f>M142*O142</x:f>
        <x:v>75</x:v>
      </x:c>
      <x:c r="Q142" s="21" t="n">
        <x:v>75</x:v>
      </x:c>
      <x:c r="R142" s="21" t="n">
        <x:f>P142-Q142</x:f>
        <x:v>0</x:v>
      </x:c>
      <x:c r="S142" s="18" t="str">
        <x:v>Yes</x:v>
      </x:c>
      <x:c r="T142" s="18" t="str">
        <x:v>High</x:v>
      </x:c>
      <x:c r="U142" s="18" t="str">
        <x:v>Yi New Sewing Machine_Jun.'26.pdf</x:v>
      </x:c>
      <x:c r="V142" s="18" t="n">
        <x:v>1</x:v>
      </x:c>
      <x:c r="W142" s="18" t="str"/>
    </x:row>
    <x:row r="143">
      <x:c r="A143" s="18" t="str">
        <x:v>2026-06</x:v>
      </x:c>
      <x:c r="B143" s="19" t="n">
        <x:v>46182</x:v>
      </x:c>
      <x:c r="C143" s="18" t="str">
        <x:v>YI-000138</x:v>
      </x:c>
      <x:c r="D143" s="18" t="str">
        <x:v>YI NEW SEWING MACHINE CO., LTD</x:v>
      </x:c>
      <x:c r="E143" s="18" t="str">
        <x:v>風琴: UOx113 #12</x:v>
      </x:c>
      <x:c r="F143" s="18" t="str">
        <x:v>ND-UOX113-12</x:v>
      </x:c>
      <x:c r="G143" s="18" t="str">
        <x:v>風琴機針 UOx113 #12</x:v>
      </x:c>
      <x:c r="H143" s="18" t="str">
        <x:v>UOx113 #12</x:v>
      </x:c>
      <x:c r="I143" s="18" t="str">
        <x:v>Needle</x:v>
      </x:c>
      <x:c r="J143" s="18" t="str">
        <x:v>Consumable</x:v>
      </x:c>
      <x:c r="K143" s="18" t="str">
        <x:v>ORGAN/風琴</x:v>
      </x:c>
      <x:c r="L143" s="18" t="str">
        <x:v>Multi-needle</x:v>
      </x:c>
      <x:c r="M143" s="20" t="n">
        <x:v>150</x:v>
      </x:c>
      <x:c r="N143" s="18" t="str">
        <x:v>包</x:v>
      </x:c>
      <x:c r="O143" s="21" t="n">
        <x:v>3</x:v>
      </x:c>
      <x:c r="P143" s="21" t="n">
        <x:f>M143*O143</x:f>
        <x:v>450</x:v>
      </x:c>
      <x:c r="Q143" s="21" t="n">
        <x:v>450</x:v>
      </x:c>
      <x:c r="R143" s="21" t="n">
        <x:f>P143-Q143</x:f>
        <x:v>0</x:v>
      </x:c>
      <x:c r="S143" s="18" t="str">
        <x:v>Yes</x:v>
      </x:c>
      <x:c r="T143" s="18" t="str">
        <x:v>High</x:v>
      </x:c>
      <x:c r="U143" s="18" t="str">
        <x:v>Yi New Sewing Machine_Jun.'26.pdf</x:v>
      </x:c>
      <x:c r="V143" s="18" t="n">
        <x:v>1</x:v>
      </x:c>
      <x:c r="W143" s="18" t="str"/>
    </x:row>
    <x:row r="144">
      <x:c r="A144" s="18" t="str">
        <x:v>2026-06</x:v>
      </x:c>
      <x:c r="B144" s="19" t="n">
        <x:v>46182</x:v>
      </x:c>
      <x:c r="C144" s="18" t="str">
        <x:v>YI-000138</x:v>
      </x:c>
      <x:c r="D144" s="18" t="str">
        <x:v>YI NEW SEWING MACHINE CO., LTD</x:v>
      </x:c>
      <x:c r="E144" s="18" t="str">
        <x:v>風琴: UYx128 #12</x:v>
      </x:c>
      <x:c r="F144" s="18" t="str">
        <x:v>ND-UYX128-12</x:v>
      </x:c>
      <x:c r="G144" s="18" t="str">
        <x:v>風琴機針 UYx128 #12</x:v>
      </x:c>
      <x:c r="H144" s="18" t="str">
        <x:v>UYx128 #12</x:v>
      </x:c>
      <x:c r="I144" s="18" t="str">
        <x:v>Needle</x:v>
      </x:c>
      <x:c r="J144" s="18" t="str">
        <x:v>Consumable</x:v>
      </x:c>
      <x:c r="K144" s="18" t="str">
        <x:v>ORGAN/風琴</x:v>
      </x:c>
      <x:c r="L144" s="18" t="str">
        <x:v>Multi-needle / Chainstitch</x:v>
      </x:c>
      <x:c r="M144" s="20" t="n">
        <x:v>150</x:v>
      </x:c>
      <x:c r="N144" s="18" t="str">
        <x:v>包</x:v>
      </x:c>
      <x:c r="O144" s="21" t="n">
        <x:v>1.78</x:v>
      </x:c>
      <x:c r="P144" s="21" t="n">
        <x:f>M144*O144</x:f>
        <x:v>267</x:v>
      </x:c>
      <x:c r="Q144" s="21" t="n">
        <x:v>267</x:v>
      </x:c>
      <x:c r="R144" s="21" t="n">
        <x:f>P144-Q144</x:f>
        <x:v>0</x:v>
      </x:c>
      <x:c r="S144" s="18" t="str">
        <x:v>Yes</x:v>
      </x:c>
      <x:c r="T144" s="18" t="str">
        <x:v>High</x:v>
      </x:c>
      <x:c r="U144" s="18" t="str">
        <x:v>Yi New Sewing Machine_Jun.'26.pdf</x:v>
      </x:c>
      <x:c r="V144" s="18" t="n">
        <x:v>1</x:v>
      </x:c>
      <x:c r="W144" s="18" t="str"/>
    </x:row>
    <x:row r="145">
      <x:c r="A145" s="18" t="str">
        <x:v>2026-06</x:v>
      </x:c>
      <x:c r="B145" s="19" t="n">
        <x:v>46182</x:v>
      </x:c>
      <x:c r="C145" s="18" t="str">
        <x:v>YI-000138</x:v>
      </x:c>
      <x:c r="D145" s="18" t="str">
        <x:v>YI NEW SEWING MACHINE CO., LTD</x:v>
      </x:c>
      <x:c r="E145" s="18" t="str">
        <x:v>風琴: DCx27 #12</x:v>
      </x:c>
      <x:c r="F145" s="18" t="str">
        <x:v>ND-DCX27-12</x:v>
      </x:c>
      <x:c r="G145" s="18" t="str">
        <x:v>風琴機針 DCx27 #12</x:v>
      </x:c>
      <x:c r="H145" s="18" t="str">
        <x:v>DCx27 #12</x:v>
      </x:c>
      <x:c r="I145" s="18" t="str">
        <x:v>Needle</x:v>
      </x:c>
      <x:c r="J145" s="18" t="str">
        <x:v>Consumable</x:v>
      </x:c>
      <x:c r="K145" s="18" t="str">
        <x:v>ORGAN/風琴</x:v>
      </x:c>
      <x:c r="L145" s="18" t="str">
        <x:v>Overlock</x:v>
      </x:c>
      <x:c r="M145" s="20" t="n">
        <x:v>100</x:v>
      </x:c>
      <x:c r="N145" s="18" t="str">
        <x:v>包</x:v>
      </x:c>
      <x:c r="O145" s="21" t="n">
        <x:v>1.3</x:v>
      </x:c>
      <x:c r="P145" s="21" t="n">
        <x:f>M145*O145</x:f>
        <x:v>130</x:v>
      </x:c>
      <x:c r="Q145" s="21" t="n">
        <x:v>130</x:v>
      </x:c>
      <x:c r="R145" s="21" t="n">
        <x:f>P145-Q145</x:f>
        <x:v>0</x:v>
      </x:c>
      <x:c r="S145" s="18" t="str">
        <x:v>Yes</x:v>
      </x:c>
      <x:c r="T145" s="18" t="str">
        <x:v>High</x:v>
      </x:c>
      <x:c r="U145" s="18" t="str">
        <x:v>Yi New Sewing Machine_Jun.'26.pdf</x:v>
      </x:c>
      <x:c r="V145" s="18" t="n">
        <x:v>1</x:v>
      </x:c>
      <x:c r="W145" s="18" t="str"/>
    </x:row>
    <x:row r="146">
      <x:c r="A146" s="18" t="str">
        <x:v>2026-06</x:v>
      </x:c>
      <x:c r="B146" s="19" t="n">
        <x:v>46189</x:v>
      </x:c>
      <x:c r="C146" s="18" t="str">
        <x:v>YI-000139</x:v>
      </x:c>
      <x:c r="D146" s="18" t="str">
        <x:v>YI NEW SEWING MACHINE CO., LTD</x:v>
      </x:c>
      <x:c r="E146" s="18" t="str">
        <x:v>編號紙#5 Number</x:v>
      </x:c>
      <x:c r="F146" s="18" t="str">
        <x:v>CN-NUMBER-PAPER-5</x:v>
      </x:c>
      <x:c r="G146" s="18" t="str">
        <x:v>編號紙 #5</x:v>
      </x:c>
      <x:c r="H146" s="18" t="str">
        <x:v>No.5</x:v>
      </x:c>
      <x:c r="I146" s="18" t="str">
        <x:v>Consumable/Chemical</x:v>
      </x:c>
      <x:c r="J146" s="18" t="str">
        <x:v>Consumable</x:v>
      </x:c>
      <x:c r="K146" s="18" t="str"/>
      <x:c r="L146" s="18" t="str">
        <x:v>Cutting/Bundle</x:v>
      </x:c>
      <x:c r="M146" s="20" t="n">
        <x:v>2</x:v>
      </x:c>
      <x:c r="N146" s="18" t="str">
        <x:v>箱</x:v>
      </x:c>
      <x:c r="O146" s="21" t="n">
        <x:v>110</x:v>
      </x:c>
      <x:c r="P146" s="21" t="n">
        <x:f>M146*O146</x:f>
        <x:v>220</x:v>
      </x:c>
      <x:c r="Q146" s="21" t="n">
        <x:v>220</x:v>
      </x:c>
      <x:c r="R146" s="21" t="n">
        <x:f>P146-Q146</x:f>
        <x:v>0</x:v>
      </x:c>
      <x:c r="S146" s="18" t="str">
        <x:v>Yes</x:v>
      </x:c>
      <x:c r="T146" s="18" t="str">
        <x:v>High</x:v>
      </x:c>
      <x:c r="U146" s="18" t="str">
        <x:v>Yi New Sewing Machine_Jun.'26.pdf</x:v>
      </x:c>
      <x:c r="V146" s="18" t="n">
        <x:v>1</x:v>
      </x:c>
      <x:c r="W146" s="18" t="str"/>
    </x:row>
    <x:row r="147">
      <x:c r="A147" s="18" t="str">
        <x:v>2026-06</x:v>
      </x:c>
      <x:c r="B147" s="19" t="n">
        <x:v>46189</x:v>
      </x:c>
      <x:c r="C147" s="18" t="str">
        <x:v>YI-000139</x:v>
      </x:c>
      <x:c r="D147" s="18" t="str">
        <x:v>YI NEW SEWING MACHINE CO., LTD</x:v>
      </x:c>
      <x:c r="E147" s="18" t="str">
        <x:v>環球沙剪</x:v>
      </x:c>
      <x:c r="F147" s="18" t="str">
        <x:v>TL-THREAD-SNIP-GLOBE</x:v>
      </x:c>
      <x:c r="G147" s="18" t="str">
        <x:v>環球沙剪</x:v>
      </x:c>
      <x:c r="H147" s="18" t="str">
        <x:v>Thread Snip</x:v>
      </x:c>
      <x:c r="I147" s="18" t="str">
        <x:v>Tools</x:v>
      </x:c>
      <x:c r="J147" s="18" t="str">
        <x:v>Tool</x:v>
      </x:c>
      <x:c r="K147" s="18" t="str">
        <x:v>環球</x:v>
      </x:c>
      <x:c r="L147" s="18" t="str">
        <x:v>Sewing</x:v>
      </x:c>
      <x:c r="M147" s="20" t="n">
        <x:v>5</x:v>
      </x:c>
      <x:c r="N147" s="18" t="str">
        <x:v>打</x:v>
      </x:c>
      <x:c r="O147" s="21" t="n">
        <x:v>2.3</x:v>
      </x:c>
      <x:c r="P147" s="21" t="n">
        <x:f>M147*O147</x:f>
        <x:v>11.5</x:v>
      </x:c>
      <x:c r="Q147" s="21" t="n">
        <x:v>11.5</x:v>
      </x:c>
      <x:c r="R147" s="21" t="n">
        <x:f>P147-Q147</x:f>
        <x:v>0</x:v>
      </x:c>
      <x:c r="S147" s="18" t="str">
        <x:v>Yes</x:v>
      </x:c>
      <x:c r="T147" s="18" t="str">
        <x:v>High</x:v>
      </x:c>
      <x:c r="U147" s="18" t="str">
        <x:v>Yi New Sewing Machine_Jun.'26.pdf</x:v>
      </x:c>
      <x:c r="V147" s="18" t="n">
        <x:v>1</x:v>
      </x:c>
      <x:c r="W147" s="18" t="str"/>
    </x:row>
    <x:row r="148">
      <x:c r="A148" s="18" t="str">
        <x:v>2026-06</x:v>
      </x:c>
      <x:c r="B148" s="19" t="n">
        <x:v>46189</x:v>
      </x:c>
      <x:c r="C148" s="18" t="str">
        <x:v>YI-000139</x:v>
      </x:c>
      <x:c r="D148" s="18" t="str">
        <x:v>YI NEW SEWING MACHINE CO., LTD</x:v>
      </x:c>
      <x:c r="E148" s="18" t="str">
        <x:v>風琴: DCx27 #12</x:v>
      </x:c>
      <x:c r="F148" s="18" t="str">
        <x:v>ND-DCX27-12</x:v>
      </x:c>
      <x:c r="G148" s="18" t="str">
        <x:v>風琴機針 DCx27 #12</x:v>
      </x:c>
      <x:c r="H148" s="18" t="str">
        <x:v>DCx27 #12</x:v>
      </x:c>
      <x:c r="I148" s="18" t="str">
        <x:v>Needle</x:v>
      </x:c>
      <x:c r="J148" s="18" t="str">
        <x:v>Consumable</x:v>
      </x:c>
      <x:c r="K148" s="18" t="str">
        <x:v>ORGAN/風琴</x:v>
      </x:c>
      <x:c r="L148" s="18" t="str">
        <x:v>Overlock</x:v>
      </x:c>
      <x:c r="M148" s="20" t="n">
        <x:v>50</x:v>
      </x:c>
      <x:c r="N148" s="18" t="str">
        <x:v>包</x:v>
      </x:c>
      <x:c r="O148" s="21" t="n">
        <x:v>1.3</x:v>
      </x:c>
      <x:c r="P148" s="21" t="n">
        <x:f>M148*O148</x:f>
        <x:v>65</x:v>
      </x:c>
      <x:c r="Q148" s="21" t="n">
        <x:v>65</x:v>
      </x:c>
      <x:c r="R148" s="21" t="n">
        <x:f>P148-Q148</x:f>
        <x:v>0</x:v>
      </x:c>
      <x:c r="S148" s="18" t="str">
        <x:v>Yes</x:v>
      </x:c>
      <x:c r="T148" s="18" t="str">
        <x:v>High</x:v>
      </x:c>
      <x:c r="U148" s="18" t="str">
        <x:v>Yi New Sewing Machine_Jun.'26.pdf</x:v>
      </x:c>
      <x:c r="V148" s="18" t="n">
        <x:v>1</x:v>
      </x:c>
      <x:c r="W148" s="18" t="str"/>
    </x:row>
    <x:row r="149">
      <x:c r="A149" s="18" t="str">
        <x:v>2026-06</x:v>
      </x:c>
      <x:c r="B149" s="19" t="n">
        <x:v>46189</x:v>
      </x:c>
      <x:c r="C149" s="18" t="str">
        <x:v>YI-000139</x:v>
      </x:c>
      <x:c r="D149" s="18" t="str">
        <x:v>YI NEW SEWING MACHINE CO., LTD</x:v>
      </x:c>
      <x:c r="E149" s="18" t="str">
        <x:v>風琴: DBx1 #12</x:v>
      </x:c>
      <x:c r="F149" s="18" t="str">
        <x:v>ND-DBX1-12</x:v>
      </x:c>
      <x:c r="G149" s="18" t="str">
        <x:v>風琴機針 DBx1 #12</x:v>
      </x:c>
      <x:c r="H149" s="18" t="str">
        <x:v>DBx1 #12</x:v>
      </x:c>
      <x:c r="I149" s="18" t="str">
        <x:v>Needle</x:v>
      </x:c>
      <x:c r="J149" s="18" t="str">
        <x:v>Consumable</x:v>
      </x:c>
      <x:c r="K149" s="18" t="str">
        <x:v>ORGAN/風琴</x:v>
      </x:c>
      <x:c r="L149" s="18" t="str">
        <x:v>Single Needle</x:v>
      </x:c>
      <x:c r="M149" s="20" t="n">
        <x:v>50</x:v>
      </x:c>
      <x:c r="N149" s="18" t="str">
        <x:v>包</x:v>
      </x:c>
      <x:c r="O149" s="21" t="n">
        <x:v>0.78</x:v>
      </x:c>
      <x:c r="P149" s="21" t="n">
        <x:f>M149*O149</x:f>
        <x:v>39</x:v>
      </x:c>
      <x:c r="Q149" s="21" t="n">
        <x:v>39</x:v>
      </x:c>
      <x:c r="R149" s="21" t="n">
        <x:f>P149-Q149</x:f>
        <x:v>0</x:v>
      </x:c>
      <x:c r="S149" s="18" t="str">
        <x:v>Yes</x:v>
      </x:c>
      <x:c r="T149" s="18" t="str">
        <x:v>High</x:v>
      </x:c>
      <x:c r="U149" s="18" t="str">
        <x:v>Yi New Sewing Machine_Jun.'26.pdf</x:v>
      </x:c>
      <x:c r="V149" s="18" t="n">
        <x:v>1</x:v>
      </x:c>
      <x:c r="W149" s="18" t="str"/>
    </x:row>
    <x:row r="150">
      <x:c r="A150" s="18" t="str">
        <x:v>2026-06</x:v>
      </x:c>
      <x:c r="B150" s="19" t="n">
        <x:v>46189</x:v>
      </x:c>
      <x:c r="C150" s="18" t="str">
        <x:v>YI-000139</x:v>
      </x:c>
      <x:c r="D150" s="18" t="str">
        <x:v>YI NEW SEWING MACHINE CO., LTD</x:v>
      </x:c>
      <x:c r="E150" s="18" t="str">
        <x:v>風琴: UYx128 #14</x:v>
      </x:c>
      <x:c r="F150" s="18" t="str">
        <x:v>ND-UYX128-14</x:v>
      </x:c>
      <x:c r="G150" s="18" t="str">
        <x:v>風琴機針 UYx128 #14</x:v>
      </x:c>
      <x:c r="H150" s="18" t="str">
        <x:v>UYx128 #14</x:v>
      </x:c>
      <x:c r="I150" s="18" t="str">
        <x:v>Needle</x:v>
      </x:c>
      <x:c r="J150" s="18" t="str">
        <x:v>Consumable</x:v>
      </x:c>
      <x:c r="K150" s="18" t="str">
        <x:v>ORGAN/風琴</x:v>
      </x:c>
      <x:c r="L150" s="18" t="str">
        <x:v>Multi-needle / Chainstitch</x:v>
      </x:c>
      <x:c r="M150" s="20" t="n">
        <x:v>50</x:v>
      </x:c>
      <x:c r="N150" s="18" t="str">
        <x:v>包</x:v>
      </x:c>
      <x:c r="O150" s="21" t="n">
        <x:v>1.78</x:v>
      </x:c>
      <x:c r="P150" s="21" t="n">
        <x:f>M150*O150</x:f>
        <x:v>89</x:v>
      </x:c>
      <x:c r="Q150" s="21" t="n">
        <x:v>89</x:v>
      </x:c>
      <x:c r="R150" s="21" t="n">
        <x:f>P150-Q150</x:f>
        <x:v>0</x:v>
      </x:c>
      <x:c r="S150" s="18" t="str">
        <x:v>Yes</x:v>
      </x:c>
      <x:c r="T150" s="18" t="str">
        <x:v>High</x:v>
      </x:c>
      <x:c r="U150" s="18" t="str">
        <x:v>Yi New Sewing Machine_Jun.'26.pdf</x:v>
      </x:c>
      <x:c r="V150" s="18" t="n">
        <x:v>1</x:v>
      </x:c>
      <x:c r="W150" s="18" t="str"/>
    </x:row>
    <x:row r="151">
      <x:c r="A151" s="18" t="str">
        <x:v>2026-06</x:v>
      </x:c>
      <x:c r="B151" s="19" t="n">
        <x:v>46197</x:v>
      </x:c>
      <x:c r="C151" s="18" t="str">
        <x:v>YI-000140</x:v>
      </x:c>
      <x:c r="D151" s="18" t="str">
        <x:v>YI NEW SEWING MACHINE CO., LTD</x:v>
      </x:c>
      <x:c r="E151" s="18" t="str">
        <x:v>風琴: UOx113 #16</x:v>
      </x:c>
      <x:c r="F151" s="18" t="str">
        <x:v>ND-UOX113-16</x:v>
      </x:c>
      <x:c r="G151" s="18" t="str">
        <x:v>風琴機針 UOx113 #16</x:v>
      </x:c>
      <x:c r="H151" s="18" t="str">
        <x:v>UOx113 #16</x:v>
      </x:c>
      <x:c r="I151" s="18" t="str">
        <x:v>Needle</x:v>
      </x:c>
      <x:c r="J151" s="18" t="str">
        <x:v>Consumable</x:v>
      </x:c>
      <x:c r="K151" s="18" t="str">
        <x:v>ORGAN/風琴</x:v>
      </x:c>
      <x:c r="L151" s="18" t="str">
        <x:v>Multi-needle</x:v>
      </x:c>
      <x:c r="M151" s="20" t="n">
        <x:v>50</x:v>
      </x:c>
      <x:c r="N151" s="18" t="str">
        <x:v>包</x:v>
      </x:c>
      <x:c r="O151" s="21" t="n">
        <x:v>3</x:v>
      </x:c>
      <x:c r="P151" s="21" t="n">
        <x:f>M151*O151</x:f>
        <x:v>150</x:v>
      </x:c>
      <x:c r="Q151" s="21" t="n">
        <x:v>150</x:v>
      </x:c>
      <x:c r="R151" s="21" t="n">
        <x:f>P151-Q151</x:f>
        <x:v>0</x:v>
      </x:c>
      <x:c r="S151" s="18" t="str">
        <x:v>Yes</x:v>
      </x:c>
      <x:c r="T151" s="18" t="str">
        <x:v>High</x:v>
      </x:c>
      <x:c r="U151" s="18" t="str">
        <x:v>Yi New Sewing Machine_Jun.'26.pdf</x:v>
      </x:c>
      <x:c r="V151" s="18" t="n">
        <x:v>1</x:v>
      </x:c>
      <x:c r="W151" s="18" t="str"/>
    </x:row>
    <x:row r="152">
      <x:c r="A152" s="18" t="str">
        <x:v>2026-06</x:v>
      </x:c>
      <x:c r="B152" s="19" t="n">
        <x:v>46197</x:v>
      </x:c>
      <x:c r="C152" s="18" t="str">
        <x:v>YI-000140</x:v>
      </x:c>
      <x:c r="D152" s="18" t="str">
        <x:v>YI NEW SEWING MACHINE CO., LTD</x:v>
      </x:c>
      <x:c r="E152" s="18" t="str">
        <x:v>風琴: UOx113 #14</x:v>
      </x:c>
      <x:c r="F152" s="18" t="str">
        <x:v>ND-UOX113-14</x:v>
      </x:c>
      <x:c r="G152" s="18" t="str">
        <x:v>風琴機針 UOx113 #14</x:v>
      </x:c>
      <x:c r="H152" s="18" t="str">
        <x:v>UOx113 #14</x:v>
      </x:c>
      <x:c r="I152" s="18" t="str">
        <x:v>Needle</x:v>
      </x:c>
      <x:c r="J152" s="18" t="str">
        <x:v>Consumable</x:v>
      </x:c>
      <x:c r="K152" s="18" t="str">
        <x:v>ORGAN/風琴</x:v>
      </x:c>
      <x:c r="L152" s="18" t="str">
        <x:v>Multi-needle</x:v>
      </x:c>
      <x:c r="M152" s="20" t="n">
        <x:v>50</x:v>
      </x:c>
      <x:c r="N152" s="18" t="str">
        <x:v>包</x:v>
      </x:c>
      <x:c r="O152" s="21" t="n">
        <x:v>3</x:v>
      </x:c>
      <x:c r="P152" s="21" t="n">
        <x:f>M152*O152</x:f>
        <x:v>150</x:v>
      </x:c>
      <x:c r="Q152" s="21" t="n">
        <x:v>150</x:v>
      </x:c>
      <x:c r="R152" s="21" t="n">
        <x:f>P152-Q152</x:f>
        <x:v>0</x:v>
      </x:c>
      <x:c r="S152" s="18" t="str">
        <x:v>Yes</x:v>
      </x:c>
      <x:c r="T152" s="18" t="str">
        <x:v>High</x:v>
      </x:c>
      <x:c r="U152" s="18" t="str">
        <x:v>Yi New Sewing Machine_Jun.'26.pdf</x:v>
      </x:c>
      <x:c r="V152" s="18" t="n">
        <x:v>1</x:v>
      </x:c>
      <x:c r="W152" s="18" t="str"/>
    </x:row>
    <x:row r="153">
      <x:c r="A153" s="18" t="str">
        <x:v>2026-06</x:v>
      </x:c>
      <x:c r="B153" s="19" t="n">
        <x:v>46197</x:v>
      </x:c>
      <x:c r="C153" s="18" t="str">
        <x:v>YI-000140</x:v>
      </x:c>
      <x:c r="D153" s="18" t="str">
        <x:v>YI NEW SEWING MACHINE CO., LTD</x:v>
      </x:c>
      <x:c r="E153" s="18" t="str">
        <x:v>電工子彈鉗（好）</x:v>
      </x:c>
      <x:c r="F153" s="18" t="str">
        <x:v>TL-BULLET-CRIMPING-PLIERS</x:v>
      </x:c>
      <x:c r="G153" s="18" t="str">
        <x:v>電工子彈鉗</x:v>
      </x:c>
      <x:c r="H153" s="18" t="str">
        <x:v>Good Quality</x:v>
      </x:c>
      <x:c r="I153" s="18" t="str">
        <x:v>Tools</x:v>
      </x:c>
      <x:c r="J153" s="18" t="str">
        <x:v>Tool</x:v>
      </x:c>
      <x:c r="K153" s="18" t="str"/>
      <x:c r="L153" s="18" t="str">
        <x:v>Electrical</x:v>
      </x:c>
      <x:c r="M153" s="20" t="n">
        <x:v>1</x:v>
      </x:c>
      <x:c r="N153" s="18" t="str">
        <x:v>個</x:v>
      </x:c>
      <x:c r="O153" s="21" t="n">
        <x:v>7</x:v>
      </x:c>
      <x:c r="P153" s="21" t="n">
        <x:f>M153*O153</x:f>
        <x:v>7</x:v>
      </x:c>
      <x:c r="Q153" s="21" t="n">
        <x:v>7</x:v>
      </x:c>
      <x:c r="R153" s="21" t="n">
        <x:f>P153-Q153</x:f>
        <x:v>0</x:v>
      </x:c>
      <x:c r="S153" s="18" t="str">
        <x:v>Yes</x:v>
      </x:c>
      <x:c r="T153" s="18" t="str">
        <x:v>High</x:v>
      </x:c>
      <x:c r="U153" s="18" t="str">
        <x:v>Yi New Sewing Machine_Jun.'26.pdf</x:v>
      </x:c>
      <x:c r="V153" s="18" t="n">
        <x:v>1</x:v>
      </x:c>
      <x:c r="W153" s="18" t="str"/>
    </x:row>
  </x:sheetData>
  <x:conditionalFormatting sqref="R2:R153">
    <x:cfRule type="expression" dxfId="0" priority="1">
      <x:formula>ABS(R2)&gt;0.01</x:formula>
    </x:cfRule>
  </x:conditionalFormatting>
  <x:conditionalFormatting sqref="T2:T153">
    <x:cfRule type="expression" dxfId="1" priority="2">
      <x:formula>T2="Medium"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69297a428944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2" hidden="0" customWidth="1"/>
    <x:col min="3" max="3" width="22" hidden="0" customWidth="1"/>
    <x:col min="4" max="4" width="22" hidden="0" customWidth="1"/>
    <x:col min="5" max="5" width="17" hidden="0" customWidth="1"/>
    <x:col min="6" max="6" width="16" hidden="0" customWidth="1"/>
    <x:col min="7" max="7" width="26" hidden="0" customWidth="1"/>
    <x:col min="8" max="8" width="10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15" hidden="0" customWidth="1"/>
    <x:col min="22" max="22" width="15" hidden="0" customWidth="1"/>
    <x:col min="23" max="23" width="42" hidden="0" customWidth="1"/>
  </x:cols>
  <x:sheetData>
    <x:row r="1" ht="30" customHeight="1">
      <x:c r="A1" s="28" t="str">
        <x:v>VRT Machine Spare Parts Historical Price Master | 2026 Jan-Jun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</x:row>
    <x:row r="2" ht="34" customHeight="1">
      <x:c r="A2" s="34" t="str">
        <x:v>用於未來採購報價比對。建議：新報價高於「Suggested Upper Limit」或較 Last Price 上升超過10%，必須人工覆核。</x:v>
      </x:c>
      <x:c r="B2" s="34" t="str"/>
      <x:c r="C2" s="34" t="str"/>
      <x:c r="D2" s="34" t="str"/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  <x:c r="M2" s="34" t="str"/>
      <x:c r="N2" s="34" t="str"/>
      <x:c r="O2" s="34" t="str"/>
      <x:c r="P2" s="34" t="str"/>
      <x:c r="Q2" s="34" t="str"/>
      <x:c r="R2" s="34" t="str"/>
      <x:c r="S2" s="34" t="str"/>
      <x:c r="T2" s="34" t="str"/>
      <x:c r="U2" s="34" t="str"/>
      <x:c r="V2" s="34" t="str"/>
      <x:c r="W2" s="34" t="str"/>
    </x:row>
    <x:row r="4" ht="36" customHeight="1">
      <x:c r="A4" s="6" t="str">
        <x:v>Part No</x:v>
      </x:c>
      <x:c r="B4" s="6" t="str">
        <x:v>Standard Name</x:v>
      </x:c>
      <x:c r="C4" s="6" t="str">
        <x:v>Spec</x:v>
      </x:c>
      <x:c r="D4" s="6" t="str">
        <x:v>Category</x:v>
      </x:c>
      <x:c r="E4" s="6" t="str">
        <x:v>Item Type</x:v>
      </x:c>
      <x:c r="F4" s="6" t="str">
        <x:v>Brand</x:v>
      </x:c>
      <x:c r="G4" s="6" t="str">
        <x:v>Machine / Use</x:v>
      </x:c>
      <x:c r="H4" s="6" t="str">
        <x:v>Unit</x:v>
      </x:c>
      <x:c r="I4" s="6" t="str">
        <x:v>First Date</x:v>
      </x:c>
      <x:c r="J4" s="6" t="str">
        <x:v>Latest Date</x:v>
      </x:c>
      <x:c r="K4" s="6" t="str">
        <x:v>Purchase Count</x:v>
      </x:c>
      <x:c r="L4" s="6" t="str">
        <x:v>Total Qty</x:v>
      </x:c>
      <x:c r="M4" s="6" t="str">
        <x:v>Total Spend</x:v>
      </x:c>
      <x:c r="N4" s="6" t="str">
        <x:v>Min Price</x:v>
      </x:c>
      <x:c r="O4" s="6" t="str">
        <x:v>Max Price</x:v>
      </x:c>
      <x:c r="P4" s="6" t="str">
        <x:v>Avg Price</x:v>
      </x:c>
      <x:c r="Q4" s="6" t="str">
        <x:v>First Price</x:v>
      </x:c>
      <x:c r="R4" s="6" t="str">
        <x:v>Last Price</x:v>
      </x:c>
      <x:c r="S4" s="6" t="str">
        <x:v>Price Spread %</x:v>
      </x:c>
      <x:c r="T4" s="6" t="str">
        <x:v>Suggested Upper Limit</x:v>
      </x:c>
      <x:c r="U4" s="6" t="str">
        <x:v>Reliability</x:v>
      </x:c>
      <x:c r="V4" s="6" t="str">
        <x:v>Price Status</x:v>
      </x:c>
      <x:c r="W4" s="6" t="str">
        <x:v>Notes</x:v>
      </x:c>
    </x:row>
    <x:row r="5">
      <x:c r="A5" s="18" t="str">
        <x:v>BB-JUKI1900</x:v>
      </x:c>
      <x:c r="B5" s="18" t="str">
        <x:v>JUKI-1900 梭芯</x:v>
      </x:c>
      <x:c r="C5" s="18" t="str">
        <x:v>1900</x:v>
      </x:c>
      <x:c r="D5" s="18" t="str">
        <x:v>Bobbin/Shuttle</x:v>
      </x:c>
      <x:c r="E5" s="18" t="str">
        <x:v>Spare Part</x:v>
      </x:c>
      <x:c r="F5" s="18" t="str">
        <x:v>JUKI</x:v>
      </x:c>
      <x:c r="G5" s="18" t="str">
        <x:v>Bartack</x:v>
      </x:c>
      <x:c r="H5" s="18" t="str">
        <x:v>個</x:v>
      </x:c>
      <x:c r="I5" s="19" t="n">
        <x:v>46144</x:v>
      </x:c>
      <x:c r="J5" s="19" t="n">
        <x:v>46144</x:v>
      </x:c>
      <x:c r="K5" s="18" t="n">
        <x:v>1</x:v>
      </x:c>
      <x:c r="L5" s="18" t="n">
        <x:v>100</x:v>
      </x:c>
      <x:c r="M5" s="21" t="n">
        <x:v>20</x:v>
      </x:c>
      <x:c r="N5" s="21" t="n">
        <x:v>0.2</x:v>
      </x:c>
      <x:c r="O5" s="21" t="n">
        <x:v>0.2</x:v>
      </x:c>
      <x:c r="P5" s="21" t="n">
        <x:v>0.2</x:v>
      </x:c>
      <x:c r="Q5" s="21" t="n">
        <x:v>0.2</x:v>
      </x:c>
      <x:c r="R5" s="21" t="n">
        <x:v>0.2</x:v>
      </x:c>
      <x:c r="S5" s="40" t="n">
        <x:f>IF(N5=0,0,(O5-N5)/N5)</x:f>
        <x:v>0</x:v>
      </x:c>
      <x:c r="T5" s="21" t="n">
        <x:f>O5*1.10</x:f>
        <x:v>0.22000000000000003</x:v>
      </x:c>
      <x:c r="U5" s="18" t="str">
        <x:f>IF(K5&gt;=3,"High",IF(K5=2,"Medium","Low"))</x:f>
        <x:v>Low</x:v>
      </x:c>
      <x:c r="V5" s="18" t="str">
        <x:f>IF(S5&gt;0.10,"Price Varies",IF(K5&gt;=2,"Stable","Single Record"))</x:f>
        <x:v>Single Record</x:v>
      </x:c>
      <x:c r="W5" s="18" t="str"/>
    </x:row>
    <x:row r="6">
      <x:c r="A6" s="18" t="str">
        <x:v>BC-SN-ELECTRONIC</x:v>
      </x:c>
      <x:c r="B6" s="18" t="str">
        <x:v>平車電子梭殼</x:v>
      </x:c>
      <x:c r="C6" s="18" t="str">
        <x:v>Electronic Type</x:v>
      </x:c>
      <x:c r="D6" s="18" t="str">
        <x:v>Bobbin/Shuttle</x:v>
      </x:c>
      <x:c r="E6" s="18" t="str">
        <x:v>Spare Part</x:v>
      </x:c>
      <x:c r="F6" s="18" t="str"/>
      <x:c r="G6" s="18" t="str">
        <x:v>Single Needle</x:v>
      </x:c>
      <x:c r="H6" s="18" t="str">
        <x:v>個</x:v>
      </x:c>
      <x:c r="I6" s="19" t="n">
        <x:v>46086</x:v>
      </x:c>
      <x:c r="J6" s="19" t="n">
        <x:v>46144</x:v>
      </x:c>
      <x:c r="K6" s="18" t="n">
        <x:v>2</x:v>
      </x:c>
      <x:c r="L6" s="18" t="n">
        <x:v>100</x:v>
      </x:c>
      <x:c r="M6" s="21" t="n">
        <x:v>45</x:v>
      </x:c>
      <x:c r="N6" s="21" t="n">
        <x:v>0.45</x:v>
      </x:c>
      <x:c r="O6" s="21" t="n">
        <x:v>0.45</x:v>
      </x:c>
      <x:c r="P6" s="21" t="n">
        <x:v>0.45</x:v>
      </x:c>
      <x:c r="Q6" s="21" t="n">
        <x:v>0.45</x:v>
      </x:c>
      <x:c r="R6" s="21" t="n">
        <x:v>0.45</x:v>
      </x:c>
      <x:c r="S6" s="40" t="n">
        <x:f>IF(N6=0,0,(O6-N6)/N6)</x:f>
        <x:v>0</x:v>
      </x:c>
      <x:c r="T6" s="21" t="n">
        <x:f>O6*1.10</x:f>
        <x:v>0.49500000000000005</x:v>
      </x:c>
      <x:c r="U6" s="18" t="str">
        <x:f>IF(K6&gt;=3,"High",IF(K6=2,"Medium","Low"))</x:f>
        <x:v>Medium</x:v>
      </x:c>
      <x:c r="V6" s="18" t="str">
        <x:f>IF(S6&gt;0.10,"Price Varies",IF(K6&gt;=2,"Stable","Single Record"))</x:f>
        <x:v>Stable</x:v>
      </x:c>
      <x:c r="W6" s="18" t="str"/>
    </x:row>
    <x:row r="7">
      <x:c r="A7" s="18" t="str">
        <x:v>BB-SN-ALUMINUM</x:v>
      </x:c>
      <x:c r="B7" s="18" t="str">
        <x:v>平車電子梭芯（鋁）</x:v>
      </x:c>
      <x:c r="C7" s="18" t="str">
        <x:v>Aluminum</x:v>
      </x:c>
      <x:c r="D7" s="18" t="str">
        <x:v>Bobbin/Shuttle</x:v>
      </x:c>
      <x:c r="E7" s="18" t="str">
        <x:v>Spare Part</x:v>
      </x:c>
      <x:c r="F7" s="18" t="str"/>
      <x:c r="G7" s="18" t="str">
        <x:v>Single Needle</x:v>
      </x:c>
      <x:c r="H7" s="18" t="str">
        <x:v>個</x:v>
      </x:c>
      <x:c r="I7" s="19" t="n">
        <x:v>46086</x:v>
      </x:c>
      <x:c r="J7" s="19" t="n">
        <x:v>46086</x:v>
      </x:c>
      <x:c r="K7" s="18" t="n">
        <x:v>1</x:v>
      </x:c>
      <x:c r="L7" s="18" t="n">
        <x:v>100</x:v>
      </x:c>
      <x:c r="M7" s="21" t="n">
        <x:v>10</x:v>
      </x:c>
      <x:c r="N7" s="21" t="n">
        <x:v>0.1</x:v>
      </x:c>
      <x:c r="O7" s="21" t="n">
        <x:v>0.1</x:v>
      </x:c>
      <x:c r="P7" s="21" t="n">
        <x:v>0.1</x:v>
      </x:c>
      <x:c r="Q7" s="21" t="n">
        <x:v>0.1</x:v>
      </x:c>
      <x:c r="R7" s="21" t="n">
        <x:v>0.1</x:v>
      </x:c>
      <x:c r="S7" s="40" t="n">
        <x:f>IF(N7=0,0,(O7-N7)/N7)</x:f>
        <x:v>0</x:v>
      </x:c>
      <x:c r="T7" s="21" t="n">
        <x:f>O7*1.10</x:f>
        <x:v>0.11000000000000001</x:v>
      </x:c>
      <x:c r="U7" s="18" t="str">
        <x:f>IF(K7&gt;=3,"High",IF(K7=2,"Medium","Low"))</x:f>
        <x:v>Low</x:v>
      </x:c>
      <x:c r="V7" s="18" t="str">
        <x:f>IF(S7&gt;0.10,"Price Varies",IF(K7&gt;=2,"Stable","Single Record"))</x:f>
        <x:v>Single Record</x:v>
      </x:c>
      <x:c r="W7" s="18" t="str"/>
    </x:row>
    <x:row r="8">
      <x:c r="A8" s="18" t="str">
        <x:v>BB-TWIN-NEEDLE-SMALL-AL</x:v>
      </x:c>
      <x:c r="B8" s="18" t="str">
        <x:v>平雙針小梭芯（鋁）</x:v>
      </x:c>
      <x:c r="C8" s="18" t="str">
        <x:v>Aluminum</x:v>
      </x:c>
      <x:c r="D8" s="18" t="str">
        <x:v>Bobbin/Shuttle</x:v>
      </x:c>
      <x:c r="E8" s="18" t="str">
        <x:v>Spare Part</x:v>
      </x:c>
      <x:c r="F8" s="18" t="str"/>
      <x:c r="G8" s="18" t="str">
        <x:v>Twin Needle</x:v>
      </x:c>
      <x:c r="H8" s="18" t="str">
        <x:v>個</x:v>
      </x:c>
      <x:c r="I8" s="19" t="n">
        <x:v>46144</x:v>
      </x:c>
      <x:c r="J8" s="19" t="n">
        <x:v>46144</x:v>
      </x:c>
      <x:c r="K8" s="18" t="n">
        <x:v>1</x:v>
      </x:c>
      <x:c r="L8" s="18" t="n">
        <x:v>100</x:v>
      </x:c>
      <x:c r="M8" s="21" t="n">
        <x:v>20</x:v>
      </x:c>
      <x:c r="N8" s="21" t="n">
        <x:v>0.2</x:v>
      </x:c>
      <x:c r="O8" s="21" t="n">
        <x:v>0.2</x:v>
      </x:c>
      <x:c r="P8" s="21" t="n">
        <x:v>0.2</x:v>
      </x:c>
      <x:c r="Q8" s="21" t="n">
        <x:v>0.2</x:v>
      </x:c>
      <x:c r="R8" s="21" t="n">
        <x:v>0.2</x:v>
      </x:c>
      <x:c r="S8" s="40" t="n">
        <x:f>IF(N8=0,0,(O8-N8)/N8)</x:f>
        <x:v>0</x:v>
      </x:c>
      <x:c r="T8" s="21" t="n">
        <x:f>O8*1.10</x:f>
        <x:v>0.22000000000000003</x:v>
      </x:c>
      <x:c r="U8" s="18" t="str">
        <x:f>IF(K8&gt;=3,"High",IF(K8=2,"Medium","Low"))</x:f>
        <x:v>Low</x:v>
      </x:c>
      <x:c r="V8" s="18" t="str">
        <x:f>IF(S8&gt;0.10,"Price Varies",IF(K8&gt;=2,"Stable","Single Record"))</x:f>
        <x:v>Single Record</x:v>
      </x:c>
      <x:c r="W8" s="18" t="str"/>
    </x:row>
    <x:row r="9">
      <x:c r="A9" s="18" t="str">
        <x:v>CH-502-GLUE-LARGE</x:v>
      </x:c>
      <x:c r="B9" s="18" t="str">
        <x:v>502膠水（大瓶）</x:v>
      </x:c>
      <x:c r="C9" s="18" t="str">
        <x:v>Large Bottle</x:v>
      </x:c>
      <x:c r="D9" s="18" t="str">
        <x:v>Consumable/Chemical</x:v>
      </x:c>
      <x:c r="E9" s="18" t="str">
        <x:v>Consumable</x:v>
      </x:c>
      <x:c r="F9" s="18" t="str"/>
      <x:c r="G9" s="18" t="str">
        <x:v>Maintenance</x:v>
      </x:c>
      <x:c r="H9" s="18" t="str">
        <x:v>瓶</x:v>
      </x:c>
      <x:c r="I9" s="19" t="n">
        <x:v>46106</x:v>
      </x:c>
      <x:c r="J9" s="19" t="n">
        <x:v>46168</x:v>
      </x:c>
      <x:c r="K9" s="18" t="n">
        <x:v>2</x:v>
      </x:c>
      <x:c r="L9" s="18" t="n">
        <x:v>20</x:v>
      </x:c>
      <x:c r="M9" s="21" t="n">
        <x:v>13</x:v>
      </x:c>
      <x:c r="N9" s="21" t="n">
        <x:v>0.65</x:v>
      </x:c>
      <x:c r="O9" s="21" t="n">
        <x:v>0.65</x:v>
      </x:c>
      <x:c r="P9" s="21" t="n">
        <x:v>0.65</x:v>
      </x:c>
      <x:c r="Q9" s="21" t="n">
        <x:v>0.65</x:v>
      </x:c>
      <x:c r="R9" s="21" t="n">
        <x:v>0.65</x:v>
      </x:c>
      <x:c r="S9" s="40" t="n">
        <x:f>IF(N9=0,0,(O9-N9)/N9)</x:f>
        <x:v>0</x:v>
      </x:c>
      <x:c r="T9" s="21" t="n">
        <x:f>O9*1.10</x:f>
        <x:v>0.7150000000000001</x:v>
      </x:c>
      <x:c r="U9" s="18" t="str">
        <x:f>IF(K9&gt;=3,"High",IF(K9=2,"Medium","Low"))</x:f>
        <x:v>Medium</x:v>
      </x:c>
      <x:c r="V9" s="18" t="str">
        <x:f>IF(S9&gt;0.10,"Price Varies",IF(K9&gt;=2,"Stable","Single Record"))</x:f>
        <x:v>Stable</x:v>
      </x:c>
      <x:c r="W9" s="18" t="str"/>
    </x:row>
    <x:row r="10">
      <x:c r="A10" s="18" t="str">
        <x:v>CH-530-CLEANER-SPRAY</x:v>
      </x:c>
      <x:c r="B10" s="18" t="str">
        <x:v>530噴頭型全能水</x:v>
      </x:c>
      <x:c r="C10" s="18" t="str">
        <x:v>530</x:v>
      </x:c>
      <x:c r="D10" s="18" t="str">
        <x:v>Consumable/Chemical</x:v>
      </x:c>
      <x:c r="E10" s="18" t="str">
        <x:v>Consumable</x:v>
      </x:c>
      <x:c r="F10" s="18" t="str"/>
      <x:c r="G10" s="18" t="str">
        <x:v>Cleaning</x:v>
      </x:c>
      <x:c r="H10" s="18" t="str">
        <x:v>瓶</x:v>
      </x:c>
      <x:c r="I10" s="19" t="n">
        <x:v>46043</x:v>
      </x:c>
      <x:c r="J10" s="19" t="n">
        <x:v>46043</x:v>
      </x:c>
      <x:c r="K10" s="18" t="n">
        <x:v>1</x:v>
      </x:c>
      <x:c r="L10" s="18" t="n">
        <x:v>2</x:v>
      </x:c>
      <x:c r="M10" s="21" t="n">
        <x:v>7</x:v>
      </x:c>
      <x:c r="N10" s="21" t="n">
        <x:v>3.5</x:v>
      </x:c>
      <x:c r="O10" s="21" t="n">
        <x:v>3.5</x:v>
      </x:c>
      <x:c r="P10" s="21" t="n">
        <x:v>3.5</x:v>
      </x:c>
      <x:c r="Q10" s="21" t="n">
        <x:v>3.5</x:v>
      </x:c>
      <x:c r="R10" s="21" t="n">
        <x:v>3.5</x:v>
      </x:c>
      <x:c r="S10" s="40" t="n">
        <x:f>IF(N10=0,0,(O10-N10)/N10)</x:f>
        <x:v>0</x:v>
      </x:c>
      <x:c r="T10" s="21" t="n">
        <x:f>O10*1.10</x:f>
        <x:v>3.8500000000000005</x:v>
      </x:c>
      <x:c r="U10" s="18" t="str">
        <x:f>IF(K10&gt;=3,"High",IF(K10=2,"Medium","Low"))</x:f>
        <x:v>Low</x:v>
      </x:c>
      <x:c r="V10" s="18" t="str">
        <x:f>IF(S10&gt;0.10,"Price Varies",IF(K10&gt;=2,"Stable","Single Record"))</x:f>
        <x:v>Single Record</x:v>
      </x:c>
      <x:c r="W10" s="18" t="str"/>
    </x:row>
    <x:row r="11">
      <x:c r="A11" s="18" t="str">
        <x:v>CH-JJW830</x:v>
      </x:c>
      <x:c r="B11" s="18" t="str">
        <x:v>JJW-830</x:v>
      </x:c>
      <x:c r="C11" s="18" t="str">
        <x:v>JJW-830</x:v>
      </x:c>
      <x:c r="D11" s="18" t="str">
        <x:v>Consumable/Chemical</x:v>
      </x:c>
      <x:c r="E11" s="18" t="str">
        <x:v>Consumable</x:v>
      </x:c>
      <x:c r="F11" s="18" t="str"/>
      <x:c r="G11" s="18" t="str">
        <x:v>Maintenance</x:v>
      </x:c>
      <x:c r="H11" s="18" t="str">
        <x:v>瓶</x:v>
      </x:c>
      <x:c r="I11" s="19" t="n">
        <x:v>46027</x:v>
      </x:c>
      <x:c r="J11" s="19" t="n">
        <x:v>46060</x:v>
      </x:c>
      <x:c r="K11" s="18" t="n">
        <x:v>2</x:v>
      </x:c>
      <x:c r="L11" s="18" t="n">
        <x:v>68</x:v>
      </x:c>
      <x:c r="M11" s="21" t="n">
        <x:v>190.4</x:v>
      </x:c>
      <x:c r="N11" s="21" t="n">
        <x:v>2.8</x:v>
      </x:c>
      <x:c r="O11" s="21" t="n">
        <x:v>2.8</x:v>
      </x:c>
      <x:c r="P11" s="21" t="n">
        <x:v>2.8</x:v>
      </x:c>
      <x:c r="Q11" s="21" t="n">
        <x:v>2.8</x:v>
      </x:c>
      <x:c r="R11" s="21" t="n">
        <x:v>2.8</x:v>
      </x:c>
      <x:c r="S11" s="40" t="n">
        <x:f>IF(N11=0,0,(O11-N11)/N11)</x:f>
        <x:v>0</x:v>
      </x:c>
      <x:c r="T11" s="21" t="n">
        <x:f>O11*1.10</x:f>
        <x:v>3.08</x:v>
      </x:c>
      <x:c r="U11" s="18" t="str">
        <x:f>IF(K11&gt;=3,"High",IF(K11=2,"Medium","Low"))</x:f>
        <x:v>Medium</x:v>
      </x:c>
      <x:c r="V11" s="18" t="str">
        <x:f>IF(S11&gt;0.10,"Price Varies",IF(K11&gt;=2,"Stable","Single Record"))</x:f>
        <x:v>Stable</x:v>
      </x:c>
      <x:c r="W11" s="18" t="str"/>
    </x:row>
    <x:row r="12">
      <x:c r="A12" s="18" t="str">
        <x:v>CH-YIMEIJING-STAIN-REMOVER</x:v>
      </x:c>
      <x:c r="B12" s="18" t="str">
        <x:v>台灣產強效益美精去污劑</x:v>
      </x:c>
      <x:c r="C12" s="18" t="str">
        <x:v>Strong</x:v>
      </x:c>
      <x:c r="D12" s="18" t="str">
        <x:v>Consumable/Chemical</x:v>
      </x:c>
      <x:c r="E12" s="18" t="str">
        <x:v>Consumable</x:v>
      </x:c>
      <x:c r="F12" s="18" t="str">
        <x:v>Taiwan</x:v>
      </x:c>
      <x:c r="G12" s="18" t="str">
        <x:v>Cleaning</x:v>
      </x:c>
      <x:c r="H12" s="18" t="str">
        <x:v>罐</x:v>
      </x:c>
      <x:c r="I12" s="19" t="n">
        <x:v>46091</x:v>
      </x:c>
      <x:c r="J12" s="19" t="n">
        <x:v>46091</x:v>
      </x:c>
      <x:c r="K12" s="18" t="n">
        <x:v>1</x:v>
      </x:c>
      <x:c r="L12" s="18" t="n">
        <x:v>1</x:v>
      </x:c>
      <x:c r="M12" s="21" t="n">
        <x:v>6.5</x:v>
      </x:c>
      <x:c r="N12" s="21" t="n">
        <x:v>6.5</x:v>
      </x:c>
      <x:c r="O12" s="21" t="n">
        <x:v>6.5</x:v>
      </x:c>
      <x:c r="P12" s="21" t="n">
        <x:v>6.5</x:v>
      </x:c>
      <x:c r="Q12" s="21" t="n">
        <x:v>6.5</x:v>
      </x:c>
      <x:c r="R12" s="21" t="n">
        <x:v>6.5</x:v>
      </x:c>
      <x:c r="S12" s="40" t="n">
        <x:f>IF(N12=0,0,(O12-N12)/N12)</x:f>
        <x:v>0</x:v>
      </x:c>
      <x:c r="T12" s="21" t="n">
        <x:f>O12*1.10</x:f>
        <x:v>7.15</x:v>
      </x:c>
      <x:c r="U12" s="18" t="str">
        <x:f>IF(K12&gt;=3,"High",IF(K12=2,"Medium","Low"))</x:f>
        <x:v>Low</x:v>
      </x:c>
      <x:c r="V12" s="18" t="str">
        <x:f>IF(S12&gt;0.10,"Price Varies",IF(K12&gt;=2,"Stable","Single Record"))</x:f>
        <x:v>Single Record</x:v>
      </x:c>
      <x:c r="W12" s="18" t="str">
        <x:v>原始中文辨識可能需供應商再次確認</x:v>
      </x:c>
    </x:row>
    <x:row r="13">
      <x:c r="A13" s="18" t="str">
        <x:v>CN-SEWING-OIL-30L</x:v>
      </x:c>
      <x:c r="B13" s="18" t="str">
        <x:v>強化型針車油</x:v>
      </x:c>
      <x:c r="C13" s="18" t="str">
        <x:v>30L</x:v>
      </x:c>
      <x:c r="D13" s="18" t="str">
        <x:v>Consumable/Chemical</x:v>
      </x:c>
      <x:c r="E13" s="18" t="str">
        <x:v>Consumable</x:v>
      </x:c>
      <x:c r="F13" s="18" t="str"/>
      <x:c r="G13" s="18" t="str">
        <x:v>Sewing Machine</x:v>
      </x:c>
      <x:c r="H13" s="18" t="str">
        <x:v>桶</x:v>
      </x:c>
      <x:c r="I13" s="19" t="n">
        <x:v>46154</x:v>
      </x:c>
      <x:c r="J13" s="19" t="n">
        <x:v>46168</x:v>
      </x:c>
      <x:c r="K13" s="18" t="n">
        <x:v>2</x:v>
      </x:c>
      <x:c r="L13" s="18" t="n">
        <x:v>2</x:v>
      </x:c>
      <x:c r="M13" s="21" t="n">
        <x:v>130</x:v>
      </x:c>
      <x:c r="N13" s="21" t="n">
        <x:v>65</x:v>
      </x:c>
      <x:c r="O13" s="21" t="n">
        <x:v>65</x:v>
      </x:c>
      <x:c r="P13" s="21" t="n">
        <x:v>65</x:v>
      </x:c>
      <x:c r="Q13" s="21" t="n">
        <x:v>65</x:v>
      </x:c>
      <x:c r="R13" s="21" t="n">
        <x:v>65</x:v>
      </x:c>
      <x:c r="S13" s="40" t="n">
        <x:f>IF(N13=0,0,(O13-N13)/N13)</x:f>
        <x:v>0</x:v>
      </x:c>
      <x:c r="T13" s="21" t="n">
        <x:f>O13*1.10</x:f>
        <x:v>71.5</x:v>
      </x:c>
      <x:c r="U13" s="18" t="str">
        <x:f>IF(K13&gt;=3,"High",IF(K13=2,"Medium","Low"))</x:f>
        <x:v>Medium</x:v>
      </x:c>
      <x:c r="V13" s="18" t="str">
        <x:f>IF(S13&gt;0.10,"Price Varies",IF(K13&gt;=2,"Stable","Single Record"))</x:f>
        <x:v>Stable</x:v>
      </x:c>
      <x:c r="W13" s="18" t="str"/>
    </x:row>
    <x:row r="14">
      <x:c r="A14" s="18" t="str">
        <x:v>CH-12D-STAIN-REMOVER-JP</x:v>
      </x:c>
      <x:c r="B14" s="18" t="str">
        <x:v>日本12.D強力去污靈</x:v>
      </x:c>
      <x:c r="C14" s="18" t="str">
        <x:v>12.D</x:v>
      </x:c>
      <x:c r="D14" s="18" t="str">
        <x:v>Consumable/Chemical</x:v>
      </x:c>
      <x:c r="E14" s="18" t="str">
        <x:v>Consumable</x:v>
      </x:c>
      <x:c r="F14" s="18" t="str">
        <x:v>Japan</x:v>
      </x:c>
      <x:c r="G14" s="18" t="str">
        <x:v>Cleaning</x:v>
      </x:c>
      <x:c r="H14" s="18" t="str">
        <x:v>瓶</x:v>
      </x:c>
      <x:c r="I14" s="19" t="n">
        <x:v>46038</x:v>
      </x:c>
      <x:c r="J14" s="19" t="n">
        <x:v>46038</x:v>
      </x:c>
      <x:c r="K14" s="18" t="n">
        <x:v>1</x:v>
      </x:c>
      <x:c r="L14" s="18" t="n">
        <x:v>2</x:v>
      </x:c>
      <x:c r="M14" s="21" t="n">
        <x:v>18</x:v>
      </x:c>
      <x:c r="N14" s="21" t="n">
        <x:v>9</x:v>
      </x:c>
      <x:c r="O14" s="21" t="n">
        <x:v>9</x:v>
      </x:c>
      <x:c r="P14" s="21" t="n">
        <x:v>9</x:v>
      </x:c>
      <x:c r="Q14" s="21" t="n">
        <x:v>9</x:v>
      </x:c>
      <x:c r="R14" s="21" t="n">
        <x:v>9</x:v>
      </x:c>
      <x:c r="S14" s="40" t="n">
        <x:f>IF(N14=0,0,(O14-N14)/N14)</x:f>
        <x:v>0</x:v>
      </x:c>
      <x:c r="T14" s="21" t="n">
        <x:f>O14*1.10</x:f>
        <x:v>9.9</x:v>
      </x:c>
      <x:c r="U14" s="18" t="str">
        <x:f>IF(K14&gt;=3,"High",IF(K14=2,"Medium","Low"))</x:f>
        <x:v>Low</x:v>
      </x:c>
      <x:c r="V14" s="18" t="str">
        <x:f>IF(S14&gt;0.10,"Price Varies",IF(K14&gt;=2,"Stable","Single Record"))</x:f>
        <x:v>Single Record</x:v>
      </x:c>
      <x:c r="W14" s="18" t="str"/>
    </x:row>
    <x:row r="15">
      <x:c r="A15" s="18" t="str">
        <x:v>CN-SANDPAPER-280</x:v>
      </x:c>
      <x:c r="B15" s="18" t="str">
        <x:v>砂紙 #280</x:v>
      </x:c>
      <x:c r="C15" s="18" t="str">
        <x:v>#280</x:v>
      </x:c>
      <x:c r="D15" s="18" t="str">
        <x:v>Consumable/Chemical</x:v>
      </x:c>
      <x:c r="E15" s="18" t="str">
        <x:v>Consumable</x:v>
      </x:c>
      <x:c r="F15" s="18" t="str"/>
      <x:c r="G15" s="18" t="str">
        <x:v>Maintenance</x:v>
      </x:c>
      <x:c r="H15" s="18" t="str">
        <x:v>包</x:v>
      </x:c>
      <x:c r="I15" s="19" t="n">
        <x:v>46144</x:v>
      </x:c>
      <x:c r="J15" s="19" t="n">
        <x:v>46144</x:v>
      </x:c>
      <x:c r="K15" s="18" t="n">
        <x:v>1</x:v>
      </x:c>
      <x:c r="L15" s="18" t="n">
        <x:v>1</x:v>
      </x:c>
      <x:c r="M15" s="21" t="n">
        <x:v>21</x:v>
      </x:c>
      <x:c r="N15" s="21" t="n">
        <x:v>21</x:v>
      </x:c>
      <x:c r="O15" s="21" t="n">
        <x:v>21</x:v>
      </x:c>
      <x:c r="P15" s="21" t="n">
        <x:v>21</x:v>
      </x:c>
      <x:c r="Q15" s="21" t="n">
        <x:v>21</x:v>
      </x:c>
      <x:c r="R15" s="21" t="n">
        <x:v>21</x:v>
      </x:c>
      <x:c r="S15" s="40" t="n">
        <x:f>IF(N15=0,0,(O15-N15)/N15)</x:f>
        <x:v>0</x:v>
      </x:c>
      <x:c r="T15" s="21" t="n">
        <x:f>O15*1.10</x:f>
        <x:v>23.1</x:v>
      </x:c>
      <x:c r="U15" s="18" t="str">
        <x:f>IF(K15&gt;=3,"High",IF(K15=2,"Medium","Low"))</x:f>
        <x:v>Low</x:v>
      </x:c>
      <x:c r="V15" s="18" t="str">
        <x:f>IF(S15&gt;0.10,"Price Varies",IF(K15&gt;=2,"Stable","Single Record"))</x:f>
        <x:v>Single Record</x:v>
      </x:c>
      <x:c r="W15" s="18" t="str"/>
    </x:row>
    <x:row r="16">
      <x:c r="A16" s="18" t="str">
        <x:v>CN-NUMBER-PAPER-5</x:v>
      </x:c>
      <x:c r="B16" s="18" t="str">
        <x:v>編號紙 #5</x:v>
      </x:c>
      <x:c r="C16" s="18" t="str">
        <x:v>No.5</x:v>
      </x:c>
      <x:c r="D16" s="18" t="str">
        <x:v>Consumable/Chemical</x:v>
      </x:c>
      <x:c r="E16" s="18" t="str">
        <x:v>Consumable</x:v>
      </x:c>
      <x:c r="F16" s="18" t="str"/>
      <x:c r="G16" s="18" t="str">
        <x:v>Cutting/Bundle</x:v>
      </x:c>
      <x:c r="H16" s="18" t="str">
        <x:v>箱</x:v>
      </x:c>
      <x:c r="I16" s="19" t="n">
        <x:v>46090</x:v>
      </x:c>
      <x:c r="J16" s="19" t="n">
        <x:v>46189</x:v>
      </x:c>
      <x:c r="K16" s="18" t="n">
        <x:v>2</x:v>
      </x:c>
      <x:c r="L16" s="18" t="n">
        <x:v>4</x:v>
      </x:c>
      <x:c r="M16" s="21" t="n">
        <x:v>440</x:v>
      </x:c>
      <x:c r="N16" s="21" t="n">
        <x:v>110</x:v>
      </x:c>
      <x:c r="O16" s="21" t="n">
        <x:v>110</x:v>
      </x:c>
      <x:c r="P16" s="21" t="n">
        <x:v>110</x:v>
      </x:c>
      <x:c r="Q16" s="21" t="n">
        <x:v>110</x:v>
      </x:c>
      <x:c r="R16" s="21" t="n">
        <x:v>110</x:v>
      </x:c>
      <x:c r="S16" s="40" t="n">
        <x:f>IF(N16=0,0,(O16-N16)/N16)</x:f>
        <x:v>0</x:v>
      </x:c>
      <x:c r="T16" s="21" t="n">
        <x:f>O16*1.10</x:f>
        <x:v>121.00000000000001</x:v>
      </x:c>
      <x:c r="U16" s="18" t="str">
        <x:f>IF(K16&gt;=3,"High",IF(K16=2,"Medium","Low"))</x:f>
        <x:v>Medium</x:v>
      </x:c>
      <x:c r="V16" s="18" t="str">
        <x:f>IF(S16&gt;0.10,"Price Varies",IF(K16&gt;=2,"Stable","Single Record"))</x:f>
        <x:v>Stable</x:v>
      </x:c>
      <x:c r="W16" s="18" t="str"/>
    </x:row>
    <x:row r="17">
      <x:c r="A17" s="18" t="str">
        <x:v>CN-TEFLON-STRIP-1MM</x:v>
      </x:c>
      <x:c r="B17" s="18" t="str">
        <x:v>鐵氟龍條</x:v>
      </x:c>
      <x:c r="C17" s="18" t="str">
        <x:v>1.0 mm</x:v>
      </x:c>
      <x:c r="D17" s="18" t="str">
        <x:v>Consumable/Chemical</x:v>
      </x:c>
      <x:c r="E17" s="18" t="str">
        <x:v>Consumable</x:v>
      </x:c>
      <x:c r="F17" s="18" t="str">
        <x:v>Teflon</x:v>
      </x:c>
      <x:c r="G17" s="18" t="str">
        <x:v>Ironing/Sealing</x:v>
      </x:c>
      <x:c r="H17" s="18" t="str">
        <x:v>條</x:v>
      </x:c>
      <x:c r="I17" s="19" t="n">
        <x:v>46055</x:v>
      </x:c>
      <x:c r="J17" s="19" t="n">
        <x:v>46181</x:v>
      </x:c>
      <x:c r="K17" s="18" t="n">
        <x:v>3</x:v>
      </x:c>
      <x:c r="L17" s="18" t="n">
        <x:v>50</x:v>
      </x:c>
      <x:c r="M17" s="21" t="n">
        <x:v>90</x:v>
      </x:c>
      <x:c r="N17" s="21" t="n">
        <x:v>1.8</x:v>
      </x:c>
      <x:c r="O17" s="21" t="n">
        <x:v>1.8</x:v>
      </x:c>
      <x:c r="P17" s="21" t="n">
        <x:v>1.8</x:v>
      </x:c>
      <x:c r="Q17" s="21" t="n">
        <x:v>1.8</x:v>
      </x:c>
      <x:c r="R17" s="21" t="n">
        <x:v>1.8</x:v>
      </x:c>
      <x:c r="S17" s="40" t="n">
        <x:f>IF(N17=0,0,(O17-N17)/N17)</x:f>
        <x:v>0</x:v>
      </x:c>
      <x:c r="T17" s="21" t="n">
        <x:f>O17*1.10</x:f>
        <x:v>1.9800000000000002</x:v>
      </x:c>
      <x:c r="U17" s="18" t="str">
        <x:f>IF(K17&gt;=3,"High",IF(K17=2,"Medium","Low"))</x:f>
        <x:v>High</x:v>
      </x:c>
      <x:c r="V17" s="18" t="str">
        <x:f>IF(S17&gt;0.10,"Price Varies",IF(K17&gt;=2,"Stable","Single Record"))</x:f>
        <x:v>Stable</x:v>
      </x:c>
      <x:c r="W17" s="18" t="str"/>
    </x:row>
    <x:row r="18">
      <x:c r="A18" s="18" t="str">
        <x:v>CN-TAILOR-CHALK-PANDA-KR</x:v>
      </x:c>
      <x:c r="B18" s="18" t="str">
        <x:v>韓國熊貓圓形畫粉</x:v>
      </x:c>
      <x:c r="C18" s="18" t="str">
        <x:v>Round</x:v>
      </x:c>
      <x:c r="D18" s="18" t="str">
        <x:v>Consumable/Chemical</x:v>
      </x:c>
      <x:c r="E18" s="18" t="str">
        <x:v>Consumable</x:v>
      </x:c>
      <x:c r="F18" s="18" t="str">
        <x:v>Panda/Korea</x:v>
      </x:c>
      <x:c r="G18" s="18" t="str">
        <x:v>Marking</x:v>
      </x:c>
      <x:c r="H18" s="18" t="str">
        <x:v>盒</x:v>
      </x:c>
      <x:c r="I18" s="19" t="n">
        <x:v>46168</x:v>
      </x:c>
      <x:c r="J18" s="19" t="n">
        <x:v>46168</x:v>
      </x:c>
      <x:c r="K18" s="18" t="n">
        <x:v>1</x:v>
      </x:c>
      <x:c r="L18" s="18" t="n">
        <x:v>20</x:v>
      </x:c>
      <x:c r="M18" s="21" t="n">
        <x:v>36</x:v>
      </x:c>
      <x:c r="N18" s="21" t="n">
        <x:v>1.8</x:v>
      </x:c>
      <x:c r="O18" s="21" t="n">
        <x:v>1.8</x:v>
      </x:c>
      <x:c r="P18" s="21" t="n">
        <x:v>1.8</x:v>
      </x:c>
      <x:c r="Q18" s="21" t="n">
        <x:v>1.8</x:v>
      </x:c>
      <x:c r="R18" s="21" t="n">
        <x:v>1.8</x:v>
      </x:c>
      <x:c r="S18" s="40" t="n">
        <x:f>IF(N18=0,0,(O18-N18)/N18)</x:f>
        <x:v>0</x:v>
      </x:c>
      <x:c r="T18" s="21" t="n">
        <x:f>O18*1.10</x:f>
        <x:v>1.9800000000000002</x:v>
      </x:c>
      <x:c r="U18" s="18" t="str">
        <x:f>IF(K18&gt;=3,"High",IF(K18=2,"Medium","Low"))</x:f>
        <x:v>Low</x:v>
      </x:c>
      <x:c r="V18" s="18" t="str">
        <x:f>IF(S18&gt;0.10,"Price Varies",IF(K18&gt;=2,"Stable","Single Record"))</x:f>
        <x:v>Single Record</x:v>
      </x:c>
      <x:c r="W18" s="18" t="str"/>
    </x:row>
    <x:row r="19">
      <x:c r="A19" s="18" t="str">
        <x:v>CT-505C3-224-10IN</x:v>
      </x:c>
      <x:c r="B19" s="18" t="str">
        <x:v>505C3-224組 10吋</x:v>
      </x:c>
      <x:c r="C19" s="18" t="str">
        <x:v>505C3-224, 10in</x:v>
      </x:c>
      <x:c r="D19" s="18" t="str">
        <x:v>Cutting</x:v>
      </x:c>
      <x:c r="E19" s="18" t="str">
        <x:v>Spare Part</x:v>
      </x:c>
      <x:c r="F19" s="18" t="str"/>
      <x:c r="G19" s="18" t="str">
        <x:v>Cutting Machine</x:v>
      </x:c>
      <x:c r="H19" s="18" t="str">
        <x:v>個</x:v>
      </x:c>
      <x:c r="I19" s="19" t="n">
        <x:v>46042</x:v>
      </x:c>
      <x:c r="J19" s="19" t="n">
        <x:v>46042</x:v>
      </x:c>
      <x:c r="K19" s="18" t="n">
        <x:v>1</x:v>
      </x:c>
      <x:c r="L19" s="18" t="n">
        <x:v>2</x:v>
      </x:c>
      <x:c r="M19" s="21" t="n">
        <x:v>100</x:v>
      </x:c>
      <x:c r="N19" s="21" t="n">
        <x:v>50</x:v>
      </x:c>
      <x:c r="O19" s="21" t="n">
        <x:v>50</x:v>
      </x:c>
      <x:c r="P19" s="21" t="n">
        <x:v>50</x:v>
      </x:c>
      <x:c r="Q19" s="21" t="n">
        <x:v>50</x:v>
      </x:c>
      <x:c r="R19" s="21" t="n">
        <x:v>50</x:v>
      </x:c>
      <x:c r="S19" s="40" t="n">
        <x:f>IF(N19=0,0,(O19-N19)/N19)</x:f>
        <x:v>0</x:v>
      </x:c>
      <x:c r="T19" s="21" t="n">
        <x:f>O19*1.10</x:f>
        <x:v>55.00000000000001</x:v>
      </x:c>
      <x:c r="U19" s="18" t="str">
        <x:f>IF(K19&gt;=3,"High",IF(K19=2,"Medium","Low"))</x:f>
        <x:v>Low</x:v>
      </x:c>
      <x:c r="V19" s="18" t="str">
        <x:f>IF(S19&gt;0.10,"Price Varies",IF(K19&gt;=2,"Stable","Single Record"))</x:f>
        <x:v>Single Record</x:v>
      </x:c>
      <x:c r="W19" s="18" t="str">
        <x:v>原始品名保留；建議補機型與實物照片</x:v>
      </x:c>
    </x:row>
    <x:row r="20">
      <x:c r="A20" s="18" t="str">
        <x:v>SAF-METAL-GLOVE-3F-M</x:v>
      </x:c>
      <x:c r="B20" s="18" t="str">
        <x:v>三指鐵手套 M碼</x:v>
      </x:c>
      <x:c r="C20" s="18" t="str">
        <x:v>3-finger, M</x:v>
      </x:c>
      <x:c r="D20" s="18" t="str">
        <x:v>Cutting</x:v>
      </x:c>
      <x:c r="E20" s="18" t="str">
        <x:v>Tool</x:v>
      </x:c>
      <x:c r="F20" s="18" t="str"/>
      <x:c r="G20" s="18" t="str">
        <x:v>Cutting Safety</x:v>
      </x:c>
      <x:c r="H20" s="18" t="str">
        <x:v>支</x:v>
      </x:c>
      <x:c r="I20" s="19" t="n">
        <x:v>46036</x:v>
      </x:c>
      <x:c r="J20" s="19" t="n">
        <x:v>46036</x:v>
      </x:c>
      <x:c r="K20" s="18" t="n">
        <x:v>1</x:v>
      </x:c>
      <x:c r="L20" s="18" t="n">
        <x:v>10</x:v>
      </x:c>
      <x:c r="M20" s="21" t="n">
        <x:v>330</x:v>
      </x:c>
      <x:c r="N20" s="21" t="n">
        <x:v>33</x:v>
      </x:c>
      <x:c r="O20" s="21" t="n">
        <x:v>33</x:v>
      </x:c>
      <x:c r="P20" s="21" t="n">
        <x:v>33</x:v>
      </x:c>
      <x:c r="Q20" s="21" t="n">
        <x:v>33</x:v>
      </x:c>
      <x:c r="R20" s="21" t="n">
        <x:v>33</x:v>
      </x:c>
      <x:c r="S20" s="40" t="n">
        <x:f>IF(N20=0,0,(O20-N20)/N20)</x:f>
        <x:v>0</x:v>
      </x:c>
      <x:c r="T20" s="21" t="n">
        <x:f>O20*1.10</x:f>
        <x:v>36.300000000000004</x:v>
      </x:c>
      <x:c r="U20" s="18" t="str">
        <x:f>IF(K20&gt;=3,"High",IF(K20=2,"Medium","Low"))</x:f>
        <x:v>Low</x:v>
      </x:c>
      <x:c r="V20" s="18" t="str">
        <x:f>IF(S20&gt;0.10,"Price Varies",IF(K20&gt;=2,"Stable","Single Record"))</x:f>
        <x:v>Single Record</x:v>
      </x:c>
      <x:c r="W20" s="18" t="str"/>
    </x:row>
    <x:row r="21">
      <x:c r="A21" s="18" t="str">
        <x:v>CT-YUANYI-SPREADER-CHAIN</x:v>
      </x:c>
      <x:c r="B21" s="18" t="str">
        <x:v>元一自動拉布機鏈條</x:v>
      </x:c>
      <x:c r="C21" s="18" t="str">
        <x:v>Automatic Spreader</x:v>
      </x:c>
      <x:c r="D21" s="18" t="str">
        <x:v>Cutting</x:v>
      </x:c>
      <x:c r="E21" s="18" t="str">
        <x:v>Spare Part</x:v>
      </x:c>
      <x:c r="F21" s="18" t="str">
        <x:v>元一</x:v>
      </x:c>
      <x:c r="G21" s="18" t="str">
        <x:v>Cutting</x:v>
      </x:c>
      <x:c r="H21" s="18" t="str">
        <x:v>條</x:v>
      </x:c>
      <x:c r="I21" s="19" t="n">
        <x:v>46085</x:v>
      </x:c>
      <x:c r="J21" s="19" t="n">
        <x:v>46085</x:v>
      </x:c>
      <x:c r="K21" s="18" t="n">
        <x:v>1</x:v>
      </x:c>
      <x:c r="L21" s="18" t="n">
        <x:v>2</x:v>
      </x:c>
      <x:c r="M21" s="21" t="n">
        <x:v>90</x:v>
      </x:c>
      <x:c r="N21" s="21" t="n">
        <x:v>45</x:v>
      </x:c>
      <x:c r="O21" s="21" t="n">
        <x:v>45</x:v>
      </x:c>
      <x:c r="P21" s="21" t="n">
        <x:v>45</x:v>
      </x:c>
      <x:c r="Q21" s="21" t="n">
        <x:v>45</x:v>
      </x:c>
      <x:c r="R21" s="21" t="n">
        <x:v>45</x:v>
      </x:c>
      <x:c r="S21" s="40" t="n">
        <x:f>IF(N21=0,0,(O21-N21)/N21)</x:f>
        <x:v>0</x:v>
      </x:c>
      <x:c r="T21" s="21" t="n">
        <x:f>O21*1.10</x:f>
        <x:v>49.50000000000001</x:v>
      </x:c>
      <x:c r="U21" s="18" t="str">
        <x:f>IF(K21&gt;=3,"High",IF(K21=2,"Medium","Low"))</x:f>
        <x:v>Low</x:v>
      </x:c>
      <x:c r="V21" s="18" t="str">
        <x:f>IF(S21&gt;0.10,"Price Varies",IF(K21&gt;=2,"Stable","Single Record"))</x:f>
        <x:v>Single Record</x:v>
      </x:c>
      <x:c r="W21" s="18" t="str"/>
    </x:row>
    <x:row r="22">
      <x:c r="A22" s="18" t="str">
        <x:v>CT-CUTTER-BASE-SET</x:v>
      </x:c>
      <x:c r="B22" s="18" t="str">
        <x:v>裁刀底盤組</x:v>
      </x:c>
      <x:c r="C22" s="18" t="str">
        <x:v>Set</x:v>
      </x:c>
      <x:c r="D22" s="18" t="str">
        <x:v>Cutting</x:v>
      </x:c>
      <x:c r="E22" s="18" t="str">
        <x:v>Spare Part</x:v>
      </x:c>
      <x:c r="F22" s="18" t="str"/>
      <x:c r="G22" s="18" t="str">
        <x:v>Cutting Machine</x:v>
      </x:c>
      <x:c r="H22" s="18" t="str">
        <x:v>套</x:v>
      </x:c>
      <x:c r="I22" s="19" t="n">
        <x:v>46154</x:v>
      </x:c>
      <x:c r="J22" s="19" t="n">
        <x:v>46154</x:v>
      </x:c>
      <x:c r="K22" s="18" t="n">
        <x:v>1</x:v>
      </x:c>
      <x:c r="L22" s="18" t="n">
        <x:v>2</x:v>
      </x:c>
      <x:c r="M22" s="21" t="n">
        <x:v>76</x:v>
      </x:c>
      <x:c r="N22" s="21" t="n">
        <x:v>38</x:v>
      </x:c>
      <x:c r="O22" s="21" t="n">
        <x:v>38</x:v>
      </x:c>
      <x:c r="P22" s="21" t="n">
        <x:v>38</x:v>
      </x:c>
      <x:c r="Q22" s="21" t="n">
        <x:v>38</x:v>
      </x:c>
      <x:c r="R22" s="21" t="n">
        <x:v>38</x:v>
      </x:c>
      <x:c r="S22" s="40" t="n">
        <x:f>IF(N22=0,0,(O22-N22)/N22)</x:f>
        <x:v>0</x:v>
      </x:c>
      <x:c r="T22" s="21" t="n">
        <x:f>O22*1.10</x:f>
        <x:v>41.800000000000004</x:v>
      </x:c>
      <x:c r="U22" s="18" t="str">
        <x:f>IF(K22&gt;=3,"High",IF(K22=2,"Medium","Low"))</x:f>
        <x:v>Low</x:v>
      </x:c>
      <x:c r="V22" s="18" t="str">
        <x:f>IF(S22&gt;0.10,"Price Varies",IF(K22&gt;=2,"Stable","Single Record"))</x:f>
        <x:v>Single Record</x:v>
      </x:c>
      <x:c r="W22" s="18" t="str"/>
    </x:row>
    <x:row r="23">
      <x:c r="A23" s="18" t="str">
        <x:v>CT-SCISSOR-ZIGZAG-9IN</x:v>
      </x:c>
      <x:c r="B23" s="18" t="str">
        <x:v>裁床不鏽鋼齒型花邊大剪刀</x:v>
      </x:c>
      <x:c r="C23" s="18" t="str">
        <x:v>9 inch</x:v>
      </x:c>
      <x:c r="D23" s="18" t="str">
        <x:v>Cutting</x:v>
      </x:c>
      <x:c r="E23" s="18" t="str">
        <x:v>Tool</x:v>
      </x:c>
      <x:c r="F23" s="18" t="str"/>
      <x:c r="G23" s="18" t="str">
        <x:v>Cutting</x:v>
      </x:c>
      <x:c r="H23" s="18" t="str">
        <x:v>把</x:v>
      </x:c>
      <x:c r="I23" s="19" t="n">
        <x:v>46045</x:v>
      </x:c>
      <x:c r="J23" s="19" t="n">
        <x:v>46045</x:v>
      </x:c>
      <x:c r="K23" s="18" t="n">
        <x:v>1</x:v>
      </x:c>
      <x:c r="L23" s="18" t="n">
        <x:v>1</x:v>
      </x:c>
      <x:c r="M23" s="21" t="n">
        <x:v>25</x:v>
      </x:c>
      <x:c r="N23" s="21" t="n">
        <x:v>25</x:v>
      </x:c>
      <x:c r="O23" s="21" t="n">
        <x:v>25</x:v>
      </x:c>
      <x:c r="P23" s="21" t="n">
        <x:v>25</x:v>
      </x:c>
      <x:c r="Q23" s="21" t="n">
        <x:v>25</x:v>
      </x:c>
      <x:c r="R23" s="21" t="n">
        <x:v>25</x:v>
      </x:c>
      <x:c r="S23" s="40" t="n">
        <x:f>IF(N23=0,0,(O23-N23)/N23)</x:f>
        <x:v>0</x:v>
      </x:c>
      <x:c r="T23" s="21" t="n">
        <x:f>O23*1.10</x:f>
        <x:v>27.500000000000004</x:v>
      </x:c>
      <x:c r="U23" s="18" t="str">
        <x:f>IF(K23&gt;=3,"High",IF(K23=2,"Medium","Low"))</x:f>
        <x:v>Low</x:v>
      </x:c>
      <x:c r="V23" s="18" t="str">
        <x:f>IF(S23&gt;0.10,"Price Varies",IF(K23&gt;=2,"Stable","Single Record"))</x:f>
        <x:v>Single Record</x:v>
      </x:c>
      <x:c r="W23" s="18" t="str"/>
    </x:row>
    <x:row r="24">
      <x:c r="A24" s="18" t="str">
        <x:v>EL-JUKI1790-IC-BOARD</x:v>
      </x:c>
      <x:c r="B24" s="18" t="str">
        <x:v>1790電子鎖眼機 IC 主板</x:v>
      </x:c>
      <x:c r="C24" s="18" t="str">
        <x:v>JUKI 1790</x:v>
      </x:c>
      <x:c r="D24" s="18" t="str">
        <x:v>Electrical/Control</x:v>
      </x:c>
      <x:c r="E24" s="18" t="str">
        <x:v>Spare Part</x:v>
      </x:c>
      <x:c r="F24" s="18" t="str">
        <x:v>JUKI</x:v>
      </x:c>
      <x:c r="G24" s="18" t="str">
        <x:v>Buttonhole</x:v>
      </x:c>
      <x:c r="H24" s="18" t="str">
        <x:v>板</x:v>
      </x:c>
      <x:c r="I24" s="19" t="n">
        <x:v>46055</x:v>
      </x:c>
      <x:c r="J24" s="19" t="n">
        <x:v>46055</x:v>
      </x:c>
      <x:c r="K24" s="18" t="n">
        <x:v>1</x:v>
      </x:c>
      <x:c r="L24" s="18" t="n">
        <x:v>1</x:v>
      </x:c>
      <x:c r="M24" s="21" t="n">
        <x:v>120</x:v>
      </x:c>
      <x:c r="N24" s="21" t="n">
        <x:v>120</x:v>
      </x:c>
      <x:c r="O24" s="21" t="n">
        <x:v>120</x:v>
      </x:c>
      <x:c r="P24" s="21" t="n">
        <x:v>120</x:v>
      </x:c>
      <x:c r="Q24" s="21" t="n">
        <x:v>120</x:v>
      </x:c>
      <x:c r="R24" s="21" t="n">
        <x:v>120</x:v>
      </x:c>
      <x:c r="S24" s="40" t="n">
        <x:f>IF(N24=0,0,(O24-N24)/N24)</x:f>
        <x:v>0</x:v>
      </x:c>
      <x:c r="T24" s="21" t="n">
        <x:f>O24*1.10</x:f>
        <x:v>132</x:v>
      </x:c>
      <x:c r="U24" s="18" t="str">
        <x:f>IF(K24&gt;=3,"High",IF(K24=2,"Medium","Low"))</x:f>
        <x:v>Low</x:v>
      </x:c>
      <x:c r="V24" s="18" t="str">
        <x:f>IF(S24&gt;0.10,"Price Varies",IF(K24&gt;=2,"Stable","Single Record"))</x:f>
        <x:v>Single Record</x:v>
      </x:c>
      <x:c r="W24" s="18" t="str"/>
    </x:row>
    <x:row r="25">
      <x:c r="A25" s="18" t="str">
        <x:v>EL-TSM600-HIGH-TEMP-MOTOR</x:v>
      </x:c>
      <x:c r="B25" s="18" t="str">
        <x:v>600型燙襯機大溫電機</x:v>
      </x:c>
      <x:c r="C25" s="18" t="str">
        <x:v>TSM-600</x:v>
      </x:c>
      <x:c r="D25" s="18" t="str">
        <x:v>Electrical/Control</x:v>
      </x:c>
      <x:c r="E25" s="18" t="str">
        <x:v>Spare Part</x:v>
      </x:c>
      <x:c r="F25" s="18" t="str"/>
      <x:c r="G25" s="18" t="str">
        <x:v>TSM-600 Fusing Machine</x:v>
      </x:c>
      <x:c r="H25" s="18" t="str">
        <x:v>個</x:v>
      </x:c>
      <x:c r="I25" s="19" t="n">
        <x:v>46006</x:v>
      </x:c>
      <x:c r="J25" s="19" t="n">
        <x:v>46006</x:v>
      </x:c>
      <x:c r="K25" s="18" t="n">
        <x:v>1</x:v>
      </x:c>
      <x:c r="L25" s="18" t="n">
        <x:v>1</x:v>
      </x:c>
      <x:c r="M25" s="21" t="n">
        <x:v>18</x:v>
      </x:c>
      <x:c r="N25" s="21" t="n">
        <x:v>18</x:v>
      </x:c>
      <x:c r="O25" s="21" t="n">
        <x:v>18</x:v>
      </x:c>
      <x:c r="P25" s="21" t="n">
        <x:v>18</x:v>
      </x:c>
      <x:c r="Q25" s="21" t="n">
        <x:v>18</x:v>
      </x:c>
      <x:c r="R25" s="21" t="n">
        <x:v>18</x:v>
      </x:c>
      <x:c r="S25" s="40" t="n">
        <x:f>IF(N25=0,0,(O25-N25)/N25)</x:f>
        <x:v>0</x:v>
      </x:c>
      <x:c r="T25" s="21" t="n">
        <x:f>O25*1.10</x:f>
        <x:v>19.8</x:v>
      </x:c>
      <x:c r="U25" s="18" t="str">
        <x:f>IF(K25&gt;=3,"High",IF(K25=2,"Medium","Low"))</x:f>
        <x:v>Low</x:v>
      </x:c>
      <x:c r="V25" s="18" t="str">
        <x:f>IF(S25&gt;0.10,"Price Varies",IF(K25&gt;=2,"Stable","Single Record"))</x:f>
        <x:v>Single Record</x:v>
      </x:c>
      <x:c r="W25" s="18" t="str">
        <x:v>原始品名較不常見，建議以實物或供應商料號確認</x:v>
      </x:c>
    </x:row>
    <x:row r="26">
      <x:c r="A26" s="18" t="str">
        <x:v>EL-TSM600-SOCKET</x:v>
      </x:c>
      <x:c r="B26" s="18" t="str">
        <x:v>600型燙襯機接電座</x:v>
      </x:c>
      <x:c r="C26" s="18" t="str">
        <x:v>TSM-600</x:v>
      </x:c>
      <x:c r="D26" s="18" t="str">
        <x:v>Electrical/Control</x:v>
      </x:c>
      <x:c r="E26" s="18" t="str">
        <x:v>Spare Part</x:v>
      </x:c>
      <x:c r="F26" s="18" t="str"/>
      <x:c r="G26" s="18" t="str">
        <x:v>TSM-600 Fusing Machine</x:v>
      </x:c>
      <x:c r="H26" s="18" t="str">
        <x:v>個</x:v>
      </x:c>
      <x:c r="I26" s="19" t="n">
        <x:v>46006</x:v>
      </x:c>
      <x:c r="J26" s="19" t="n">
        <x:v>46006</x:v>
      </x:c>
      <x:c r="K26" s="18" t="n">
        <x:v>1</x:v>
      </x:c>
      <x:c r="L26" s="18" t="n">
        <x:v>1</x:v>
      </x:c>
      <x:c r="M26" s="21" t="n">
        <x:v>5</x:v>
      </x:c>
      <x:c r="N26" s="21" t="n">
        <x:v>5</x:v>
      </x:c>
      <x:c r="O26" s="21" t="n">
        <x:v>5</x:v>
      </x:c>
      <x:c r="P26" s="21" t="n">
        <x:v>5</x:v>
      </x:c>
      <x:c r="Q26" s="21" t="n">
        <x:v>5</x:v>
      </x:c>
      <x:c r="R26" s="21" t="n">
        <x:v>5</x:v>
      </x:c>
      <x:c r="S26" s="40" t="n">
        <x:f>IF(N26=0,0,(O26-N26)/N26)</x:f>
        <x:v>0</x:v>
      </x:c>
      <x:c r="T26" s="21" t="n">
        <x:f>O26*1.10</x:f>
        <x:v>5.5</x:v>
      </x:c>
      <x:c r="U26" s="18" t="str">
        <x:f>IF(K26&gt;=3,"High",IF(K26=2,"Medium","Low"))</x:f>
        <x:v>Low</x:v>
      </x:c>
      <x:c r="V26" s="18" t="str">
        <x:f>IF(S26&gt;0.10,"Price Varies",IF(K26&gt;=2,"Stable","Single Record"))</x:f>
        <x:v>Single Record</x:v>
      </x:c>
      <x:c r="W26" s="18" t="str"/>
    </x:row>
    <x:row r="27">
      <x:c r="A27" s="18" t="str">
        <x:v>EL-TSM600-REGULATOR</x:v>
      </x:c>
      <x:c r="B27" s="18" t="str">
        <x:v>600型燙襯機調電器</x:v>
      </x:c>
      <x:c r="C27" s="18" t="str">
        <x:v>TSM-600</x:v>
      </x:c>
      <x:c r="D27" s="18" t="str">
        <x:v>Electrical/Control</x:v>
      </x:c>
      <x:c r="E27" s="18" t="str">
        <x:v>Spare Part</x:v>
      </x:c>
      <x:c r="F27" s="18" t="str"/>
      <x:c r="G27" s="18" t="str">
        <x:v>TSM-600 Fusing Machine</x:v>
      </x:c>
      <x:c r="H27" s="18" t="str">
        <x:v>個</x:v>
      </x:c>
      <x:c r="I27" s="19" t="n">
        <x:v>46006</x:v>
      </x:c>
      <x:c r="J27" s="19" t="n">
        <x:v>46006</x:v>
      </x:c>
      <x:c r="K27" s="18" t="n">
        <x:v>1</x:v>
      </x:c>
      <x:c r="L27" s="18" t="n">
        <x:v>1</x:v>
      </x:c>
      <x:c r="M27" s="21" t="n">
        <x:v>12</x:v>
      </x:c>
      <x:c r="N27" s="21" t="n">
        <x:v>12</x:v>
      </x:c>
      <x:c r="O27" s="21" t="n">
        <x:v>12</x:v>
      </x:c>
      <x:c r="P27" s="21" t="n">
        <x:v>12</x:v>
      </x:c>
      <x:c r="Q27" s="21" t="n">
        <x:v>12</x:v>
      </x:c>
      <x:c r="R27" s="21" t="n">
        <x:v>12</x:v>
      </x:c>
      <x:c r="S27" s="40" t="n">
        <x:f>IF(N27=0,0,(O27-N27)/N27)</x:f>
        <x:v>0</x:v>
      </x:c>
      <x:c r="T27" s="21" t="n">
        <x:f>O27*1.10</x:f>
        <x:v>13.200000000000001</x:v>
      </x:c>
      <x:c r="U27" s="18" t="str">
        <x:f>IF(K27&gt;=3,"High",IF(K27=2,"Medium","Low"))</x:f>
        <x:v>Low</x:v>
      </x:c>
      <x:c r="V27" s="18" t="str">
        <x:f>IF(S27&gt;0.10,"Price Varies",IF(K27&gt;=2,"Stable","Single Record"))</x:f>
        <x:v>Single Record</x:v>
      </x:c>
      <x:c r="W27" s="18" t="str"/>
    </x:row>
    <x:row r="28">
      <x:c r="A28" s="18" t="str">
        <x:v>EL-TSM600-HEATER-BLOCK</x:v>
      </x:c>
      <x:c r="B28" s="18" t="str">
        <x:v>600型燙襯機電塊</x:v>
      </x:c>
      <x:c r="C28" s="18" t="str">
        <x:v>TSM-600</x:v>
      </x:c>
      <x:c r="D28" s="18" t="str">
        <x:v>Electrical/Control</x:v>
      </x:c>
      <x:c r="E28" s="18" t="str">
        <x:v>Spare Part</x:v>
      </x:c>
      <x:c r="F28" s="18" t="str"/>
      <x:c r="G28" s="18" t="str">
        <x:v>TSM-600 Fusing Machine</x:v>
      </x:c>
      <x:c r="H28" s="18" t="str">
        <x:v>個</x:v>
      </x:c>
      <x:c r="I28" s="19" t="n">
        <x:v>46006</x:v>
      </x:c>
      <x:c r="J28" s="19" t="n">
        <x:v>46006</x:v>
      </x:c>
      <x:c r="K28" s="18" t="n">
        <x:v>1</x:v>
      </x:c>
      <x:c r="L28" s="18" t="n">
        <x:v>1</x:v>
      </x:c>
      <x:c r="M28" s="21" t="n">
        <x:v>25</x:v>
      </x:c>
      <x:c r="N28" s="21" t="n">
        <x:v>25</x:v>
      </x:c>
      <x:c r="O28" s="21" t="n">
        <x:v>25</x:v>
      </x:c>
      <x:c r="P28" s="21" t="n">
        <x:v>25</x:v>
      </x:c>
      <x:c r="Q28" s="21" t="n">
        <x:v>25</x:v>
      </x:c>
      <x:c r="R28" s="21" t="n">
        <x:v>25</x:v>
      </x:c>
      <x:c r="S28" s="40" t="n">
        <x:f>IF(N28=0,0,(O28-N28)/N28)</x:f>
        <x:v>0</x:v>
      </x:c>
      <x:c r="T28" s="21" t="n">
        <x:f>O28*1.10</x:f>
        <x:v>27.500000000000004</x:v>
      </x:c>
      <x:c r="U28" s="18" t="str">
        <x:f>IF(K28&gt;=3,"High",IF(K28=2,"Medium","Low"))</x:f>
        <x:v>Low</x:v>
      </x:c>
      <x:c r="V28" s="18" t="str">
        <x:f>IF(S28&gt;0.10,"Price Varies",IF(K28&gt;=2,"Stable","Single Record"))</x:f>
        <x:v>Single Record</x:v>
      </x:c>
      <x:c r="W28" s="18" t="str"/>
    </x:row>
    <x:row r="29">
      <x:c r="A29" s="18" t="str">
        <x:v>EL-JUKI7000A-SCREEN-FILM</x:v>
      </x:c>
      <x:c r="B29" s="18" t="str">
        <x:v>JUKI-7000A 螢幕貼</x:v>
      </x:c>
      <x:c r="C29" s="18" t="str">
        <x:v>7000A</x:v>
      </x:c>
      <x:c r="D29" s="18" t="str">
        <x:v>Electrical/Control</x:v>
      </x:c>
      <x:c r="E29" s="18" t="str">
        <x:v>Consumable</x:v>
      </x:c>
      <x:c r="F29" s="18" t="str">
        <x:v>JUKI</x:v>
      </x:c>
      <x:c r="G29" s="18" t="str">
        <x:v>Single Needle</x:v>
      </x:c>
      <x:c r="H29" s="18" t="str">
        <x:v>個</x:v>
      </x:c>
      <x:c r="I29" s="19" t="n">
        <x:v>46135</x:v>
      </x:c>
      <x:c r="J29" s="19" t="n">
        <x:v>46135</x:v>
      </x:c>
      <x:c r="K29" s="18" t="n">
        <x:v>1</x:v>
      </x:c>
      <x:c r="L29" s="18" t="n">
        <x:v>10</x:v>
      </x:c>
      <x:c r="M29" s="21" t="n">
        <x:v>60</x:v>
      </x:c>
      <x:c r="N29" s="21" t="n">
        <x:v>6</x:v>
      </x:c>
      <x:c r="O29" s="21" t="n">
        <x:v>6</x:v>
      </x:c>
      <x:c r="P29" s="21" t="n">
        <x:v>6</x:v>
      </x:c>
      <x:c r="Q29" s="21" t="n">
        <x:v>6</x:v>
      </x:c>
      <x:c r="R29" s="21" t="n">
        <x:v>6</x:v>
      </x:c>
      <x:c r="S29" s="40" t="n">
        <x:f>IF(N29=0,0,(O29-N29)/N29)</x:f>
        <x:v>0</x:v>
      </x:c>
      <x:c r="T29" s="21" t="n">
        <x:f>O29*1.10</x:f>
        <x:v>6.6000000000000005</x:v>
      </x:c>
      <x:c r="U29" s="18" t="str">
        <x:f>IF(K29&gt;=3,"High",IF(K29=2,"Medium","Low"))</x:f>
        <x:v>Low</x:v>
      </x:c>
      <x:c r="V29" s="18" t="str">
        <x:f>IF(S29&gt;0.10,"Price Varies",IF(K29&gt;=2,"Stable","Single Record"))</x:f>
        <x:v>Single Record</x:v>
      </x:c>
      <x:c r="W29" s="18" t="str"/>
    </x:row>
    <x:row r="30">
      <x:c r="A30" s="18" t="str">
        <x:v>EL-JUKI8700A-SCREEN-FILM</x:v>
      </x:c>
      <x:c r="B30" s="18" t="str">
        <x:v>JUKI-8700A 螢幕貼</x:v>
      </x:c>
      <x:c r="C30" s="18" t="str">
        <x:v>8700A</x:v>
      </x:c>
      <x:c r="D30" s="18" t="str">
        <x:v>Electrical/Control</x:v>
      </x:c>
      <x:c r="E30" s="18" t="str">
        <x:v>Consumable</x:v>
      </x:c>
      <x:c r="F30" s="18" t="str">
        <x:v>JUKI</x:v>
      </x:c>
      <x:c r="G30" s="18" t="str">
        <x:v>Single Needle</x:v>
      </x:c>
      <x:c r="H30" s="18" t="str">
        <x:v>個</x:v>
      </x:c>
      <x:c r="I30" s="19" t="n">
        <x:v>46135</x:v>
      </x:c>
      <x:c r="J30" s="19" t="n">
        <x:v>46135</x:v>
      </x:c>
      <x:c r="K30" s="18" t="n">
        <x:v>1</x:v>
      </x:c>
      <x:c r="L30" s="18" t="n">
        <x:v>10</x:v>
      </x:c>
      <x:c r="M30" s="21" t="n">
        <x:v>58</x:v>
      </x:c>
      <x:c r="N30" s="21" t="n">
        <x:v>5.8</x:v>
      </x:c>
      <x:c r="O30" s="21" t="n">
        <x:v>5.8</x:v>
      </x:c>
      <x:c r="P30" s="21" t="n">
        <x:v>5.8</x:v>
      </x:c>
      <x:c r="Q30" s="21" t="n">
        <x:v>5.8</x:v>
      </x:c>
      <x:c r="R30" s="21" t="n">
        <x:v>5.8</x:v>
      </x:c>
      <x:c r="S30" s="40" t="n">
        <x:f>IF(N30=0,0,(O30-N30)/N30)</x:f>
        <x:v>0</x:v>
      </x:c>
      <x:c r="T30" s="21" t="n">
        <x:f>O30*1.10</x:f>
        <x:v>6.38</x:v>
      </x:c>
      <x:c r="U30" s="18" t="str">
        <x:f>IF(K30&gt;=3,"High",IF(K30=2,"Medium","Low"))</x:f>
        <x:v>Low</x:v>
      </x:c>
      <x:c r="V30" s="18" t="str">
        <x:f>IF(S30&gt;0.10,"Price Varies",IF(K30&gt;=2,"Stable","Single Record"))</x:f>
        <x:v>Single Record</x:v>
      </x:c>
      <x:c r="W30" s="18" t="str"/>
    </x:row>
    <x:row r="31">
      <x:c r="A31" s="18" t="str">
        <x:v>EL-TSM600-TEMP-CONTROLLER</x:v>
      </x:c>
      <x:c r="B31" s="18" t="str">
        <x:v>TSM-600燙襯機溫控器</x:v>
      </x:c>
      <x:c r="C31" s="18" t="str">
        <x:v>TSM-600</x:v>
      </x:c>
      <x:c r="D31" s="18" t="str">
        <x:v>Electrical/Control</x:v>
      </x:c>
      <x:c r="E31" s="18" t="str">
        <x:v>Spare Part</x:v>
      </x:c>
      <x:c r="F31" s="18" t="str"/>
      <x:c r="G31" s="18" t="str">
        <x:v>TSM-600 Fusing Machine</x:v>
      </x:c>
      <x:c r="H31" s="18" t="str">
        <x:v>個</x:v>
      </x:c>
      <x:c r="I31" s="19" t="n">
        <x:v>46006</x:v>
      </x:c>
      <x:c r="J31" s="19" t="n">
        <x:v>46006</x:v>
      </x:c>
      <x:c r="K31" s="18" t="n">
        <x:v>1</x:v>
      </x:c>
      <x:c r="L31" s="18" t="n">
        <x:v>1</x:v>
      </x:c>
      <x:c r="M31" s="21" t="n">
        <x:v>69</x:v>
      </x:c>
      <x:c r="N31" s="21" t="n">
        <x:v>69</x:v>
      </x:c>
      <x:c r="O31" s="21" t="n">
        <x:v>69</x:v>
      </x:c>
      <x:c r="P31" s="21" t="n">
        <x:v>69</x:v>
      </x:c>
      <x:c r="Q31" s="21" t="n">
        <x:v>69</x:v>
      </x:c>
      <x:c r="R31" s="21" t="n">
        <x:v>69</x:v>
      </x:c>
      <x:c r="S31" s="40" t="n">
        <x:f>IF(N31=0,0,(O31-N31)/N31)</x:f>
        <x:v>0</x:v>
      </x:c>
      <x:c r="T31" s="21" t="n">
        <x:f>O31*1.10</x:f>
        <x:v>75.9</x:v>
      </x:c>
      <x:c r="U31" s="18" t="str">
        <x:f>IF(K31&gt;=3,"High",IF(K31=2,"Medium","Low"))</x:f>
        <x:v>Low</x:v>
      </x:c>
      <x:c r="V31" s="18" t="str">
        <x:f>IF(S31&gt;0.10,"Price Varies",IF(K31&gt;=2,"Stable","Single Record"))</x:f>
        <x:v>Single Record</x:v>
      </x:c>
      <x:c r="W31" s="18" t="str"/>
    </x:row>
    <x:row r="32">
      <x:c r="A32" s="18" t="str">
        <x:v>EL-TSM600-SIDE-SWITCH</x:v>
      </x:c>
      <x:c r="B32" s="18" t="str">
        <x:v>TSM-600燙襯機邊開關</x:v>
      </x:c>
      <x:c r="C32" s="18" t="str">
        <x:v>TSM-600</x:v>
      </x:c>
      <x:c r="D32" s="18" t="str">
        <x:v>Electrical/Control</x:v>
      </x:c>
      <x:c r="E32" s="18" t="str">
        <x:v>Spare Part</x:v>
      </x:c>
      <x:c r="F32" s="18" t="str"/>
      <x:c r="G32" s="18" t="str">
        <x:v>TSM-600 Fusing Machine</x:v>
      </x:c>
      <x:c r="H32" s="18" t="str">
        <x:v>個</x:v>
      </x:c>
      <x:c r="I32" s="19" t="n">
        <x:v>46006</x:v>
      </x:c>
      <x:c r="J32" s="19" t="n">
        <x:v>46006</x:v>
      </x:c>
      <x:c r="K32" s="18" t="n">
        <x:v>1</x:v>
      </x:c>
      <x:c r="L32" s="18" t="n">
        <x:v>4</x:v>
      </x:c>
      <x:c r="M32" s="21" t="n">
        <x:v>10</x:v>
      </x:c>
      <x:c r="N32" s="21" t="n">
        <x:v>2.5</x:v>
      </x:c>
      <x:c r="O32" s="21" t="n">
        <x:v>2.5</x:v>
      </x:c>
      <x:c r="P32" s="21" t="n">
        <x:v>2.5</x:v>
      </x:c>
      <x:c r="Q32" s="21" t="n">
        <x:v>2.5</x:v>
      </x:c>
      <x:c r="R32" s="21" t="n">
        <x:v>2.5</x:v>
      </x:c>
      <x:c r="S32" s="40" t="n">
        <x:f>IF(N32=0,0,(O32-N32)/N32)</x:f>
        <x:v>0</x:v>
      </x:c>
      <x:c r="T32" s="21" t="n">
        <x:f>O32*1.10</x:f>
        <x:v>2.75</x:v>
      </x:c>
      <x:c r="U32" s="18" t="str">
        <x:f>IF(K32&gt;=3,"High",IF(K32=2,"Medium","Low"))</x:f>
        <x:v>Low</x:v>
      </x:c>
      <x:c r="V32" s="18" t="str">
        <x:f>IF(S32&gt;0.10,"Price Varies",IF(K32&gt;=2,"Stable","Single Record"))</x:f>
        <x:v>Single Record</x:v>
      </x:c>
      <x:c r="W32" s="18" t="str"/>
    </x:row>
    <x:row r="33">
      <x:c r="A33" s="18" t="str">
        <x:v>EL-YUANYI-SPREADER-SIGNAL-CABLE</x:v>
      </x:c>
      <x:c r="B33" s="18" t="str">
        <x:v>元一自動拉布機信號線</x:v>
      </x:c>
      <x:c r="C33" s="18" t="str">
        <x:v>Automatic Spreader</x:v>
      </x:c>
      <x:c r="D33" s="18" t="str">
        <x:v>Electrical/Control</x:v>
      </x:c>
      <x:c r="E33" s="18" t="str">
        <x:v>Spare Part</x:v>
      </x:c>
      <x:c r="F33" s="18" t="str">
        <x:v>元一</x:v>
      </x:c>
      <x:c r="G33" s="18" t="str">
        <x:v>Cutting</x:v>
      </x:c>
      <x:c r="H33" s="18" t="str">
        <x:v>條</x:v>
      </x:c>
      <x:c r="I33" s="19" t="n">
        <x:v>46085</x:v>
      </x:c>
      <x:c r="J33" s="19" t="n">
        <x:v>46085</x:v>
      </x:c>
      <x:c r="K33" s="18" t="n">
        <x:v>1</x:v>
      </x:c>
      <x:c r="L33" s="18" t="n">
        <x:v>2</x:v>
      </x:c>
      <x:c r="M33" s="21" t="n">
        <x:v>90</x:v>
      </x:c>
      <x:c r="N33" s="21" t="n">
        <x:v>45</x:v>
      </x:c>
      <x:c r="O33" s="21" t="n">
        <x:v>45</x:v>
      </x:c>
      <x:c r="P33" s="21" t="n">
        <x:v>45</x:v>
      </x:c>
      <x:c r="Q33" s="21" t="n">
        <x:v>45</x:v>
      </x:c>
      <x:c r="R33" s="21" t="n">
        <x:v>45</x:v>
      </x:c>
      <x:c r="S33" s="40" t="n">
        <x:f>IF(N33=0,0,(O33-N33)/N33)</x:f>
        <x:v>0</x:v>
      </x:c>
      <x:c r="T33" s="21" t="n">
        <x:f>O33*1.10</x:f>
        <x:v>49.50000000000001</x:v>
      </x:c>
      <x:c r="U33" s="18" t="str">
        <x:f>IF(K33&gt;=3,"High",IF(K33=2,"Medium","Low"))</x:f>
        <x:v>Low</x:v>
      </x:c>
      <x:c r="V33" s="18" t="str">
        <x:f>IF(S33&gt;0.10,"Price Varies",IF(K33&gt;=2,"Stable","Single Record"))</x:f>
        <x:v>Single Record</x:v>
      </x:c>
      <x:c r="W33" s="18" t="str"/>
    </x:row>
    <x:row r="34">
      <x:c r="A34" s="18" t="str">
        <x:v>EL-YUANYI-SPREADER-EXT-CABLE</x:v>
      </x:c>
      <x:c r="B34" s="18" t="str">
        <x:v>元一自動拉布機行程電磁延長信號線</x:v>
      </x:c>
      <x:c r="C34" s="18" t="str">
        <x:v>Automatic Spreader</x:v>
      </x:c>
      <x:c r="D34" s="18" t="str">
        <x:v>Electrical/Control</x:v>
      </x:c>
      <x:c r="E34" s="18" t="str">
        <x:v>Spare Part</x:v>
      </x:c>
      <x:c r="F34" s="18" t="str">
        <x:v>元一</x:v>
      </x:c>
      <x:c r="G34" s="18" t="str">
        <x:v>Cutting</x:v>
      </x:c>
      <x:c r="H34" s="18" t="str">
        <x:v>條</x:v>
      </x:c>
      <x:c r="I34" s="19" t="n">
        <x:v>46085</x:v>
      </x:c>
      <x:c r="J34" s="19" t="n">
        <x:v>46085</x:v>
      </x:c>
      <x:c r="K34" s="18" t="n">
        <x:v>1</x:v>
      </x:c>
      <x:c r="L34" s="18" t="n">
        <x:v>1</x:v>
      </x:c>
      <x:c r="M34" s="21" t="n">
        <x:v>65</x:v>
      </x:c>
      <x:c r="N34" s="21" t="n">
        <x:v>65</x:v>
      </x:c>
      <x:c r="O34" s="21" t="n">
        <x:v>65</x:v>
      </x:c>
      <x:c r="P34" s="21" t="n">
        <x:v>65</x:v>
      </x:c>
      <x:c r="Q34" s="21" t="n">
        <x:v>65</x:v>
      </x:c>
      <x:c r="R34" s="21" t="n">
        <x:v>65</x:v>
      </x:c>
      <x:c r="S34" s="40" t="n">
        <x:f>IF(N34=0,0,(O34-N34)/N34)</x:f>
        <x:v>0</x:v>
      </x:c>
      <x:c r="T34" s="21" t="n">
        <x:f>O34*1.10</x:f>
        <x:v>71.5</x:v>
      </x:c>
      <x:c r="U34" s="18" t="str">
        <x:f>IF(K34&gt;=3,"High",IF(K34=2,"Medium","Low"))</x:f>
        <x:v>Low</x:v>
      </x:c>
      <x:c r="V34" s="18" t="str">
        <x:f>IF(S34&gt;0.10,"Price Varies",IF(K34&gt;=2,"Stable","Single Record"))</x:f>
        <x:v>Single Record</x:v>
      </x:c>
      <x:c r="W34" s="18" t="str"/>
    </x:row>
    <x:row r="35">
      <x:c r="A35" s="18" t="str">
        <x:v>EL-YUANYI-SPREADER-RAIL</x:v>
      </x:c>
      <x:c r="B35" s="18" t="str">
        <x:v>元一自動拉布機電滑軌</x:v>
      </x:c>
      <x:c r="C35" s="18" t="str">
        <x:v>Automatic Spreader</x:v>
      </x:c>
      <x:c r="D35" s="18" t="str">
        <x:v>Electrical/Control</x:v>
      </x:c>
      <x:c r="E35" s="18" t="str">
        <x:v>Spare Part</x:v>
      </x:c>
      <x:c r="F35" s="18" t="str">
        <x:v>元一</x:v>
      </x:c>
      <x:c r="G35" s="18" t="str">
        <x:v>Cutting</x:v>
      </x:c>
      <x:c r="H35" s="18" t="str">
        <x:v>台</x:v>
      </x:c>
      <x:c r="I35" s="19" t="n">
        <x:v>46085</x:v>
      </x:c>
      <x:c r="J35" s="19" t="n">
        <x:v>46085</x:v>
      </x:c>
      <x:c r="K35" s="18" t="n">
        <x:v>1</x:v>
      </x:c>
      <x:c r="L35" s="18" t="n">
        <x:v>2</x:v>
      </x:c>
      <x:c r="M35" s="21" t="n">
        <x:v>190</x:v>
      </x:c>
      <x:c r="N35" s="21" t="n">
        <x:v>95</x:v>
      </x:c>
      <x:c r="O35" s="21" t="n">
        <x:v>95</x:v>
      </x:c>
      <x:c r="P35" s="21" t="n">
        <x:v>95</x:v>
      </x:c>
      <x:c r="Q35" s="21" t="n">
        <x:v>95</x:v>
      </x:c>
      <x:c r="R35" s="21" t="n">
        <x:v>95</x:v>
      </x:c>
      <x:c r="S35" s="40" t="n">
        <x:f>IF(N35=0,0,(O35-N35)/N35)</x:f>
        <x:v>0</x:v>
      </x:c>
      <x:c r="T35" s="21" t="n">
        <x:f>O35*1.10</x:f>
        <x:v>104.50000000000001</x:v>
      </x:c>
      <x:c r="U35" s="18" t="str">
        <x:f>IF(K35&gt;=3,"High",IF(K35=2,"Medium","Low"))</x:f>
        <x:v>Low</x:v>
      </x:c>
      <x:c r="V35" s="18" t="str">
        <x:f>IF(S35&gt;0.10,"Price Varies",IF(K35&gt;=2,"Stable","Single Record"))</x:f>
        <x:v>Single Record</x:v>
      </x:c>
      <x:c r="W35" s="18" t="str"/>
    </x:row>
    <x:row r="36">
      <x:c r="A36" s="18" t="str">
        <x:v>EL-SOLDERING-HEATER-150W-TW</x:v>
      </x:c>
      <x:c r="B36" s="18" t="str">
        <x:v>台灣產電烙鐵發熱芯</x:v>
      </x:c>
      <x:c r="C36" s="18" t="str">
        <x:v>150W</x:v>
      </x:c>
      <x:c r="D36" s="18" t="str">
        <x:v>Electrical/Control</x:v>
      </x:c>
      <x:c r="E36" s="18" t="str">
        <x:v>Spare Part</x:v>
      </x:c>
      <x:c r="F36" s="18" t="str">
        <x:v>Taiwan</x:v>
      </x:c>
      <x:c r="G36" s="18" t="str">
        <x:v>Electrical</x:v>
      </x:c>
      <x:c r="H36" s="18" t="str">
        <x:v>支</x:v>
      </x:c>
      <x:c r="I36" s="19" t="n">
        <x:v>46181</x:v>
      </x:c>
      <x:c r="J36" s="19" t="n">
        <x:v>46181</x:v>
      </x:c>
      <x:c r="K36" s="18" t="n">
        <x:v>1</x:v>
      </x:c>
      <x:c r="L36" s="18" t="n">
        <x:v>5</x:v>
      </x:c>
      <x:c r="M36" s="21" t="n">
        <x:v>35</x:v>
      </x:c>
      <x:c r="N36" s="21" t="n">
        <x:v>7</x:v>
      </x:c>
      <x:c r="O36" s="21" t="n">
        <x:v>7</x:v>
      </x:c>
      <x:c r="P36" s="21" t="n">
        <x:v>7</x:v>
      </x:c>
      <x:c r="Q36" s="21" t="n">
        <x:v>7</x:v>
      </x:c>
      <x:c r="R36" s="21" t="n">
        <x:v>7</x:v>
      </x:c>
      <x:c r="S36" s="40" t="n">
        <x:f>IF(N36=0,0,(O36-N36)/N36)</x:f>
        <x:v>0</x:v>
      </x:c>
      <x:c r="T36" s="21" t="n">
        <x:f>O36*1.10</x:f>
        <x:v>7.700000000000001</x:v>
      </x:c>
      <x:c r="U36" s="18" t="str">
        <x:f>IF(K36&gt;=3,"High",IF(K36=2,"Medium","Low"))</x:f>
        <x:v>Low</x:v>
      </x:c>
      <x:c r="V36" s="18" t="str">
        <x:f>IF(S36&gt;0.10,"Price Varies",IF(K36&gt;=2,"Stable","Single Record"))</x:f>
        <x:v>Single Record</x:v>
      </x:c>
      <x:c r="W36" s="18" t="str"/>
    </x:row>
    <x:row r="37">
      <x:c r="A37" s="18" t="str">
        <x:v>EL-SOLDERING-IRON-TIP-TW</x:v>
      </x:c>
      <x:c r="B37" s="18" t="str">
        <x:v>台灣電烙鐵頭</x:v>
      </x:c>
      <x:c r="C37" s="18" t="str">
        <x:v>Tip</x:v>
      </x:c>
      <x:c r="D37" s="18" t="str">
        <x:v>Electrical/Control</x:v>
      </x:c>
      <x:c r="E37" s="18" t="str">
        <x:v>Spare Part</x:v>
      </x:c>
      <x:c r="F37" s="18" t="str">
        <x:v>Taiwan</x:v>
      </x:c>
      <x:c r="G37" s="18" t="str">
        <x:v>Electrical</x:v>
      </x:c>
      <x:c r="H37" s="18" t="str">
        <x:v>支</x:v>
      </x:c>
      <x:c r="I37" s="19" t="n">
        <x:v>46181</x:v>
      </x:c>
      <x:c r="J37" s="19" t="n">
        <x:v>46181</x:v>
      </x:c>
      <x:c r="K37" s="18" t="n">
        <x:v>1</x:v>
      </x:c>
      <x:c r="L37" s="18" t="n">
        <x:v>2</x:v>
      </x:c>
      <x:c r="M37" s="21" t="n">
        <x:v>12</x:v>
      </x:c>
      <x:c r="N37" s="21" t="n">
        <x:v>6</x:v>
      </x:c>
      <x:c r="O37" s="21" t="n">
        <x:v>6</x:v>
      </x:c>
      <x:c r="P37" s="21" t="n">
        <x:v>6</x:v>
      </x:c>
      <x:c r="Q37" s="21" t="n">
        <x:v>6</x:v>
      </x:c>
      <x:c r="R37" s="21" t="n">
        <x:v>6</x:v>
      </x:c>
      <x:c r="S37" s="40" t="n">
        <x:f>IF(N37=0,0,(O37-N37)/N37)</x:f>
        <x:v>0</x:v>
      </x:c>
      <x:c r="T37" s="21" t="n">
        <x:f>O37*1.10</x:f>
        <x:v>6.6000000000000005</x:v>
      </x:c>
      <x:c r="U37" s="18" t="str">
        <x:f>IF(K37&gt;=3,"High",IF(K37=2,"Medium","Low"))</x:f>
        <x:v>Low</x:v>
      </x:c>
      <x:c r="V37" s="18" t="str">
        <x:f>IF(S37&gt;0.10,"Price Varies",IF(K37&gt;=2,"Stable","Single Record"))</x:f>
        <x:v>Single Record</x:v>
      </x:c>
      <x:c r="W37" s="18" t="str"/>
    </x:row>
    <x:row r="38">
      <x:c r="A38" s="18" t="str">
        <x:v>EL-TECO-STARTER-SWITCH-JP</x:v>
      </x:c>
      <x:c r="B38" s="18" t="str">
        <x:v>東元啟動組合開關（日本）</x:v>
      </x:c>
      <x:c r="C38" s="18" t="str">
        <x:v>Starter Combination</x:v>
      </x:c>
      <x:c r="D38" s="18" t="str">
        <x:v>Electrical/Control</x:v>
      </x:c>
      <x:c r="E38" s="18" t="str">
        <x:v>Spare Part</x:v>
      </x:c>
      <x:c r="F38" s="18" t="str">
        <x:v>TECO/東元</x:v>
      </x:c>
      <x:c r="G38" s="18" t="str">
        <x:v>Motor Control</x:v>
      </x:c>
      <x:c r="H38" s="18" t="str">
        <x:v>組</x:v>
      </x:c>
      <x:c r="I38" s="19" t="n">
        <x:v>46102</x:v>
      </x:c>
      <x:c r="J38" s="19" t="n">
        <x:v>46102</x:v>
      </x:c>
      <x:c r="K38" s="18" t="n">
        <x:v>1</x:v>
      </x:c>
      <x:c r="L38" s="18" t="n">
        <x:v>10</x:v>
      </x:c>
      <x:c r="M38" s="21" t="n">
        <x:v>285</x:v>
      </x:c>
      <x:c r="N38" s="21" t="n">
        <x:v>28.5</x:v>
      </x:c>
      <x:c r="O38" s="21" t="n">
        <x:v>28.5</x:v>
      </x:c>
      <x:c r="P38" s="21" t="n">
        <x:v>28.5</x:v>
      </x:c>
      <x:c r="Q38" s="21" t="n">
        <x:v>28.5</x:v>
      </x:c>
      <x:c r="R38" s="21" t="n">
        <x:v>28.5</x:v>
      </x:c>
      <x:c r="S38" s="40" t="n">
        <x:f>IF(N38=0,0,(O38-N38)/N38)</x:f>
        <x:v>0</x:v>
      </x:c>
      <x:c r="T38" s="21" t="n">
        <x:f>O38*1.10</x:f>
        <x:v>31.35</x:v>
      </x:c>
      <x:c r="U38" s="18" t="str">
        <x:f>IF(K38&gt;=3,"High",IF(K38=2,"Medium","Low"))</x:f>
        <x:v>Low</x:v>
      </x:c>
      <x:c r="V38" s="18" t="str">
        <x:f>IF(S38&gt;0.10,"Price Varies",IF(K38&gt;=2,"Stable","Single Record"))</x:f>
        <x:v>Single Record</x:v>
      </x:c>
      <x:c r="W38" s="18" t="str"/>
    </x:row>
    <x:row r="39">
      <x:c r="A39" s="18" t="str">
        <x:v>EL-SOLDER-BAR-065KG-63</x:v>
      </x:c>
      <x:c r="B39" s="18" t="str">
        <x:v>焊錫條 0.65kg 63%</x:v>
      </x:c>
      <x:c r="C39" s="18" t="str">
        <x:v>0.65kg, 63%</x:v>
      </x:c>
      <x:c r="D39" s="18" t="str">
        <x:v>Electrical/Control</x:v>
      </x:c>
      <x:c r="E39" s="18" t="str">
        <x:v>Consumable</x:v>
      </x:c>
      <x:c r="F39" s="18" t="str"/>
      <x:c r="G39" s="18" t="str">
        <x:v>Electrical</x:v>
      </x:c>
      <x:c r="H39" s="18" t="str">
        <x:v>個</x:v>
      </x:c>
      <x:c r="I39" s="19" t="n">
        <x:v>46090</x:v>
      </x:c>
      <x:c r="J39" s="19" t="n">
        <x:v>46090</x:v>
      </x:c>
      <x:c r="K39" s="18" t="n">
        <x:v>1</x:v>
      </x:c>
      <x:c r="L39" s="18" t="n">
        <x:v>1</x:v>
      </x:c>
      <x:c r="M39" s="21" t="n">
        <x:v>15</x:v>
      </x:c>
      <x:c r="N39" s="21" t="n">
        <x:v>15</x:v>
      </x:c>
      <x:c r="O39" s="21" t="n">
        <x:v>15</x:v>
      </x:c>
      <x:c r="P39" s="21" t="n">
        <x:v>15</x:v>
      </x:c>
      <x:c r="Q39" s="21" t="n">
        <x:v>15</x:v>
      </x:c>
      <x:c r="R39" s="21" t="n">
        <x:v>15</x:v>
      </x:c>
      <x:c r="S39" s="40" t="n">
        <x:f>IF(N39=0,0,(O39-N39)/N39)</x:f>
        <x:v>0</x:v>
      </x:c>
      <x:c r="T39" s="21" t="n">
        <x:f>O39*1.10</x:f>
        <x:v>16.5</x:v>
      </x:c>
      <x:c r="U39" s="18" t="str">
        <x:f>IF(K39&gt;=3,"High",IF(K39=2,"Medium","Low"))</x:f>
        <x:v>Low</x:v>
      </x:c>
      <x:c r="V39" s="18" t="str">
        <x:f>IF(S39&gt;0.10,"Price Varies",IF(K39&gt;=2,"Stable","Single Record"))</x:f>
        <x:v>Single Record</x:v>
      </x:c>
      <x:c r="W39" s="18" t="str"/>
    </x:row>
    <x:row r="40">
      <x:c r="A40" s="18" t="str">
        <x:v>EL-SOLDER-PASTE</x:v>
      </x:c>
      <x:c r="B40" s="18" t="str">
        <x:v>焊錫膏</x:v>
      </x:c>
      <x:c r="C40" s="18" t="str">
        <x:v>Solder Paste</x:v>
      </x:c>
      <x:c r="D40" s="18" t="str">
        <x:v>Electrical/Control</x:v>
      </x:c>
      <x:c r="E40" s="18" t="str">
        <x:v>Consumable</x:v>
      </x:c>
      <x:c r="F40" s="18" t="str"/>
      <x:c r="G40" s="18" t="str">
        <x:v>Electrical</x:v>
      </x:c>
      <x:c r="H40" s="18" t="str">
        <x:v>罐</x:v>
      </x:c>
      <x:c r="I40" s="19" t="n">
        <x:v>46090</x:v>
      </x:c>
      <x:c r="J40" s="19" t="n">
        <x:v>46090</x:v>
      </x:c>
      <x:c r="K40" s="18" t="n">
        <x:v>1</x:v>
      </x:c>
      <x:c r="L40" s="18" t="n">
        <x:v>1</x:v>
      </x:c>
      <x:c r="M40" s="21" t="n">
        <x:v>8</x:v>
      </x:c>
      <x:c r="N40" s="21" t="n">
        <x:v>8</x:v>
      </x:c>
      <x:c r="O40" s="21" t="n">
        <x:v>8</x:v>
      </x:c>
      <x:c r="P40" s="21" t="n">
        <x:v>8</x:v>
      </x:c>
      <x:c r="Q40" s="21" t="n">
        <x:v>8</x:v>
      </x:c>
      <x:c r="R40" s="21" t="n">
        <x:v>8</x:v>
      </x:c>
      <x:c r="S40" s="40" t="n">
        <x:f>IF(N40=0,0,(O40-N40)/N40)</x:f>
        <x:v>0</x:v>
      </x:c>
      <x:c r="T40" s="21" t="n">
        <x:f>O40*1.10</x:f>
        <x:v>8.8</x:v>
      </x:c>
      <x:c r="U40" s="18" t="str">
        <x:f>IF(K40&gt;=3,"High",IF(K40=2,"Medium","Low"))</x:f>
        <x:v>Low</x:v>
      </x:c>
      <x:c r="V40" s="18" t="str">
        <x:f>IF(S40&gt;0.10,"Price Varies",IF(K40&gt;=2,"Stable","Single Record"))</x:f>
        <x:v>Single Record</x:v>
      </x:c>
      <x:c r="W40" s="18" t="str"/>
    </x:row>
    <x:row r="41">
      <x:c r="A41" s="18" t="str">
        <x:v>EL-INSULATION-BOARD-1MM-YL</x:v>
      </x:c>
      <x:c r="B41" s="18" t="str">
        <x:v>絕緣板（黃）</x:v>
      </x:c>
      <x:c r="C41" s="18" t="str">
        <x:v>1.0 mm</x:v>
      </x:c>
      <x:c r="D41" s="18" t="str">
        <x:v>Electrical/Control</x:v>
      </x:c>
      <x:c r="E41" s="18" t="str">
        <x:v>Consumable</x:v>
      </x:c>
      <x:c r="F41" s="18" t="str"/>
      <x:c r="G41" s="18" t="str">
        <x:v>Electrical</x:v>
      </x:c>
      <x:c r="H41" s="18" t="str">
        <x:v>張</x:v>
      </x:c>
      <x:c r="I41" s="19" t="n">
        <x:v>46144</x:v>
      </x:c>
      <x:c r="J41" s="19" t="n">
        <x:v>46144</x:v>
      </x:c>
      <x:c r="K41" s="18" t="n">
        <x:v>1</x:v>
      </x:c>
      <x:c r="L41" s="18" t="n">
        <x:v>2</x:v>
      </x:c>
      <x:c r="M41" s="21" t="n">
        <x:v>48</x:v>
      </x:c>
      <x:c r="N41" s="21" t="n">
        <x:v>24</x:v>
      </x:c>
      <x:c r="O41" s="21" t="n">
        <x:v>24</x:v>
      </x:c>
      <x:c r="P41" s="21" t="n">
        <x:v>24</x:v>
      </x:c>
      <x:c r="Q41" s="21" t="n">
        <x:v>24</x:v>
      </x:c>
      <x:c r="R41" s="21" t="n">
        <x:v>24</x:v>
      </x:c>
      <x:c r="S41" s="40" t="n">
        <x:f>IF(N41=0,0,(O41-N41)/N41)</x:f>
        <x:v>0</x:v>
      </x:c>
      <x:c r="T41" s="21" t="n">
        <x:f>O41*1.10</x:f>
        <x:v>26.400000000000002</x:v>
      </x:c>
      <x:c r="U41" s="18" t="str">
        <x:f>IF(K41&gt;=3,"High",IF(K41=2,"Medium","Low"))</x:f>
        <x:v>Low</x:v>
      </x:c>
      <x:c r="V41" s="18" t="str">
        <x:f>IF(S41&gt;0.10,"Price Varies",IF(K41&gt;=2,"Stable","Single Record"))</x:f>
        <x:v>Single Record</x:v>
      </x:c>
      <x:c r="W41" s="18" t="str"/>
    </x:row>
    <x:row r="42">
      <x:c r="A42" s="18" t="str">
        <x:v>EL-INSULATION-TAPE</x:v>
      </x:c>
      <x:c r="B42" s="18" t="str">
        <x:v>電工膠布</x:v>
      </x:c>
      <x:c r="C42" s="18" t="str">
        <x:v>Electrical Tape</x:v>
      </x:c>
      <x:c r="D42" s="18" t="str">
        <x:v>Electrical/Control</x:v>
      </x:c>
      <x:c r="E42" s="18" t="str">
        <x:v>Consumable</x:v>
      </x:c>
      <x:c r="F42" s="18" t="str"/>
      <x:c r="G42" s="18" t="str">
        <x:v>Electrical</x:v>
      </x:c>
      <x:c r="H42" s="18" t="str">
        <x:v>卷</x:v>
      </x:c>
      <x:c r="I42" s="19" t="n">
        <x:v>46055</x:v>
      </x:c>
      <x:c r="J42" s="19" t="n">
        <x:v>46055</x:v>
      </x:c>
      <x:c r="K42" s="18" t="n">
        <x:v>1</x:v>
      </x:c>
      <x:c r="L42" s="18" t="n">
        <x:v>10</x:v>
      </x:c>
      <x:c r="M42" s="21" t="n">
        <x:v>50</x:v>
      </x:c>
      <x:c r="N42" s="21" t="n">
        <x:v>5</x:v>
      </x:c>
      <x:c r="O42" s="21" t="n">
        <x:v>5</x:v>
      </x:c>
      <x:c r="P42" s="21" t="n">
        <x:v>5</x:v>
      </x:c>
      <x:c r="Q42" s="21" t="n">
        <x:v>5</x:v>
      </x:c>
      <x:c r="R42" s="21" t="n">
        <x:v>5</x:v>
      </x:c>
      <x:c r="S42" s="40" t="n">
        <x:f>IF(N42=0,0,(O42-N42)/N42)</x:f>
        <x:v>0</x:v>
      </x:c>
      <x:c r="T42" s="21" t="n">
        <x:f>O42*1.10</x:f>
        <x:v>5.5</x:v>
      </x:c>
      <x:c r="U42" s="18" t="str">
        <x:f>IF(K42&gt;=3,"High",IF(K42=2,"Medium","Low"))</x:f>
        <x:v>Low</x:v>
      </x:c>
      <x:c r="V42" s="18" t="str">
        <x:f>IF(S42&gt;0.10,"Price Varies",IF(K42&gt;=2,"Stable","Single Record"))</x:f>
        <x:v>Single Record</x:v>
      </x:c>
      <x:c r="W42" s="18" t="str"/>
    </x:row>
    <x:row r="43">
      <x:c r="A43" s="18" t="str">
        <x:v>EQ-FABRIC-CUTTER-RAIL</x:v>
      </x:c>
      <x:c r="B43" s="18" t="str">
        <x:v>斷布機（含軌道）</x:v>
      </x:c>
      <x:c r="C43" s="18" t="str">
        <x:v>With Rail</x:v>
      </x:c>
      <x:c r="D43" s="18" t="str">
        <x:v>Equipment</x:v>
      </x:c>
      <x:c r="E43" s="18" t="str">
        <x:v>Equipment</x:v>
      </x:c>
      <x:c r="F43" s="18" t="str"/>
      <x:c r="G43" s="18" t="str">
        <x:v>Cutting</x:v>
      </x:c>
      <x:c r="H43" s="18" t="str">
        <x:v>台</x:v>
      </x:c>
      <x:c r="I43" s="19" t="n">
        <x:v>46168</x:v>
      </x:c>
      <x:c r="J43" s="19" t="n">
        <x:v>46168</x:v>
      </x:c>
      <x:c r="K43" s="18" t="n">
        <x:v>1</x:v>
      </x:c>
      <x:c r="L43" s="18" t="n">
        <x:v>3</x:v>
      </x:c>
      <x:c r="M43" s="21" t="n">
        <x:v>525</x:v>
      </x:c>
      <x:c r="N43" s="21" t="n">
        <x:v>175</x:v>
      </x:c>
      <x:c r="O43" s="21" t="n">
        <x:v>175</x:v>
      </x:c>
      <x:c r="P43" s="21" t="n">
        <x:v>175</x:v>
      </x:c>
      <x:c r="Q43" s="21" t="n">
        <x:v>175</x:v>
      </x:c>
      <x:c r="R43" s="21" t="n">
        <x:v>175</x:v>
      </x:c>
      <x:c r="S43" s="40" t="n">
        <x:f>IF(N43=0,0,(O43-N43)/N43)</x:f>
        <x:v>0</x:v>
      </x:c>
      <x:c r="T43" s="21" t="n">
        <x:f>O43*1.10</x:f>
        <x:v>192.50000000000003</x:v>
      </x:c>
      <x:c r="U43" s="18" t="str">
        <x:f>IF(K43&gt;=3,"High",IF(K43=2,"Medium","Low"))</x:f>
        <x:v>Low</x:v>
      </x:c>
      <x:c r="V43" s="18" t="str">
        <x:f>IF(S43&gt;0.10,"Price Varies",IF(K43&gt;=2,"Stable","Single Record"))</x:f>
        <x:v>Single Record</x:v>
      </x:c>
      <x:c r="W43" s="18" t="str"/>
    </x:row>
    <x:row r="44">
      <x:c r="A44" s="18" t="str">
        <x:v>IR-HANGING-BOTTLE-SWITCH</x:v>
      </x:c>
      <x:c r="B44" s="18" t="str">
        <x:v>吊瓶熨斗開關</x:v>
      </x:c>
      <x:c r="C44" s="18" t="str">
        <x:v>Switch</x:v>
      </x:c>
      <x:c r="D44" s="18" t="str">
        <x:v>Ironing/Heat Transfer</x:v>
      </x:c>
      <x:c r="E44" s="18" t="str">
        <x:v>Spare Part</x:v>
      </x:c>
      <x:c r="F44" s="18" t="str"/>
      <x:c r="G44" s="18" t="str">
        <x:v>Iron</x:v>
      </x:c>
      <x:c r="H44" s="18" t="str">
        <x:v>個</x:v>
      </x:c>
      <x:c r="I44" s="19" t="n">
        <x:v>46168</x:v>
      </x:c>
      <x:c r="J44" s="19" t="n">
        <x:v>46168</x:v>
      </x:c>
      <x:c r="K44" s="18" t="n">
        <x:v>1</x:v>
      </x:c>
      <x:c r="L44" s="18" t="n">
        <x:v>10</x:v>
      </x:c>
      <x:c r="M44" s="21" t="n">
        <x:v>45</x:v>
      </x:c>
      <x:c r="N44" s="21" t="n">
        <x:v>4.5</x:v>
      </x:c>
      <x:c r="O44" s="21" t="n">
        <x:v>4.5</x:v>
      </x:c>
      <x:c r="P44" s="21" t="n">
        <x:v>4.5</x:v>
      </x:c>
      <x:c r="Q44" s="21" t="n">
        <x:v>4.5</x:v>
      </x:c>
      <x:c r="R44" s="21" t="n">
        <x:v>4.5</x:v>
      </x:c>
      <x:c r="S44" s="40" t="n">
        <x:f>IF(N44=0,0,(O44-N44)/N44)</x:f>
        <x:v>0</x:v>
      </x:c>
      <x:c r="T44" s="21" t="n">
        <x:f>O44*1.10</x:f>
        <x:v>4.95</x:v>
      </x:c>
      <x:c r="U44" s="18" t="str">
        <x:f>IF(K44&gt;=3,"High",IF(K44=2,"Medium","Low"))</x:f>
        <x:v>Low</x:v>
      </x:c>
      <x:c r="V44" s="18" t="str">
        <x:f>IF(S44&gt;0.10,"Price Varies",IF(K44&gt;=2,"Stable","Single Record"))</x:f>
        <x:v>Single Record</x:v>
      </x:c>
      <x:c r="W44" s="18" t="str"/>
    </x:row>
    <x:row r="45">
      <x:c r="A45" s="18" t="str">
        <x:v>IR-ES94A-SHOE</x:v>
      </x:c>
      <x:c r="B45" s="18" t="str">
        <x:v>熨斗鞋 ES-94(A)</x:v>
      </x:c>
      <x:c r="C45" s="18" t="str">
        <x:v>ES-94(A)</x:v>
      </x:c>
      <x:c r="D45" s="18" t="str">
        <x:v>Ironing/Heat Transfer</x:v>
      </x:c>
      <x:c r="E45" s="18" t="str">
        <x:v>Consumable</x:v>
      </x:c>
      <x:c r="F45" s="18" t="str"/>
      <x:c r="G45" s="18" t="str">
        <x:v>Iron</x:v>
      </x:c>
      <x:c r="H45" s="18" t="str">
        <x:v>個</x:v>
      </x:c>
      <x:c r="I45" s="19" t="n">
        <x:v>46027</x:v>
      </x:c>
      <x:c r="J45" s="19" t="n">
        <x:v>46144</x:v>
      </x:c>
      <x:c r="K45" s="18" t="n">
        <x:v>2</x:v>
      </x:c>
      <x:c r="L45" s="18" t="n">
        <x:v>100</x:v>
      </x:c>
      <x:c r="M45" s="21" t="n">
        <x:v>180</x:v>
      </x:c>
      <x:c r="N45" s="21" t="n">
        <x:v>1.8</x:v>
      </x:c>
      <x:c r="O45" s="21" t="n">
        <x:v>1.8</x:v>
      </x:c>
      <x:c r="P45" s="21" t="n">
        <x:v>1.8</x:v>
      </x:c>
      <x:c r="Q45" s="21" t="n">
        <x:v>1.8</x:v>
      </x:c>
      <x:c r="R45" s="21" t="n">
        <x:v>1.8</x:v>
      </x:c>
      <x:c r="S45" s="40" t="n">
        <x:f>IF(N45=0,0,(O45-N45)/N45)</x:f>
        <x:v>0</x:v>
      </x:c>
      <x:c r="T45" s="21" t="n">
        <x:f>O45*1.10</x:f>
        <x:v>1.9800000000000002</x:v>
      </x:c>
      <x:c r="U45" s="18" t="str">
        <x:f>IF(K45&gt;=3,"High",IF(K45=2,"Medium","Low"))</x:f>
        <x:v>Medium</x:v>
      </x:c>
      <x:c r="V45" s="18" t="str">
        <x:f>IF(S45&gt;0.10,"Price Varies",IF(K45&gt;=2,"Stable","Single Record"))</x:f>
        <x:v>Stable</x:v>
      </x:c>
      <x:c r="W45" s="18" t="str"/>
    </x:row>
    <x:row r="46">
      <x:c r="A46" s="18" t="str">
        <x:v>HT-HIGH-TEMP-PAD</x:v>
      </x:c>
      <x:c r="B46" s="18" t="str">
        <x:v>熱轉印高溫墊</x:v>
      </x:c>
      <x:c r="C46" s="18" t="str">
        <x:v>High Temperature</x:v>
      </x:c>
      <x:c r="D46" s="18" t="str">
        <x:v>Ironing/Heat Transfer</x:v>
      </x:c>
      <x:c r="E46" s="18" t="str">
        <x:v>Consumable</x:v>
      </x:c>
      <x:c r="F46" s="18" t="str"/>
      <x:c r="G46" s="18" t="str">
        <x:v>Heat Transfer</x:v>
      </x:c>
      <x:c r="H46" s="18" t="str">
        <x:v>張</x:v>
      </x:c>
      <x:c r="I46" s="19" t="n">
        <x:v>46091</x:v>
      </x:c>
      <x:c r="J46" s="19" t="n">
        <x:v>46091</x:v>
      </x:c>
      <x:c r="K46" s="18" t="n">
        <x:v>1</x:v>
      </x:c>
      <x:c r="L46" s="18" t="n">
        <x:v>2</x:v>
      </x:c>
      <x:c r="M46" s="21" t="n">
        <x:v>46</x:v>
      </x:c>
      <x:c r="N46" s="21" t="n">
        <x:v>23</x:v>
      </x:c>
      <x:c r="O46" s="21" t="n">
        <x:v>23</x:v>
      </x:c>
      <x:c r="P46" s="21" t="n">
        <x:v>23</x:v>
      </x:c>
      <x:c r="Q46" s="21" t="n">
        <x:v>23</x:v>
      </x:c>
      <x:c r="R46" s="21" t="n">
        <x:v>23</x:v>
      </x:c>
      <x:c r="S46" s="40" t="n">
        <x:f>IF(N46=0,0,(O46-N46)/N46)</x:f>
        <x:v>0</x:v>
      </x:c>
      <x:c r="T46" s="21" t="n">
        <x:f>O46*1.10</x:f>
        <x:v>25.3</x:v>
      </x:c>
      <x:c r="U46" s="18" t="str">
        <x:f>IF(K46&gt;=3,"High",IF(K46=2,"Medium","Low"))</x:f>
        <x:v>Low</x:v>
      </x:c>
      <x:c r="V46" s="18" t="str">
        <x:f>IF(S46&gt;0.10,"Price Varies",IF(K46&gt;=2,"Stable","Single Record"))</x:f>
        <x:v>Single Record</x:v>
      </x:c>
      <x:c r="W46" s="18" t="str"/>
    </x:row>
    <x:row r="47">
      <x:c r="A47" s="18" t="str">
        <x:v>IR-HANGING-BOTTLE-SET-KR</x:v>
      </x:c>
      <x:c r="B47" s="18" t="str">
        <x:v>韓國吊瓶熨斗組</x:v>
      </x:c>
      <x:c r="C47" s="18" t="str">
        <x:v>Complete Set</x:v>
      </x:c>
      <x:c r="D47" s="18" t="str">
        <x:v>Ironing/Heat Transfer</x:v>
      </x:c>
      <x:c r="E47" s="18" t="str">
        <x:v>Equipment</x:v>
      </x:c>
      <x:c r="F47" s="18" t="str">
        <x:v>Korea</x:v>
      </x:c>
      <x:c r="G47" s="18" t="str">
        <x:v>Iron</x:v>
      </x:c>
      <x:c r="H47" s="18" t="str">
        <x:v>把</x:v>
      </x:c>
      <x:c r="I47" s="19" t="n">
        <x:v>46027</x:v>
      </x:c>
      <x:c r="J47" s="19" t="n">
        <x:v>46144</x:v>
      </x:c>
      <x:c r="K47" s="18" t="n">
        <x:v>2</x:v>
      </x:c>
      <x:c r="L47" s="18" t="n">
        <x:v>8</x:v>
      </x:c>
      <x:c r="M47" s="21" t="n">
        <x:v>232</x:v>
      </x:c>
      <x:c r="N47" s="21" t="n">
        <x:v>29</x:v>
      </x:c>
      <x:c r="O47" s="21" t="n">
        <x:v>29</x:v>
      </x:c>
      <x:c r="P47" s="21" t="n">
        <x:v>29</x:v>
      </x:c>
      <x:c r="Q47" s="21" t="n">
        <x:v>29</x:v>
      </x:c>
      <x:c r="R47" s="21" t="n">
        <x:v>29</x:v>
      </x:c>
      <x:c r="S47" s="40" t="n">
        <x:f>IF(N47=0,0,(O47-N47)/N47)</x:f>
        <x:v>0</x:v>
      </x:c>
      <x:c r="T47" s="21" t="n">
        <x:f>O47*1.10</x:f>
        <x:v>31.900000000000002</x:v>
      </x:c>
      <x:c r="U47" s="18" t="str">
        <x:f>IF(K47&gt;=3,"High",IF(K47=2,"Medium","Low"))</x:f>
        <x:v>Medium</x:v>
      </x:c>
      <x:c r="V47" s="18" t="str">
        <x:f>IF(S47&gt;0.10,"Price Varies",IF(K47&gt;=2,"Stable","Single Record"))</x:f>
        <x:v>Stable</x:v>
      </x:c>
      <x:c r="W47" s="18" t="str"/>
    </x:row>
    <x:row r="48">
      <x:c r="A48" s="18" t="str">
        <x:v>LP-747-THREAD-HOOK</x:v>
      </x:c>
      <x:c r="B48" s="18" t="str">
        <x:v>747鎖針線鉤</x:v>
      </x:c>
      <x:c r="C48" s="18" t="str">
        <x:v>747</x:v>
      </x:c>
      <x:c r="D48" s="18" t="str">
        <x:v>Knife/Looper</x:v>
      </x:c>
      <x:c r="E48" s="18" t="str">
        <x:v>Spare Part</x:v>
      </x:c>
      <x:c r="F48" s="18" t="str"/>
      <x:c r="G48" s="18" t="str">
        <x:v>Overlock</x:v>
      </x:c>
      <x:c r="H48" s="18" t="str">
        <x:v>個</x:v>
      </x:c>
      <x:c r="I48" s="19" t="n">
        <x:v>46144</x:v>
      </x:c>
      <x:c r="J48" s="19" t="n">
        <x:v>46144</x:v>
      </x:c>
      <x:c r="K48" s="18" t="n">
        <x:v>1</x:v>
      </x:c>
      <x:c r="L48" s="18" t="n">
        <x:v>100</x:v>
      </x:c>
      <x:c r="M48" s="21" t="n">
        <x:v>5</x:v>
      </x:c>
      <x:c r="N48" s="21" t="n">
        <x:v>0.05</x:v>
      </x:c>
      <x:c r="O48" s="21" t="n">
        <x:v>0.05</x:v>
      </x:c>
      <x:c r="P48" s="21" t="n">
        <x:v>0.05</x:v>
      </x:c>
      <x:c r="Q48" s="21" t="n">
        <x:v>0.05</x:v>
      </x:c>
      <x:c r="R48" s="21" t="n">
        <x:v>0.05</x:v>
      </x:c>
      <x:c r="S48" s="40" t="n">
        <x:f>IF(N48=0,0,(O48-N48)/N48)</x:f>
        <x:v>0</x:v>
      </x:c>
      <x:c r="T48" s="21" t="n">
        <x:f>O48*1.10</x:f>
        <x:v>0.05500000000000001</x:v>
      </x:c>
      <x:c r="U48" s="18" t="str">
        <x:f>IF(K48&gt;=3,"High",IF(K48=2,"Medium","Low"))</x:f>
        <x:v>Low</x:v>
      </x:c>
      <x:c r="V48" s="18" t="str">
        <x:f>IF(S48&gt;0.10,"Price Varies",IF(K48&gt;=2,"Stable","Single Record"))</x:f>
        <x:v>Single Record</x:v>
      </x:c>
      <x:c r="W48" s="18" t="str"/>
    </x:row>
    <x:row r="49">
      <x:c r="A49" s="18" t="str">
        <x:v>KN-BROTHER-FIXED</x:v>
      </x:c>
      <x:c r="B49" s="18" t="str">
        <x:v>Brother 固定刀</x:v>
      </x:c>
      <x:c r="C49" s="18" t="str">
        <x:v>Fixed Knife</x:v>
      </x:c>
      <x:c r="D49" s="18" t="str">
        <x:v>Knife/Looper</x:v>
      </x:c>
      <x:c r="E49" s="18" t="str">
        <x:v>Spare Part</x:v>
      </x:c>
      <x:c r="F49" s="18" t="str">
        <x:v>Brother</x:v>
      </x:c>
      <x:c r="G49" s="18" t="str">
        <x:v>Sewing Machine</x:v>
      </x:c>
      <x:c r="H49" s="18" t="str">
        <x:v>支</x:v>
      </x:c>
      <x:c r="I49" s="19" t="n">
        <x:v>46168</x:v>
      </x:c>
      <x:c r="J49" s="19" t="n">
        <x:v>46168</x:v>
      </x:c>
      <x:c r="K49" s="18" t="n">
        <x:v>1</x:v>
      </x:c>
      <x:c r="L49" s="18" t="n">
        <x:v>10</x:v>
      </x:c>
      <x:c r="M49" s="21" t="n">
        <x:v>12</x:v>
      </x:c>
      <x:c r="N49" s="21" t="n">
        <x:v>1.2</x:v>
      </x:c>
      <x:c r="O49" s="21" t="n">
        <x:v>1.2</x:v>
      </x:c>
      <x:c r="P49" s="21" t="n">
        <x:v>1.2</x:v>
      </x:c>
      <x:c r="Q49" s="21" t="n">
        <x:v>1.2</x:v>
      </x:c>
      <x:c r="R49" s="21" t="n">
        <x:v>1.2</x:v>
      </x:c>
      <x:c r="S49" s="40" t="n">
        <x:f>IF(N49=0,0,(O49-N49)/N49)</x:f>
        <x:v>0</x:v>
      </x:c>
      <x:c r="T49" s="21" t="n">
        <x:f>O49*1.10</x:f>
        <x:v>1.32</x:v>
      </x:c>
      <x:c r="U49" s="18" t="str">
        <x:f>IF(K49&gt;=3,"High",IF(K49=2,"Medium","Low"))</x:f>
        <x:v>Low</x:v>
      </x:c>
      <x:c r="V49" s="18" t="str">
        <x:f>IF(S49&gt;0.10,"Price Varies",IF(K49&gt;=2,"Stable","Single Record"))</x:f>
        <x:v>Single Record</x:v>
      </x:c>
      <x:c r="W49" s="18" t="str"/>
    </x:row>
    <x:row r="50">
      <x:c r="A50" s="18" t="str">
        <x:v>KN-JUKI8700A-MOVING</x:v>
      </x:c>
      <x:c r="B50" s="18" t="str">
        <x:v>JUKI-8700A 活動刀</x:v>
      </x:c>
      <x:c r="C50" s="18" t="str">
        <x:v>8700A</x:v>
      </x:c>
      <x:c r="D50" s="18" t="str">
        <x:v>Knife/Looper</x:v>
      </x:c>
      <x:c r="E50" s="18" t="str">
        <x:v>Spare Part</x:v>
      </x:c>
      <x:c r="F50" s="18" t="str">
        <x:v>JUKI</x:v>
      </x:c>
      <x:c r="G50" s="18" t="str">
        <x:v>Single Needle</x:v>
      </x:c>
      <x:c r="H50" s="18" t="str">
        <x:v>個</x:v>
      </x:c>
      <x:c r="I50" s="19" t="n">
        <x:v>46135</x:v>
      </x:c>
      <x:c r="J50" s="19" t="n">
        <x:v>46144</x:v>
      </x:c>
      <x:c r="K50" s="18" t="n">
        <x:v>2</x:v>
      </x:c>
      <x:c r="L50" s="18" t="n">
        <x:v>20</x:v>
      </x:c>
      <x:c r="M50" s="21" t="n">
        <x:v>48</x:v>
      </x:c>
      <x:c r="N50" s="21" t="n">
        <x:v>2.3</x:v>
      </x:c>
      <x:c r="O50" s="21" t="n">
        <x:v>2.5</x:v>
      </x:c>
      <x:c r="P50" s="21" t="n">
        <x:v>2.4</x:v>
      </x:c>
      <x:c r="Q50" s="21" t="n">
        <x:v>2.3</x:v>
      </x:c>
      <x:c r="R50" s="21" t="n">
        <x:v>2.5</x:v>
      </x:c>
      <x:c r="S50" s="40" t="n">
        <x:f>IF(N50=0,0,(O50-N50)/N50)</x:f>
        <x:v>0.08695652173913052</x:v>
      </x:c>
      <x:c r="T50" s="21" t="n">
        <x:f>O50*1.10</x:f>
        <x:v>2.75</x:v>
      </x:c>
      <x:c r="U50" s="18" t="str">
        <x:f>IF(K50&gt;=3,"High",IF(K50=2,"Medium","Low"))</x:f>
        <x:v>Medium</x:v>
      </x:c>
      <x:c r="V50" s="18" t="str">
        <x:f>IF(S50&gt;0.10,"Price Varies",IF(K50&gt;=2,"Stable","Single Record"))</x:f>
        <x:v>Stable</x:v>
      </x:c>
      <x:c r="W50" s="18" t="str">
        <x:v>原始發票型號寫8700，與4月8700A合併比較</x:v>
      </x:c>
    </x:row>
    <x:row r="51">
      <x:c r="A51" s="18" t="str">
        <x:v>KN-KR23-UPPER</x:v>
      </x:c>
      <x:c r="B51" s="18" t="str">
        <x:v>拷克上刀 KR23</x:v>
      </x:c>
      <x:c r="C51" s="18" t="str">
        <x:v>KR23</x:v>
      </x:c>
      <x:c r="D51" s="18" t="str">
        <x:v>Knife/Looper</x:v>
      </x:c>
      <x:c r="E51" s="18" t="str">
        <x:v>Spare Part</x:v>
      </x:c>
      <x:c r="F51" s="18" t="str"/>
      <x:c r="G51" s="18" t="str">
        <x:v>Overlock</x:v>
      </x:c>
      <x:c r="H51" s="18" t="str">
        <x:v>支</x:v>
      </x:c>
      <x:c r="I51" s="19" t="n">
        <x:v>46086</x:v>
      </x:c>
      <x:c r="J51" s="19" t="n">
        <x:v>46168</x:v>
      </x:c>
      <x:c r="K51" s="18" t="n">
        <x:v>2</x:v>
      </x:c>
      <x:c r="L51" s="18" t="n">
        <x:v>20</x:v>
      </x:c>
      <x:c r="M51" s="21" t="n">
        <x:v>12</x:v>
      </x:c>
      <x:c r="N51" s="21" t="n">
        <x:v>0.6</x:v>
      </x:c>
      <x:c r="O51" s="21" t="n">
        <x:v>0.6</x:v>
      </x:c>
      <x:c r="P51" s="21" t="n">
        <x:v>0.6</x:v>
      </x:c>
      <x:c r="Q51" s="21" t="n">
        <x:v>0.6</x:v>
      </x:c>
      <x:c r="R51" s="21" t="n">
        <x:v>0.6</x:v>
      </x:c>
      <x:c r="S51" s="40" t="n">
        <x:f>IF(N51=0,0,(O51-N51)/N51)</x:f>
        <x:v>0</x:v>
      </x:c>
      <x:c r="T51" s="21" t="n">
        <x:f>O51*1.10</x:f>
        <x:v>0.66</x:v>
      </x:c>
      <x:c r="U51" s="18" t="str">
        <x:f>IF(K51&gt;=3,"High",IF(K51=2,"Medium","Low"))</x:f>
        <x:v>Medium</x:v>
      </x:c>
      <x:c r="V51" s="18" t="str">
        <x:f>IF(S51&gt;0.10,"Price Varies",IF(K51&gt;=2,"Stable","Single Record"))</x:f>
        <x:v>Stable</x:v>
      </x:c>
      <x:c r="W51" s="18" t="str"/>
    </x:row>
    <x:row r="52">
      <x:c r="A52" s="18" t="str">
        <x:v>LP-LP226-UPPER</x:v>
      </x:c>
      <x:c r="B52" s="18" t="str">
        <x:v>拷克上勾針 LP226</x:v>
      </x:c>
      <x:c r="C52" s="18" t="str">
        <x:v>LP226</x:v>
      </x:c>
      <x:c r="D52" s="18" t="str">
        <x:v>Knife/Looper</x:v>
      </x:c>
      <x:c r="E52" s="18" t="str">
        <x:v>Spare Part</x:v>
      </x:c>
      <x:c r="F52" s="18" t="str"/>
      <x:c r="G52" s="18" t="str">
        <x:v>Overlock</x:v>
      </x:c>
      <x:c r="H52" s="18" t="str">
        <x:v>個</x:v>
      </x:c>
      <x:c r="I52" s="19" t="n">
        <x:v>46086</x:v>
      </x:c>
      <x:c r="J52" s="19" t="n">
        <x:v>46168</x:v>
      </x:c>
      <x:c r="K52" s="18" t="n">
        <x:v>2</x:v>
      </x:c>
      <x:c r="L52" s="18" t="n">
        <x:v>40</x:v>
      </x:c>
      <x:c r="M52" s="21" t="n">
        <x:v>60</x:v>
      </x:c>
      <x:c r="N52" s="21" t="n">
        <x:v>1.5</x:v>
      </x:c>
      <x:c r="O52" s="21" t="n">
        <x:v>1.5</x:v>
      </x:c>
      <x:c r="P52" s="21" t="n">
        <x:v>1.5</x:v>
      </x:c>
      <x:c r="Q52" s="21" t="n">
        <x:v>1.5</x:v>
      </x:c>
      <x:c r="R52" s="21" t="n">
        <x:v>1.5</x:v>
      </x:c>
      <x:c r="S52" s="40" t="n">
        <x:f>IF(N52=0,0,(O52-N52)/N52)</x:f>
        <x:v>0</x:v>
      </x:c>
      <x:c r="T52" s="21" t="n">
        <x:f>O52*1.10</x:f>
        <x:v>1.6500000000000001</x:v>
      </x:c>
      <x:c r="U52" s="18" t="str">
        <x:f>IF(K52&gt;=3,"High",IF(K52=2,"Medium","Low"))</x:f>
        <x:v>Medium</x:v>
      </x:c>
      <x:c r="V52" s="18" t="str">
        <x:f>IF(S52&gt;0.10,"Price Varies",IF(K52&gt;=2,"Stable","Single Record"))</x:f>
        <x:v>Stable</x:v>
      </x:c>
      <x:c r="W52" s="18" t="str"/>
    </x:row>
    <x:row r="53">
      <x:c r="A53" s="18" t="str">
        <x:v>KN-BUTTONHOLE-3-4</x:v>
      </x:c>
      <x:c r="B53" s="18" t="str">
        <x:v>鎖眼刀</x:v>
      </x:c>
      <x:c r="C53" s="18" t="str">
        <x:v>3/4 inch</x:v>
      </x:c>
      <x:c r="D53" s="18" t="str">
        <x:v>Knife/Looper</x:v>
      </x:c>
      <x:c r="E53" s="18" t="str">
        <x:v>Spare Part</x:v>
      </x:c>
      <x:c r="F53" s="18" t="str"/>
      <x:c r="G53" s="18" t="str">
        <x:v>Buttonhole</x:v>
      </x:c>
      <x:c r="H53" s="18" t="str">
        <x:v>盒</x:v>
      </x:c>
      <x:c r="I53" s="19" t="n">
        <x:v>46181</x:v>
      </x:c>
      <x:c r="J53" s="19" t="n">
        <x:v>46181</x:v>
      </x:c>
      <x:c r="K53" s="18" t="n">
        <x:v>1</x:v>
      </x:c>
      <x:c r="L53" s="18" t="n">
        <x:v>3</x:v>
      </x:c>
      <x:c r="M53" s="21" t="n">
        <x:v>7.5</x:v>
      </x:c>
      <x:c r="N53" s="21" t="n">
        <x:v>2.5</x:v>
      </x:c>
      <x:c r="O53" s="21" t="n">
        <x:v>2.5</x:v>
      </x:c>
      <x:c r="P53" s="21" t="n">
        <x:v>2.5</x:v>
      </x:c>
      <x:c r="Q53" s="21" t="n">
        <x:v>2.5</x:v>
      </x:c>
      <x:c r="R53" s="21" t="n">
        <x:v>2.5</x:v>
      </x:c>
      <x:c r="S53" s="40" t="n">
        <x:f>IF(N53=0,0,(O53-N53)/N53)</x:f>
        <x:v>0</x:v>
      </x:c>
      <x:c r="T53" s="21" t="n">
        <x:f>O53*1.10</x:f>
        <x:v>2.75</x:v>
      </x:c>
      <x:c r="U53" s="18" t="str">
        <x:f>IF(K53&gt;=3,"High",IF(K53=2,"Medium","Low"))</x:f>
        <x:v>Low</x:v>
      </x:c>
      <x:c r="V53" s="18" t="str">
        <x:f>IF(S53&gt;0.10,"Price Varies",IF(K53&gt;=2,"Stable","Single Record"))</x:f>
        <x:v>Single Record</x:v>
      </x:c>
      <x:c r="W53" s="18" t="str"/>
    </x:row>
    <x:row r="54">
      <x:c r="A54" s="18" t="str">
        <x:v>MT-SIRUBA747KD-COUPLER</x:v>
      </x:c>
      <x:c r="B54" s="18" t="str">
        <x:v>SIRUBA-747KD 馬達聯軸器</x:v>
      </x:c>
      <x:c r="C54" s="18" t="str">
        <x:v>747KD</x:v>
      </x:c>
      <x:c r="D54" s="18" t="str">
        <x:v>Motor/Drive</x:v>
      </x:c>
      <x:c r="E54" s="18" t="str">
        <x:v>Spare Part</x:v>
      </x:c>
      <x:c r="F54" s="18" t="str">
        <x:v>SIRUBA</x:v>
      </x:c>
      <x:c r="G54" s="18" t="str">
        <x:v>Overlock</x:v>
      </x:c>
      <x:c r="H54" s="18" t="str">
        <x:v>個</x:v>
      </x:c>
      <x:c r="I54" s="19" t="n">
        <x:v>46067</x:v>
      </x:c>
      <x:c r="J54" s="19" t="n">
        <x:v>46168</x:v>
      </x:c>
      <x:c r="K54" s="18" t="n">
        <x:v>2</x:v>
      </x:c>
      <x:c r="L54" s="18" t="n">
        <x:v>40</x:v>
      </x:c>
      <x:c r="M54" s="21" t="n">
        <x:v>380</x:v>
      </x:c>
      <x:c r="N54" s="21" t="n">
        <x:v>9.5</x:v>
      </x:c>
      <x:c r="O54" s="21" t="n">
        <x:v>9.5</x:v>
      </x:c>
      <x:c r="P54" s="21" t="n">
        <x:v>9.5</x:v>
      </x:c>
      <x:c r="Q54" s="21" t="n">
        <x:v>9.5</x:v>
      </x:c>
      <x:c r="R54" s="21" t="n">
        <x:v>9.5</x:v>
      </x:c>
      <x:c r="S54" s="40" t="n">
        <x:f>IF(N54=0,0,(O54-N54)/N54)</x:f>
        <x:v>0</x:v>
      </x:c>
      <x:c r="T54" s="21" t="n">
        <x:f>O54*1.10</x:f>
        <x:v>10.450000000000001</x:v>
      </x:c>
      <x:c r="U54" s="18" t="str">
        <x:f>IF(K54&gt;=3,"High",IF(K54=2,"Medium","Low"))</x:f>
        <x:v>Medium</x:v>
      </x:c>
      <x:c r="V54" s="18" t="str">
        <x:f>IF(S54&gt;0.10,"Price Varies",IF(K54&gt;=2,"Stable","Single Record"))</x:f>
        <x:v>Stable</x:v>
      </x:c>
      <x:c r="W54" s="18" t="str"/>
    </x:row>
    <x:row r="55">
      <x:c r="A55" s="18" t="str">
        <x:v>MT-YUANYI-SPREADER-BALANCE-MOTOR</x:v>
      </x:c>
      <x:c r="B55" s="18" t="str">
        <x:v>元一自動拉布機封邊平衡馬達</x:v>
      </x:c>
      <x:c r="C55" s="18" t="str">
        <x:v>Automatic Spreader</x:v>
      </x:c>
      <x:c r="D55" s="18" t="str">
        <x:v>Motor/Drive</x:v>
      </x:c>
      <x:c r="E55" s="18" t="str">
        <x:v>Spare Part</x:v>
      </x:c>
      <x:c r="F55" s="18" t="str">
        <x:v>元一</x:v>
      </x:c>
      <x:c r="G55" s="18" t="str">
        <x:v>Cutting</x:v>
      </x:c>
      <x:c r="H55" s="18" t="str">
        <x:v>個</x:v>
      </x:c>
      <x:c r="I55" s="19" t="n">
        <x:v>46094</x:v>
      </x:c>
      <x:c r="J55" s="19" t="n">
        <x:v>46094</x:v>
      </x:c>
      <x:c r="K55" s="18" t="n">
        <x:v>1</x:v>
      </x:c>
      <x:c r="L55" s="18" t="n">
        <x:v>1</x:v>
      </x:c>
      <x:c r="M55" s="21" t="n">
        <x:v>250</x:v>
      </x:c>
      <x:c r="N55" s="21" t="n">
        <x:v>250</x:v>
      </x:c>
      <x:c r="O55" s="21" t="n">
        <x:v>250</x:v>
      </x:c>
      <x:c r="P55" s="21" t="n">
        <x:v>250</x:v>
      </x:c>
      <x:c r="Q55" s="21" t="n">
        <x:v>250</x:v>
      </x:c>
      <x:c r="R55" s="21" t="n">
        <x:v>250</x:v>
      </x:c>
      <x:c r="S55" s="40" t="n">
        <x:f>IF(N55=0,0,(O55-N55)/N55)</x:f>
        <x:v>0</x:v>
      </x:c>
      <x:c r="T55" s="21" t="n">
        <x:f>O55*1.10</x:f>
        <x:v>275</x:v>
      </x:c>
      <x:c r="U55" s="18" t="str">
        <x:f>IF(K55&gt;=3,"High",IF(K55=2,"Medium","Low"))</x:f>
        <x:v>Low</x:v>
      </x:c>
      <x:c r="V55" s="18" t="str">
        <x:f>IF(S55&gt;0.10,"Price Varies",IF(K55&gt;=2,"Stable","Single Record"))</x:f>
        <x:v>Single Record</x:v>
      </x:c>
      <x:c r="W55" s="18" t="str"/>
    </x:row>
    <x:row r="56">
      <x:c r="A56" s="18" t="str">
        <x:v>ND-DBX1-11</x:v>
      </x:c>
      <x:c r="B56" s="18" t="str">
        <x:v>風琴機針 DBx1 #11</x:v>
      </x:c>
      <x:c r="C56" s="18" t="str">
        <x:v>DBx1 #11</x:v>
      </x:c>
      <x:c r="D56" s="18" t="str">
        <x:v>Needle</x:v>
      </x:c>
      <x:c r="E56" s="18" t="str">
        <x:v>Consumable</x:v>
      </x:c>
      <x:c r="F56" s="18" t="str">
        <x:v>ORGAN/風琴</x:v>
      </x:c>
      <x:c r="G56" s="18" t="str">
        <x:v>Single Needle</x:v>
      </x:c>
      <x:c r="H56" s="18" t="str">
        <x:v>包</x:v>
      </x:c>
      <x:c r="I56" s="19" t="n">
        <x:v>46106</x:v>
      </x:c>
      <x:c r="J56" s="19" t="n">
        <x:v>46106</x:v>
      </x:c>
      <x:c r="K56" s="18" t="n">
        <x:v>1</x:v>
      </x:c>
      <x:c r="L56" s="18" t="n">
        <x:v>50</x:v>
      </x:c>
      <x:c r="M56" s="21" t="n">
        <x:v>39</x:v>
      </x:c>
      <x:c r="N56" s="21" t="n">
        <x:v>0.78</x:v>
      </x:c>
      <x:c r="O56" s="21" t="n">
        <x:v>0.78</x:v>
      </x:c>
      <x:c r="P56" s="21" t="n">
        <x:v>0.78</x:v>
      </x:c>
      <x:c r="Q56" s="21" t="n">
        <x:v>0.78</x:v>
      </x:c>
      <x:c r="R56" s="21" t="n">
        <x:v>0.78</x:v>
      </x:c>
      <x:c r="S56" s="40" t="n">
        <x:f>IF(N56=0,0,(O56-N56)/N56)</x:f>
        <x:v>0</x:v>
      </x:c>
      <x:c r="T56" s="21" t="n">
        <x:f>O56*1.10</x:f>
        <x:v>0.8580000000000001</x:v>
      </x:c>
      <x:c r="U56" s="18" t="str">
        <x:f>IF(K56&gt;=3,"High",IF(K56=2,"Medium","Low"))</x:f>
        <x:v>Low</x:v>
      </x:c>
      <x:c r="V56" s="18" t="str">
        <x:f>IF(S56&gt;0.10,"Price Varies",IF(K56&gt;=2,"Stable","Single Record"))</x:f>
        <x:v>Single Record</x:v>
      </x:c>
      <x:c r="W56" s="18" t="str"/>
    </x:row>
    <x:row r="57">
      <x:c r="A57" s="18" t="str">
        <x:v>ND-DBX1-12</x:v>
      </x:c>
      <x:c r="B57" s="18" t="str">
        <x:v>風琴機針 DBx1 #12</x:v>
      </x:c>
      <x:c r="C57" s="18" t="str">
        <x:v>DBx1 #12</x:v>
      </x:c>
      <x:c r="D57" s="18" t="str">
        <x:v>Needle</x:v>
      </x:c>
      <x:c r="E57" s="18" t="str">
        <x:v>Consumable</x:v>
      </x:c>
      <x:c r="F57" s="18" t="str">
        <x:v>ORGAN/風琴</x:v>
      </x:c>
      <x:c r="G57" s="18" t="str">
        <x:v>Single Needle</x:v>
      </x:c>
      <x:c r="H57" s="18" t="str">
        <x:v>包</x:v>
      </x:c>
      <x:c r="I57" s="19" t="n">
        <x:v>46106</x:v>
      </x:c>
      <x:c r="J57" s="19" t="n">
        <x:v>46189</x:v>
      </x:c>
      <x:c r="K57" s="18" t="n">
        <x:v>2</x:v>
      </x:c>
      <x:c r="L57" s="18" t="n">
        <x:v>100</x:v>
      </x:c>
      <x:c r="M57" s="21" t="n">
        <x:v>78</x:v>
      </x:c>
      <x:c r="N57" s="21" t="n">
        <x:v>0.78</x:v>
      </x:c>
      <x:c r="O57" s="21" t="n">
        <x:v>0.78</x:v>
      </x:c>
      <x:c r="P57" s="21" t="n">
        <x:v>0.78</x:v>
      </x:c>
      <x:c r="Q57" s="21" t="n">
        <x:v>0.78</x:v>
      </x:c>
      <x:c r="R57" s="21" t="n">
        <x:v>0.78</x:v>
      </x:c>
      <x:c r="S57" s="40" t="n">
        <x:f>IF(N57=0,0,(O57-N57)/N57)</x:f>
        <x:v>0</x:v>
      </x:c>
      <x:c r="T57" s="21" t="n">
        <x:f>O57*1.10</x:f>
        <x:v>0.8580000000000001</x:v>
      </x:c>
      <x:c r="U57" s="18" t="str">
        <x:f>IF(K57&gt;=3,"High",IF(K57=2,"Medium","Low"))</x:f>
        <x:v>Medium</x:v>
      </x:c>
      <x:c r="V57" s="18" t="str">
        <x:f>IF(S57&gt;0.10,"Price Varies",IF(K57&gt;=2,"Stable","Single Record"))</x:f>
        <x:v>Stable</x:v>
      </x:c>
      <x:c r="W57" s="18" t="str"/>
    </x:row>
    <x:row r="58">
      <x:c r="A58" s="18" t="str">
        <x:v>ND-DBX1-14</x:v>
      </x:c>
      <x:c r="B58" s="18" t="str">
        <x:v>風琴機針 DBx1 #14</x:v>
      </x:c>
      <x:c r="C58" s="18" t="str">
        <x:v>DBx1 #14</x:v>
      </x:c>
      <x:c r="D58" s="18" t="str">
        <x:v>Needle</x:v>
      </x:c>
      <x:c r="E58" s="18" t="str">
        <x:v>Consumable</x:v>
      </x:c>
      <x:c r="F58" s="18" t="str">
        <x:v>ORGAN/風琴</x:v>
      </x:c>
      <x:c r="G58" s="18" t="str">
        <x:v>Single Needle</x:v>
      </x:c>
      <x:c r="H58" s="18" t="str">
        <x:v>包</x:v>
      </x:c>
      <x:c r="I58" s="19" t="n">
        <x:v>46065</x:v>
      </x:c>
      <x:c r="J58" s="19" t="n">
        <x:v>46175</x:v>
      </x:c>
      <x:c r="K58" s="18" t="n">
        <x:v>3</x:v>
      </x:c>
      <x:c r="L58" s="18" t="n">
        <x:v>200</x:v>
      </x:c>
      <x:c r="M58" s="21" t="n">
        <x:v>156</x:v>
      </x:c>
      <x:c r="N58" s="21" t="n">
        <x:v>0.78</x:v>
      </x:c>
      <x:c r="O58" s="21" t="n">
        <x:v>0.78</x:v>
      </x:c>
      <x:c r="P58" s="21" t="n">
        <x:v>0.7799999999999999</x:v>
      </x:c>
      <x:c r="Q58" s="21" t="n">
        <x:v>0.78</x:v>
      </x:c>
      <x:c r="R58" s="21" t="n">
        <x:v>0.78</x:v>
      </x:c>
      <x:c r="S58" s="40" t="n">
        <x:f>IF(N58=0,0,(O58-N58)/N58)</x:f>
        <x:v>0</x:v>
      </x:c>
      <x:c r="T58" s="21" t="n">
        <x:f>O58*1.10</x:f>
        <x:v>0.8580000000000001</x:v>
      </x:c>
      <x:c r="U58" s="18" t="str">
        <x:f>IF(K58&gt;=3,"High",IF(K58=2,"Medium","Low"))</x:f>
        <x:v>High</x:v>
      </x:c>
      <x:c r="V58" s="18" t="str">
        <x:f>IF(S58&gt;0.10,"Price Varies",IF(K58&gt;=2,"Stable","Single Record"))</x:f>
        <x:v>Stable</x:v>
      </x:c>
      <x:c r="W58" s="18" t="str"/>
    </x:row>
    <x:row r="59">
      <x:c r="A59" s="18" t="str">
        <x:v>ND-DBX1-16</x:v>
      </x:c>
      <x:c r="B59" s="18" t="str">
        <x:v>風琴機針 DBx1 #16</x:v>
      </x:c>
      <x:c r="C59" s="18" t="str">
        <x:v>DBx1 #16</x:v>
      </x:c>
      <x:c r="D59" s="18" t="str">
        <x:v>Needle</x:v>
      </x:c>
      <x:c r="E59" s="18" t="str">
        <x:v>Consumable</x:v>
      </x:c>
      <x:c r="F59" s="18" t="str">
        <x:v>ORGAN/風琴</x:v>
      </x:c>
      <x:c r="G59" s="18" t="str">
        <x:v>Single Needle</x:v>
      </x:c>
      <x:c r="H59" s="18" t="str">
        <x:v>包</x:v>
      </x:c>
      <x:c r="I59" s="19" t="n">
        <x:v>46065</x:v>
      </x:c>
      <x:c r="J59" s="19" t="n">
        <x:v>46175</x:v>
      </x:c>
      <x:c r="K59" s="18" t="n">
        <x:v>3</x:v>
      </x:c>
      <x:c r="L59" s="18" t="n">
        <x:v>200</x:v>
      </x:c>
      <x:c r="M59" s="21" t="n">
        <x:v>156</x:v>
      </x:c>
      <x:c r="N59" s="21" t="n">
        <x:v>0.78</x:v>
      </x:c>
      <x:c r="O59" s="21" t="n">
        <x:v>0.78</x:v>
      </x:c>
      <x:c r="P59" s="21" t="n">
        <x:v>0.7799999999999999</x:v>
      </x:c>
      <x:c r="Q59" s="21" t="n">
        <x:v>0.78</x:v>
      </x:c>
      <x:c r="R59" s="21" t="n">
        <x:v>0.78</x:v>
      </x:c>
      <x:c r="S59" s="40" t="n">
        <x:f>IF(N59=0,0,(O59-N59)/N59)</x:f>
        <x:v>0</x:v>
      </x:c>
      <x:c r="T59" s="21" t="n">
        <x:f>O59*1.10</x:f>
        <x:v>0.8580000000000001</x:v>
      </x:c>
      <x:c r="U59" s="18" t="str">
        <x:f>IF(K59&gt;=3,"High",IF(K59=2,"Medium","Low"))</x:f>
        <x:v>High</x:v>
      </x:c>
      <x:c r="V59" s="18" t="str">
        <x:f>IF(S59&gt;0.10,"Price Varies",IF(K59&gt;=2,"Stable","Single Record"))</x:f>
        <x:v>Stable</x:v>
      </x:c>
      <x:c r="W59" s="18" t="str"/>
    </x:row>
    <x:row r="60">
      <x:c r="A60" s="18" t="str">
        <x:v>ND-DBX1-9</x:v>
      </x:c>
      <x:c r="B60" s="18" t="str">
        <x:v>風琴機針 DBx1 #9</x:v>
      </x:c>
      <x:c r="C60" s="18" t="str">
        <x:v>DBx1 #9</x:v>
      </x:c>
      <x:c r="D60" s="18" t="str">
        <x:v>Needle</x:v>
      </x:c>
      <x:c r="E60" s="18" t="str">
        <x:v>Consumable</x:v>
      </x:c>
      <x:c r="F60" s="18" t="str">
        <x:v>ORGAN/風琴</x:v>
      </x:c>
      <x:c r="G60" s="18" t="str">
        <x:v>Single Needle</x:v>
      </x:c>
      <x:c r="H60" s="18" t="str">
        <x:v>包</x:v>
      </x:c>
      <x:c r="I60" s="19" t="n">
        <x:v>46106</x:v>
      </x:c>
      <x:c r="J60" s="19" t="n">
        <x:v>46106</x:v>
      </x:c>
      <x:c r="K60" s="18" t="n">
        <x:v>1</x:v>
      </x:c>
      <x:c r="L60" s="18" t="n">
        <x:v>50</x:v>
      </x:c>
      <x:c r="M60" s="21" t="n">
        <x:v>39</x:v>
      </x:c>
      <x:c r="N60" s="21" t="n">
        <x:v>0.78</x:v>
      </x:c>
      <x:c r="O60" s="21" t="n">
        <x:v>0.78</x:v>
      </x:c>
      <x:c r="P60" s="21" t="n">
        <x:v>0.78</x:v>
      </x:c>
      <x:c r="Q60" s="21" t="n">
        <x:v>0.78</x:v>
      </x:c>
      <x:c r="R60" s="21" t="n">
        <x:v>0.78</x:v>
      </x:c>
      <x:c r="S60" s="40" t="n">
        <x:f>IF(N60=0,0,(O60-N60)/N60)</x:f>
        <x:v>0</x:v>
      </x:c>
      <x:c r="T60" s="21" t="n">
        <x:f>O60*1.10</x:f>
        <x:v>0.8580000000000001</x:v>
      </x:c>
      <x:c r="U60" s="18" t="str">
        <x:f>IF(K60&gt;=3,"High",IF(K60=2,"Medium","Low"))</x:f>
        <x:v>Low</x:v>
      </x:c>
      <x:c r="V60" s="18" t="str">
        <x:f>IF(S60&gt;0.10,"Price Varies",IF(K60&gt;=2,"Stable","Single Record"))</x:f>
        <x:v>Single Record</x:v>
      </x:c>
      <x:c r="W60" s="18" t="str"/>
    </x:row>
    <x:row r="61">
      <x:c r="A61" s="18" t="str">
        <x:v>ND-DCX27-12</x:v>
      </x:c>
      <x:c r="B61" s="18" t="str">
        <x:v>風琴機針 DCx27 #12</x:v>
      </x:c>
      <x:c r="C61" s="18" t="str">
        <x:v>DCx27 #12</x:v>
      </x:c>
      <x:c r="D61" s="18" t="str">
        <x:v>Needle</x:v>
      </x:c>
      <x:c r="E61" s="18" t="str">
        <x:v>Consumable</x:v>
      </x:c>
      <x:c r="F61" s="18" t="str">
        <x:v>ORGAN/風琴</x:v>
      </x:c>
      <x:c r="G61" s="18" t="str">
        <x:v>Overlock</x:v>
      </x:c>
      <x:c r="H61" s="18" t="str">
        <x:v>包</x:v>
      </x:c>
      <x:c r="I61" s="19" t="n">
        <x:v>46024</x:v>
      </x:c>
      <x:c r="J61" s="19" t="n">
        <x:v>46189</x:v>
      </x:c>
      <x:c r="K61" s="18" t="n">
        <x:v>11</x:v>
      </x:c>
      <x:c r="L61" s="18" t="n">
        <x:v>1100</x:v>
      </x:c>
      <x:c r="M61" s="21" t="n">
        <x:v>1430</x:v>
      </x:c>
      <x:c r="N61" s="21" t="n">
        <x:v>1.3</x:v>
      </x:c>
      <x:c r="O61" s="21" t="n">
        <x:v>1.3</x:v>
      </x:c>
      <x:c r="P61" s="21" t="n">
        <x:v>1.3</x:v>
      </x:c>
      <x:c r="Q61" s="21" t="n">
        <x:v>1.3</x:v>
      </x:c>
      <x:c r="R61" s="21" t="n">
        <x:v>1.3</x:v>
      </x:c>
      <x:c r="S61" s="40" t="n">
        <x:f>IF(N61=0,0,(O61-N61)/N61)</x:f>
        <x:v>0</x:v>
      </x:c>
      <x:c r="T61" s="21" t="n">
        <x:f>O61*1.10</x:f>
        <x:v>1.4300000000000002</x:v>
      </x:c>
      <x:c r="U61" s="18" t="str">
        <x:f>IF(K61&gt;=3,"High",IF(K61=2,"Medium","Low"))</x:f>
        <x:v>High</x:v>
      </x:c>
      <x:c r="V61" s="18" t="str">
        <x:f>IF(S61&gt;0.10,"Price Varies",IF(K61&gt;=2,"Stable","Single Record"))</x:f>
        <x:v>Stable</x:v>
      </x:c>
      <x:c r="W61" s="18" t="str"/>
    </x:row>
    <x:row r="62">
      <x:c r="A62" s="18" t="str">
        <x:v>ND-DCX27-14</x:v>
      </x:c>
      <x:c r="B62" s="18" t="str">
        <x:v>風琴機針 DCx27 #14</x:v>
      </x:c>
      <x:c r="C62" s="18" t="str">
        <x:v>DCx27 #14</x:v>
      </x:c>
      <x:c r="D62" s="18" t="str">
        <x:v>Needle</x:v>
      </x:c>
      <x:c r="E62" s="18" t="str">
        <x:v>Consumable</x:v>
      </x:c>
      <x:c r="F62" s="18" t="str">
        <x:v>ORGAN/風琴</x:v>
      </x:c>
      <x:c r="G62" s="18" t="str">
        <x:v>Overlock</x:v>
      </x:c>
      <x:c r="H62" s="18" t="str">
        <x:v>包</x:v>
      </x:c>
      <x:c r="I62" s="19" t="n">
        <x:v>46065</x:v>
      </x:c>
      <x:c r="J62" s="19" t="n">
        <x:v>46175</x:v>
      </x:c>
      <x:c r="K62" s="18" t="n">
        <x:v>3</x:v>
      </x:c>
      <x:c r="L62" s="18" t="n">
        <x:v>250</x:v>
      </x:c>
      <x:c r="M62" s="21" t="n">
        <x:v>325</x:v>
      </x:c>
      <x:c r="N62" s="21" t="n">
        <x:v>1.3</x:v>
      </x:c>
      <x:c r="O62" s="21" t="n">
        <x:v>1.3</x:v>
      </x:c>
      <x:c r="P62" s="21" t="n">
        <x:v>1.3</x:v>
      </x:c>
      <x:c r="Q62" s="21" t="n">
        <x:v>1.3</x:v>
      </x:c>
      <x:c r="R62" s="21" t="n">
        <x:v>1.3</x:v>
      </x:c>
      <x:c r="S62" s="40" t="n">
        <x:f>IF(N62=0,0,(O62-N62)/N62)</x:f>
        <x:v>0</x:v>
      </x:c>
      <x:c r="T62" s="21" t="n">
        <x:f>O62*1.10</x:f>
        <x:v>1.4300000000000002</x:v>
      </x:c>
      <x:c r="U62" s="18" t="str">
        <x:f>IF(K62&gt;=3,"High",IF(K62=2,"Medium","Low"))</x:f>
        <x:v>High</x:v>
      </x:c>
      <x:c r="V62" s="18" t="str">
        <x:f>IF(S62&gt;0.10,"Price Varies",IF(K62&gt;=2,"Stable","Single Record"))</x:f>
        <x:v>Stable</x:v>
      </x:c>
      <x:c r="W62" s="18" t="str"/>
    </x:row>
    <x:row r="63">
      <x:c r="A63" s="18" t="str">
        <x:v>ND-DCX27-16</x:v>
      </x:c>
      <x:c r="B63" s="18" t="str">
        <x:v>風琴機針 DCx27 #16</x:v>
      </x:c>
      <x:c r="C63" s="18" t="str">
        <x:v>DCx27 #16</x:v>
      </x:c>
      <x:c r="D63" s="18" t="str">
        <x:v>Needle</x:v>
      </x:c>
      <x:c r="E63" s="18" t="str">
        <x:v>Consumable</x:v>
      </x:c>
      <x:c r="F63" s="18" t="str">
        <x:v>ORGAN/風琴</x:v>
      </x:c>
      <x:c r="G63" s="18" t="str">
        <x:v>Overlock</x:v>
      </x:c>
      <x:c r="H63" s="18" t="str">
        <x:v>包</x:v>
      </x:c>
      <x:c r="I63" s="19" t="n">
        <x:v>46065</x:v>
      </x:c>
      <x:c r="J63" s="19" t="n">
        <x:v>46175</x:v>
      </x:c>
      <x:c r="K63" s="18" t="n">
        <x:v>3</x:v>
      </x:c>
      <x:c r="L63" s="18" t="n">
        <x:v>200</x:v>
      </x:c>
      <x:c r="M63" s="21" t="n">
        <x:v>260</x:v>
      </x:c>
      <x:c r="N63" s="21" t="n">
        <x:v>1.3</x:v>
      </x:c>
      <x:c r="O63" s="21" t="n">
        <x:v>1.3</x:v>
      </x:c>
      <x:c r="P63" s="21" t="n">
        <x:v>1.3</x:v>
      </x:c>
      <x:c r="Q63" s="21" t="n">
        <x:v>1.3</x:v>
      </x:c>
      <x:c r="R63" s="21" t="n">
        <x:v>1.3</x:v>
      </x:c>
      <x:c r="S63" s="40" t="n">
        <x:f>IF(N63=0,0,(O63-N63)/N63)</x:f>
        <x:v>0</x:v>
      </x:c>
      <x:c r="T63" s="21" t="n">
        <x:f>O63*1.10</x:f>
        <x:v>1.4300000000000002</x:v>
      </x:c>
      <x:c r="U63" s="18" t="str">
        <x:f>IF(K63&gt;=3,"High",IF(K63=2,"Medium","Low"))</x:f>
        <x:v>High</x:v>
      </x:c>
      <x:c r="V63" s="18" t="str">
        <x:f>IF(S63&gt;0.10,"Price Varies",IF(K63&gt;=2,"Stable","Single Record"))</x:f>
        <x:v>Stable</x:v>
      </x:c>
      <x:c r="W63" s="18" t="str"/>
    </x:row>
    <x:row r="64">
      <x:c r="A64" s="18" t="str">
        <x:v>ND-DPX17-16</x:v>
      </x:c>
      <x:c r="B64" s="18" t="str">
        <x:v>風琴機針 DPx17 #16</x:v>
      </x:c>
      <x:c r="C64" s="18" t="str">
        <x:v>DPx17 #16</x:v>
      </x:c>
      <x:c r="D64" s="18" t="str">
        <x:v>Needle</x:v>
      </x:c>
      <x:c r="E64" s="18" t="str">
        <x:v>Consumable</x:v>
      </x:c>
      <x:c r="F64" s="18" t="str">
        <x:v>ORGAN/風琴</x:v>
      </x:c>
      <x:c r="G64" s="18" t="str">
        <x:v>Buttonhole / Special</x:v>
      </x:c>
      <x:c r="H64" s="18" t="str">
        <x:v>包</x:v>
      </x:c>
      <x:c r="I64" s="19" t="n">
        <x:v>46135</x:v>
      </x:c>
      <x:c r="J64" s="19" t="n">
        <x:v>46135</x:v>
      </x:c>
      <x:c r="K64" s="18" t="n">
        <x:v>1</x:v>
      </x:c>
      <x:c r="L64" s="18" t="n">
        <x:v>50</x:v>
      </x:c>
      <x:c r="M64" s="21" t="n">
        <x:v>65</x:v>
      </x:c>
      <x:c r="N64" s="21" t="n">
        <x:v>1.3</x:v>
      </x:c>
      <x:c r="O64" s="21" t="n">
        <x:v>1.3</x:v>
      </x:c>
      <x:c r="P64" s="21" t="n">
        <x:v>1.3</x:v>
      </x:c>
      <x:c r="Q64" s="21" t="n">
        <x:v>1.3</x:v>
      </x:c>
      <x:c r="R64" s="21" t="n">
        <x:v>1.3</x:v>
      </x:c>
      <x:c r="S64" s="40" t="n">
        <x:f>IF(N64=0,0,(O64-N64)/N64)</x:f>
        <x:v>0</x:v>
      </x:c>
      <x:c r="T64" s="21" t="n">
        <x:f>O64*1.10</x:f>
        <x:v>1.4300000000000002</x:v>
      </x:c>
      <x:c r="U64" s="18" t="str">
        <x:f>IF(K64&gt;=3,"High",IF(K64=2,"Medium","Low"))</x:f>
        <x:v>Low</x:v>
      </x:c>
      <x:c r="V64" s="18" t="str">
        <x:f>IF(S64&gt;0.10,"Price Varies",IF(K64&gt;=2,"Stable","Single Record"))</x:f>
        <x:v>Single Record</x:v>
      </x:c>
      <x:c r="W64" s="18" t="str"/>
    </x:row>
    <x:row r="65">
      <x:c r="A65" s="18" t="str">
        <x:v>ND-DPX5-14</x:v>
      </x:c>
      <x:c r="B65" s="18" t="str">
        <x:v>風琴機針 DPx5 #14</x:v>
      </x:c>
      <x:c r="C65" s="18" t="str">
        <x:v>DPx5 #14</x:v>
      </x:c>
      <x:c r="D65" s="18" t="str">
        <x:v>Needle</x:v>
      </x:c>
      <x:c r="E65" s="18" t="str">
        <x:v>Consumable</x:v>
      </x:c>
      <x:c r="F65" s="18" t="str">
        <x:v>ORGAN/風琴</x:v>
      </x:c>
      <x:c r="G65" s="18" t="str">
        <x:v>Lockstitch</x:v>
      </x:c>
      <x:c r="H65" s="18" t="str">
        <x:v>包</x:v>
      </x:c>
      <x:c r="I65" s="19" t="n">
        <x:v>46065</x:v>
      </x:c>
      <x:c r="J65" s="19" t="n">
        <x:v>46175</x:v>
      </x:c>
      <x:c r="K65" s="18" t="n">
        <x:v>3</x:v>
      </x:c>
      <x:c r="L65" s="18" t="n">
        <x:v>200</x:v>
      </x:c>
      <x:c r="M65" s="21" t="n">
        <x:v>156</x:v>
      </x:c>
      <x:c r="N65" s="21" t="n">
        <x:v>0.78</x:v>
      </x:c>
      <x:c r="O65" s="21" t="n">
        <x:v>0.78</x:v>
      </x:c>
      <x:c r="P65" s="21" t="n">
        <x:v>0.7799999999999999</x:v>
      </x:c>
      <x:c r="Q65" s="21" t="n">
        <x:v>0.78</x:v>
      </x:c>
      <x:c r="R65" s="21" t="n">
        <x:v>0.78</x:v>
      </x:c>
      <x:c r="S65" s="40" t="n">
        <x:f>IF(N65=0,0,(O65-N65)/N65)</x:f>
        <x:v>0</x:v>
      </x:c>
      <x:c r="T65" s="21" t="n">
        <x:f>O65*1.10</x:f>
        <x:v>0.8580000000000001</x:v>
      </x:c>
      <x:c r="U65" s="18" t="str">
        <x:f>IF(K65&gt;=3,"High",IF(K65=2,"Medium","Low"))</x:f>
        <x:v>High</x:v>
      </x:c>
      <x:c r="V65" s="18" t="str">
        <x:f>IF(S65&gt;0.10,"Price Varies",IF(K65&gt;=2,"Stable","Single Record"))</x:f>
        <x:v>Stable</x:v>
      </x:c>
      <x:c r="W65" s="18" t="str"/>
    </x:row>
    <x:row r="66">
      <x:c r="A66" s="18" t="str">
        <x:v>ND-DPX5-16</x:v>
      </x:c>
      <x:c r="B66" s="18" t="str">
        <x:v>風琴機針 DPx5 #16</x:v>
      </x:c>
      <x:c r="C66" s="18" t="str">
        <x:v>DPx5 #16</x:v>
      </x:c>
      <x:c r="D66" s="18" t="str">
        <x:v>Needle</x:v>
      </x:c>
      <x:c r="E66" s="18" t="str">
        <x:v>Consumable</x:v>
      </x:c>
      <x:c r="F66" s="18" t="str">
        <x:v>ORGAN/風琴</x:v>
      </x:c>
      <x:c r="G66" s="18" t="str">
        <x:v>Lockstitch</x:v>
      </x:c>
      <x:c r="H66" s="18" t="str">
        <x:v>包</x:v>
      </x:c>
      <x:c r="I66" s="19" t="n">
        <x:v>46065</x:v>
      </x:c>
      <x:c r="J66" s="19" t="n">
        <x:v>46175</x:v>
      </x:c>
      <x:c r="K66" s="18" t="n">
        <x:v>2</x:v>
      </x:c>
      <x:c r="L66" s="18" t="n">
        <x:v>150</x:v>
      </x:c>
      <x:c r="M66" s="21" t="n">
        <x:v>117</x:v>
      </x:c>
      <x:c r="N66" s="21" t="n">
        <x:v>0.78</x:v>
      </x:c>
      <x:c r="O66" s="21" t="n">
        <x:v>0.78</x:v>
      </x:c>
      <x:c r="P66" s="21" t="n">
        <x:v>0.78</x:v>
      </x:c>
      <x:c r="Q66" s="21" t="n">
        <x:v>0.78</x:v>
      </x:c>
      <x:c r="R66" s="21" t="n">
        <x:v>0.78</x:v>
      </x:c>
      <x:c r="S66" s="40" t="n">
        <x:f>IF(N66=0,0,(O66-N66)/N66)</x:f>
        <x:v>0</x:v>
      </x:c>
      <x:c r="T66" s="21" t="n">
        <x:f>O66*1.10</x:f>
        <x:v>0.8580000000000001</x:v>
      </x:c>
      <x:c r="U66" s="18" t="str">
        <x:f>IF(K66&gt;=3,"High",IF(K66=2,"Medium","Low"))</x:f>
        <x:v>Medium</x:v>
      </x:c>
      <x:c r="V66" s="18" t="str">
        <x:f>IF(S66&gt;0.10,"Price Varies",IF(K66&gt;=2,"Stable","Single Record"))</x:f>
        <x:v>Stable</x:v>
      </x:c>
      <x:c r="W66" s="18" t="str"/>
    </x:row>
    <x:row r="67">
      <x:c r="A67" s="18" t="str">
        <x:v>ND-UOX113-12</x:v>
      </x:c>
      <x:c r="B67" s="18" t="str">
        <x:v>風琴機針 UOx113 #12</x:v>
      </x:c>
      <x:c r="C67" s="18" t="str">
        <x:v>UOx113 #12</x:v>
      </x:c>
      <x:c r="D67" s="18" t="str">
        <x:v>Needle</x:v>
      </x:c>
      <x:c r="E67" s="18" t="str">
        <x:v>Consumable</x:v>
      </x:c>
      <x:c r="F67" s="18" t="str">
        <x:v>ORGAN/風琴</x:v>
      </x:c>
      <x:c r="G67" s="18" t="str">
        <x:v>Multi-needle</x:v>
      </x:c>
      <x:c r="H67" s="18" t="str">
        <x:v>包</x:v>
      </x:c>
      <x:c r="I67" s="19" t="n">
        <x:v>46116</x:v>
      </x:c>
      <x:c r="J67" s="19" t="n">
        <x:v>46182</x:v>
      </x:c>
      <x:c r="K67" s="18" t="n">
        <x:v>7</x:v>
      </x:c>
      <x:c r="L67" s="18" t="n">
        <x:v>530</x:v>
      </x:c>
      <x:c r="M67" s="21" t="n">
        <x:v>1590</x:v>
      </x:c>
      <x:c r="N67" s="21" t="n">
        <x:v>3</x:v>
      </x:c>
      <x:c r="O67" s="21" t="n">
        <x:v>3</x:v>
      </x:c>
      <x:c r="P67" s="21" t="n">
        <x:v>3</x:v>
      </x:c>
      <x:c r="Q67" s="21" t="n">
        <x:v>3</x:v>
      </x:c>
      <x:c r="R67" s="21" t="n">
        <x:v>3</x:v>
      </x:c>
      <x:c r="S67" s="40" t="n">
        <x:f>IF(N67=0,0,(O67-N67)/N67)</x:f>
        <x:v>0</x:v>
      </x:c>
      <x:c r="T67" s="21" t="n">
        <x:f>O67*1.10</x:f>
        <x:v>3.3000000000000003</x:v>
      </x:c>
      <x:c r="U67" s="18" t="str">
        <x:f>IF(K67&gt;=3,"High",IF(K67=2,"Medium","Low"))</x:f>
        <x:v>High</x:v>
      </x:c>
      <x:c r="V67" s="18" t="str">
        <x:f>IF(S67&gt;0.10,"Price Varies",IF(K67&gt;=2,"Stable","Single Record"))</x:f>
        <x:v>Stable</x:v>
      </x:c>
      <x:c r="W67" s="18" t="str"/>
    </x:row>
    <x:row r="68">
      <x:c r="A68" s="18" t="str">
        <x:v>ND-UOX113-14</x:v>
      </x:c>
      <x:c r="B68" s="18" t="str">
        <x:v>風琴機針 UOx113 #14</x:v>
      </x:c>
      <x:c r="C68" s="18" t="str">
        <x:v>UOx113 #14</x:v>
      </x:c>
      <x:c r="D68" s="18" t="str">
        <x:v>Needle</x:v>
      </x:c>
      <x:c r="E68" s="18" t="str">
        <x:v>Consumable</x:v>
      </x:c>
      <x:c r="F68" s="18" t="str">
        <x:v>ORGAN/風琴</x:v>
      </x:c>
      <x:c r="G68" s="18" t="str">
        <x:v>Multi-needle</x:v>
      </x:c>
      <x:c r="H68" s="18" t="str">
        <x:v>包</x:v>
      </x:c>
      <x:c r="I68" s="19" t="n">
        <x:v>46024</x:v>
      </x:c>
      <x:c r="J68" s="19" t="n">
        <x:v>46197</x:v>
      </x:c>
      <x:c r="K68" s="18" t="n">
        <x:v>7</x:v>
      </x:c>
      <x:c r="L68" s="18" t="n">
        <x:v>550</x:v>
      </x:c>
      <x:c r="M68" s="21" t="n">
        <x:v>1650</x:v>
      </x:c>
      <x:c r="N68" s="21" t="n">
        <x:v>3</x:v>
      </x:c>
      <x:c r="O68" s="21" t="n">
        <x:v>3</x:v>
      </x:c>
      <x:c r="P68" s="21" t="n">
        <x:v>3</x:v>
      </x:c>
      <x:c r="Q68" s="21" t="n">
        <x:v>3</x:v>
      </x:c>
      <x:c r="R68" s="21" t="n">
        <x:v>3</x:v>
      </x:c>
      <x:c r="S68" s="40" t="n">
        <x:f>IF(N68=0,0,(O68-N68)/N68)</x:f>
        <x:v>0</x:v>
      </x:c>
      <x:c r="T68" s="21" t="n">
        <x:f>O68*1.10</x:f>
        <x:v>3.3000000000000003</x:v>
      </x:c>
      <x:c r="U68" s="18" t="str">
        <x:f>IF(K68&gt;=3,"High",IF(K68=2,"Medium","Low"))</x:f>
        <x:v>High</x:v>
      </x:c>
      <x:c r="V68" s="18" t="str">
        <x:f>IF(S68&gt;0.10,"Price Varies",IF(K68&gt;=2,"Stable","Single Record"))</x:f>
        <x:v>Stable</x:v>
      </x:c>
      <x:c r="W68" s="18" t="str"/>
    </x:row>
    <x:row r="69">
      <x:c r="A69" s="18" t="str">
        <x:v>ND-UOX113-16</x:v>
      </x:c>
      <x:c r="B69" s="18" t="str">
        <x:v>風琴機針 UOx113 #16</x:v>
      </x:c>
      <x:c r="C69" s="18" t="str">
        <x:v>UOx113 #16</x:v>
      </x:c>
      <x:c r="D69" s="18" t="str">
        <x:v>Needle</x:v>
      </x:c>
      <x:c r="E69" s="18" t="str">
        <x:v>Consumable</x:v>
      </x:c>
      <x:c r="F69" s="18" t="str">
        <x:v>ORGAN/風琴</x:v>
      </x:c>
      <x:c r="G69" s="18" t="str">
        <x:v>Multi-needle</x:v>
      </x:c>
      <x:c r="H69" s="18" t="str">
        <x:v>包</x:v>
      </x:c>
      <x:c r="I69" s="19" t="n">
        <x:v>46106</x:v>
      </x:c>
      <x:c r="J69" s="19" t="n">
        <x:v>46197</x:v>
      </x:c>
      <x:c r="K69" s="18" t="n">
        <x:v>2</x:v>
      </x:c>
      <x:c r="L69" s="18" t="n">
        <x:v>100</x:v>
      </x:c>
      <x:c r="M69" s="21" t="n">
        <x:v>300</x:v>
      </x:c>
      <x:c r="N69" s="21" t="n">
        <x:v>3</x:v>
      </x:c>
      <x:c r="O69" s="21" t="n">
        <x:v>3</x:v>
      </x:c>
      <x:c r="P69" s="21" t="n">
        <x:v>3</x:v>
      </x:c>
      <x:c r="Q69" s="21" t="n">
        <x:v>3</x:v>
      </x:c>
      <x:c r="R69" s="21" t="n">
        <x:v>3</x:v>
      </x:c>
      <x:c r="S69" s="40" t="n">
        <x:f>IF(N69=0,0,(O69-N69)/N69)</x:f>
        <x:v>0</x:v>
      </x:c>
      <x:c r="T69" s="21" t="n">
        <x:f>O69*1.10</x:f>
        <x:v>3.3000000000000003</x:v>
      </x:c>
      <x:c r="U69" s="18" t="str">
        <x:f>IF(K69&gt;=3,"High",IF(K69=2,"Medium","Low"))</x:f>
        <x:v>Medium</x:v>
      </x:c>
      <x:c r="V69" s="18" t="str">
        <x:f>IF(S69&gt;0.10,"Price Varies",IF(K69&gt;=2,"Stable","Single Record"))</x:f>
        <x:v>Stable</x:v>
      </x:c>
      <x:c r="W69" s="18" t="str"/>
    </x:row>
    <x:row r="70">
      <x:c r="A70" s="18" t="str">
        <x:v>ND-UYX128-11</x:v>
      </x:c>
      <x:c r="B70" s="18" t="str">
        <x:v>風琴機針 UYx128 #11</x:v>
      </x:c>
      <x:c r="C70" s="18" t="str">
        <x:v>UYx128 #11</x:v>
      </x:c>
      <x:c r="D70" s="18" t="str">
        <x:v>Needle</x:v>
      </x:c>
      <x:c r="E70" s="18" t="str">
        <x:v>Consumable</x:v>
      </x:c>
      <x:c r="F70" s="18" t="str">
        <x:v>ORGAN/風琴</x:v>
      </x:c>
      <x:c r="G70" s="18" t="str">
        <x:v>Multi-needle / Chainstitch</x:v>
      </x:c>
      <x:c r="H70" s="18" t="str">
        <x:v>包</x:v>
      </x:c>
      <x:c r="I70" s="19" t="n">
        <x:v>46024</x:v>
      </x:c>
      <x:c r="J70" s="19" t="n">
        <x:v>46051</x:v>
      </x:c>
      <x:c r="K70" s="18" t="n">
        <x:v>4</x:v>
      </x:c>
      <x:c r="L70" s="18" t="n">
        <x:v>400</x:v>
      </x:c>
      <x:c r="M70" s="21" t="n">
        <x:v>712</x:v>
      </x:c>
      <x:c r="N70" s="21" t="n">
        <x:v>1.78</x:v>
      </x:c>
      <x:c r="O70" s="21" t="n">
        <x:v>1.78</x:v>
      </x:c>
      <x:c r="P70" s="21" t="n">
        <x:v>1.78</x:v>
      </x:c>
      <x:c r="Q70" s="21" t="n">
        <x:v>1.78</x:v>
      </x:c>
      <x:c r="R70" s="21" t="n">
        <x:v>1.78</x:v>
      </x:c>
      <x:c r="S70" s="40" t="n">
        <x:f>IF(N70=0,0,(O70-N70)/N70)</x:f>
        <x:v>0</x:v>
      </x:c>
      <x:c r="T70" s="21" t="n">
        <x:f>O70*1.10</x:f>
        <x:v>1.9580000000000002</x:v>
      </x:c>
      <x:c r="U70" s="18" t="str">
        <x:f>IF(K70&gt;=3,"High",IF(K70=2,"Medium","Low"))</x:f>
        <x:v>High</x:v>
      </x:c>
      <x:c r="V70" s="18" t="str">
        <x:f>IF(S70&gt;0.10,"Price Varies",IF(K70&gt;=2,"Stable","Single Record"))</x:f>
        <x:v>Stable</x:v>
      </x:c>
      <x:c r="W70" s="18" t="str"/>
    </x:row>
    <x:row r="71">
      <x:c r="A71" s="18" t="str">
        <x:v>ND-UYX128-12</x:v>
      </x:c>
      <x:c r="B71" s="18" t="str">
        <x:v>風琴機針 UYx128 #12</x:v>
      </x:c>
      <x:c r="C71" s="18" t="str">
        <x:v>UYx128 #12</x:v>
      </x:c>
      <x:c r="D71" s="18" t="str">
        <x:v>Needle</x:v>
      </x:c>
      <x:c r="E71" s="18" t="str">
        <x:v>Consumable</x:v>
      </x:c>
      <x:c r="F71" s="18" t="str">
        <x:v>ORGAN/風琴</x:v>
      </x:c>
      <x:c r="G71" s="18" t="str">
        <x:v>Multi-needle / Chainstitch</x:v>
      </x:c>
      <x:c r="H71" s="18" t="str">
        <x:v>包</x:v>
      </x:c>
      <x:c r="I71" s="19" t="n">
        <x:v>46090</x:v>
      </x:c>
      <x:c r="J71" s="19" t="n">
        <x:v>46182</x:v>
      </x:c>
      <x:c r="K71" s="18" t="n">
        <x:v>7</x:v>
      </x:c>
      <x:c r="L71" s="18" t="n">
        <x:v>750</x:v>
      </x:c>
      <x:c r="M71" s="21" t="n">
        <x:v>1335</x:v>
      </x:c>
      <x:c r="N71" s="21" t="n">
        <x:v>1.78</x:v>
      </x:c>
      <x:c r="O71" s="21" t="n">
        <x:v>1.78</x:v>
      </x:c>
      <x:c r="P71" s="21" t="n">
        <x:v>1.78</x:v>
      </x:c>
      <x:c r="Q71" s="21" t="n">
        <x:v>1.78</x:v>
      </x:c>
      <x:c r="R71" s="21" t="n">
        <x:v>1.78</x:v>
      </x:c>
      <x:c r="S71" s="40" t="n">
        <x:f>IF(N71=0,0,(O71-N71)/N71)</x:f>
        <x:v>0</x:v>
      </x:c>
      <x:c r="T71" s="21" t="n">
        <x:f>O71*1.10</x:f>
        <x:v>1.9580000000000002</x:v>
      </x:c>
      <x:c r="U71" s="18" t="str">
        <x:f>IF(K71&gt;=3,"High",IF(K71=2,"Medium","Low"))</x:f>
        <x:v>High</x:v>
      </x:c>
      <x:c r="V71" s="18" t="str">
        <x:f>IF(S71&gt;0.10,"Price Varies",IF(K71&gt;=2,"Stable","Single Record"))</x:f>
        <x:v>Stable</x:v>
      </x:c>
      <x:c r="W71" s="18" t="str"/>
    </x:row>
    <x:row r="72">
      <x:c r="A72" s="18" t="str">
        <x:v>ND-UYX128-14</x:v>
      </x:c>
      <x:c r="B72" s="18" t="str">
        <x:v>風琴機針 UYx128 #14</x:v>
      </x:c>
      <x:c r="C72" s="18" t="str">
        <x:v>UYx128 #14</x:v>
      </x:c>
      <x:c r="D72" s="18" t="str">
        <x:v>Needle</x:v>
      </x:c>
      <x:c r="E72" s="18" t="str">
        <x:v>Consumable</x:v>
      </x:c>
      <x:c r="F72" s="18" t="str">
        <x:v>ORGAN/風琴</x:v>
      </x:c>
      <x:c r="G72" s="18" t="str">
        <x:v>Multi-needle / Chainstitch</x:v>
      </x:c>
      <x:c r="H72" s="18" t="str">
        <x:v>包</x:v>
      </x:c>
      <x:c r="I72" s="19" t="n">
        <x:v>46085</x:v>
      </x:c>
      <x:c r="J72" s="19" t="n">
        <x:v>46189</x:v>
      </x:c>
      <x:c r="K72" s="18" t="n">
        <x:v>3</x:v>
      </x:c>
      <x:c r="L72" s="18" t="n">
        <x:v>300</x:v>
      </x:c>
      <x:c r="M72" s="21" t="n">
        <x:v>534</x:v>
      </x:c>
      <x:c r="N72" s="21" t="n">
        <x:v>1.78</x:v>
      </x:c>
      <x:c r="O72" s="21" t="n">
        <x:v>1.78</x:v>
      </x:c>
      <x:c r="P72" s="21" t="n">
        <x:v>1.78</x:v>
      </x:c>
      <x:c r="Q72" s="21" t="n">
        <x:v>1.78</x:v>
      </x:c>
      <x:c r="R72" s="21" t="n">
        <x:v>1.78</x:v>
      </x:c>
      <x:c r="S72" s="40" t="n">
        <x:f>IF(N72=0,0,(O72-N72)/N72)</x:f>
        <x:v>0</x:v>
      </x:c>
      <x:c r="T72" s="21" t="n">
        <x:f>O72*1.10</x:f>
        <x:v>1.9580000000000002</x:v>
      </x:c>
      <x:c r="U72" s="18" t="str">
        <x:f>IF(K72&gt;=3,"High",IF(K72=2,"Medium","Low"))</x:f>
        <x:v>High</x:v>
      </x:c>
      <x:c r="V72" s="18" t="str">
        <x:f>IF(S72&gt;0.10,"Price Varies",IF(K72&gt;=2,"Stable","Single Record"))</x:f>
        <x:v>Stable</x:v>
      </x:c>
      <x:c r="W72" s="18" t="str"/>
    </x:row>
    <x:row r="73">
      <x:c r="A73" s="18" t="str">
        <x:v>NP-E22</x:v>
      </x:c>
      <x:c r="B73" s="18" t="str">
        <x:v>E22 針板</x:v>
      </x:c>
      <x:c r="C73" s="18" t="str">
        <x:v>E22</x:v>
      </x:c>
      <x:c r="D73" s="18" t="str">
        <x:v>Needle Plate/Feed Dog</x:v>
      </x:c>
      <x:c r="E73" s="18" t="str">
        <x:v>Spare Part</x:v>
      </x:c>
      <x:c r="F73" s="18" t="str"/>
      <x:c r="G73" s="18" t="str">
        <x:v>Single Needle</x:v>
      </x:c>
      <x:c r="H73" s="18" t="str">
        <x:v>個</x:v>
      </x:c>
      <x:c r="I73" s="19" t="n">
        <x:v>46067</x:v>
      </x:c>
      <x:c r="J73" s="19" t="n">
        <x:v>46182</x:v>
      </x:c>
      <x:c r="K73" s="18" t="n">
        <x:v>2</x:v>
      </x:c>
      <x:c r="L73" s="18" t="n">
        <x:v>80</x:v>
      </x:c>
      <x:c r="M73" s="21" t="n">
        <x:v>28</x:v>
      </x:c>
      <x:c r="N73" s="21" t="n">
        <x:v>0.35</x:v>
      </x:c>
      <x:c r="O73" s="21" t="n">
        <x:v>0.35</x:v>
      </x:c>
      <x:c r="P73" s="21" t="n">
        <x:v>0.35</x:v>
      </x:c>
      <x:c r="Q73" s="21" t="n">
        <x:v>0.35</x:v>
      </x:c>
      <x:c r="R73" s="21" t="n">
        <x:v>0.35</x:v>
      </x:c>
      <x:c r="S73" s="40" t="n">
        <x:f>IF(N73=0,0,(O73-N73)/N73)</x:f>
        <x:v>0</x:v>
      </x:c>
      <x:c r="T73" s="21" t="n">
        <x:f>O73*1.10</x:f>
        <x:v>0.385</x:v>
      </x:c>
      <x:c r="U73" s="18" t="str">
        <x:f>IF(K73&gt;=3,"High",IF(K73=2,"Medium","Low"))</x:f>
        <x:v>Medium</x:v>
      </x:c>
      <x:c r="V73" s="18" t="str">
        <x:f>IF(S73&gt;0.10,"Price Varies",IF(K73&gt;=2,"Stable","Single Record"))</x:f>
        <x:v>Stable</x:v>
      </x:c>
      <x:c r="W73" s="18" t="str"/>
    </x:row>
    <x:row r="74">
      <x:c r="A74" s="18" t="str">
        <x:v>FD-H208K</x:v>
      </x:c>
      <x:c r="B74" s="18" t="str">
        <x:v>H208K 牙齒</x:v>
      </x:c>
      <x:c r="C74" s="18" t="str">
        <x:v>H208K</x:v>
      </x:c>
      <x:c r="D74" s="18" t="str">
        <x:v>Needle Plate/Feed Dog</x:v>
      </x:c>
      <x:c r="E74" s="18" t="str">
        <x:v>Spare Part</x:v>
      </x:c>
      <x:c r="F74" s="18" t="str"/>
      <x:c r="G74" s="18" t="str">
        <x:v>Sewing Machine</x:v>
      </x:c>
      <x:c r="H74" s="18" t="str">
        <x:v>個</x:v>
      </x:c>
      <x:c r="I74" s="19" t="n">
        <x:v>46171</x:v>
      </x:c>
      <x:c r="J74" s="19" t="n">
        <x:v>46171</x:v>
      </x:c>
      <x:c r="K74" s="18" t="n">
        <x:v>1</x:v>
      </x:c>
      <x:c r="L74" s="18" t="n">
        <x:v>5</x:v>
      </x:c>
      <x:c r="M74" s="21" t="n">
        <x:v>16.25</x:v>
      </x:c>
      <x:c r="N74" s="21" t="n">
        <x:v>3.25</x:v>
      </x:c>
      <x:c r="O74" s="21" t="n">
        <x:v>3.25</x:v>
      </x:c>
      <x:c r="P74" s="21" t="n">
        <x:v>3.25</x:v>
      </x:c>
      <x:c r="Q74" s="21" t="n">
        <x:v>3.25</x:v>
      </x:c>
      <x:c r="R74" s="21" t="n">
        <x:v>3.25</x:v>
      </x:c>
      <x:c r="S74" s="40" t="n">
        <x:f>IF(N74=0,0,(O74-N74)/N74)</x:f>
        <x:v>0</x:v>
      </x:c>
      <x:c r="T74" s="21" t="n">
        <x:f>O74*1.10</x:f>
        <x:v>3.575</x:v>
      </x:c>
      <x:c r="U74" s="18" t="str">
        <x:f>IF(K74&gt;=3,"High",IF(K74=2,"Medium","Low"))</x:f>
        <x:v>Low</x:v>
      </x:c>
      <x:c r="V74" s="18" t="str">
        <x:f>IF(S74&gt;0.10,"Price Varies",IF(K74&gt;=2,"Stable","Single Record"))</x:f>
        <x:v>Single Record</x:v>
      </x:c>
      <x:c r="W74" s="18" t="str"/>
    </x:row>
    <x:row r="75">
      <x:c r="A75" s="18" t="str">
        <x:v>FD-SIRUBA747K-SET</x:v>
      </x:c>
      <x:c r="B75" s="18" t="str">
        <x:v>SIRUBA-747K 牙齒組</x:v>
      </x:c>
      <x:c r="C75" s="18" t="str">
        <x:v>747K</x:v>
      </x:c>
      <x:c r="D75" s="18" t="str">
        <x:v>Needle Plate/Feed Dog</x:v>
      </x:c>
      <x:c r="E75" s="18" t="str">
        <x:v>Spare Part</x:v>
      </x:c>
      <x:c r="F75" s="18" t="str">
        <x:v>SIRUBA</x:v>
      </x:c>
      <x:c r="G75" s="18" t="str">
        <x:v>Overlock</x:v>
      </x:c>
      <x:c r="H75" s="18" t="str">
        <x:v>套</x:v>
      </x:c>
      <x:c r="I75" s="19" t="n">
        <x:v>46067</x:v>
      </x:c>
      <x:c r="J75" s="19" t="n">
        <x:v>46067</x:v>
      </x:c>
      <x:c r="K75" s="18" t="n">
        <x:v>1</x:v>
      </x:c>
      <x:c r="L75" s="18" t="n">
        <x:v>10</x:v>
      </x:c>
      <x:c r="M75" s="21" t="n">
        <x:v>65</x:v>
      </x:c>
      <x:c r="N75" s="21" t="n">
        <x:v>6.5</x:v>
      </x:c>
      <x:c r="O75" s="21" t="n">
        <x:v>6.5</x:v>
      </x:c>
      <x:c r="P75" s="21" t="n">
        <x:v>6.5</x:v>
      </x:c>
      <x:c r="Q75" s="21" t="n">
        <x:v>6.5</x:v>
      </x:c>
      <x:c r="R75" s="21" t="n">
        <x:v>6.5</x:v>
      </x:c>
      <x:c r="S75" s="40" t="n">
        <x:f>IF(N75=0,0,(O75-N75)/N75)</x:f>
        <x:v>0</x:v>
      </x:c>
      <x:c r="T75" s="21" t="n">
        <x:f>O75*1.10</x:f>
        <x:v>7.15</x:v>
      </x:c>
      <x:c r="U75" s="18" t="str">
        <x:f>IF(K75&gt;=3,"High",IF(K75=2,"Medium","Low"))</x:f>
        <x:v>Low</x:v>
      </x:c>
      <x:c r="V75" s="18" t="str">
        <x:f>IF(S75&gt;0.10,"Price Varies",IF(K75&gt;=2,"Stable","Single Record"))</x:f>
        <x:v>Single Record</x:v>
      </x:c>
      <x:c r="W75" s="18" t="str"/>
    </x:row>
    <x:row r="76">
      <x:c r="A76" s="18" t="str">
        <x:v>NP-SIRUBA747K</x:v>
      </x:c>
      <x:c r="B76" s="18" t="str">
        <x:v>SIRUBA-747K 針板</x:v>
      </x:c>
      <x:c r="C76" s="18" t="str">
        <x:v>747K</x:v>
      </x:c>
      <x:c r="D76" s="18" t="str">
        <x:v>Needle Plate/Feed Dog</x:v>
      </x:c>
      <x:c r="E76" s="18" t="str">
        <x:v>Spare Part</x:v>
      </x:c>
      <x:c r="F76" s="18" t="str">
        <x:v>SIRUBA</x:v>
      </x:c>
      <x:c r="G76" s="18" t="str">
        <x:v>Overlock</x:v>
      </x:c>
      <x:c r="H76" s="18" t="str">
        <x:v>個</x:v>
      </x:c>
      <x:c r="I76" s="19" t="n">
        <x:v>46067</x:v>
      </x:c>
      <x:c r="J76" s="19" t="n">
        <x:v>46067</x:v>
      </x:c>
      <x:c r="K76" s="18" t="n">
        <x:v>1</x:v>
      </x:c>
      <x:c r="L76" s="18" t="n">
        <x:v>20</x:v>
      </x:c>
      <x:c r="M76" s="21" t="n">
        <x:v>50</x:v>
      </x:c>
      <x:c r="N76" s="21" t="n">
        <x:v>2.5</x:v>
      </x:c>
      <x:c r="O76" s="21" t="n">
        <x:v>2.5</x:v>
      </x:c>
      <x:c r="P76" s="21" t="n">
        <x:v>2.5</x:v>
      </x:c>
      <x:c r="Q76" s="21" t="n">
        <x:v>2.5</x:v>
      </x:c>
      <x:c r="R76" s="21" t="n">
        <x:v>2.5</x:v>
      </x:c>
      <x:c r="S76" s="40" t="n">
        <x:f>IF(N76=0,0,(O76-N76)/N76)</x:f>
        <x:v>0</x:v>
      </x:c>
      <x:c r="T76" s="21" t="n">
        <x:f>O76*1.10</x:f>
        <x:v>2.75</x:v>
      </x:c>
      <x:c r="U76" s="18" t="str">
        <x:f>IF(K76&gt;=3,"High",IF(K76=2,"Medium","Low"))</x:f>
        <x:v>Low</x:v>
      </x:c>
      <x:c r="V76" s="18" t="str">
        <x:f>IF(S76&gt;0.10,"Price Varies",IF(K76&gt;=2,"Stable","Single Record"))</x:f>
        <x:v>Single Record</x:v>
      </x:c>
      <x:c r="W76" s="18" t="str"/>
    </x:row>
    <x:row r="77">
      <x:c r="A77" s="18" t="str">
        <x:v>FD-SIRUBA747KS-SMALL-ORIG</x:v>
      </x:c>
      <x:c r="B77" s="18" t="str">
        <x:v>SIRUBA-747KS小頭拷克牙齒組（原裝）</x:v>
      </x:c>
      <x:c r="C77" s="18" t="str">
        <x:v>747KS</x:v>
      </x:c>
      <x:c r="D77" s="18" t="str">
        <x:v>Needle Plate/Feed Dog</x:v>
      </x:c>
      <x:c r="E77" s="18" t="str">
        <x:v>Spare Part</x:v>
      </x:c>
      <x:c r="F77" s="18" t="str">
        <x:v>SIRUBA</x:v>
      </x:c>
      <x:c r="G77" s="18" t="str">
        <x:v>Overlock</x:v>
      </x:c>
      <x:c r="H77" s="18" t="str">
        <x:v>套</x:v>
      </x:c>
      <x:c r="I77" s="19" t="n">
        <x:v>46182</x:v>
      </x:c>
      <x:c r="J77" s="19" t="n">
        <x:v>46182</x:v>
      </x:c>
      <x:c r="K77" s="18" t="n">
        <x:v>1</x:v>
      </x:c>
      <x:c r="L77" s="18" t="n">
        <x:v>5</x:v>
      </x:c>
      <x:c r="M77" s="21" t="n">
        <x:v>75</x:v>
      </x:c>
      <x:c r="N77" s="21" t="n">
        <x:v>15</x:v>
      </x:c>
      <x:c r="O77" s="21" t="n">
        <x:v>15</x:v>
      </x:c>
      <x:c r="P77" s="21" t="n">
        <x:v>15</x:v>
      </x:c>
      <x:c r="Q77" s="21" t="n">
        <x:v>15</x:v>
      </x:c>
      <x:c r="R77" s="21" t="n">
        <x:v>15</x:v>
      </x:c>
      <x:c r="S77" s="40" t="n">
        <x:f>IF(N77=0,0,(O77-N77)/N77)</x:f>
        <x:v>0</x:v>
      </x:c>
      <x:c r="T77" s="21" t="n">
        <x:f>O77*1.10</x:f>
        <x:v>16.5</x:v>
      </x:c>
      <x:c r="U77" s="18" t="str">
        <x:f>IF(K77&gt;=3,"High",IF(K77=2,"Medium","Low"))</x:f>
        <x:v>Low</x:v>
      </x:c>
      <x:c r="V77" s="18" t="str">
        <x:f>IF(S77&gt;0.10,"Price Varies",IF(K77&gt;=2,"Stable","Single Record"))</x:f>
        <x:v>Single Record</x:v>
      </x:c>
      <x:c r="W77" s="18" t="str"/>
    </x:row>
    <x:row r="78">
      <x:c r="A78" s="18" t="str">
        <x:v>FD-SN-E-TYPE</x:v>
      </x:c>
      <x:c r="B78" s="18" t="str">
        <x:v>平車E型牙齒</x:v>
      </x:c>
      <x:c r="C78" s="18" t="str">
        <x:v>E Type</x:v>
      </x:c>
      <x:c r="D78" s="18" t="str">
        <x:v>Needle Plate/Feed Dog</x:v>
      </x:c>
      <x:c r="E78" s="18" t="str">
        <x:v>Spare Part</x:v>
      </x:c>
      <x:c r="F78" s="18" t="str"/>
      <x:c r="G78" s="18" t="str">
        <x:v>Single Needle</x:v>
      </x:c>
      <x:c r="H78" s="18" t="str">
        <x:v>個</x:v>
      </x:c>
      <x:c r="I78" s="19" t="n">
        <x:v>46182</x:v>
      </x:c>
      <x:c r="J78" s="19" t="n">
        <x:v>46182</x:v>
      </x:c>
      <x:c r="K78" s="18" t="n">
        <x:v>1</x:v>
      </x:c>
      <x:c r="L78" s="18" t="n">
        <x:v>100</x:v>
      </x:c>
      <x:c r="M78" s="21" t="n">
        <x:v>50</x:v>
      </x:c>
      <x:c r="N78" s="21" t="n">
        <x:v>0.5</x:v>
      </x:c>
      <x:c r="O78" s="21" t="n">
        <x:v>0.5</x:v>
      </x:c>
      <x:c r="P78" s="21" t="n">
        <x:v>0.5</x:v>
      </x:c>
      <x:c r="Q78" s="21" t="n">
        <x:v>0.5</x:v>
      </x:c>
      <x:c r="R78" s="21" t="n">
        <x:v>0.5</x:v>
      </x:c>
      <x:c r="S78" s="40" t="n">
        <x:f>IF(N78=0,0,(O78-N78)/N78)</x:f>
        <x:v>0</x:v>
      </x:c>
      <x:c r="T78" s="21" t="n">
        <x:f>O78*1.10</x:f>
        <x:v>0.55</x:v>
      </x:c>
      <x:c r="U78" s="18" t="str">
        <x:f>IF(K78&gt;=3,"High",IF(K78=2,"Medium","Low"))</x:f>
        <x:v>Low</x:v>
      </x:c>
      <x:c r="V78" s="18" t="str">
        <x:f>IF(S78&gt;0.10,"Price Varies",IF(K78&gt;=2,"Stable","Single Record"))</x:f>
        <x:v>Single Record</x:v>
      </x:c>
      <x:c r="W78" s="18" t="str"/>
    </x:row>
    <x:row r="79">
      <x:c r="A79" s="18" t="str">
        <x:v>SP-SN-THREAD-SPRING</x:v>
      </x:c>
      <x:c r="B79" s="18" t="str">
        <x:v>平車跳線彈簧</x:v>
      </x:c>
      <x:c r="C79" s="18" t="str">
        <x:v>Thread Take-up Spring</x:v>
      </x:c>
      <x:c r="D79" s="18" t="str">
        <x:v>Other</x:v>
      </x:c>
      <x:c r="E79" s="18" t="str">
        <x:v>Spare Part</x:v>
      </x:c>
      <x:c r="F79" s="18" t="str"/>
      <x:c r="G79" s="18" t="str">
        <x:v>Single Needle</x:v>
      </x:c>
      <x:c r="H79" s="18" t="str">
        <x:v>個</x:v>
      </x:c>
      <x:c r="I79" s="19" t="n">
        <x:v>46144</x:v>
      </x:c>
      <x:c r="J79" s="19" t="n">
        <x:v>46144</x:v>
      </x:c>
      <x:c r="K79" s="18" t="n">
        <x:v>1</x:v>
      </x:c>
      <x:c r="L79" s="18" t="n">
        <x:v>100</x:v>
      </x:c>
      <x:c r="M79" s="21" t="n">
        <x:v>10</x:v>
      </x:c>
      <x:c r="N79" s="21" t="n">
        <x:v>0.1</x:v>
      </x:c>
      <x:c r="O79" s="21" t="n">
        <x:v>0.1</x:v>
      </x:c>
      <x:c r="P79" s="21" t="n">
        <x:v>0.1</x:v>
      </x:c>
      <x:c r="Q79" s="21" t="n">
        <x:v>0.1</x:v>
      </x:c>
      <x:c r="R79" s="21" t="n">
        <x:v>0.1</x:v>
      </x:c>
      <x:c r="S79" s="40" t="n">
        <x:f>IF(N79=0,0,(O79-N79)/N79)</x:f>
        <x:v>0</x:v>
      </x:c>
      <x:c r="T79" s="21" t="n">
        <x:f>O79*1.10</x:f>
        <x:v>0.11000000000000001</x:v>
      </x:c>
      <x:c r="U79" s="18" t="str">
        <x:f>IF(K79&gt;=3,"High",IF(K79=2,"Medium","Low"))</x:f>
        <x:v>Low</x:v>
      </x:c>
      <x:c r="V79" s="18" t="str">
        <x:f>IF(S79&gt;0.10,"Price Varies",IF(K79&gt;=2,"Stable","Single Record"))</x:f>
        <x:v>Single Record</x:v>
      </x:c>
      <x:c r="W79" s="18" t="str"/>
    </x:row>
    <x:row r="80">
      <x:c r="A80" s="18" t="str">
        <x:v>PF-CL1-16N</x:v>
      </x:c>
      <x:c r="B80" s="18" t="str">
        <x:v>CL1/16N 壓腳</x:v>
      </x:c>
      <x:c r="C80" s="18" t="str">
        <x:v>CL1/16N</x:v>
      </x:c>
      <x:c r="D80" s="18" t="str">
        <x:v>Presser Foot</x:v>
      </x:c>
      <x:c r="E80" s="18" t="str">
        <x:v>Spare Part</x:v>
      </x:c>
      <x:c r="F80" s="18" t="str"/>
      <x:c r="G80" s="18" t="str">
        <x:v>Single Needle</x:v>
      </x:c>
      <x:c r="H80" s="18" t="str">
        <x:v>個</x:v>
      </x:c>
      <x:c r="I80" s="19" t="n">
        <x:v>46086</x:v>
      </x:c>
      <x:c r="J80" s="19" t="n">
        <x:v>46144</x:v>
      </x:c>
      <x:c r="K80" s="18" t="n">
        <x:v>2</x:v>
      </x:c>
      <x:c r="L80" s="18" t="n">
        <x:v>40</x:v>
      </x:c>
      <x:c r="M80" s="21" t="n">
        <x:v>24</x:v>
      </x:c>
      <x:c r="N80" s="21" t="n">
        <x:v>0.6</x:v>
      </x:c>
      <x:c r="O80" s="21" t="n">
        <x:v>0.6</x:v>
      </x:c>
      <x:c r="P80" s="21" t="n">
        <x:v>0.6</x:v>
      </x:c>
      <x:c r="Q80" s="21" t="n">
        <x:v>0.6</x:v>
      </x:c>
      <x:c r="R80" s="21" t="n">
        <x:v>0.6</x:v>
      </x:c>
      <x:c r="S80" s="40" t="n">
        <x:f>IF(N80=0,0,(O80-N80)/N80)</x:f>
        <x:v>0</x:v>
      </x:c>
      <x:c r="T80" s="21" t="n">
        <x:f>O80*1.10</x:f>
        <x:v>0.66</x:v>
      </x:c>
      <x:c r="U80" s="18" t="str">
        <x:f>IF(K80&gt;=3,"High",IF(K80=2,"Medium","Low"))</x:f>
        <x:v>Medium</x:v>
      </x:c>
      <x:c r="V80" s="18" t="str">
        <x:f>IF(S80&gt;0.10,"Price Varies",IF(K80&gt;=2,"Stable","Single Record"))</x:f>
        <x:v>Stable</x:v>
      </x:c>
      <x:c r="W80" s="18" t="str"/>
    </x:row>
    <x:row r="81">
      <x:c r="A81" s="18" t="str">
        <x:v>PF-CR1-16N</x:v>
      </x:c>
      <x:c r="B81" s="18" t="str">
        <x:v>CR1/16N 壓腳</x:v>
      </x:c>
      <x:c r="C81" s="18" t="str">
        <x:v>CR1/16N</x:v>
      </x:c>
      <x:c r="D81" s="18" t="str">
        <x:v>Presser Foot</x:v>
      </x:c>
      <x:c r="E81" s="18" t="str">
        <x:v>Spare Part</x:v>
      </x:c>
      <x:c r="F81" s="18" t="str"/>
      <x:c r="G81" s="18" t="str">
        <x:v>Single Needle</x:v>
      </x:c>
      <x:c r="H81" s="18" t="str">
        <x:v>個</x:v>
      </x:c>
      <x:c r="I81" s="19" t="n">
        <x:v>46086</x:v>
      </x:c>
      <x:c r="J81" s="19" t="n">
        <x:v>46086</x:v>
      </x:c>
      <x:c r="K81" s="18" t="n">
        <x:v>1</x:v>
      </x:c>
      <x:c r="L81" s="18" t="n">
        <x:v>20</x:v>
      </x:c>
      <x:c r="M81" s="21" t="n">
        <x:v>12</x:v>
      </x:c>
      <x:c r="N81" s="21" t="n">
        <x:v>0.6</x:v>
      </x:c>
      <x:c r="O81" s="21" t="n">
        <x:v>0.6</x:v>
      </x:c>
      <x:c r="P81" s="21" t="n">
        <x:v>0.6</x:v>
      </x:c>
      <x:c r="Q81" s="21" t="n">
        <x:v>0.6</x:v>
      </x:c>
      <x:c r="R81" s="21" t="n">
        <x:v>0.6</x:v>
      </x:c>
      <x:c r="S81" s="40" t="n">
        <x:f>IF(N81=0,0,(O81-N81)/N81)</x:f>
        <x:v>0</x:v>
      </x:c>
      <x:c r="T81" s="21" t="n">
        <x:f>O81*1.10</x:f>
        <x:v>0.66</x:v>
      </x:c>
      <x:c r="U81" s="18" t="str">
        <x:f>IF(K81&gt;=3,"High",IF(K81=2,"Medium","Low"))</x:f>
        <x:v>Low</x:v>
      </x:c>
      <x:c r="V81" s="18" t="str">
        <x:f>IF(S81&gt;0.10,"Price Varies",IF(K81&gt;=2,"Stable","Single Record"))</x:f>
        <x:v>Single Record</x:v>
      </x:c>
      <x:c r="W81" s="18" t="str"/>
    </x:row>
    <x:row r="82">
      <x:c r="A82" s="18" t="str">
        <x:v>PF-JUKI781</x:v>
      </x:c>
      <x:c r="B82" s="18" t="str">
        <x:v>JUKI-781 壓腳</x:v>
      </x:c>
      <x:c r="C82" s="18" t="str">
        <x:v>JUKI-781</x:v>
      </x:c>
      <x:c r="D82" s="18" t="str">
        <x:v>Presser Foot</x:v>
      </x:c>
      <x:c r="E82" s="18" t="str">
        <x:v>Spare Part</x:v>
      </x:c>
      <x:c r="F82" s="18" t="str">
        <x:v>JUKI</x:v>
      </x:c>
      <x:c r="G82" s="18" t="str">
        <x:v>Buttonhole</x:v>
      </x:c>
      <x:c r="H82" s="18" t="str">
        <x:v>個</x:v>
      </x:c>
      <x:c r="I82" s="19" t="n">
        <x:v>46116</x:v>
      </x:c>
      <x:c r="J82" s="19" t="n">
        <x:v>46116</x:v>
      </x:c>
      <x:c r="K82" s="18" t="n">
        <x:v>1</x:v>
      </x:c>
      <x:c r="L82" s="18" t="n">
        <x:v>3</x:v>
      </x:c>
      <x:c r="M82" s="21" t="n">
        <x:v>18</x:v>
      </x:c>
      <x:c r="N82" s="21" t="n">
        <x:v>6</x:v>
      </x:c>
      <x:c r="O82" s="21" t="n">
        <x:v>6</x:v>
      </x:c>
      <x:c r="P82" s="21" t="n">
        <x:v>6</x:v>
      </x:c>
      <x:c r="Q82" s="21" t="n">
        <x:v>6</x:v>
      </x:c>
      <x:c r="R82" s="21" t="n">
        <x:v>6</x:v>
      </x:c>
      <x:c r="S82" s="40" t="n">
        <x:f>IF(N82=0,0,(O82-N82)/N82)</x:f>
        <x:v>0</x:v>
      </x:c>
      <x:c r="T82" s="21" t="n">
        <x:f>O82*1.10</x:f>
        <x:v>6.6000000000000005</x:v>
      </x:c>
      <x:c r="U82" s="18" t="str">
        <x:f>IF(K82&gt;=3,"High",IF(K82=2,"Medium","Low"))</x:f>
        <x:v>Low</x:v>
      </x:c>
      <x:c r="V82" s="18" t="str">
        <x:f>IF(S82&gt;0.10,"Price Varies",IF(K82&gt;=2,"Stable","Single Record"))</x:f>
        <x:v>Single Record</x:v>
      </x:c>
      <x:c r="W82" s="18" t="str"/>
    </x:row>
    <x:row r="83">
      <x:c r="A83" s="18" t="str">
        <x:v>PF-S950-STEEL</x:v>
      </x:c>
      <x:c r="B83" s="18" t="str">
        <x:v>S950壓腳（全鋼）</x:v>
      </x:c>
      <x:c r="C83" s="18" t="str">
        <x:v>S950</x:v>
      </x:c>
      <x:c r="D83" s="18" t="str">
        <x:v>Presser Foot</x:v>
      </x:c>
      <x:c r="E83" s="18" t="str">
        <x:v>Spare Part</x:v>
      </x:c>
      <x:c r="F83" s="18" t="str"/>
      <x:c r="G83" s="18" t="str">
        <x:v>Single Needle</x:v>
      </x:c>
      <x:c r="H83" s="18" t="str">
        <x:v>個</x:v>
      </x:c>
      <x:c r="I83" s="19" t="n">
        <x:v>46182</x:v>
      </x:c>
      <x:c r="J83" s="19" t="n">
        <x:v>46182</x:v>
      </x:c>
      <x:c r="K83" s="18" t="n">
        <x:v>1</x:v>
      </x:c>
      <x:c r="L83" s="18" t="n">
        <x:v>10</x:v>
      </x:c>
      <x:c r="M83" s="21" t="n">
        <x:v>18</x:v>
      </x:c>
      <x:c r="N83" s="21" t="n">
        <x:v>1.8</x:v>
      </x:c>
      <x:c r="O83" s="21" t="n">
        <x:v>1.8</x:v>
      </x:c>
      <x:c r="P83" s="21" t="n">
        <x:v>1.8</x:v>
      </x:c>
      <x:c r="Q83" s="21" t="n">
        <x:v>1.8</x:v>
      </x:c>
      <x:c r="R83" s="21" t="n">
        <x:v>1.8</x:v>
      </x:c>
      <x:c r="S83" s="40" t="n">
        <x:f>IF(N83=0,0,(O83-N83)/N83)</x:f>
        <x:v>0</x:v>
      </x:c>
      <x:c r="T83" s="21" t="n">
        <x:f>O83*1.10</x:f>
        <x:v>1.9800000000000002</x:v>
      </x:c>
      <x:c r="U83" s="18" t="str">
        <x:f>IF(K83&gt;=3,"High",IF(K83=2,"Medium","Low"))</x:f>
        <x:v>Low</x:v>
      </x:c>
      <x:c r="V83" s="18" t="str">
        <x:f>IF(S83&gt;0.10,"Price Varies",IF(K83&gt;=2,"Stable","Single Record"))</x:f>
        <x:v>Single Record</x:v>
      </x:c>
      <x:c r="W83" s="18" t="str"/>
    </x:row>
    <x:row r="84">
      <x:c r="A84" s="18" t="str">
        <x:v>TL-TAPE-19GL</x:v>
      </x:c>
      <x:c r="B84" s="18" t="str">
        <x:v>19GL 大皮尺</x:v>
      </x:c>
      <x:c r="C84" s="18" t="str">
        <x:v>19GL</x:v>
      </x:c>
      <x:c r="D84" s="18" t="str">
        <x:v>Tools</x:v>
      </x:c>
      <x:c r="E84" s="18" t="str">
        <x:v>Tool</x:v>
      </x:c>
      <x:c r="F84" s="18" t="str"/>
      <x:c r="G84" s="18" t="str">
        <x:v>Measuring</x:v>
      </x:c>
      <x:c r="H84" s="18" t="str">
        <x:v>條</x:v>
      </x:c>
      <x:c r="I84" s="19" t="n">
        <x:v>46144</x:v>
      </x:c>
      <x:c r="J84" s="19" t="n">
        <x:v>46144</x:v>
      </x:c>
      <x:c r="K84" s="18" t="n">
        <x:v>1</x:v>
      </x:c>
      <x:c r="L84" s="18" t="n">
        <x:v>10</x:v>
      </x:c>
      <x:c r="M84" s="21" t="n">
        <x:v>6.5</x:v>
      </x:c>
      <x:c r="N84" s="21" t="n">
        <x:v>0.65</x:v>
      </x:c>
      <x:c r="O84" s="21" t="n">
        <x:v>0.65</x:v>
      </x:c>
      <x:c r="P84" s="21" t="n">
        <x:v>0.65</x:v>
      </x:c>
      <x:c r="Q84" s="21" t="n">
        <x:v>0.65</x:v>
      </x:c>
      <x:c r="R84" s="21" t="n">
        <x:v>0.65</x:v>
      </x:c>
      <x:c r="S84" s="40" t="n">
        <x:f>IF(N84=0,0,(O84-N84)/N84)</x:f>
        <x:v>0</x:v>
      </x:c>
      <x:c r="T84" s="21" t="n">
        <x:f>O84*1.10</x:f>
        <x:v>0.7150000000000001</x:v>
      </x:c>
      <x:c r="U84" s="18" t="str">
        <x:f>IF(K84&gt;=3,"High",IF(K84=2,"Medium","Low"))</x:f>
        <x:v>Low</x:v>
      </x:c>
      <x:c r="V84" s="18" t="str">
        <x:f>IF(S84&gt;0.10,"Price Varies",IF(K84&gt;=2,"Stable","Single Record"))</x:f>
        <x:v>Single Record</x:v>
      </x:c>
      <x:c r="W84" s="18" t="str"/>
    </x:row>
    <x:row r="85">
      <x:c r="A85" s="18" t="str">
        <x:v>TL-SCREWDRIVER-FLAT-JINGMU</x:v>
      </x:c>
      <x:c r="B85" s="18" t="str">
        <x:v>京木一字螺絲刀</x:v>
      </x:c>
      <x:c r="C85" s="18" t="str">
        <x:v>Flat</x:v>
      </x:c>
      <x:c r="D85" s="18" t="str">
        <x:v>Tools</x:v>
      </x:c>
      <x:c r="E85" s="18" t="str">
        <x:v>Tool</x:v>
      </x:c>
      <x:c r="F85" s="18" t="str">
        <x:v>京木</x:v>
      </x:c>
      <x:c r="G85" s="18" t="str">
        <x:v>Maintenance</x:v>
      </x:c>
      <x:c r="H85" s="18" t="str">
        <x:v>個</x:v>
      </x:c>
      <x:c r="I85" s="19" t="n">
        <x:v>46024</x:v>
      </x:c>
      <x:c r="J85" s="19" t="n">
        <x:v>46024</x:v>
      </x:c>
      <x:c r="K85" s="18" t="n">
        <x:v>1</x:v>
      </x:c>
      <x:c r="L85" s="18" t="n">
        <x:v>1</x:v>
      </x:c>
      <x:c r="M85" s="21" t="n">
        <x:v>7</x:v>
      </x:c>
      <x:c r="N85" s="21" t="n">
        <x:v>7</x:v>
      </x:c>
      <x:c r="O85" s="21" t="n">
        <x:v>7</x:v>
      </x:c>
      <x:c r="P85" s="21" t="n">
        <x:v>7</x:v>
      </x:c>
      <x:c r="Q85" s="21" t="n">
        <x:v>7</x:v>
      </x:c>
      <x:c r="R85" s="21" t="n">
        <x:v>7</x:v>
      </x:c>
      <x:c r="S85" s="40" t="n">
        <x:f>IF(N85=0,0,(O85-N85)/N85)</x:f>
        <x:v>0</x:v>
      </x:c>
      <x:c r="T85" s="21" t="n">
        <x:f>O85*1.10</x:f>
        <x:v>7.700000000000001</x:v>
      </x:c>
      <x:c r="U85" s="18" t="str">
        <x:f>IF(K85&gt;=3,"High",IF(K85=2,"Medium","Low"))</x:f>
        <x:v>Low</x:v>
      </x:c>
      <x:c r="V85" s="18" t="str">
        <x:f>IF(S85&gt;0.10,"Price Varies",IF(K85&gt;=2,"Stable","Single Record"))</x:f>
        <x:v>Single Record</x:v>
      </x:c>
      <x:c r="W85" s="18" t="str"/>
    </x:row>
    <x:row r="86">
      <x:c r="A86" s="18" t="str">
        <x:v>TL-HEX-WRENCH-JINGMU</x:v>
      </x:c>
      <x:c r="B86" s="18" t="str">
        <x:v>京木六角扳手</x:v>
      </x:c>
      <x:c r="C86" s="18" t="str">
        <x:v>Set</x:v>
      </x:c>
      <x:c r="D86" s="18" t="str">
        <x:v>Tools</x:v>
      </x:c>
      <x:c r="E86" s="18" t="str">
        <x:v>Tool</x:v>
      </x:c>
      <x:c r="F86" s="18" t="str">
        <x:v>京木</x:v>
      </x:c>
      <x:c r="G86" s="18" t="str">
        <x:v>Maintenance</x:v>
      </x:c>
      <x:c r="H86" s="18" t="str">
        <x:v>套</x:v>
      </x:c>
      <x:c r="I86" s="19" t="n">
        <x:v>46024</x:v>
      </x:c>
      <x:c r="J86" s="19" t="n">
        <x:v>46024</x:v>
      </x:c>
      <x:c r="K86" s="18" t="n">
        <x:v>1</x:v>
      </x:c>
      <x:c r="L86" s="18" t="n">
        <x:v>1</x:v>
      </x:c>
      <x:c r="M86" s="21" t="n">
        <x:v>20</x:v>
      </x:c>
      <x:c r="N86" s="21" t="n">
        <x:v>20</x:v>
      </x:c>
      <x:c r="O86" s="21" t="n">
        <x:v>20</x:v>
      </x:c>
      <x:c r="P86" s="21" t="n">
        <x:v>20</x:v>
      </x:c>
      <x:c r="Q86" s="21" t="n">
        <x:v>20</x:v>
      </x:c>
      <x:c r="R86" s="21" t="n">
        <x:v>20</x:v>
      </x:c>
      <x:c r="S86" s="40" t="n">
        <x:f>IF(N86=0,0,(O86-N86)/N86)</x:f>
        <x:v>0</x:v>
      </x:c>
      <x:c r="T86" s="21" t="n">
        <x:f>O86*1.10</x:f>
        <x:v>22</x:v>
      </x:c>
      <x:c r="U86" s="18" t="str">
        <x:f>IF(K86&gt;=3,"High",IF(K86=2,"Medium","Low"))</x:f>
        <x:v>Low</x:v>
      </x:c>
      <x:c r="V86" s="18" t="str">
        <x:f>IF(S86&gt;0.10,"Price Varies",IF(K86&gt;=2,"Stable","Single Record"))</x:f>
        <x:v>Single Record</x:v>
      </x:c>
      <x:c r="W86" s="18" t="str"/>
    </x:row>
    <x:row r="87">
      <x:c r="A87" s="18" t="str">
        <x:v>TL-SOLDERING-IRON-150W-TW</x:v>
      </x:c>
      <x:c r="B87" s="18" t="str">
        <x:v>台灣產電烙鐵</x:v>
      </x:c>
      <x:c r="C87" s="18" t="str">
        <x:v>150W</x:v>
      </x:c>
      <x:c r="D87" s="18" t="str">
        <x:v>Tools</x:v>
      </x:c>
      <x:c r="E87" s="18" t="str">
        <x:v>Tool</x:v>
      </x:c>
      <x:c r="F87" s="18" t="str">
        <x:v>Taiwan</x:v>
      </x:c>
      <x:c r="G87" s="18" t="str">
        <x:v>Electrical</x:v>
      </x:c>
      <x:c r="H87" s="18" t="str">
        <x:v>把</x:v>
      </x:c>
      <x:c r="I87" s="19" t="n">
        <x:v>46181</x:v>
      </x:c>
      <x:c r="J87" s="19" t="n">
        <x:v>46181</x:v>
      </x:c>
      <x:c r="K87" s="18" t="n">
        <x:v>1</x:v>
      </x:c>
      <x:c r="L87" s="18" t="n">
        <x:v>2</x:v>
      </x:c>
      <x:c r="M87" s="21" t="n">
        <x:v>40</x:v>
      </x:c>
      <x:c r="N87" s="21" t="n">
        <x:v>20</x:v>
      </x:c>
      <x:c r="O87" s="21" t="n">
        <x:v>20</x:v>
      </x:c>
      <x:c r="P87" s="21" t="n">
        <x:v>20</x:v>
      </x:c>
      <x:c r="Q87" s="21" t="n">
        <x:v>20</x:v>
      </x:c>
      <x:c r="R87" s="21" t="n">
        <x:v>20</x:v>
      </x:c>
      <x:c r="S87" s="40" t="n">
        <x:f>IF(N87=0,0,(O87-N87)/N87)</x:f>
        <x:v>0</x:v>
      </x:c>
      <x:c r="T87" s="21" t="n">
        <x:f>O87*1.10</x:f>
        <x:v>22</x:v>
      </x:c>
      <x:c r="U87" s="18" t="str">
        <x:f>IF(K87&gt;=3,"High",IF(K87=2,"Medium","Low"))</x:f>
        <x:v>Low</x:v>
      </x:c>
      <x:c r="V87" s="18" t="str">
        <x:f>IF(S87&gt;0.10,"Price Varies",IF(K87&gt;=2,"Stable","Single Record"))</x:f>
        <x:v>Single Record</x:v>
      </x:c>
      <x:c r="W87" s="18" t="str"/>
    </x:row>
    <x:row r="88">
      <x:c r="A88" s="18" t="str">
        <x:v>TL-SCISSOR-ZHANGXIAO-10IN</x:v>
      </x:c>
      <x:c r="B88" s="18" t="str">
        <x:v>張小牌10吋大剪刀</x:v>
      </x:c>
      <x:c r="C88" s="18" t="str">
        <x:v>10 inch</x:v>
      </x:c>
      <x:c r="D88" s="18" t="str">
        <x:v>Tools</x:v>
      </x:c>
      <x:c r="E88" s="18" t="str">
        <x:v>Tool</x:v>
      </x:c>
      <x:c r="F88" s="18" t="str">
        <x:v>張小牌</x:v>
      </x:c>
      <x:c r="G88" s="18" t="str">
        <x:v>Cutting/Sewing</x:v>
      </x:c>
      <x:c r="H88" s="18" t="str">
        <x:v>個</x:v>
      </x:c>
      <x:c r="I88" s="19" t="n">
        <x:v>46144</x:v>
      </x:c>
      <x:c r="J88" s="19" t="n">
        <x:v>46144</x:v>
      </x:c>
      <x:c r="K88" s="18" t="n">
        <x:v>1</x:v>
      </x:c>
      <x:c r="L88" s="18" t="n">
        <x:v>11</x:v>
      </x:c>
      <x:c r="M88" s="21" t="n">
        <x:v>77</x:v>
      </x:c>
      <x:c r="N88" s="21" t="n">
        <x:v>7</x:v>
      </x:c>
      <x:c r="O88" s="21" t="n">
        <x:v>7</x:v>
      </x:c>
      <x:c r="P88" s="21" t="n">
        <x:v>7</x:v>
      </x:c>
      <x:c r="Q88" s="21" t="n">
        <x:v>7</x:v>
      </x:c>
      <x:c r="R88" s="21" t="n">
        <x:v>7</x:v>
      </x:c>
      <x:c r="S88" s="40" t="n">
        <x:f>IF(N88=0,0,(O88-N88)/N88)</x:f>
        <x:v>0</x:v>
      </x:c>
      <x:c r="T88" s="21" t="n">
        <x:f>O88*1.10</x:f>
        <x:v>7.700000000000001</x:v>
      </x:c>
      <x:c r="U88" s="18" t="str">
        <x:f>IF(K88&gt;=3,"High",IF(K88=2,"Medium","Low"))</x:f>
        <x:v>Low</x:v>
      </x:c>
      <x:c r="V88" s="18" t="str">
        <x:f>IF(S88&gt;0.10,"Price Varies",IF(K88&gt;=2,"Stable","Single Record"))</x:f>
        <x:v>Single Record</x:v>
      </x:c>
      <x:c r="W88" s="18" t="str"/>
    </x:row>
    <x:row r="89">
      <x:c r="A89" s="18" t="str">
        <x:v>TL-THREAD-SNIP-GLOBE</x:v>
      </x:c>
      <x:c r="B89" s="18" t="str">
        <x:v>環球沙剪</x:v>
      </x:c>
      <x:c r="C89" s="18" t="str">
        <x:v>Thread Snip</x:v>
      </x:c>
      <x:c r="D89" s="18" t="str">
        <x:v>Tools</x:v>
      </x:c>
      <x:c r="E89" s="18" t="str">
        <x:v>Tool</x:v>
      </x:c>
      <x:c r="F89" s="18" t="str">
        <x:v>環球</x:v>
      </x:c>
      <x:c r="G89" s="18" t="str">
        <x:v>Sewing</x:v>
      </x:c>
      <x:c r="H89" s="18" t="str">
        <x:v>打</x:v>
      </x:c>
      <x:c r="I89" s="19" t="n">
        <x:v>46060</x:v>
      </x:c>
      <x:c r="J89" s="19" t="n">
        <x:v>46189</x:v>
      </x:c>
      <x:c r="K89" s="18" t="n">
        <x:v>4</x:v>
      </x:c>
      <x:c r="L89" s="18" t="n">
        <x:v>40</x:v>
      </x:c>
      <x:c r="M89" s="21" t="n">
        <x:v>92</x:v>
      </x:c>
      <x:c r="N89" s="21" t="n">
        <x:v>2.3</x:v>
      </x:c>
      <x:c r="O89" s="21" t="n">
        <x:v>2.3</x:v>
      </x:c>
      <x:c r="P89" s="21" t="n">
        <x:v>2.3</x:v>
      </x:c>
      <x:c r="Q89" s="21" t="n">
        <x:v>2.3</x:v>
      </x:c>
      <x:c r="R89" s="21" t="n">
        <x:v>2.3</x:v>
      </x:c>
      <x:c r="S89" s="40" t="n">
        <x:f>IF(N89=0,0,(O89-N89)/N89)</x:f>
        <x:v>0</x:v>
      </x:c>
      <x:c r="T89" s="21" t="n">
        <x:f>O89*1.10</x:f>
        <x:v>2.53</x:v>
      </x:c>
      <x:c r="U89" s="18" t="str">
        <x:f>IF(K89&gt;=3,"High",IF(K89=2,"Medium","Low"))</x:f>
        <x:v>High</x:v>
      </x:c>
      <x:c r="V89" s="18" t="str">
        <x:f>IF(S89&gt;0.10,"Price Varies",IF(K89&gt;=2,"Stable","Single Record"))</x:f>
        <x:v>Stable</x:v>
      </x:c>
      <x:c r="W89" s="18" t="str">
        <x:v>原始發票寫「沙剪刀」，依同價同品項合併至環球沙剪</x:v>
      </x:c>
    </x:row>
    <x:row r="90">
      <x:c r="A90" s="18" t="str">
        <x:v>TL-BULLET-CRIMPING-PLIERS</x:v>
      </x:c>
      <x:c r="B90" s="18" t="str">
        <x:v>電工子彈鉗</x:v>
      </x:c>
      <x:c r="C90" s="18" t="str">
        <x:v>Good Quality</x:v>
      </x:c>
      <x:c r="D90" s="18" t="str">
        <x:v>Tools</x:v>
      </x:c>
      <x:c r="E90" s="18" t="str">
        <x:v>Tool</x:v>
      </x:c>
      <x:c r="F90" s="18" t="str"/>
      <x:c r="G90" s="18" t="str">
        <x:v>Electrical</x:v>
      </x:c>
      <x:c r="H90" s="18" t="str">
        <x:v>個</x:v>
      </x:c>
      <x:c r="I90" s="19" t="n">
        <x:v>46197</x:v>
      </x:c>
      <x:c r="J90" s="19" t="n">
        <x:v>46197</x:v>
      </x:c>
      <x:c r="K90" s="18" t="n">
        <x:v>1</x:v>
      </x:c>
      <x:c r="L90" s="18" t="n">
        <x:v>1</x:v>
      </x:c>
      <x:c r="M90" s="21" t="n">
        <x:v>7</x:v>
      </x:c>
      <x:c r="N90" s="21" t="n">
        <x:v>7</x:v>
      </x:c>
      <x:c r="O90" s="21" t="n">
        <x:v>7</x:v>
      </x:c>
      <x:c r="P90" s="21" t="n">
        <x:v>7</x:v>
      </x:c>
      <x:c r="Q90" s="21" t="n">
        <x:v>7</x:v>
      </x:c>
      <x:c r="R90" s="21" t="n">
        <x:v>7</x:v>
      </x:c>
      <x:c r="S90" s="40" t="n">
        <x:f>IF(N90=0,0,(O90-N90)/N90)</x:f>
        <x:v>0</x:v>
      </x:c>
      <x:c r="T90" s="21" t="n">
        <x:f>O90*1.10</x:f>
        <x:v>7.700000000000001</x:v>
      </x:c>
      <x:c r="U90" s="18" t="str">
        <x:f>IF(K90&gt;=3,"High",IF(K90=2,"Medium","Low"))</x:f>
        <x:v>Low</x:v>
      </x:c>
      <x:c r="V90" s="18" t="str">
        <x:f>IF(S90&gt;0.10,"Price Varies",IF(K90&gt;=2,"Stable","Single Record"))</x:f>
        <x:v>Single Record</x:v>
      </x:c>
      <x:c r="W90" s="18" t="str"/>
    </x:row>
  </x:sheetData>
  <x:mergeCells>
    <x:mergeCell ref="A1:W1"/>
    <x:mergeCell ref="A2:W2"/>
  </x:mergeCells>
  <x:conditionalFormatting sqref="S5:S90">
    <x:cfRule type="expression" dxfId="2" priority="1">
      <x:formula>S5&gt;0.10</x:formula>
    </x:cfRule>
  </x:conditionalFormatting>
  <x:conditionalFormatting sqref="U5:U90">
    <x:cfRule type="expression" dxfId="3" priority="2">
      <x:formula>U5="High"</x:formula>
    </x:cfRule>
  </x:conditionalFormatting>
  <x:conditionalFormatting sqref="V5:V90">
    <x:cfRule type="expression" dxfId="4" priority="3">
      <x:formula>V5="Price Varies"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3d03838ab14d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1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8" t="str">
        <x:v>每月採購費用總表（含機針費用與占比）</x:v>
      </x:c>
      <x:c r="B1" s="28" t="str">
        <x:v>每月採購費用總表（含機針費用與占比）</x:v>
      </x:c>
      <x:c r="C1" s="28" t="str">
        <x:v>每月採購費用總表（含機針費用與占比）</x:v>
      </x:c>
      <x:c r="D1" s="28" t="str">
        <x:v>每月採購費用總表（含機針費用與占比）</x:v>
      </x:c>
      <x:c r="E1" s="28" t="str">
        <x:v>每月採購費用總表（含機針費用與占比）</x:v>
      </x:c>
      <x:c r="F1" s="28" t="str">
        <x:v>每月採購費用總表（含機針費用與占比）</x:v>
      </x:c>
      <x:c r="G1" s="28" t="str">
        <x:v>每月採購費用總表（含機針費用與占比）</x:v>
      </x:c>
      <x:c r="H1" s="28" t="str">
        <x:v>每月採購費用總表（含機針費用與占比）</x:v>
      </x:c>
      <x:c r="I1" s="28" t="str">
        <x:v>每月採購費用總表（含機針費用與占比）</x:v>
      </x:c>
      <x:c r="J1" s="28" t="str">
        <x:v>每月採購費用總表（含機針費用與占比）</x:v>
      </x:c>
      <x:c r="K1" s="28" t="str">
        <x:v>每月採購費用總表（含機針費用與占比）</x:v>
      </x:c>
    </x:row>
    <x:row r="3">
      <x:c r="A3" s="6" t="str">
        <x:v>月份</x:v>
      </x:c>
      <x:c r="B3" s="6" t="str">
        <x:v>未稅費用</x:v>
      </x:c>
      <x:c r="C3" s="6" t="str">
        <x:v>VAT 10%</x:v>
      </x:c>
      <x:c r="D3" s="6" t="str">
        <x:v>含稅總額</x:v>
      </x:c>
      <x:c r="E3" s="6" t="str">
        <x:v>交易筆數</x:v>
      </x:c>
      <x:c r="F3" s="6" t="str">
        <x:v>標準品項數</x:v>
      </x:c>
      <x:c r="G3" s="262" t="str">
        <x:v>機針費用</x:v>
      </x:c>
      <x:c r="H3" s="262" t="str">
        <x:v>機針占未稅費用</x:v>
      </x:c>
      <x:c r="I3" s="6" t="str">
        <x:v>維修服務</x:v>
      </x:c>
      <x:c r="J3" s="6" t="str">
        <x:v>耗材費用</x:v>
      </x:c>
      <x:c r="K3" s="6" t="str">
        <x:v>零件費用</x:v>
      </x:c>
    </x:row>
    <x:row r="4">
      <x:c r="A4" s="18" t="str">
        <x:v>2026 Jan</x:v>
      </x:c>
      <x:c r="B4" s="21" t="n">
        <x:v>2610</x:v>
      </x:c>
      <x:c r="C4" s="21" t="n">
        <x:v>261</x:v>
      </x:c>
      <x:c r="D4" s="21" t="n">
        <x:v>2871</x:v>
      </x:c>
      <x:c r="E4" s="18" t="n">
        <x:v>26</x:v>
      </x:c>
      <x:c r="F4" s="18" t="n">
        <x:v>20</x:v>
      </x:c>
      <x:c r="G4" s="258" t="n">
        <x:v>1702</x:v>
      </x:c>
      <x:c r="H4" s="259" t="n">
        <x:f>G4/B4</x:f>
        <x:v>0.6521072796934866</x:v>
      </x:c>
      <x:c r="I4" s="21" t="n">
        <x:v>0</x:v>
      </x:c>
      <x:c r="J4" s="21" t="n">
        <x:v>1873</x:v>
      </x:c>
      <x:c r="K4" s="21" t="n">
        <x:v>239</x:v>
      </x:c>
    </x:row>
    <x:row r="5">
      <x:c r="A5" s="18" t="str">
        <x:v>2026 Feb</x:v>
      </x:c>
      <x:c r="B5" s="21" t="n">
        <x:v>1850.9</x:v>
      </x:c>
      <x:c r="C5" s="21" t="n">
        <x:v>185.09</x:v>
      </x:c>
      <x:c r="D5" s="21" t="n">
        <x:v>2035.99</x:v>
      </x:c>
      <x:c r="E5" s="18" t="n">
        <x:v>17</x:v>
      </x:c>
      <x:c r="F5" s="18" t="n">
        <x:v>16</x:v>
      </x:c>
      <x:c r="G5" s="258" t="n">
        <x:v>1172</x:v>
      </x:c>
      <x:c r="H5" s="259" t="n">
        <x:f>G5/B5</x:f>
        <x:v>0.6332054676103517</x:v>
      </x:c>
      <x:c r="I5" s="21" t="n">
        <x:v>0</x:v>
      </x:c>
      <x:c r="J5" s="21" t="n">
        <x:v>1392.4</x:v>
      </x:c>
      <x:c r="K5" s="21" t="n">
        <x:v>435.5</x:v>
      </x:c>
    </x:row>
    <x:row r="6">
      <x:c r="A6" s="18" t="str">
        <x:v>2026 Mar</x:v>
      </x:c>
      <x:c r="B6" s="21" t="n">
        <x:v>3032</x:v>
      </x:c>
      <x:c r="C6" s="21" t="n">
        <x:v>303.2</x:v>
      </x:c>
      <x:c r="D6" s="21" t="n">
        <x:v>3335.2</x:v>
      </x:c>
      <x:c r="E6" s="18" t="n">
        <x:v>29</x:v>
      </x:c>
      <x:c r="F6" s="18" t="n">
        <x:v>28</x:v>
      </x:c>
      <x:c r="G6" s="258" t="n">
        <x:v>1296</x:v>
      </x:c>
      <x:c r="H6" s="259" t="n">
        <x:f>G6/B6</x:f>
        <x:v>0.42744063324538256</x:v>
      </x:c>
      <x:c r="I6" s="21" t="n">
        <x:v>360</x:v>
      </x:c>
      <x:c r="J6" s="21" t="n">
        <x:v>1598</x:v>
      </x:c>
      <x:c r="K6" s="21" t="n">
        <x:v>1062.5</x:v>
      </x:c>
    </x:row>
    <x:row r="7">
      <x:c r="A7" s="18" t="str">
        <x:v>2026 Apr</x:v>
      </x:c>
      <x:c r="B7" s="21" t="n">
        <x:v>1736</x:v>
      </x:c>
      <x:c r="C7" s="21" t="n">
        <x:v>173.6</x:v>
      </x:c>
      <x:c r="D7" s="21" t="n">
        <x:v>1909.6</x:v>
      </x:c>
      <x:c r="E7" s="18" t="n">
        <x:v>18</x:v>
      </x:c>
      <x:c r="F7" s="18" t="n">
        <x:v>13</x:v>
      </x:c>
      <x:c r="G7" s="258" t="n">
        <x:v>1541</x:v>
      </x:c>
      <x:c r="H7" s="259" t="n">
        <x:f>G7/B7</x:f>
        <x:v>0.8876728110599078</x:v>
      </x:c>
      <x:c r="I7" s="21" t="n">
        <x:v>0</x:v>
      </x:c>
      <x:c r="J7" s="21" t="n">
        <x:v>1695</x:v>
      </x:c>
      <x:c r="K7" s="21" t="n">
        <x:v>41</x:v>
      </x:c>
    </x:row>
    <x:row r="8">
      <x:c r="A8" s="18" t="str">
        <x:v>2026 May</x:v>
      </x:c>
      <x:c r="B8" s="21" t="n">
        <x:v>2572.5</x:v>
      </x:c>
      <x:c r="C8" s="21" t="n">
        <x:v>257.25</x:v>
      </x:c>
      <x:c r="D8" s="21" t="n">
        <x:v>2829.75</x:v>
      </x:c>
      <x:c r="E8" s="18" t="n">
        <x:v>31</x:v>
      </x:c>
      <x:c r="F8" s="18" t="n">
        <x:v>28</x:v>
      </x:c>
      <x:c r="G8" s="258" t="n">
        <x:v>997</x:v>
      </x:c>
      <x:c r="H8" s="259" t="n">
        <x:f>G8/B8</x:f>
        <x:v>0.38756073858114676</x:v>
      </x:c>
      <x:c r="I8" s="21" t="n">
        <x:v>0</x:v>
      </x:c>
      <x:c r="J8" s="21" t="n">
        <x:v>1328.5</x:v>
      </x:c>
      <x:c r="K8" s="21" t="n">
        <x:v>473.5</x:v>
      </x:c>
    </x:row>
    <x:row r="9">
      <x:c r="A9" s="18" t="str">
        <x:v>2026 Jun</x:v>
      </x:c>
      <x:c r="B9" s="21" t="n">
        <x:v>2761.75</x:v>
      </x:c>
      <x:c r="C9" s="21" t="n">
        <x:v>276.18</x:v>
      </x:c>
      <x:c r="D9" s="21" t="n">
        <x:v>3037.93</x:v>
      </x:c>
      <x:c r="E9" s="18" t="n">
        <x:v>31</x:v>
      </x:c>
      <x:c r="F9" s="18" t="n">
        <x:v>26</x:v>
      </x:c>
      <x:c r="G9" s="258" t="n">
        <x:v>2234</x:v>
      </x:c>
      <x:c r="H9" s="259" t="n">
        <x:f>G9/B9</x:f>
        <x:v>0.8089073956730334</x:v>
      </x:c>
      <x:c r="I9" s="21" t="n">
        <x:v>0</x:v>
      </x:c>
      <x:c r="J9" s="21" t="n">
        <x:v>2472</x:v>
      </x:c>
      <x:c r="K9" s="21" t="n">
        <x:v>231.25</x:v>
      </x:c>
    </x:row>
    <x:row r="10">
      <x:c r="A10" s="50" t="str">
        <x:v>TOTAL</x:v>
      </x:c>
      <x:c r="B10" s="51" t="n">
        <x:f>SUM(B4:B9)</x:f>
        <x:v>14563.15</x:v>
      </x:c>
      <x:c r="C10" s="51" t="n">
        <x:f>SUM(C4:C9)</x:f>
        <x:v>1456.32</x:v>
      </x:c>
      <x:c r="D10" s="51" t="n">
        <x:f>SUM(D4:D9)</x:f>
        <x:v>16019.47</x:v>
      </x:c>
      <x:c r="E10" s="50" t="n">
        <x:f>SUM(E4:E9)</x:f>
        <x:v>152</x:v>
      </x:c>
      <x:c r="F10" s="50" t="n">
        <x:v>86</x:v>
      </x:c>
      <x:c r="G10" s="260" t="n">
        <x:f>SUM(G4:G9)</x:f>
        <x:v>8942</x:v>
      </x:c>
      <x:c r="H10" s="261" t="n">
        <x:f>G10/B10</x:f>
        <x:v>0.6140155117539818</x:v>
      </x:c>
      <x:c r="I10" s="51" t="n">
        <x:f>SUM(I4:I9)</x:f>
        <x:v>360</x:v>
      </x:c>
      <x:c r="J10" s="51" t="n">
        <x:f>SUM(J4:J9)</x:f>
        <x:v>10358.9</x:v>
      </x:c>
      <x:c r="K10" s="51" t="n">
        <x:f>SUM(K4:K9)</x:f>
        <x:v>2482.75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e306122d58348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2" hidden="0" customWidth="1"/>
    <x:col min="3" max="3" width="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2" hidden="0" customWidth="1"/>
    <x:col min="16" max="16" width="15" hidden="0" customWidth="1"/>
    <x:col min="17" max="17" width="12" hidden="0" customWidth="1"/>
  </x:cols>
  <x:sheetData>
    <x:row r="1">
      <x:c r="A1" s="28" t="str">
        <x:v>Repeated Item Price Comparison | Historical Unit Price (USD)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3">
      <x:c r="A3" s="6" t="str">
        <x:v>Part No</x:v>
      </x:c>
      <x:c r="B3" s="6" t="str">
        <x:v>Standard Name</x:v>
      </x:c>
      <x:c r="C3" s="6" t="str">
        <x:v>Unit</x:v>
      </x:c>
      <x:c r="D3" s="6" t="str">
        <x:v>Purchases</x:v>
      </x:c>
      <x:c r="E3" s="6" t="str">
        <x:v>Jan</x:v>
      </x:c>
      <x:c r="F3" s="6" t="str">
        <x:v>Feb</x:v>
      </x:c>
      <x:c r="G3" s="6" t="str">
        <x:v>Mar</x:v>
      </x:c>
      <x:c r="H3" s="6" t="str">
        <x:v>Apr</x:v>
      </x:c>
      <x:c r="I3" s="6" t="str">
        <x:v>May</x:v>
      </x:c>
      <x:c r="J3" s="6" t="str">
        <x:v>Jun</x:v>
      </x:c>
      <x:c r="K3" s="6" t="str">
        <x:v>Min</x:v>
      </x:c>
      <x:c r="L3" s="6" t="str">
        <x:v>Max</x:v>
      </x:c>
      <x:c r="M3" s="6" t="str">
        <x:v>First</x:v>
      </x:c>
      <x:c r="N3" s="6" t="str">
        <x:v>Last</x:v>
      </x:c>
      <x:c r="O3" s="6" t="str">
        <x:v>Change %</x:v>
      </x:c>
      <x:c r="P3" s="6" t="str">
        <x:v>Upper Trigger</x:v>
      </x:c>
      <x:c r="Q3" s="6" t="str">
        <x:v>Status</x:v>
      </x:c>
    </x:row>
    <x:row r="4">
      <x:c r="A4" s="18" t="str">
        <x:v>ND-DCX27-12</x:v>
      </x:c>
      <x:c r="B4" s="18" t="str">
        <x:v>風琴機針 DCx27 #12</x:v>
      </x:c>
      <x:c r="C4" s="18" t="str">
        <x:v>包</x:v>
      </x:c>
      <x:c r="D4" s="18" t="n">
        <x:v>11</x:v>
      </x:c>
      <x:c r="E4" s="21" t="n">
        <x:v>1.3</x:v>
      </x:c>
      <x:c r="F4" s="21"/>
      <x:c r="G4" s="21" t="n">
        <x:v>1.3</x:v>
      </x:c>
      <x:c r="H4" s="21" t="n">
        <x:v>1.3</x:v>
      </x:c>
      <x:c r="I4" s="21"/>
      <x:c r="J4" s="21" t="n">
        <x:v>1.3</x:v>
      </x:c>
      <x:c r="K4" s="21" t="n">
        <x:v>1.3</x:v>
      </x:c>
      <x:c r="L4" s="21" t="n">
        <x:v>1.3</x:v>
      </x:c>
      <x:c r="M4" s="21" t="n">
        <x:v>1.3</x:v>
      </x:c>
      <x:c r="N4" s="21" t="n">
        <x:v>1.3</x:v>
      </x:c>
      <x:c r="O4" s="40" t="n">
        <x:f>IF(M4=0,0,(N4-M4)/M4)</x:f>
        <x:v>0</x:v>
      </x:c>
      <x:c r="P4" s="21" t="n">
        <x:f>L4*1.10</x:f>
        <x:v>1.4300000000000002</x:v>
      </x:c>
      <x:c r="Q4" s="18" t="str">
        <x:f>IF(ABS(O4)&gt;0.10,"Review",IF(K4=L4,"Stable","Watch"))</x:f>
        <x:v>Stable</x:v>
      </x:c>
    </x:row>
    <x:row r="5">
      <x:c r="A5" s="18" t="str">
        <x:v>ND-UOX113-12</x:v>
      </x:c>
      <x:c r="B5" s="18" t="str">
        <x:v>風琴機針 UOx113 #12</x:v>
      </x:c>
      <x:c r="C5" s="18" t="str">
        <x:v>包</x:v>
      </x:c>
      <x:c r="D5" s="18" t="n">
        <x:v>7</x:v>
      </x:c>
      <x:c r="E5" s="21"/>
      <x:c r="F5" s="21"/>
      <x:c r="G5" s="21"/>
      <x:c r="H5" s="21" t="n">
        <x:v>3</x:v>
      </x:c>
      <x:c r="I5" s="21" t="n">
        <x:v>3</x:v>
      </x:c>
      <x:c r="J5" s="21" t="n">
        <x:v>3</x:v>
      </x:c>
      <x:c r="K5" s="21" t="n">
        <x:v>3</x:v>
      </x:c>
      <x:c r="L5" s="21" t="n">
        <x:v>3</x:v>
      </x:c>
      <x:c r="M5" s="21" t="n">
        <x:v>3</x:v>
      </x:c>
      <x:c r="N5" s="21" t="n">
        <x:v>3</x:v>
      </x:c>
      <x:c r="O5" s="40" t="n">
        <x:f>IF(M5=0,0,(N5-M5)/M5)</x:f>
        <x:v>0</x:v>
      </x:c>
      <x:c r="P5" s="21" t="n">
        <x:f>L5*1.10</x:f>
        <x:v>3.3000000000000003</x:v>
      </x:c>
      <x:c r="Q5" s="18" t="str">
        <x:f>IF(ABS(O5)&gt;0.10,"Review",IF(K5=L5,"Stable","Watch"))</x:f>
        <x:v>Stable</x:v>
      </x:c>
    </x:row>
    <x:row r="6">
      <x:c r="A6" s="18" t="str">
        <x:v>ND-UOX113-14</x:v>
      </x:c>
      <x:c r="B6" s="18" t="str">
        <x:v>風琴機針 UOx113 #14</x:v>
      </x:c>
      <x:c r="C6" s="18" t="str">
        <x:v>包</x:v>
      </x:c>
      <x:c r="D6" s="18" t="n">
        <x:v>7</x:v>
      </x:c>
      <x:c r="E6" s="21" t="n">
        <x:v>3</x:v>
      </x:c>
      <x:c r="F6" s="21" t="n">
        <x:v>3</x:v>
      </x:c>
      <x:c r="G6" s="21" t="n">
        <x:v>3</x:v>
      </x:c>
      <x:c r="H6" s="21"/>
      <x:c r="I6" s="21"/>
      <x:c r="J6" s="21" t="n">
        <x:v>3</x:v>
      </x:c>
      <x:c r="K6" s="21" t="n">
        <x:v>3</x:v>
      </x:c>
      <x:c r="L6" s="21" t="n">
        <x:v>3</x:v>
      </x:c>
      <x:c r="M6" s="21" t="n">
        <x:v>3</x:v>
      </x:c>
      <x:c r="N6" s="21" t="n">
        <x:v>3</x:v>
      </x:c>
      <x:c r="O6" s="40" t="n">
        <x:f>IF(M6=0,0,(N6-M6)/M6)</x:f>
        <x:v>0</x:v>
      </x:c>
      <x:c r="P6" s="21" t="n">
        <x:f>L6*1.10</x:f>
        <x:v>3.3000000000000003</x:v>
      </x:c>
      <x:c r="Q6" s="18" t="str">
        <x:f>IF(ABS(O6)&gt;0.10,"Review",IF(K6=L6,"Stable","Watch"))</x:f>
        <x:v>Stable</x:v>
      </x:c>
    </x:row>
    <x:row r="7">
      <x:c r="A7" s="18" t="str">
        <x:v>ND-UYX128-12</x:v>
      </x:c>
      <x:c r="B7" s="18" t="str">
        <x:v>風琴機針 UYx128 #12</x:v>
      </x:c>
      <x:c r="C7" s="18" t="str">
        <x:v>包</x:v>
      </x:c>
      <x:c r="D7" s="18" t="n">
        <x:v>7</x:v>
      </x:c>
      <x:c r="E7" s="21"/>
      <x:c r="F7" s="21"/>
      <x:c r="G7" s="21" t="n">
        <x:v>1.78</x:v>
      </x:c>
      <x:c r="H7" s="21" t="n">
        <x:v>1.78</x:v>
      </x:c>
      <x:c r="I7" s="21" t="n">
        <x:v>1.78</x:v>
      </x:c>
      <x:c r="J7" s="21" t="n">
        <x:v>1.78</x:v>
      </x:c>
      <x:c r="K7" s="21" t="n">
        <x:v>1.78</x:v>
      </x:c>
      <x:c r="L7" s="21" t="n">
        <x:v>1.78</x:v>
      </x:c>
      <x:c r="M7" s="21" t="n">
        <x:v>1.78</x:v>
      </x:c>
      <x:c r="N7" s="21" t="n">
        <x:v>1.78</x:v>
      </x:c>
      <x:c r="O7" s="40" t="n">
        <x:f>IF(M7=0,0,(N7-M7)/M7)</x:f>
        <x:v>0</x:v>
      </x:c>
      <x:c r="P7" s="21" t="n">
        <x:f>L7*1.10</x:f>
        <x:v>1.9580000000000002</x:v>
      </x:c>
      <x:c r="Q7" s="18" t="str">
        <x:f>IF(ABS(O7)&gt;0.10,"Review",IF(K7=L7,"Stable","Watch"))</x:f>
        <x:v>Stable</x:v>
      </x:c>
    </x:row>
    <x:row r="8">
      <x:c r="A8" s="18" t="str">
        <x:v>TL-THREAD-SNIP-GLOBE</x:v>
      </x:c>
      <x:c r="B8" s="18" t="str">
        <x:v>環球沙剪</x:v>
      </x:c>
      <x:c r="C8" s="18" t="str">
        <x:v>打</x:v>
      </x:c>
      <x:c r="D8" s="18" t="n">
        <x:v>4</x:v>
      </x:c>
      <x:c r="E8" s="21"/>
      <x:c r="F8" s="21" t="n">
        <x:v>2.3</x:v>
      </x:c>
      <x:c r="G8" s="21" t="n">
        <x:v>2.3</x:v>
      </x:c>
      <x:c r="H8" s="21"/>
      <x:c r="I8" s="21" t="n">
        <x:v>2.3</x:v>
      </x:c>
      <x:c r="J8" s="21" t="n">
        <x:v>2.3</x:v>
      </x:c>
      <x:c r="K8" s="21" t="n">
        <x:v>2.3</x:v>
      </x:c>
      <x:c r="L8" s="21" t="n">
        <x:v>2.3</x:v>
      </x:c>
      <x:c r="M8" s="21" t="n">
        <x:v>2.3</x:v>
      </x:c>
      <x:c r="N8" s="21" t="n">
        <x:v>2.3</x:v>
      </x:c>
      <x:c r="O8" s="40" t="n">
        <x:f>IF(M8=0,0,(N8-M8)/M8)</x:f>
        <x:v>0</x:v>
      </x:c>
      <x:c r="P8" s="21" t="n">
        <x:f>L8*1.10</x:f>
        <x:v>2.53</x:v>
      </x:c>
      <x:c r="Q8" s="18" t="str">
        <x:f>IF(ABS(O8)&gt;0.10,"Review",IF(K8=L8,"Stable","Watch"))</x:f>
        <x:v>Stable</x:v>
      </x:c>
    </x:row>
    <x:row r="9">
      <x:c r="A9" s="18" t="str">
        <x:v>ND-UYX128-11</x:v>
      </x:c>
      <x:c r="B9" s="18" t="str">
        <x:v>風琴機針 UYx128 #11</x:v>
      </x:c>
      <x:c r="C9" s="18" t="str">
        <x:v>包</x:v>
      </x:c>
      <x:c r="D9" s="18" t="n">
        <x:v>4</x:v>
      </x:c>
      <x:c r="E9" s="21" t="n">
        <x:v>1.78</x:v>
      </x:c>
      <x:c r="F9" s="21"/>
      <x:c r="G9" s="21"/>
      <x:c r="H9" s="21"/>
      <x:c r="I9" s="21"/>
      <x:c r="J9" s="21"/>
      <x:c r="K9" s="21" t="n">
        <x:v>1.78</x:v>
      </x:c>
      <x:c r="L9" s="21" t="n">
        <x:v>1.78</x:v>
      </x:c>
      <x:c r="M9" s="21" t="n">
        <x:v>1.78</x:v>
      </x:c>
      <x:c r="N9" s="21" t="n">
        <x:v>1.78</x:v>
      </x:c>
      <x:c r="O9" s="40" t="n">
        <x:f>IF(M9=0,0,(N9-M9)/M9)</x:f>
        <x:v>0</x:v>
      </x:c>
      <x:c r="P9" s="21" t="n">
        <x:f>L9*1.10</x:f>
        <x:v>1.9580000000000002</x:v>
      </x:c>
      <x:c r="Q9" s="18" t="str">
        <x:f>IF(ABS(O9)&gt;0.10,"Review",IF(K9=L9,"Stable","Watch"))</x:f>
        <x:v>Stable</x:v>
      </x:c>
    </x:row>
    <x:row r="10">
      <x:c r="A10" s="18" t="str">
        <x:v>CN-TEFLON-STRIP-1MM</x:v>
      </x:c>
      <x:c r="B10" s="18" t="str">
        <x:v>鐵氟龍條</x:v>
      </x:c>
      <x:c r="C10" s="18" t="str">
        <x:v>條</x:v>
      </x:c>
      <x:c r="D10" s="18" t="n">
        <x:v>3</x:v>
      </x:c>
      <x:c r="E10" s="21"/>
      <x:c r="F10" s="21" t="n">
        <x:v>1.8</x:v>
      </x:c>
      <x:c r="G10" s="21"/>
      <x:c r="H10" s="21" t="n">
        <x:v>1.8</x:v>
      </x:c>
      <x:c r="I10" s="21"/>
      <x:c r="J10" s="21" t="n">
        <x:v>1.8</x:v>
      </x:c>
      <x:c r="K10" s="21" t="n">
        <x:v>1.8</x:v>
      </x:c>
      <x:c r="L10" s="21" t="n">
        <x:v>1.8</x:v>
      </x:c>
      <x:c r="M10" s="21" t="n">
        <x:v>1.8</x:v>
      </x:c>
      <x:c r="N10" s="21" t="n">
        <x:v>1.8</x:v>
      </x:c>
      <x:c r="O10" s="40" t="n">
        <x:f>IF(M10=0,0,(N10-M10)/M10)</x:f>
        <x:v>0</x:v>
      </x:c>
      <x:c r="P10" s="21" t="n">
        <x:f>L10*1.10</x:f>
        <x:v>1.9800000000000002</x:v>
      </x:c>
      <x:c r="Q10" s="18" t="str">
        <x:f>IF(ABS(O10)&gt;0.10,"Review",IF(K10=L10,"Stable","Watch"))</x:f>
        <x:v>Stable</x:v>
      </x:c>
    </x:row>
    <x:row r="11">
      <x:c r="A11" s="18" t="str">
        <x:v>ND-DBX1-14</x:v>
      </x:c>
      <x:c r="B11" s="18" t="str">
        <x:v>風琴機針 DBx1 #14</x:v>
      </x:c>
      <x:c r="C11" s="18" t="str">
        <x:v>包</x:v>
      </x:c>
      <x:c r="D11" s="18" t="n">
        <x:v>3</x:v>
      </x:c>
      <x:c r="E11" s="21"/>
      <x:c r="F11" s="21" t="n">
        <x:v>0.78</x:v>
      </x:c>
      <x:c r="G11" s="21"/>
      <x:c r="H11" s="21" t="n">
        <x:v>0.78</x:v>
      </x:c>
      <x:c r="I11" s="21"/>
      <x:c r="J11" s="21" t="n">
        <x:v>0.78</x:v>
      </x:c>
      <x:c r="K11" s="21" t="n">
        <x:v>0.78</x:v>
      </x:c>
      <x:c r="L11" s="21" t="n">
        <x:v>0.78</x:v>
      </x:c>
      <x:c r="M11" s="21" t="n">
        <x:v>0.78</x:v>
      </x:c>
      <x:c r="N11" s="21" t="n">
        <x:v>0.78</x:v>
      </x:c>
      <x:c r="O11" s="40" t="n">
        <x:f>IF(M11=0,0,(N11-M11)/M11)</x:f>
        <x:v>0</x:v>
      </x:c>
      <x:c r="P11" s="21" t="n">
        <x:f>L11*1.10</x:f>
        <x:v>0.8580000000000001</x:v>
      </x:c>
      <x:c r="Q11" s="18" t="str">
        <x:f>IF(ABS(O11)&gt;0.10,"Review",IF(K11=L11,"Stable","Watch"))</x:f>
        <x:v>Stable</x:v>
      </x:c>
    </x:row>
    <x:row r="12">
      <x:c r="A12" s="18" t="str">
        <x:v>ND-DBX1-16</x:v>
      </x:c>
      <x:c r="B12" s="18" t="str">
        <x:v>風琴機針 DBx1 #16</x:v>
      </x:c>
      <x:c r="C12" s="18" t="str">
        <x:v>包</x:v>
      </x:c>
      <x:c r="D12" s="18" t="n">
        <x:v>3</x:v>
      </x:c>
      <x:c r="E12" s="21"/>
      <x:c r="F12" s="21" t="n">
        <x:v>0.78</x:v>
      </x:c>
      <x:c r="G12" s="21"/>
      <x:c r="H12" s="21" t="n">
        <x:v>0.78</x:v>
      </x:c>
      <x:c r="I12" s="21"/>
      <x:c r="J12" s="21" t="n">
        <x:v>0.78</x:v>
      </x:c>
      <x:c r="K12" s="21" t="n">
        <x:v>0.78</x:v>
      </x:c>
      <x:c r="L12" s="21" t="n">
        <x:v>0.78</x:v>
      </x:c>
      <x:c r="M12" s="21" t="n">
        <x:v>0.78</x:v>
      </x:c>
      <x:c r="N12" s="21" t="n">
        <x:v>0.78</x:v>
      </x:c>
      <x:c r="O12" s="40" t="n">
        <x:f>IF(M12=0,0,(N12-M12)/M12)</x:f>
        <x:v>0</x:v>
      </x:c>
      <x:c r="P12" s="21" t="n">
        <x:f>L12*1.10</x:f>
        <x:v>0.8580000000000001</x:v>
      </x:c>
      <x:c r="Q12" s="18" t="str">
        <x:f>IF(ABS(O12)&gt;0.10,"Review",IF(K12=L12,"Stable","Watch"))</x:f>
        <x:v>Stable</x:v>
      </x:c>
    </x:row>
    <x:row r="13">
      <x:c r="A13" s="18" t="str">
        <x:v>ND-DCX27-14</x:v>
      </x:c>
      <x:c r="B13" s="18" t="str">
        <x:v>風琴機針 DCx27 #14</x:v>
      </x:c>
      <x:c r="C13" s="18" t="str">
        <x:v>包</x:v>
      </x:c>
      <x:c r="D13" s="18" t="n">
        <x:v>3</x:v>
      </x:c>
      <x:c r="E13" s="21"/>
      <x:c r="F13" s="21" t="n">
        <x:v>1.3</x:v>
      </x:c>
      <x:c r="G13" s="21"/>
      <x:c r="H13" s="21"/>
      <x:c r="I13" s="21" t="n">
        <x:v>1.3</x:v>
      </x:c>
      <x:c r="J13" s="21" t="n">
        <x:v>1.3</x:v>
      </x:c>
      <x:c r="K13" s="21" t="n">
        <x:v>1.3</x:v>
      </x:c>
      <x:c r="L13" s="21" t="n">
        <x:v>1.3</x:v>
      </x:c>
      <x:c r="M13" s="21" t="n">
        <x:v>1.3</x:v>
      </x:c>
      <x:c r="N13" s="21" t="n">
        <x:v>1.3</x:v>
      </x:c>
      <x:c r="O13" s="40" t="n">
        <x:f>IF(M13=0,0,(N13-M13)/M13)</x:f>
        <x:v>0</x:v>
      </x:c>
      <x:c r="P13" s="21" t="n">
        <x:f>L13*1.10</x:f>
        <x:v>1.4300000000000002</x:v>
      </x:c>
      <x:c r="Q13" s="18" t="str">
        <x:f>IF(ABS(O13)&gt;0.10,"Review",IF(K13=L13,"Stable","Watch"))</x:f>
        <x:v>Stable</x:v>
      </x:c>
    </x:row>
    <x:row r="14">
      <x:c r="A14" s="18" t="str">
        <x:v>ND-DCX27-16</x:v>
      </x:c>
      <x:c r="B14" s="18" t="str">
        <x:v>風琴機針 DCx27 #16</x:v>
      </x:c>
      <x:c r="C14" s="18" t="str">
        <x:v>包</x:v>
      </x:c>
      <x:c r="D14" s="18" t="n">
        <x:v>3</x:v>
      </x:c>
      <x:c r="E14" s="21"/>
      <x:c r="F14" s="21" t="n">
        <x:v>1.3</x:v>
      </x:c>
      <x:c r="G14" s="21"/>
      <x:c r="H14" s="21" t="n">
        <x:v>1.3</x:v>
      </x:c>
      <x:c r="I14" s="21"/>
      <x:c r="J14" s="21" t="n">
        <x:v>1.3</x:v>
      </x:c>
      <x:c r="K14" s="21" t="n">
        <x:v>1.3</x:v>
      </x:c>
      <x:c r="L14" s="21" t="n">
        <x:v>1.3</x:v>
      </x:c>
      <x:c r="M14" s="21" t="n">
        <x:v>1.3</x:v>
      </x:c>
      <x:c r="N14" s="21" t="n">
        <x:v>1.3</x:v>
      </x:c>
      <x:c r="O14" s="40" t="n">
        <x:f>IF(M14=0,0,(N14-M14)/M14)</x:f>
        <x:v>0</x:v>
      </x:c>
      <x:c r="P14" s="21" t="n">
        <x:f>L14*1.10</x:f>
        <x:v>1.4300000000000002</x:v>
      </x:c>
      <x:c r="Q14" s="18" t="str">
        <x:f>IF(ABS(O14)&gt;0.10,"Review",IF(K14=L14,"Stable","Watch"))</x:f>
        <x:v>Stable</x:v>
      </x:c>
    </x:row>
    <x:row r="15">
      <x:c r="A15" s="18" t="str">
        <x:v>ND-DPX5-14</x:v>
      </x:c>
      <x:c r="B15" s="18" t="str">
        <x:v>風琴機針 DPx5 #14</x:v>
      </x:c>
      <x:c r="C15" s="18" t="str">
        <x:v>包</x:v>
      </x:c>
      <x:c r="D15" s="18" t="n">
        <x:v>3</x:v>
      </x:c>
      <x:c r="E15" s="21"/>
      <x:c r="F15" s="21" t="n">
        <x:v>0.78</x:v>
      </x:c>
      <x:c r="G15" s="21"/>
      <x:c r="H15" s="21" t="n">
        <x:v>0.78</x:v>
      </x:c>
      <x:c r="I15" s="21"/>
      <x:c r="J15" s="21" t="n">
        <x:v>0.78</x:v>
      </x:c>
      <x:c r="K15" s="21" t="n">
        <x:v>0.78</x:v>
      </x:c>
      <x:c r="L15" s="21" t="n">
        <x:v>0.78</x:v>
      </x:c>
      <x:c r="M15" s="21" t="n">
        <x:v>0.78</x:v>
      </x:c>
      <x:c r="N15" s="21" t="n">
        <x:v>0.78</x:v>
      </x:c>
      <x:c r="O15" s="40" t="n">
        <x:f>IF(M15=0,0,(N15-M15)/M15)</x:f>
        <x:v>0</x:v>
      </x:c>
      <x:c r="P15" s="21" t="n">
        <x:f>L15*1.10</x:f>
        <x:v>0.8580000000000001</x:v>
      </x:c>
      <x:c r="Q15" s="18" t="str">
        <x:f>IF(ABS(O15)&gt;0.10,"Review",IF(K15=L15,"Stable","Watch"))</x:f>
        <x:v>Stable</x:v>
      </x:c>
    </x:row>
    <x:row r="16">
      <x:c r="A16" s="18" t="str">
        <x:v>ND-UYX128-14</x:v>
      </x:c>
      <x:c r="B16" s="18" t="str">
        <x:v>風琴機針 UYx128 #14</x:v>
      </x:c>
      <x:c r="C16" s="18" t="str">
        <x:v>包</x:v>
      </x:c>
      <x:c r="D16" s="18" t="n">
        <x:v>3</x:v>
      </x:c>
      <x:c r="E16" s="21"/>
      <x:c r="F16" s="21"/>
      <x:c r="G16" s="21" t="n">
        <x:v>1.78</x:v>
      </x:c>
      <x:c r="H16" s="21"/>
      <x:c r="I16" s="21" t="n">
        <x:v>1.78</x:v>
      </x:c>
      <x:c r="J16" s="21" t="n">
        <x:v>1.78</x:v>
      </x:c>
      <x:c r="K16" s="21" t="n">
        <x:v>1.78</x:v>
      </x:c>
      <x:c r="L16" s="21" t="n">
        <x:v>1.78</x:v>
      </x:c>
      <x:c r="M16" s="21" t="n">
        <x:v>1.78</x:v>
      </x:c>
      <x:c r="N16" s="21" t="n">
        <x:v>1.78</x:v>
      </x:c>
      <x:c r="O16" s="40" t="n">
        <x:f>IF(M16=0,0,(N16-M16)/M16)</x:f>
        <x:v>0</x:v>
      </x:c>
      <x:c r="P16" s="21" t="n">
        <x:f>L16*1.10</x:f>
        <x:v>1.9580000000000002</x:v>
      </x:c>
      <x:c r="Q16" s="18" t="str">
        <x:f>IF(ABS(O16)&gt;0.10,"Review",IF(K16=L16,"Stable","Watch"))</x:f>
        <x:v>Stable</x:v>
      </x:c>
    </x:row>
    <x:row r="17">
      <x:c r="A17" s="18" t="str">
        <x:v>CH-502-GLUE-LARGE</x:v>
      </x:c>
      <x:c r="B17" s="18" t="str">
        <x:v>502膠水（大瓶）</x:v>
      </x:c>
      <x:c r="C17" s="18" t="str">
        <x:v>瓶</x:v>
      </x:c>
      <x:c r="D17" s="18" t="n">
        <x:v>2</x:v>
      </x:c>
      <x:c r="E17" s="21"/>
      <x:c r="F17" s="21"/>
      <x:c r="G17" s="21" t="n">
        <x:v>0.65</x:v>
      </x:c>
      <x:c r="H17" s="21"/>
      <x:c r="I17" s="21" t="n">
        <x:v>0.65</x:v>
      </x:c>
      <x:c r="J17" s="21"/>
      <x:c r="K17" s="21" t="n">
        <x:v>0.65</x:v>
      </x:c>
      <x:c r="L17" s="21" t="n">
        <x:v>0.65</x:v>
      </x:c>
      <x:c r="M17" s="21" t="n">
        <x:v>0.65</x:v>
      </x:c>
      <x:c r="N17" s="21" t="n">
        <x:v>0.65</x:v>
      </x:c>
      <x:c r="O17" s="40" t="n">
        <x:f>IF(M17=0,0,(N17-M17)/M17)</x:f>
        <x:v>0</x:v>
      </x:c>
      <x:c r="P17" s="21" t="n">
        <x:f>L17*1.10</x:f>
        <x:v>0.7150000000000001</x:v>
      </x:c>
      <x:c r="Q17" s="18" t="str">
        <x:f>IF(ABS(O17)&gt;0.10,"Review",IF(K17=L17,"Stable","Watch"))</x:f>
        <x:v>Stable</x:v>
      </x:c>
    </x:row>
    <x:row r="18">
      <x:c r="A18" s="18" t="str">
        <x:v>PF-CL1-16N</x:v>
      </x:c>
      <x:c r="B18" s="18" t="str">
        <x:v>CL1/16N 壓腳</x:v>
      </x:c>
      <x:c r="C18" s="18" t="str">
        <x:v>個</x:v>
      </x:c>
      <x:c r="D18" s="18" t="n">
        <x:v>2</x:v>
      </x:c>
      <x:c r="E18" s="21"/>
      <x:c r="F18" s="21"/>
      <x:c r="G18" s="21" t="n">
        <x:v>0.6</x:v>
      </x:c>
      <x:c r="H18" s="21"/>
      <x:c r="I18" s="21" t="n">
        <x:v>0.6</x:v>
      </x:c>
      <x:c r="J18" s="21"/>
      <x:c r="K18" s="21" t="n">
        <x:v>0.6</x:v>
      </x:c>
      <x:c r="L18" s="21" t="n">
        <x:v>0.6</x:v>
      </x:c>
      <x:c r="M18" s="21" t="n">
        <x:v>0.6</x:v>
      </x:c>
      <x:c r="N18" s="21" t="n">
        <x:v>0.6</x:v>
      </x:c>
      <x:c r="O18" s="40" t="n">
        <x:f>IF(M18=0,0,(N18-M18)/M18)</x:f>
        <x:v>0</x:v>
      </x:c>
      <x:c r="P18" s="21" t="n">
        <x:f>L18*1.10</x:f>
        <x:v>0.66</x:v>
      </x:c>
      <x:c r="Q18" s="18" t="str">
        <x:f>IF(ABS(O18)&gt;0.10,"Review",IF(K18=L18,"Stable","Watch"))</x:f>
        <x:v>Stable</x:v>
      </x:c>
    </x:row>
    <x:row r="19">
      <x:c r="A19" s="18" t="str">
        <x:v>NP-E22</x:v>
      </x:c>
      <x:c r="B19" s="18" t="str">
        <x:v>E22 針板</x:v>
      </x:c>
      <x:c r="C19" s="18" t="str">
        <x:v>個</x:v>
      </x:c>
      <x:c r="D19" s="18" t="n">
        <x:v>2</x:v>
      </x:c>
      <x:c r="E19" s="21"/>
      <x:c r="F19" s="21" t="n">
        <x:v>0.35</x:v>
      </x:c>
      <x:c r="G19" s="21"/>
      <x:c r="H19" s="21"/>
      <x:c r="I19" s="21"/>
      <x:c r="J19" s="21" t="n">
        <x:v>0.35</x:v>
      </x:c>
      <x:c r="K19" s="21" t="n">
        <x:v>0.35</x:v>
      </x:c>
      <x:c r="L19" s="21" t="n">
        <x:v>0.35</x:v>
      </x:c>
      <x:c r="M19" s="21" t="n">
        <x:v>0.35</x:v>
      </x:c>
      <x:c r="N19" s="21" t="n">
        <x:v>0.35</x:v>
      </x:c>
      <x:c r="O19" s="40" t="n">
        <x:f>IF(M19=0,0,(N19-M19)/M19)</x:f>
        <x:v>0</x:v>
      </x:c>
      <x:c r="P19" s="21" t="n">
        <x:f>L19*1.10</x:f>
        <x:v>0.385</x:v>
      </x:c>
      <x:c r="Q19" s="18" t="str">
        <x:f>IF(ABS(O19)&gt;0.10,"Review",IF(K19=L19,"Stable","Watch"))</x:f>
        <x:v>Stable</x:v>
      </x:c>
    </x:row>
    <x:row r="20">
      <x:c r="A20" s="18" t="str">
        <x:v>CH-JJW830</x:v>
      </x:c>
      <x:c r="B20" s="18" t="str">
        <x:v>JJW-830</x:v>
      </x:c>
      <x:c r="C20" s="18" t="str">
        <x:v>瓶</x:v>
      </x:c>
      <x:c r="D20" s="18" t="n">
        <x:v>2</x:v>
      </x:c>
      <x:c r="E20" s="21" t="n">
        <x:v>2.8</x:v>
      </x:c>
      <x:c r="F20" s="21" t="n">
        <x:v>2.8</x:v>
      </x:c>
      <x:c r="G20" s="21"/>
      <x:c r="H20" s="21"/>
      <x:c r="I20" s="21"/>
      <x:c r="J20" s="21"/>
      <x:c r="K20" s="21" t="n">
        <x:v>2.8</x:v>
      </x:c>
      <x:c r="L20" s="21" t="n">
        <x:v>2.8</x:v>
      </x:c>
      <x:c r="M20" s="21" t="n">
        <x:v>2.8</x:v>
      </x:c>
      <x:c r="N20" s="21" t="n">
        <x:v>2.8</x:v>
      </x:c>
      <x:c r="O20" s="40" t="n">
        <x:f>IF(M20=0,0,(N20-M20)/M20)</x:f>
        <x:v>0</x:v>
      </x:c>
      <x:c r="P20" s="21" t="n">
        <x:f>L20*1.10</x:f>
        <x:v>3.08</x:v>
      </x:c>
      <x:c r="Q20" s="18" t="str">
        <x:f>IF(ABS(O20)&gt;0.10,"Review",IF(K20=L20,"Stable","Watch"))</x:f>
        <x:v>Stable</x:v>
      </x:c>
    </x:row>
    <x:row r="21">
      <x:c r="A21" s="18" t="str">
        <x:v>KN-JUKI8700A-MOVING</x:v>
      </x:c>
      <x:c r="B21" s="18" t="str">
        <x:v>JUKI-8700A 活動刀</x:v>
      </x:c>
      <x:c r="C21" s="18" t="str">
        <x:v>個</x:v>
      </x:c>
      <x:c r="D21" s="18" t="n">
        <x:v>2</x:v>
      </x:c>
      <x:c r="E21" s="21"/>
      <x:c r="F21" s="21"/>
      <x:c r="G21" s="21"/>
      <x:c r="H21" s="21" t="n">
        <x:v>2.3</x:v>
      </x:c>
      <x:c r="I21" s="21" t="n">
        <x:v>2.5</x:v>
      </x:c>
      <x:c r="J21" s="21"/>
      <x:c r="K21" s="21" t="n">
        <x:v>2.3</x:v>
      </x:c>
      <x:c r="L21" s="21" t="n">
        <x:v>2.5</x:v>
      </x:c>
      <x:c r="M21" s="21" t="n">
        <x:v>2.3</x:v>
      </x:c>
      <x:c r="N21" s="21" t="n">
        <x:v>2.5</x:v>
      </x:c>
      <x:c r="O21" s="40" t="n">
        <x:f>IF(M21=0,0,(N21-M21)/M21)</x:f>
        <x:v>0.08695652173913052</x:v>
      </x:c>
      <x:c r="P21" s="21" t="n">
        <x:f>L21*1.10</x:f>
        <x:v>2.75</x:v>
      </x:c>
      <x:c r="Q21" s="18" t="str">
        <x:f>IF(ABS(O21)&gt;0.10,"Review",IF(K21=L21,"Stable","Watch"))</x:f>
        <x:v>Watch</x:v>
      </x:c>
    </x:row>
    <x:row r="22">
      <x:c r="A22" s="18" t="str">
        <x:v>MT-SIRUBA747KD-COUPLER</x:v>
      </x:c>
      <x:c r="B22" s="18" t="str">
        <x:v>SIRUBA-747KD 馬達聯軸器</x:v>
      </x:c>
      <x:c r="C22" s="18" t="str">
        <x:v>個</x:v>
      </x:c>
      <x:c r="D22" s="18" t="n">
        <x:v>2</x:v>
      </x:c>
      <x:c r="E22" s="21"/>
      <x:c r="F22" s="21" t="n">
        <x:v>9.5</x:v>
      </x:c>
      <x:c r="G22" s="21"/>
      <x:c r="H22" s="21"/>
      <x:c r="I22" s="21" t="n">
        <x:v>9.5</x:v>
      </x:c>
      <x:c r="J22" s="21"/>
      <x:c r="K22" s="21" t="n">
        <x:v>9.5</x:v>
      </x:c>
      <x:c r="L22" s="21" t="n">
        <x:v>9.5</x:v>
      </x:c>
      <x:c r="M22" s="21" t="n">
        <x:v>9.5</x:v>
      </x:c>
      <x:c r="N22" s="21" t="n">
        <x:v>9.5</x:v>
      </x:c>
      <x:c r="O22" s="40" t="n">
        <x:f>IF(M22=0,0,(N22-M22)/M22)</x:f>
        <x:v>0</x:v>
      </x:c>
      <x:c r="P22" s="21" t="n">
        <x:f>L22*1.10</x:f>
        <x:v>10.450000000000001</x:v>
      </x:c>
      <x:c r="Q22" s="18" t="str">
        <x:f>IF(ABS(O22)&gt;0.10,"Review",IF(K22=L22,"Stable","Watch"))</x:f>
        <x:v>Stable</x:v>
      </x:c>
    </x:row>
    <x:row r="23">
      <x:c r="A23" s="18" t="str">
        <x:v>BC-SN-ELECTRONIC</x:v>
      </x:c>
      <x:c r="B23" s="18" t="str">
        <x:v>平車電子梭殼</x:v>
      </x:c>
      <x:c r="C23" s="18" t="str">
        <x:v>個</x:v>
      </x:c>
      <x:c r="D23" s="18" t="n">
        <x:v>2</x:v>
      </x:c>
      <x:c r="E23" s="21"/>
      <x:c r="F23" s="21"/>
      <x:c r="G23" s="21" t="n">
        <x:v>0.45</x:v>
      </x:c>
      <x:c r="H23" s="21"/>
      <x:c r="I23" s="21" t="n">
        <x:v>0.45</x:v>
      </x:c>
      <x:c r="J23" s="21"/>
      <x:c r="K23" s="21" t="n">
        <x:v>0.45</x:v>
      </x:c>
      <x:c r="L23" s="21" t="n">
        <x:v>0.45</x:v>
      </x:c>
      <x:c r="M23" s="21" t="n">
        <x:v>0.45</x:v>
      </x:c>
      <x:c r="N23" s="21" t="n">
        <x:v>0.45</x:v>
      </x:c>
      <x:c r="O23" s="40" t="n">
        <x:f>IF(M23=0,0,(N23-M23)/M23)</x:f>
        <x:v>0</x:v>
      </x:c>
      <x:c r="P23" s="21" t="n">
        <x:f>L23*1.10</x:f>
        <x:v>0.49500000000000005</x:v>
      </x:c>
      <x:c r="Q23" s="18" t="str">
        <x:f>IF(ABS(O23)&gt;0.10,"Review",IF(K23=L23,"Stable","Watch"))</x:f>
        <x:v>Stable</x:v>
      </x:c>
    </x:row>
    <x:row r="24">
      <x:c r="A24" s="18" t="str">
        <x:v>CN-SEWING-OIL-30L</x:v>
      </x:c>
      <x:c r="B24" s="18" t="str">
        <x:v>強化型針車油</x:v>
      </x:c>
      <x:c r="C24" s="18" t="str">
        <x:v>桶</x:v>
      </x:c>
      <x:c r="D24" s="18" t="n">
        <x:v>2</x:v>
      </x:c>
      <x:c r="E24" s="21"/>
      <x:c r="F24" s="21"/>
      <x:c r="G24" s="21"/>
      <x:c r="H24" s="21"/>
      <x:c r="I24" s="21" t="n">
        <x:v>65</x:v>
      </x:c>
      <x:c r="J24" s="21"/>
      <x:c r="K24" s="21" t="n">
        <x:v>65</x:v>
      </x:c>
      <x:c r="L24" s="21" t="n">
        <x:v>65</x:v>
      </x:c>
      <x:c r="M24" s="21" t="n">
        <x:v>65</x:v>
      </x:c>
      <x:c r="N24" s="21" t="n">
        <x:v>65</x:v>
      </x:c>
      <x:c r="O24" s="40" t="n">
        <x:f>IF(M24=0,0,(N24-M24)/M24)</x:f>
        <x:v>0</x:v>
      </x:c>
      <x:c r="P24" s="21" t="n">
        <x:f>L24*1.10</x:f>
        <x:v>71.5</x:v>
      </x:c>
      <x:c r="Q24" s="18" t="str">
        <x:f>IF(ABS(O24)&gt;0.10,"Review",IF(K24=L24,"Stable","Watch"))</x:f>
        <x:v>Stable</x:v>
      </x:c>
    </x:row>
    <x:row r="25">
      <x:c r="A25" s="18" t="str">
        <x:v>KN-KR23-UPPER</x:v>
      </x:c>
      <x:c r="B25" s="18" t="str">
        <x:v>拷克上刀 KR23</x:v>
      </x:c>
      <x:c r="C25" s="18" t="str">
        <x:v>支</x:v>
      </x:c>
      <x:c r="D25" s="18" t="n">
        <x:v>2</x:v>
      </x:c>
      <x:c r="E25" s="21"/>
      <x:c r="F25" s="21"/>
      <x:c r="G25" s="21" t="n">
        <x:v>0.6</x:v>
      </x:c>
      <x:c r="H25" s="21"/>
      <x:c r="I25" s="21" t="n">
        <x:v>0.6</x:v>
      </x:c>
      <x:c r="J25" s="21"/>
      <x:c r="K25" s="21" t="n">
        <x:v>0.6</x:v>
      </x:c>
      <x:c r="L25" s="21" t="n">
        <x:v>0.6</x:v>
      </x:c>
      <x:c r="M25" s="21" t="n">
        <x:v>0.6</x:v>
      </x:c>
      <x:c r="N25" s="21" t="n">
        <x:v>0.6</x:v>
      </x:c>
      <x:c r="O25" s="40" t="n">
        <x:f>IF(M25=0,0,(N25-M25)/M25)</x:f>
        <x:v>0</x:v>
      </x:c>
      <x:c r="P25" s="21" t="n">
        <x:f>L25*1.10</x:f>
        <x:v>0.66</x:v>
      </x:c>
      <x:c r="Q25" s="18" t="str">
        <x:f>IF(ABS(O25)&gt;0.10,"Review",IF(K25=L25,"Stable","Watch"))</x:f>
        <x:v>Stable</x:v>
      </x:c>
    </x:row>
    <x:row r="26">
      <x:c r="A26" s="18" t="str">
        <x:v>LP-LP226-UPPER</x:v>
      </x:c>
      <x:c r="B26" s="18" t="str">
        <x:v>拷克上勾針 LP226</x:v>
      </x:c>
      <x:c r="C26" s="18" t="str">
        <x:v>個</x:v>
      </x:c>
      <x:c r="D26" s="18" t="n">
        <x:v>2</x:v>
      </x:c>
      <x:c r="E26" s="21"/>
      <x:c r="F26" s="21"/>
      <x:c r="G26" s="21" t="n">
        <x:v>1.5</x:v>
      </x:c>
      <x:c r="H26" s="21"/>
      <x:c r="I26" s="21" t="n">
        <x:v>1.5</x:v>
      </x:c>
      <x:c r="J26" s="21"/>
      <x:c r="K26" s="21" t="n">
        <x:v>1.5</x:v>
      </x:c>
      <x:c r="L26" s="21" t="n">
        <x:v>1.5</x:v>
      </x:c>
      <x:c r="M26" s="21" t="n">
        <x:v>1.5</x:v>
      </x:c>
      <x:c r="N26" s="21" t="n">
        <x:v>1.5</x:v>
      </x:c>
      <x:c r="O26" s="40" t="n">
        <x:f>IF(M26=0,0,(N26-M26)/M26)</x:f>
        <x:v>0</x:v>
      </x:c>
      <x:c r="P26" s="21" t="n">
        <x:f>L26*1.10</x:f>
        <x:v>1.6500000000000001</x:v>
      </x:c>
      <x:c r="Q26" s="18" t="str">
        <x:f>IF(ABS(O26)&gt;0.10,"Review",IF(K26=L26,"Stable","Watch"))</x:f>
        <x:v>Stable</x:v>
      </x:c>
    </x:row>
    <x:row r="27">
      <x:c r="A27" s="18" t="str">
        <x:v>IR-ES94A-SHOE</x:v>
      </x:c>
      <x:c r="B27" s="18" t="str">
        <x:v>熨斗鞋 ES-94(A)</x:v>
      </x:c>
      <x:c r="C27" s="18" t="str">
        <x:v>個</x:v>
      </x:c>
      <x:c r="D27" s="18" t="n">
        <x:v>2</x:v>
      </x:c>
      <x:c r="E27" s="21" t="n">
        <x:v>1.8</x:v>
      </x:c>
      <x:c r="F27" s="21"/>
      <x:c r="G27" s="21"/>
      <x:c r="H27" s="21"/>
      <x:c r="I27" s="21" t="n">
        <x:v>1.8</x:v>
      </x:c>
      <x:c r="J27" s="21"/>
      <x:c r="K27" s="21" t="n">
        <x:v>1.8</x:v>
      </x:c>
      <x:c r="L27" s="21" t="n">
        <x:v>1.8</x:v>
      </x:c>
      <x:c r="M27" s="21" t="n">
        <x:v>1.8</x:v>
      </x:c>
      <x:c r="N27" s="21" t="n">
        <x:v>1.8</x:v>
      </x:c>
      <x:c r="O27" s="40" t="n">
        <x:f>IF(M27=0,0,(N27-M27)/M27)</x:f>
        <x:v>0</x:v>
      </x:c>
      <x:c r="P27" s="21" t="n">
        <x:f>L27*1.10</x:f>
        <x:v>1.9800000000000002</x:v>
      </x:c>
      <x:c r="Q27" s="18" t="str">
        <x:f>IF(ABS(O27)&gt;0.10,"Review",IF(K27=L27,"Stable","Watch"))</x:f>
        <x:v>Stable</x:v>
      </x:c>
    </x:row>
    <x:row r="28">
      <x:c r="A28" s="18" t="str">
        <x:v>CN-NUMBER-PAPER-5</x:v>
      </x:c>
      <x:c r="B28" s="18" t="str">
        <x:v>編號紙 #5</x:v>
      </x:c>
      <x:c r="C28" s="18" t="str">
        <x:v>箱</x:v>
      </x:c>
      <x:c r="D28" s="18" t="n">
        <x:v>2</x:v>
      </x:c>
      <x:c r="E28" s="21"/>
      <x:c r="F28" s="21"/>
      <x:c r="G28" s="21" t="n">
        <x:v>110</x:v>
      </x:c>
      <x:c r="H28" s="21"/>
      <x:c r="I28" s="21"/>
      <x:c r="J28" s="21" t="n">
        <x:v>110</x:v>
      </x:c>
      <x:c r="K28" s="21" t="n">
        <x:v>110</x:v>
      </x:c>
      <x:c r="L28" s="21" t="n">
        <x:v>110</x:v>
      </x:c>
      <x:c r="M28" s="21" t="n">
        <x:v>110</x:v>
      </x:c>
      <x:c r="N28" s="21" t="n">
        <x:v>110</x:v>
      </x:c>
      <x:c r="O28" s="40" t="n">
        <x:f>IF(M28=0,0,(N28-M28)/M28)</x:f>
        <x:v>0</x:v>
      </x:c>
      <x:c r="P28" s="21" t="n">
        <x:f>L28*1.10</x:f>
        <x:v>121.00000000000001</x:v>
      </x:c>
      <x:c r="Q28" s="18" t="str">
        <x:f>IF(ABS(O28)&gt;0.10,"Review",IF(K28=L28,"Stable","Watch"))</x:f>
        <x:v>Stable</x:v>
      </x:c>
    </x:row>
    <x:row r="29">
      <x:c r="A29" s="18" t="str">
        <x:v>IR-HANGING-BOTTLE-SET-KR</x:v>
      </x:c>
      <x:c r="B29" s="18" t="str">
        <x:v>韓國吊瓶熨斗組</x:v>
      </x:c>
      <x:c r="C29" s="18" t="str">
        <x:v>把</x:v>
      </x:c>
      <x:c r="D29" s="18" t="n">
        <x:v>2</x:v>
      </x:c>
      <x:c r="E29" s="21" t="n">
        <x:v>29</x:v>
      </x:c>
      <x:c r="F29" s="21"/>
      <x:c r="G29" s="21"/>
      <x:c r="H29" s="21"/>
      <x:c r="I29" s="21" t="n">
        <x:v>29</x:v>
      </x:c>
      <x:c r="J29" s="21"/>
      <x:c r="K29" s="21" t="n">
        <x:v>29</x:v>
      </x:c>
      <x:c r="L29" s="21" t="n">
        <x:v>29</x:v>
      </x:c>
      <x:c r="M29" s="21" t="n">
        <x:v>29</x:v>
      </x:c>
      <x:c r="N29" s="21" t="n">
        <x:v>29</x:v>
      </x:c>
      <x:c r="O29" s="40" t="n">
        <x:f>IF(M29=0,0,(N29-M29)/M29)</x:f>
        <x:v>0</x:v>
      </x:c>
      <x:c r="P29" s="21" t="n">
        <x:f>L29*1.10</x:f>
        <x:v>31.900000000000002</x:v>
      </x:c>
      <x:c r="Q29" s="18" t="str">
        <x:f>IF(ABS(O29)&gt;0.10,"Review",IF(K29=L29,"Stable","Watch"))</x:f>
        <x:v>Stable</x:v>
      </x:c>
    </x:row>
    <x:row r="30">
      <x:c r="A30" s="18" t="str">
        <x:v>ND-DBX1-12</x:v>
      </x:c>
      <x:c r="B30" s="18" t="str">
        <x:v>風琴機針 DBx1 #12</x:v>
      </x:c>
      <x:c r="C30" s="18" t="str">
        <x:v>包</x:v>
      </x:c>
      <x:c r="D30" s="18" t="n">
        <x:v>2</x:v>
      </x:c>
      <x:c r="E30" s="21"/>
      <x:c r="F30" s="21"/>
      <x:c r="G30" s="21" t="n">
        <x:v>0.78</x:v>
      </x:c>
      <x:c r="H30" s="21"/>
      <x:c r="I30" s="21"/>
      <x:c r="J30" s="21" t="n">
        <x:v>0.78</x:v>
      </x:c>
      <x:c r="K30" s="21" t="n">
        <x:v>0.78</x:v>
      </x:c>
      <x:c r="L30" s="21" t="n">
        <x:v>0.78</x:v>
      </x:c>
      <x:c r="M30" s="21" t="n">
        <x:v>0.78</x:v>
      </x:c>
      <x:c r="N30" s="21" t="n">
        <x:v>0.78</x:v>
      </x:c>
      <x:c r="O30" s="40" t="n">
        <x:f>IF(M30=0,0,(N30-M30)/M30)</x:f>
        <x:v>0</x:v>
      </x:c>
      <x:c r="P30" s="21" t="n">
        <x:f>L30*1.10</x:f>
        <x:v>0.8580000000000001</x:v>
      </x:c>
      <x:c r="Q30" s="18" t="str">
        <x:f>IF(ABS(O30)&gt;0.10,"Review",IF(K30=L30,"Stable","Watch"))</x:f>
        <x:v>Stable</x:v>
      </x:c>
    </x:row>
    <x:row r="31">
      <x:c r="A31" s="18" t="str">
        <x:v>ND-DPX5-16</x:v>
      </x:c>
      <x:c r="B31" s="18" t="str">
        <x:v>風琴機針 DPx5 #16</x:v>
      </x:c>
      <x:c r="C31" s="18" t="str">
        <x:v>包</x:v>
      </x:c>
      <x:c r="D31" s="18" t="n">
        <x:v>2</x:v>
      </x:c>
      <x:c r="E31" s="21"/>
      <x:c r="F31" s="21" t="n">
        <x:v>0.78</x:v>
      </x:c>
      <x:c r="G31" s="21"/>
      <x:c r="H31" s="21"/>
      <x:c r="I31" s="21"/>
      <x:c r="J31" s="21" t="n">
        <x:v>0.78</x:v>
      </x:c>
      <x:c r="K31" s="21" t="n">
        <x:v>0.78</x:v>
      </x:c>
      <x:c r="L31" s="21" t="n">
        <x:v>0.78</x:v>
      </x:c>
      <x:c r="M31" s="21" t="n">
        <x:v>0.78</x:v>
      </x:c>
      <x:c r="N31" s="21" t="n">
        <x:v>0.78</x:v>
      </x:c>
      <x:c r="O31" s="40" t="n">
        <x:f>IF(M31=0,0,(N31-M31)/M31)</x:f>
        <x:v>0</x:v>
      </x:c>
      <x:c r="P31" s="21" t="n">
        <x:f>L31*1.10</x:f>
        <x:v>0.8580000000000001</x:v>
      </x:c>
      <x:c r="Q31" s="18" t="str">
        <x:f>IF(ABS(O31)&gt;0.10,"Review",IF(K31=L31,"Stable","Watch"))</x:f>
        <x:v>Stable</x:v>
      </x:c>
    </x:row>
    <x:row r="32">
      <x:c r="A32" s="18" t="str">
        <x:v>ND-UOX113-16</x:v>
      </x:c>
      <x:c r="B32" s="18" t="str">
        <x:v>風琴機針 UOx113 #16</x:v>
      </x:c>
      <x:c r="C32" s="18" t="str">
        <x:v>包</x:v>
      </x:c>
      <x:c r="D32" s="18" t="n">
        <x:v>2</x:v>
      </x:c>
      <x:c r="E32" s="21"/>
      <x:c r="F32" s="21"/>
      <x:c r="G32" s="21" t="n">
        <x:v>3</x:v>
      </x:c>
      <x:c r="H32" s="21"/>
      <x:c r="I32" s="21"/>
      <x:c r="J32" s="21" t="n">
        <x:v>3</x:v>
      </x:c>
      <x:c r="K32" s="21" t="n">
        <x:v>3</x:v>
      </x:c>
      <x:c r="L32" s="21" t="n">
        <x:v>3</x:v>
      </x:c>
      <x:c r="M32" s="21" t="n">
        <x:v>3</x:v>
      </x:c>
      <x:c r="N32" s="21" t="n">
        <x:v>3</x:v>
      </x:c>
      <x:c r="O32" s="40" t="n">
        <x:f>IF(M32=0,0,(N32-M32)/M32)</x:f>
        <x:v>0</x:v>
      </x:c>
      <x:c r="P32" s="21" t="n">
        <x:f>L32*1.10</x:f>
        <x:v>3.3000000000000003</x:v>
      </x:c>
      <x:c r="Q32" s="18" t="str">
        <x:f>IF(ABS(O32)&gt;0.10,"Review",IF(K32=L32,"Stable","Watch"))</x:f>
        <x:v>Stable</x:v>
      </x:c>
    </x:row>
  </x:sheetData>
  <x:mergeCells>
    <x:mergeCell ref="A1:Q1"/>
  </x:mergeCells>
  <x:conditionalFormatting sqref="O4:O32">
    <x:cfRule type="expression" dxfId="5" priority="1">
      <x:formula>ABS(O4)&gt;0.10</x:formula>
    </x:cfRule>
  </x:conditionalFormatting>
  <x:conditionalFormatting sqref="Q4:Q32">
    <x:cfRule type="expression" dxfId="6" priority="2">
      <x:formula>Q4="Stable"</x:formula>
    </x:cfRule>
    <x:cfRule type="expression" dxfId="7" priority="3">
      <x:formula>Q4="Watch"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351874eadf45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4" hidden="0" customWidth="1"/>
    <x:col min="3" max="3" width="11" hidden="0" customWidth="1"/>
    <x:col min="4" max="4" width="11" hidden="0" customWidth="1"/>
    <x:col min="5" max="5" width="22" hidden="0" customWidth="1"/>
    <x:col min="6" max="6" width="22" hidden="0" customWidth="1"/>
    <x:col min="7" max="7" width="16" hidden="0" customWidth="1"/>
    <x:col min="8" max="8" width="26" hidden="0" customWidth="1"/>
    <x:col min="9" max="9" width="10" hidden="0" customWidth="1"/>
    <x:col min="10" max="10" width="12" hidden="0" customWidth="1"/>
    <x:col min="11" max="11" width="12" hidden="0" customWidth="1"/>
    <x:col min="12" max="12" width="52" hidden="0" customWidth="1"/>
  </x:cols>
  <x:sheetData>
    <x:row r="1">
      <x:c r="A1" s="28" t="str">
        <x:v>Import-ready Master List for vrt_spare_parts HTML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s="34" t="str">
        <x:v>A:D 欄位依系統 OCR/匯入畫面固定為 PART NO / NAME / QTY / PRICE；QTY 預設為0，避免把歷史購買量誤當現有庫存。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4">
      <x:c r="A4" s="6" t="str">
        <x:v>PART NO</x:v>
      </x:c>
      <x:c r="B4" s="6" t="str">
        <x:v>NAME</x:v>
      </x:c>
      <x:c r="C4" s="6" t="str">
        <x:v>QTY</x:v>
      </x:c>
      <x:c r="D4" s="6" t="str">
        <x:v>PRICE</x:v>
      </x:c>
      <x:c r="E4" s="6" t="str">
        <x:v>SPEC</x:v>
      </x:c>
      <x:c r="F4" s="6" t="str">
        <x:v>CATEGORY</x:v>
      </x:c>
      <x:c r="G4" s="6" t="str">
        <x:v>BRAND</x:v>
      </x:c>
      <x:c r="H4" s="6" t="str">
        <x:v>MACHINE TYPE</x:v>
      </x:c>
      <x:c r="I4" s="6" t="str">
        <x:v>UNIT</x:v>
      </x:c>
      <x:c r="J4" s="6" t="str">
        <x:v>MIN STOCK</x:v>
      </x:c>
      <x:c r="K4" s="6" t="str">
        <x:v>MAX STOCK</x:v>
      </x:c>
      <x:c r="L4" s="6" t="str">
        <x:v>REMARK</x:v>
      </x:c>
    </x:row>
    <x:row r="5">
      <x:c r="A5" s="18" t="str">
        <x:v>BB-JUKI1900</x:v>
      </x:c>
      <x:c r="B5" s="18" t="str">
        <x:v>JUKI-1900 梭芯</x:v>
      </x:c>
      <x:c r="C5" s="18" t="n">
        <x:v>0</x:v>
      </x:c>
      <x:c r="D5" s="21" t="n">
        <x:v>0.2</x:v>
      </x:c>
      <x:c r="E5" s="18" t="str">
        <x:v>1900</x:v>
      </x:c>
      <x:c r="F5" s="18" t="str">
        <x:v>Bobbin/Shuttle</x:v>
      </x:c>
      <x:c r="G5" s="18" t="str">
        <x:v>JUKI</x:v>
      </x:c>
      <x:c r="H5" s="18" t="str">
        <x:v>Bartack</x:v>
      </x:c>
      <x:c r="I5" s="18" t="str">
        <x:v>個</x:v>
      </x:c>
      <x:c r="J5" s="18" t="n">
        <x:v>5</x:v>
      </x:c>
      <x:c r="K5" s="18" t="n">
        <x:v>20</x:v>
      </x:c>
      <x:c r="L5" s="18" t="str">
        <x:v>Historical 2026-05-02 to 2026-05-02; Min $0.20, Max $0.20, Purchases 1</x:v>
      </x:c>
    </x:row>
    <x:row r="6">
      <x:c r="A6" s="18" t="str">
        <x:v>BC-SN-ELECTRONIC</x:v>
      </x:c>
      <x:c r="B6" s="18" t="str">
        <x:v>平車電子梭殼</x:v>
      </x:c>
      <x:c r="C6" s="18" t="n">
        <x:v>0</x:v>
      </x:c>
      <x:c r="D6" s="21" t="n">
        <x:v>0.45</x:v>
      </x:c>
      <x:c r="E6" s="18" t="str">
        <x:v>Electronic Type</x:v>
      </x:c>
      <x:c r="F6" s="18" t="str">
        <x:v>Bobbin/Shuttle</x:v>
      </x:c>
      <x:c r="G6" s="18" t="str"/>
      <x:c r="H6" s="18" t="str">
        <x:v>Single Needle</x:v>
      </x:c>
      <x:c r="I6" s="18" t="str">
        <x:v>個</x:v>
      </x:c>
      <x:c r="J6" s="18" t="n">
        <x:v>5</x:v>
      </x:c>
      <x:c r="K6" s="18" t="n">
        <x:v>20</x:v>
      </x:c>
      <x:c r="L6" s="18" t="str">
        <x:v>Historical 2026-03-05 to 2026-05-02; Min $0.45, Max $0.45, Purchases 2</x:v>
      </x:c>
    </x:row>
    <x:row r="7">
      <x:c r="A7" s="18" t="str">
        <x:v>BB-SN-ALUMINUM</x:v>
      </x:c>
      <x:c r="B7" s="18" t="str">
        <x:v>平車電子梭芯（鋁）</x:v>
      </x:c>
      <x:c r="C7" s="18" t="n">
        <x:v>0</x:v>
      </x:c>
      <x:c r="D7" s="21" t="n">
        <x:v>0.1</x:v>
      </x:c>
      <x:c r="E7" s="18" t="str">
        <x:v>Aluminum</x:v>
      </x:c>
      <x:c r="F7" s="18" t="str">
        <x:v>Bobbin/Shuttle</x:v>
      </x:c>
      <x:c r="G7" s="18" t="str"/>
      <x:c r="H7" s="18" t="str">
        <x:v>Single Needle</x:v>
      </x:c>
      <x:c r="I7" s="18" t="str">
        <x:v>個</x:v>
      </x:c>
      <x:c r="J7" s="18" t="n">
        <x:v>5</x:v>
      </x:c>
      <x:c r="K7" s="18" t="n">
        <x:v>20</x:v>
      </x:c>
      <x:c r="L7" s="18" t="str">
        <x:v>Historical 2026-03-05 to 2026-03-05; Min $0.10, Max $0.10, Purchases 1</x:v>
      </x:c>
    </x:row>
    <x:row r="8">
      <x:c r="A8" s="18" t="str">
        <x:v>BB-TWIN-NEEDLE-SMALL-AL</x:v>
      </x:c>
      <x:c r="B8" s="18" t="str">
        <x:v>平雙針小梭芯（鋁）</x:v>
      </x:c>
      <x:c r="C8" s="18" t="n">
        <x:v>0</x:v>
      </x:c>
      <x:c r="D8" s="21" t="n">
        <x:v>0.2</x:v>
      </x:c>
      <x:c r="E8" s="18" t="str">
        <x:v>Aluminum</x:v>
      </x:c>
      <x:c r="F8" s="18" t="str">
        <x:v>Bobbin/Shuttle</x:v>
      </x:c>
      <x:c r="G8" s="18" t="str"/>
      <x:c r="H8" s="18" t="str">
        <x:v>Twin Needle</x:v>
      </x:c>
      <x:c r="I8" s="18" t="str">
        <x:v>個</x:v>
      </x:c>
      <x:c r="J8" s="18" t="n">
        <x:v>5</x:v>
      </x:c>
      <x:c r="K8" s="18" t="n">
        <x:v>20</x:v>
      </x:c>
      <x:c r="L8" s="18" t="str">
        <x:v>Historical 2026-05-02 to 2026-05-02; Min $0.20, Max $0.20, Purchases 1</x:v>
      </x:c>
    </x:row>
    <x:row r="9">
      <x:c r="A9" s="18" t="str">
        <x:v>CH-502-GLUE-LARGE</x:v>
      </x:c>
      <x:c r="B9" s="18" t="str">
        <x:v>502膠水（大瓶）</x:v>
      </x:c>
      <x:c r="C9" s="18" t="n">
        <x:v>0</x:v>
      </x:c>
      <x:c r="D9" s="21" t="n">
        <x:v>0.65</x:v>
      </x:c>
      <x:c r="E9" s="18" t="str">
        <x:v>Large Bottle</x:v>
      </x:c>
      <x:c r="F9" s="18" t="str">
        <x:v>Consumable/Chemical</x:v>
      </x:c>
      <x:c r="G9" s="18" t="str"/>
      <x:c r="H9" s="18" t="str">
        <x:v>Maintenance</x:v>
      </x:c>
      <x:c r="I9" s="18" t="str">
        <x:v>瓶</x:v>
      </x:c>
      <x:c r="J9" s="18" t="n">
        <x:v>10</x:v>
      </x:c>
      <x:c r="K9" s="18" t="n">
        <x:v>100</x:v>
      </x:c>
      <x:c r="L9" s="18" t="str">
        <x:v>Historical 2026-03-25 to 2026-05-26; Min $0.65, Max $0.65, Purchases 2</x:v>
      </x:c>
    </x:row>
    <x:row r="10">
      <x:c r="A10" s="18" t="str">
        <x:v>CH-530-CLEANER-SPRAY</x:v>
      </x:c>
      <x:c r="B10" s="18" t="str">
        <x:v>530噴頭型全能水</x:v>
      </x:c>
      <x:c r="C10" s="18" t="n">
        <x:v>0</x:v>
      </x:c>
      <x:c r="D10" s="21" t="n">
        <x:v>3.5</x:v>
      </x:c>
      <x:c r="E10" s="18" t="str">
        <x:v>530</x:v>
      </x:c>
      <x:c r="F10" s="18" t="str">
        <x:v>Consumable/Chemical</x:v>
      </x:c>
      <x:c r="G10" s="18" t="str"/>
      <x:c r="H10" s="18" t="str">
        <x:v>Cleaning</x:v>
      </x:c>
      <x:c r="I10" s="18" t="str">
        <x:v>瓶</x:v>
      </x:c>
      <x:c r="J10" s="18" t="n">
        <x:v>10</x:v>
      </x:c>
      <x:c r="K10" s="18" t="n">
        <x:v>100</x:v>
      </x:c>
      <x:c r="L10" s="18" t="str">
        <x:v>Historical 2026-01-21 to 2026-01-21; Min $3.50, Max $3.50, Purchases 1</x:v>
      </x:c>
    </x:row>
    <x:row r="11">
      <x:c r="A11" s="18" t="str">
        <x:v>CH-JJW830</x:v>
      </x:c>
      <x:c r="B11" s="18" t="str">
        <x:v>JJW-830</x:v>
      </x:c>
      <x:c r="C11" s="18" t="n">
        <x:v>0</x:v>
      </x:c>
      <x:c r="D11" s="21" t="n">
        <x:v>2.8</x:v>
      </x:c>
      <x:c r="E11" s="18" t="str">
        <x:v>JJW-830</x:v>
      </x:c>
      <x:c r="F11" s="18" t="str">
        <x:v>Consumable/Chemical</x:v>
      </x:c>
      <x:c r="G11" s="18" t="str"/>
      <x:c r="H11" s="18" t="str">
        <x:v>Maintenance</x:v>
      </x:c>
      <x:c r="I11" s="18" t="str">
        <x:v>瓶</x:v>
      </x:c>
      <x:c r="J11" s="18" t="n">
        <x:v>10</x:v>
      </x:c>
      <x:c r="K11" s="18" t="n">
        <x:v>100</x:v>
      </x:c>
      <x:c r="L11" s="18" t="str">
        <x:v>Historical 2026-01-05 to 2026-02-07; Min $2.80, Max $2.80, Purchases 2</x:v>
      </x:c>
    </x:row>
    <x:row r="12">
      <x:c r="A12" s="18" t="str">
        <x:v>CH-YIMEIJING-STAIN-REMOVER</x:v>
      </x:c>
      <x:c r="B12" s="18" t="str">
        <x:v>台灣產強效益美精去污劑</x:v>
      </x:c>
      <x:c r="C12" s="18" t="n">
        <x:v>0</x:v>
      </x:c>
      <x:c r="D12" s="21" t="n">
        <x:v>6.5</x:v>
      </x:c>
      <x:c r="E12" s="18" t="str">
        <x:v>Strong</x:v>
      </x:c>
      <x:c r="F12" s="18" t="str">
        <x:v>Consumable/Chemical</x:v>
      </x:c>
      <x:c r="G12" s="18" t="str">
        <x:v>Taiwan</x:v>
      </x:c>
      <x:c r="H12" s="18" t="str">
        <x:v>Cleaning</x:v>
      </x:c>
      <x:c r="I12" s="18" t="str">
        <x:v>罐</x:v>
      </x:c>
      <x:c r="J12" s="18" t="n">
        <x:v>10</x:v>
      </x:c>
      <x:c r="K12" s="18" t="n">
        <x:v>100</x:v>
      </x:c>
      <x:c r="L12" s="18" t="str">
        <x:v>Historical 2026-03-10 to 2026-03-10; Min $6.50, Max $6.50, Purchases 1</x:v>
      </x:c>
    </x:row>
    <x:row r="13">
      <x:c r="A13" s="18" t="str">
        <x:v>CN-SEWING-OIL-30L</x:v>
      </x:c>
      <x:c r="B13" s="18" t="str">
        <x:v>強化型針車油</x:v>
      </x:c>
      <x:c r="C13" s="18" t="n">
        <x:v>0</x:v>
      </x:c>
      <x:c r="D13" s="21" t="n">
        <x:v>65</x:v>
      </x:c>
      <x:c r="E13" s="18" t="str">
        <x:v>30L</x:v>
      </x:c>
      <x:c r="F13" s="18" t="str">
        <x:v>Consumable/Chemical</x:v>
      </x:c>
      <x:c r="G13" s="18" t="str"/>
      <x:c r="H13" s="18" t="str">
        <x:v>Sewing Machine</x:v>
      </x:c>
      <x:c r="I13" s="18" t="str">
        <x:v>桶</x:v>
      </x:c>
      <x:c r="J13" s="18" t="n">
        <x:v>10</x:v>
      </x:c>
      <x:c r="K13" s="18" t="n">
        <x:v>100</x:v>
      </x:c>
      <x:c r="L13" s="18" t="str">
        <x:v>Historical 2026-05-12 to 2026-05-26; Min $65.00, Max $65.00, Purchases 2</x:v>
      </x:c>
    </x:row>
    <x:row r="14">
      <x:c r="A14" s="18" t="str">
        <x:v>CH-12D-STAIN-REMOVER-JP</x:v>
      </x:c>
      <x:c r="B14" s="18" t="str">
        <x:v>日本12.D強力去污靈</x:v>
      </x:c>
      <x:c r="C14" s="18" t="n">
        <x:v>0</x:v>
      </x:c>
      <x:c r="D14" s="21" t="n">
        <x:v>9</x:v>
      </x:c>
      <x:c r="E14" s="18" t="str">
        <x:v>12.D</x:v>
      </x:c>
      <x:c r="F14" s="18" t="str">
        <x:v>Consumable/Chemical</x:v>
      </x:c>
      <x:c r="G14" s="18" t="str">
        <x:v>Japan</x:v>
      </x:c>
      <x:c r="H14" s="18" t="str">
        <x:v>Cleaning</x:v>
      </x:c>
      <x:c r="I14" s="18" t="str">
        <x:v>瓶</x:v>
      </x:c>
      <x:c r="J14" s="18" t="n">
        <x:v>10</x:v>
      </x:c>
      <x:c r="K14" s="18" t="n">
        <x:v>100</x:v>
      </x:c>
      <x:c r="L14" s="18" t="str">
        <x:v>Historical 2026-01-16 to 2026-01-16; Min $9.00, Max $9.00, Purchases 1</x:v>
      </x:c>
    </x:row>
    <x:row r="15">
      <x:c r="A15" s="18" t="str">
        <x:v>CN-SANDPAPER-280</x:v>
      </x:c>
      <x:c r="B15" s="18" t="str">
        <x:v>砂紙 #280</x:v>
      </x:c>
      <x:c r="C15" s="18" t="n">
        <x:v>0</x:v>
      </x:c>
      <x:c r="D15" s="21" t="n">
        <x:v>21</x:v>
      </x:c>
      <x:c r="E15" s="18" t="str">
        <x:v>#280</x:v>
      </x:c>
      <x:c r="F15" s="18" t="str">
        <x:v>Consumable/Chemical</x:v>
      </x:c>
      <x:c r="G15" s="18" t="str"/>
      <x:c r="H15" s="18" t="str">
        <x:v>Maintenance</x:v>
      </x:c>
      <x:c r="I15" s="18" t="str">
        <x:v>包</x:v>
      </x:c>
      <x:c r="J15" s="18" t="n">
        <x:v>10</x:v>
      </x:c>
      <x:c r="K15" s="18" t="n">
        <x:v>100</x:v>
      </x:c>
      <x:c r="L15" s="18" t="str">
        <x:v>Historical 2026-05-02 to 2026-05-02; Min $21.00, Max $21.00, Purchases 1</x:v>
      </x:c>
    </x:row>
    <x:row r="16">
      <x:c r="A16" s="18" t="str">
        <x:v>CN-NUMBER-PAPER-5</x:v>
      </x:c>
      <x:c r="B16" s="18" t="str">
        <x:v>編號紙 #5</x:v>
      </x:c>
      <x:c r="C16" s="18" t="n">
        <x:v>0</x:v>
      </x:c>
      <x:c r="D16" s="21" t="n">
        <x:v>110</x:v>
      </x:c>
      <x:c r="E16" s="18" t="str">
        <x:v>No.5</x:v>
      </x:c>
      <x:c r="F16" s="18" t="str">
        <x:v>Consumable/Chemical</x:v>
      </x:c>
      <x:c r="G16" s="18" t="str"/>
      <x:c r="H16" s="18" t="str">
        <x:v>Cutting/Bundle</x:v>
      </x:c>
      <x:c r="I16" s="18" t="str">
        <x:v>箱</x:v>
      </x:c>
      <x:c r="J16" s="18" t="n">
        <x:v>10</x:v>
      </x:c>
      <x:c r="K16" s="18" t="n">
        <x:v>100</x:v>
      </x:c>
      <x:c r="L16" s="18" t="str">
        <x:v>Historical 2026-03-09 to 2026-06-16; Min $110.00, Max $110.00, Purchases 2</x:v>
      </x:c>
    </x:row>
    <x:row r="17">
      <x:c r="A17" s="18" t="str">
        <x:v>CN-TEFLON-STRIP-1MM</x:v>
      </x:c>
      <x:c r="B17" s="18" t="str">
        <x:v>鐵氟龍條</x:v>
      </x:c>
      <x:c r="C17" s="18" t="n">
        <x:v>0</x:v>
      </x:c>
      <x:c r="D17" s="21" t="n">
        <x:v>1.8</x:v>
      </x:c>
      <x:c r="E17" s="18" t="str">
        <x:v>1.0 mm</x:v>
      </x:c>
      <x:c r="F17" s="18" t="str">
        <x:v>Consumable/Chemical</x:v>
      </x:c>
      <x:c r="G17" s="18" t="str">
        <x:v>Teflon</x:v>
      </x:c>
      <x:c r="H17" s="18" t="str">
        <x:v>Ironing/Sealing</x:v>
      </x:c>
      <x:c r="I17" s="18" t="str">
        <x:v>條</x:v>
      </x:c>
      <x:c r="J17" s="18" t="n">
        <x:v>10</x:v>
      </x:c>
      <x:c r="K17" s="18" t="n">
        <x:v>100</x:v>
      </x:c>
      <x:c r="L17" s="18" t="str">
        <x:v>Historical 2026-02-02 to 2026-06-08; Min $1.80, Max $1.80, Purchases 3</x:v>
      </x:c>
    </x:row>
    <x:row r="18">
      <x:c r="A18" s="18" t="str">
        <x:v>CN-TAILOR-CHALK-PANDA-KR</x:v>
      </x:c>
      <x:c r="B18" s="18" t="str">
        <x:v>韓國熊貓圓形畫粉</x:v>
      </x:c>
      <x:c r="C18" s="18" t="n">
        <x:v>0</x:v>
      </x:c>
      <x:c r="D18" s="21" t="n">
        <x:v>1.8</x:v>
      </x:c>
      <x:c r="E18" s="18" t="str">
        <x:v>Round</x:v>
      </x:c>
      <x:c r="F18" s="18" t="str">
        <x:v>Consumable/Chemical</x:v>
      </x:c>
      <x:c r="G18" s="18" t="str">
        <x:v>Panda/Korea</x:v>
      </x:c>
      <x:c r="H18" s="18" t="str">
        <x:v>Marking</x:v>
      </x:c>
      <x:c r="I18" s="18" t="str">
        <x:v>盒</x:v>
      </x:c>
      <x:c r="J18" s="18" t="n">
        <x:v>10</x:v>
      </x:c>
      <x:c r="K18" s="18" t="n">
        <x:v>100</x:v>
      </x:c>
      <x:c r="L18" s="18" t="str">
        <x:v>Historical 2026-05-26 to 2026-05-26; Min $1.80, Max $1.80, Purchases 1</x:v>
      </x:c>
    </x:row>
    <x:row r="19">
      <x:c r="A19" s="18" t="str">
        <x:v>CT-505C3-224-10IN</x:v>
      </x:c>
      <x:c r="B19" s="18" t="str">
        <x:v>505C3-224組 10吋</x:v>
      </x:c>
      <x:c r="C19" s="18" t="n">
        <x:v>0</x:v>
      </x:c>
      <x:c r="D19" s="21" t="n">
        <x:v>50</x:v>
      </x:c>
      <x:c r="E19" s="18" t="str">
        <x:v>505C3-224, 10in</x:v>
      </x:c>
      <x:c r="F19" s="18" t="str">
        <x:v>Cutting</x:v>
      </x:c>
      <x:c r="G19" s="18" t="str"/>
      <x:c r="H19" s="18" t="str">
        <x:v>Cutting Machine</x:v>
      </x:c>
      <x:c r="I19" s="18" t="str">
        <x:v>個</x:v>
      </x:c>
      <x:c r="J19" s="18" t="n">
        <x:v>5</x:v>
      </x:c>
      <x:c r="K19" s="18" t="n">
        <x:v>20</x:v>
      </x:c>
      <x:c r="L19" s="18" t="str">
        <x:v>Historical 2026-01-20 to 2026-01-20; Min $50.00, Max $50.00, Purchases 1</x:v>
      </x:c>
    </x:row>
    <x:row r="20">
      <x:c r="A20" s="18" t="str">
        <x:v>SAF-METAL-GLOVE-3F-M</x:v>
      </x:c>
      <x:c r="B20" s="18" t="str">
        <x:v>三指鐵手套 M碼</x:v>
      </x:c>
      <x:c r="C20" s="18" t="n">
        <x:v>0</x:v>
      </x:c>
      <x:c r="D20" s="21" t="n">
        <x:v>33</x:v>
      </x:c>
      <x:c r="E20" s="18" t="str">
        <x:v>3-finger, M</x:v>
      </x:c>
      <x:c r="F20" s="18" t="str">
        <x:v>Cutting</x:v>
      </x:c>
      <x:c r="G20" s="18" t="str"/>
      <x:c r="H20" s="18" t="str">
        <x:v>Cutting Safety</x:v>
      </x:c>
      <x:c r="I20" s="18" t="str">
        <x:v>支</x:v>
      </x:c>
      <x:c r="J20" s="18" t="n">
        <x:v>5</x:v>
      </x:c>
      <x:c r="K20" s="18" t="n">
        <x:v>20</x:v>
      </x:c>
      <x:c r="L20" s="18" t="str">
        <x:v>Historical 2026-01-14 to 2026-01-14; Min $33.00, Max $33.00, Purchases 1</x:v>
      </x:c>
    </x:row>
    <x:row r="21">
      <x:c r="A21" s="18" t="str">
        <x:v>CT-YUANYI-SPREADER-CHAIN</x:v>
      </x:c>
      <x:c r="B21" s="18" t="str">
        <x:v>元一自動拉布機鏈條</x:v>
      </x:c>
      <x:c r="C21" s="18" t="n">
        <x:v>0</x:v>
      </x:c>
      <x:c r="D21" s="21" t="n">
        <x:v>45</x:v>
      </x:c>
      <x:c r="E21" s="18" t="str">
        <x:v>Automatic Spreader</x:v>
      </x:c>
      <x:c r="F21" s="18" t="str">
        <x:v>Cutting</x:v>
      </x:c>
      <x:c r="G21" s="18" t="str">
        <x:v>元一</x:v>
      </x:c>
      <x:c r="H21" s="18" t="str">
        <x:v>Cutting</x:v>
      </x:c>
      <x:c r="I21" s="18" t="str">
        <x:v>條</x:v>
      </x:c>
      <x:c r="J21" s="18" t="n">
        <x:v>5</x:v>
      </x:c>
      <x:c r="K21" s="18" t="n">
        <x:v>20</x:v>
      </x:c>
      <x:c r="L21" s="18" t="str">
        <x:v>Historical 2026-03-04 to 2026-03-04; Min $45.00, Max $45.00, Purchases 1</x:v>
      </x:c>
    </x:row>
    <x:row r="22">
      <x:c r="A22" s="18" t="str">
        <x:v>CT-CUTTER-BASE-SET</x:v>
      </x:c>
      <x:c r="B22" s="18" t="str">
        <x:v>裁刀底盤組</x:v>
      </x:c>
      <x:c r="C22" s="18" t="n">
        <x:v>0</x:v>
      </x:c>
      <x:c r="D22" s="21" t="n">
        <x:v>38</x:v>
      </x:c>
      <x:c r="E22" s="18" t="str">
        <x:v>Set</x:v>
      </x:c>
      <x:c r="F22" s="18" t="str">
        <x:v>Cutting</x:v>
      </x:c>
      <x:c r="G22" s="18" t="str"/>
      <x:c r="H22" s="18" t="str">
        <x:v>Cutting Machine</x:v>
      </x:c>
      <x:c r="I22" s="18" t="str">
        <x:v>套</x:v>
      </x:c>
      <x:c r="J22" s="18" t="n">
        <x:v>5</x:v>
      </x:c>
      <x:c r="K22" s="18" t="n">
        <x:v>20</x:v>
      </x:c>
      <x:c r="L22" s="18" t="str">
        <x:v>Historical 2026-05-12 to 2026-05-12; Min $38.00, Max $38.00, Purchases 1</x:v>
      </x:c>
    </x:row>
    <x:row r="23">
      <x:c r="A23" s="18" t="str">
        <x:v>CT-SCISSOR-ZIGZAG-9IN</x:v>
      </x:c>
      <x:c r="B23" s="18" t="str">
        <x:v>裁床不鏽鋼齒型花邊大剪刀</x:v>
      </x:c>
      <x:c r="C23" s="18" t="n">
        <x:v>0</x:v>
      </x:c>
      <x:c r="D23" s="21" t="n">
        <x:v>25</x:v>
      </x:c>
      <x:c r="E23" s="18" t="str">
        <x:v>9 inch</x:v>
      </x:c>
      <x:c r="F23" s="18" t="str">
        <x:v>Cutting</x:v>
      </x:c>
      <x:c r="G23" s="18" t="str"/>
      <x:c r="H23" s="18" t="str">
        <x:v>Cutting</x:v>
      </x:c>
      <x:c r="I23" s="18" t="str">
        <x:v>把</x:v>
      </x:c>
      <x:c r="J23" s="18" t="n">
        <x:v>5</x:v>
      </x:c>
      <x:c r="K23" s="18" t="n">
        <x:v>20</x:v>
      </x:c>
      <x:c r="L23" s="18" t="str">
        <x:v>Historical 2026-01-23 to 2026-01-23; Min $25.00, Max $25.00, Purchases 1</x:v>
      </x:c>
    </x:row>
    <x:row r="24">
      <x:c r="A24" s="18" t="str">
        <x:v>EL-JUKI1790-IC-BOARD</x:v>
      </x:c>
      <x:c r="B24" s="18" t="str">
        <x:v>1790電子鎖眼機 IC 主板</x:v>
      </x:c>
      <x:c r="C24" s="18" t="n">
        <x:v>0</x:v>
      </x:c>
      <x:c r="D24" s="21" t="n">
        <x:v>120</x:v>
      </x:c>
      <x:c r="E24" s="18" t="str">
        <x:v>JUKI 1790</x:v>
      </x:c>
      <x:c r="F24" s="18" t="str">
        <x:v>Electrical/Control</x:v>
      </x:c>
      <x:c r="G24" s="18" t="str">
        <x:v>JUKI</x:v>
      </x:c>
      <x:c r="H24" s="18" t="str">
        <x:v>Buttonhole</x:v>
      </x:c>
      <x:c r="I24" s="18" t="str">
        <x:v>板</x:v>
      </x:c>
      <x:c r="J24" s="18" t="n">
        <x:v>5</x:v>
      </x:c>
      <x:c r="K24" s="18" t="n">
        <x:v>20</x:v>
      </x:c>
      <x:c r="L24" s="18" t="str">
        <x:v>Historical 2026-02-02 to 2026-02-02; Min $120.00, Max $120.00, Purchases 1</x:v>
      </x:c>
    </x:row>
    <x:row r="25">
      <x:c r="A25" s="18" t="str">
        <x:v>EL-TSM600-HIGH-TEMP-MOTOR</x:v>
      </x:c>
      <x:c r="B25" s="18" t="str">
        <x:v>600型燙襯機大溫電機</x:v>
      </x:c>
      <x:c r="C25" s="18" t="n">
        <x:v>0</x:v>
      </x:c>
      <x:c r="D25" s="21" t="n">
        <x:v>18</x:v>
      </x:c>
      <x:c r="E25" s="18" t="str">
        <x:v>TSM-600</x:v>
      </x:c>
      <x:c r="F25" s="18" t="str">
        <x:v>Electrical/Control</x:v>
      </x:c>
      <x:c r="G25" s="18" t="str"/>
      <x:c r="H25" s="18" t="str">
        <x:v>TSM-600 Fusing Machine</x:v>
      </x:c>
      <x:c r="I25" s="18" t="str">
        <x:v>個</x:v>
      </x:c>
      <x:c r="J25" s="18" t="n">
        <x:v>5</x:v>
      </x:c>
      <x:c r="K25" s="18" t="n">
        <x:v>20</x:v>
      </x:c>
      <x:c r="L25" s="18" t="str">
        <x:v>Historical 2025-12-15 to 2025-12-15; Min $18.00, Max $18.00, Purchases 1</x:v>
      </x:c>
    </x:row>
    <x:row r="26">
      <x:c r="A26" s="18" t="str">
        <x:v>EL-TSM600-SOCKET</x:v>
      </x:c>
      <x:c r="B26" s="18" t="str">
        <x:v>600型燙襯機接電座</x:v>
      </x:c>
      <x:c r="C26" s="18" t="n">
        <x:v>0</x:v>
      </x:c>
      <x:c r="D26" s="21" t="n">
        <x:v>5</x:v>
      </x:c>
      <x:c r="E26" s="18" t="str">
        <x:v>TSM-600</x:v>
      </x:c>
      <x:c r="F26" s="18" t="str">
        <x:v>Electrical/Control</x:v>
      </x:c>
      <x:c r="G26" s="18" t="str"/>
      <x:c r="H26" s="18" t="str">
        <x:v>TSM-600 Fusing Machine</x:v>
      </x:c>
      <x:c r="I26" s="18" t="str">
        <x:v>個</x:v>
      </x:c>
      <x:c r="J26" s="18" t="n">
        <x:v>5</x:v>
      </x:c>
      <x:c r="K26" s="18" t="n">
        <x:v>20</x:v>
      </x:c>
      <x:c r="L26" s="18" t="str">
        <x:v>Historical 2025-12-15 to 2025-12-15; Min $5.00, Max $5.00, Purchases 1</x:v>
      </x:c>
    </x:row>
    <x:row r="27">
      <x:c r="A27" s="18" t="str">
        <x:v>EL-TSM600-REGULATOR</x:v>
      </x:c>
      <x:c r="B27" s="18" t="str">
        <x:v>600型燙襯機調電器</x:v>
      </x:c>
      <x:c r="C27" s="18" t="n">
        <x:v>0</x:v>
      </x:c>
      <x:c r="D27" s="21" t="n">
        <x:v>12</x:v>
      </x:c>
      <x:c r="E27" s="18" t="str">
        <x:v>TSM-600</x:v>
      </x:c>
      <x:c r="F27" s="18" t="str">
        <x:v>Electrical/Control</x:v>
      </x:c>
      <x:c r="G27" s="18" t="str"/>
      <x:c r="H27" s="18" t="str">
        <x:v>TSM-600 Fusing Machine</x:v>
      </x:c>
      <x:c r="I27" s="18" t="str">
        <x:v>個</x:v>
      </x:c>
      <x:c r="J27" s="18" t="n">
        <x:v>5</x:v>
      </x:c>
      <x:c r="K27" s="18" t="n">
        <x:v>20</x:v>
      </x:c>
      <x:c r="L27" s="18" t="str">
        <x:v>Historical 2025-12-15 to 2025-12-15; Min $12.00, Max $12.00, Purchases 1</x:v>
      </x:c>
    </x:row>
    <x:row r="28">
      <x:c r="A28" s="18" t="str">
        <x:v>EL-TSM600-HEATER-BLOCK</x:v>
      </x:c>
      <x:c r="B28" s="18" t="str">
        <x:v>600型燙襯機電塊</x:v>
      </x:c>
      <x:c r="C28" s="18" t="n">
        <x:v>0</x:v>
      </x:c>
      <x:c r="D28" s="21" t="n">
        <x:v>25</x:v>
      </x:c>
      <x:c r="E28" s="18" t="str">
        <x:v>TSM-600</x:v>
      </x:c>
      <x:c r="F28" s="18" t="str">
        <x:v>Electrical/Control</x:v>
      </x:c>
      <x:c r="G28" s="18" t="str"/>
      <x:c r="H28" s="18" t="str">
        <x:v>TSM-600 Fusing Machine</x:v>
      </x:c>
      <x:c r="I28" s="18" t="str">
        <x:v>個</x:v>
      </x:c>
      <x:c r="J28" s="18" t="n">
        <x:v>5</x:v>
      </x:c>
      <x:c r="K28" s="18" t="n">
        <x:v>20</x:v>
      </x:c>
      <x:c r="L28" s="18" t="str">
        <x:v>Historical 2025-12-15 to 2025-12-15; Min $25.00, Max $25.00, Purchases 1</x:v>
      </x:c>
    </x:row>
    <x:row r="29">
      <x:c r="A29" s="18" t="str">
        <x:v>EL-JUKI7000A-SCREEN-FILM</x:v>
      </x:c>
      <x:c r="B29" s="18" t="str">
        <x:v>JUKI-7000A 螢幕貼</x:v>
      </x:c>
      <x:c r="C29" s="18" t="n">
        <x:v>0</x:v>
      </x:c>
      <x:c r="D29" s="21" t="n">
        <x:v>6</x:v>
      </x:c>
      <x:c r="E29" s="18" t="str">
        <x:v>7000A</x:v>
      </x:c>
      <x:c r="F29" s="18" t="str">
        <x:v>Electrical/Control</x:v>
      </x:c>
      <x:c r="G29" s="18" t="str">
        <x:v>JUKI</x:v>
      </x:c>
      <x:c r="H29" s="18" t="str">
        <x:v>Single Needle</x:v>
      </x:c>
      <x:c r="I29" s="18" t="str">
        <x:v>個</x:v>
      </x:c>
      <x:c r="J29" s="18" t="n">
        <x:v>10</x:v>
      </x:c>
      <x:c r="K29" s="18" t="n">
        <x:v>100</x:v>
      </x:c>
      <x:c r="L29" s="18" t="str">
        <x:v>Historical 2026-04-23 to 2026-04-23; Min $6.00, Max $6.00, Purchases 1</x:v>
      </x:c>
    </x:row>
    <x:row r="30">
      <x:c r="A30" s="18" t="str">
        <x:v>EL-JUKI8700A-SCREEN-FILM</x:v>
      </x:c>
      <x:c r="B30" s="18" t="str">
        <x:v>JUKI-8700A 螢幕貼</x:v>
      </x:c>
      <x:c r="C30" s="18" t="n">
        <x:v>0</x:v>
      </x:c>
      <x:c r="D30" s="21" t="n">
        <x:v>5.8</x:v>
      </x:c>
      <x:c r="E30" s="18" t="str">
        <x:v>8700A</x:v>
      </x:c>
      <x:c r="F30" s="18" t="str">
        <x:v>Electrical/Control</x:v>
      </x:c>
      <x:c r="G30" s="18" t="str">
        <x:v>JUKI</x:v>
      </x:c>
      <x:c r="H30" s="18" t="str">
        <x:v>Single Needle</x:v>
      </x:c>
      <x:c r="I30" s="18" t="str">
        <x:v>個</x:v>
      </x:c>
      <x:c r="J30" s="18" t="n">
        <x:v>10</x:v>
      </x:c>
      <x:c r="K30" s="18" t="n">
        <x:v>100</x:v>
      </x:c>
      <x:c r="L30" s="18" t="str">
        <x:v>Historical 2026-04-23 to 2026-04-23; Min $5.80, Max $5.80, Purchases 1</x:v>
      </x:c>
    </x:row>
    <x:row r="31">
      <x:c r="A31" s="18" t="str">
        <x:v>EL-TSM600-TEMP-CONTROLLER</x:v>
      </x:c>
      <x:c r="B31" s="18" t="str">
        <x:v>TSM-600燙襯機溫控器</x:v>
      </x:c>
      <x:c r="C31" s="18" t="n">
        <x:v>0</x:v>
      </x:c>
      <x:c r="D31" s="21" t="n">
        <x:v>69</x:v>
      </x:c>
      <x:c r="E31" s="18" t="str">
        <x:v>TSM-600</x:v>
      </x:c>
      <x:c r="F31" s="18" t="str">
        <x:v>Electrical/Control</x:v>
      </x:c>
      <x:c r="G31" s="18" t="str"/>
      <x:c r="H31" s="18" t="str">
        <x:v>TSM-600 Fusing Machine</x:v>
      </x:c>
      <x:c r="I31" s="18" t="str">
        <x:v>個</x:v>
      </x:c>
      <x:c r="J31" s="18" t="n">
        <x:v>5</x:v>
      </x:c>
      <x:c r="K31" s="18" t="n">
        <x:v>20</x:v>
      </x:c>
      <x:c r="L31" s="18" t="str">
        <x:v>Historical 2025-12-15 to 2025-12-15; Min $69.00, Max $69.00, Purchases 1</x:v>
      </x:c>
    </x:row>
    <x:row r="32">
      <x:c r="A32" s="18" t="str">
        <x:v>EL-TSM600-SIDE-SWITCH</x:v>
      </x:c>
      <x:c r="B32" s="18" t="str">
        <x:v>TSM-600燙襯機邊開關</x:v>
      </x:c>
      <x:c r="C32" s="18" t="n">
        <x:v>0</x:v>
      </x:c>
      <x:c r="D32" s="21" t="n">
        <x:v>2.5</x:v>
      </x:c>
      <x:c r="E32" s="18" t="str">
        <x:v>TSM-600</x:v>
      </x:c>
      <x:c r="F32" s="18" t="str">
        <x:v>Electrical/Control</x:v>
      </x:c>
      <x:c r="G32" s="18" t="str"/>
      <x:c r="H32" s="18" t="str">
        <x:v>TSM-600 Fusing Machine</x:v>
      </x:c>
      <x:c r="I32" s="18" t="str">
        <x:v>個</x:v>
      </x:c>
      <x:c r="J32" s="18" t="n">
        <x:v>5</x:v>
      </x:c>
      <x:c r="K32" s="18" t="n">
        <x:v>20</x:v>
      </x:c>
      <x:c r="L32" s="18" t="str">
        <x:v>Historical 2025-12-15 to 2025-12-15; Min $2.50, Max $2.50, Purchases 1</x:v>
      </x:c>
    </x:row>
    <x:row r="33">
      <x:c r="A33" s="18" t="str">
        <x:v>EL-YUANYI-SPREADER-SIGNAL-CABLE</x:v>
      </x:c>
      <x:c r="B33" s="18" t="str">
        <x:v>元一自動拉布機信號線</x:v>
      </x:c>
      <x:c r="C33" s="18" t="n">
        <x:v>0</x:v>
      </x:c>
      <x:c r="D33" s="21" t="n">
        <x:v>45</x:v>
      </x:c>
      <x:c r="E33" s="18" t="str">
        <x:v>Automatic Spreader</x:v>
      </x:c>
      <x:c r="F33" s="18" t="str">
        <x:v>Electrical/Control</x:v>
      </x:c>
      <x:c r="G33" s="18" t="str">
        <x:v>元一</x:v>
      </x:c>
      <x:c r="H33" s="18" t="str">
        <x:v>Cutting</x:v>
      </x:c>
      <x:c r="I33" s="18" t="str">
        <x:v>條</x:v>
      </x:c>
      <x:c r="J33" s="18" t="n">
        <x:v>5</x:v>
      </x:c>
      <x:c r="K33" s="18" t="n">
        <x:v>20</x:v>
      </x:c>
      <x:c r="L33" s="18" t="str">
        <x:v>Historical 2026-03-04 to 2026-03-04; Min $45.00, Max $45.00, Purchases 1</x:v>
      </x:c>
    </x:row>
    <x:row r="34">
      <x:c r="A34" s="18" t="str">
        <x:v>EL-YUANYI-SPREADER-EXT-CABLE</x:v>
      </x:c>
      <x:c r="B34" s="18" t="str">
        <x:v>元一自動拉布機行程電磁延長信號線</x:v>
      </x:c>
      <x:c r="C34" s="18" t="n">
        <x:v>0</x:v>
      </x:c>
      <x:c r="D34" s="21" t="n">
        <x:v>65</x:v>
      </x:c>
      <x:c r="E34" s="18" t="str">
        <x:v>Automatic Spreader</x:v>
      </x:c>
      <x:c r="F34" s="18" t="str">
        <x:v>Electrical/Control</x:v>
      </x:c>
      <x:c r="G34" s="18" t="str">
        <x:v>元一</x:v>
      </x:c>
      <x:c r="H34" s="18" t="str">
        <x:v>Cutting</x:v>
      </x:c>
      <x:c r="I34" s="18" t="str">
        <x:v>條</x:v>
      </x:c>
      <x:c r="J34" s="18" t="n">
        <x:v>5</x:v>
      </x:c>
      <x:c r="K34" s="18" t="n">
        <x:v>20</x:v>
      </x:c>
      <x:c r="L34" s="18" t="str">
        <x:v>Historical 2026-03-04 to 2026-03-04; Min $65.00, Max $65.00, Purchases 1</x:v>
      </x:c>
    </x:row>
    <x:row r="35">
      <x:c r="A35" s="18" t="str">
        <x:v>EL-YUANYI-SPREADER-RAIL</x:v>
      </x:c>
      <x:c r="B35" s="18" t="str">
        <x:v>元一自動拉布機電滑軌</x:v>
      </x:c>
      <x:c r="C35" s="18" t="n">
        <x:v>0</x:v>
      </x:c>
      <x:c r="D35" s="21" t="n">
        <x:v>95</x:v>
      </x:c>
      <x:c r="E35" s="18" t="str">
        <x:v>Automatic Spreader</x:v>
      </x:c>
      <x:c r="F35" s="18" t="str">
        <x:v>Electrical/Control</x:v>
      </x:c>
      <x:c r="G35" s="18" t="str">
        <x:v>元一</x:v>
      </x:c>
      <x:c r="H35" s="18" t="str">
        <x:v>Cutting</x:v>
      </x:c>
      <x:c r="I35" s="18" t="str">
        <x:v>台</x:v>
      </x:c>
      <x:c r="J35" s="18" t="n">
        <x:v>5</x:v>
      </x:c>
      <x:c r="K35" s="18" t="n">
        <x:v>20</x:v>
      </x:c>
      <x:c r="L35" s="18" t="str">
        <x:v>Historical 2026-03-04 to 2026-03-04; Min $95.00, Max $95.00, Purchases 1</x:v>
      </x:c>
    </x:row>
    <x:row r="36">
      <x:c r="A36" s="18" t="str">
        <x:v>EL-SOLDERING-HEATER-150W-TW</x:v>
      </x:c>
      <x:c r="B36" s="18" t="str">
        <x:v>台灣產電烙鐵發熱芯</x:v>
      </x:c>
      <x:c r="C36" s="18" t="n">
        <x:v>0</x:v>
      </x:c>
      <x:c r="D36" s="21" t="n">
        <x:v>7</x:v>
      </x:c>
      <x:c r="E36" s="18" t="str">
        <x:v>150W</x:v>
      </x:c>
      <x:c r="F36" s="18" t="str">
        <x:v>Electrical/Control</x:v>
      </x:c>
      <x:c r="G36" s="18" t="str">
        <x:v>Taiwan</x:v>
      </x:c>
      <x:c r="H36" s="18" t="str">
        <x:v>Electrical</x:v>
      </x:c>
      <x:c r="I36" s="18" t="str">
        <x:v>支</x:v>
      </x:c>
      <x:c r="J36" s="18" t="n">
        <x:v>5</x:v>
      </x:c>
      <x:c r="K36" s="18" t="n">
        <x:v>20</x:v>
      </x:c>
      <x:c r="L36" s="18" t="str">
        <x:v>Historical 2026-06-08 to 2026-06-08; Min $7.00, Max $7.00, Purchases 1</x:v>
      </x:c>
    </x:row>
    <x:row r="37">
      <x:c r="A37" s="18" t="str">
        <x:v>EL-SOLDERING-IRON-TIP-TW</x:v>
      </x:c>
      <x:c r="B37" s="18" t="str">
        <x:v>台灣電烙鐵頭</x:v>
      </x:c>
      <x:c r="C37" s="18" t="n">
        <x:v>0</x:v>
      </x:c>
      <x:c r="D37" s="21" t="n">
        <x:v>6</x:v>
      </x:c>
      <x:c r="E37" s="18" t="str">
        <x:v>Tip</x:v>
      </x:c>
      <x:c r="F37" s="18" t="str">
        <x:v>Electrical/Control</x:v>
      </x:c>
      <x:c r="G37" s="18" t="str">
        <x:v>Taiwan</x:v>
      </x:c>
      <x:c r="H37" s="18" t="str">
        <x:v>Electrical</x:v>
      </x:c>
      <x:c r="I37" s="18" t="str">
        <x:v>支</x:v>
      </x:c>
      <x:c r="J37" s="18" t="n">
        <x:v>5</x:v>
      </x:c>
      <x:c r="K37" s="18" t="n">
        <x:v>20</x:v>
      </x:c>
      <x:c r="L37" s="18" t="str">
        <x:v>Historical 2026-06-08 to 2026-06-08; Min $6.00, Max $6.00, Purchases 1</x:v>
      </x:c>
    </x:row>
    <x:row r="38">
      <x:c r="A38" s="18" t="str">
        <x:v>EL-TECO-STARTER-SWITCH-JP</x:v>
      </x:c>
      <x:c r="B38" s="18" t="str">
        <x:v>東元啟動組合開關（日本）</x:v>
      </x:c>
      <x:c r="C38" s="18" t="n">
        <x:v>0</x:v>
      </x:c>
      <x:c r="D38" s="21" t="n">
        <x:v>28.5</x:v>
      </x:c>
      <x:c r="E38" s="18" t="str">
        <x:v>Starter Combination</x:v>
      </x:c>
      <x:c r="F38" s="18" t="str">
        <x:v>Electrical/Control</x:v>
      </x:c>
      <x:c r="G38" s="18" t="str">
        <x:v>TECO/東元</x:v>
      </x:c>
      <x:c r="H38" s="18" t="str">
        <x:v>Motor Control</x:v>
      </x:c>
      <x:c r="I38" s="18" t="str">
        <x:v>組</x:v>
      </x:c>
      <x:c r="J38" s="18" t="n">
        <x:v>5</x:v>
      </x:c>
      <x:c r="K38" s="18" t="n">
        <x:v>20</x:v>
      </x:c>
      <x:c r="L38" s="18" t="str">
        <x:v>Historical 2026-03-21 to 2026-03-21; Min $28.50, Max $28.50, Purchases 1</x:v>
      </x:c>
    </x:row>
    <x:row r="39">
      <x:c r="A39" s="18" t="str">
        <x:v>EL-SOLDER-BAR-065KG-63</x:v>
      </x:c>
      <x:c r="B39" s="18" t="str">
        <x:v>焊錫條 0.65kg 63%</x:v>
      </x:c>
      <x:c r="C39" s="18" t="n">
        <x:v>0</x:v>
      </x:c>
      <x:c r="D39" s="21" t="n">
        <x:v>15</x:v>
      </x:c>
      <x:c r="E39" s="18" t="str">
        <x:v>0.65kg, 63%</x:v>
      </x:c>
      <x:c r="F39" s="18" t="str">
        <x:v>Electrical/Control</x:v>
      </x:c>
      <x:c r="G39" s="18" t="str"/>
      <x:c r="H39" s="18" t="str">
        <x:v>Electrical</x:v>
      </x:c>
      <x:c r="I39" s="18" t="str">
        <x:v>個</x:v>
      </x:c>
      <x:c r="J39" s="18" t="n">
        <x:v>10</x:v>
      </x:c>
      <x:c r="K39" s="18" t="n">
        <x:v>100</x:v>
      </x:c>
      <x:c r="L39" s="18" t="str">
        <x:v>Historical 2026-03-09 to 2026-03-09; Min $15.00, Max $15.00, Purchases 1</x:v>
      </x:c>
    </x:row>
    <x:row r="40">
      <x:c r="A40" s="18" t="str">
        <x:v>EL-SOLDER-PASTE</x:v>
      </x:c>
      <x:c r="B40" s="18" t="str">
        <x:v>焊錫膏</x:v>
      </x:c>
      <x:c r="C40" s="18" t="n">
        <x:v>0</x:v>
      </x:c>
      <x:c r="D40" s="21" t="n">
        <x:v>8</x:v>
      </x:c>
      <x:c r="E40" s="18" t="str">
        <x:v>Solder Paste</x:v>
      </x:c>
      <x:c r="F40" s="18" t="str">
        <x:v>Electrical/Control</x:v>
      </x:c>
      <x:c r="G40" s="18" t="str"/>
      <x:c r="H40" s="18" t="str">
        <x:v>Electrical</x:v>
      </x:c>
      <x:c r="I40" s="18" t="str">
        <x:v>罐</x:v>
      </x:c>
      <x:c r="J40" s="18" t="n">
        <x:v>10</x:v>
      </x:c>
      <x:c r="K40" s="18" t="n">
        <x:v>100</x:v>
      </x:c>
      <x:c r="L40" s="18" t="str">
        <x:v>Historical 2026-03-09 to 2026-03-09; Min $8.00, Max $8.00, Purchases 1</x:v>
      </x:c>
    </x:row>
    <x:row r="41">
      <x:c r="A41" s="18" t="str">
        <x:v>EL-INSULATION-BOARD-1MM-YL</x:v>
      </x:c>
      <x:c r="B41" s="18" t="str">
        <x:v>絕緣板（黃）</x:v>
      </x:c>
      <x:c r="C41" s="18" t="n">
        <x:v>0</x:v>
      </x:c>
      <x:c r="D41" s="21" t="n">
        <x:v>24</x:v>
      </x:c>
      <x:c r="E41" s="18" t="str">
        <x:v>1.0 mm</x:v>
      </x:c>
      <x:c r="F41" s="18" t="str">
        <x:v>Electrical/Control</x:v>
      </x:c>
      <x:c r="G41" s="18" t="str"/>
      <x:c r="H41" s="18" t="str">
        <x:v>Electrical</x:v>
      </x:c>
      <x:c r="I41" s="18" t="str">
        <x:v>張</x:v>
      </x:c>
      <x:c r="J41" s="18" t="n">
        <x:v>10</x:v>
      </x:c>
      <x:c r="K41" s="18" t="n">
        <x:v>100</x:v>
      </x:c>
      <x:c r="L41" s="18" t="str">
        <x:v>Historical 2026-05-02 to 2026-05-02; Min $24.00, Max $24.00, Purchases 1</x:v>
      </x:c>
    </x:row>
    <x:row r="42">
      <x:c r="A42" s="18" t="str">
        <x:v>EL-INSULATION-TAPE</x:v>
      </x:c>
      <x:c r="B42" s="18" t="str">
        <x:v>電工膠布</x:v>
      </x:c>
      <x:c r="C42" s="18" t="n">
        <x:v>0</x:v>
      </x:c>
      <x:c r="D42" s="21" t="n">
        <x:v>5</x:v>
      </x:c>
      <x:c r="E42" s="18" t="str">
        <x:v>Electrical Tape</x:v>
      </x:c>
      <x:c r="F42" s="18" t="str">
        <x:v>Electrical/Control</x:v>
      </x:c>
      <x:c r="G42" s="18" t="str"/>
      <x:c r="H42" s="18" t="str">
        <x:v>Electrical</x:v>
      </x:c>
      <x:c r="I42" s="18" t="str">
        <x:v>卷</x:v>
      </x:c>
      <x:c r="J42" s="18" t="n">
        <x:v>10</x:v>
      </x:c>
      <x:c r="K42" s="18" t="n">
        <x:v>100</x:v>
      </x:c>
      <x:c r="L42" s="18" t="str">
        <x:v>Historical 2026-02-02 to 2026-02-02; Min $5.00, Max $5.00, Purchases 1</x:v>
      </x:c>
    </x:row>
    <x:row r="43">
      <x:c r="A43" s="18" t="str">
        <x:v>EQ-FABRIC-CUTTER-RAIL</x:v>
      </x:c>
      <x:c r="B43" s="18" t="str">
        <x:v>斷布機（含軌道）</x:v>
      </x:c>
      <x:c r="C43" s="18" t="n">
        <x:v>0</x:v>
      </x:c>
      <x:c r="D43" s="21" t="n">
        <x:v>175</x:v>
      </x:c>
      <x:c r="E43" s="18" t="str">
        <x:v>With Rail</x:v>
      </x:c>
      <x:c r="F43" s="18" t="str">
        <x:v>Equipment</x:v>
      </x:c>
      <x:c r="G43" s="18" t="str"/>
      <x:c r="H43" s="18" t="str">
        <x:v>Cutting</x:v>
      </x:c>
      <x:c r="I43" s="18" t="str">
        <x:v>台</x:v>
      </x:c>
      <x:c r="J43" s="18" t="n">
        <x:v>0</x:v>
      </x:c>
      <x:c r="K43" s="18" t="n">
        <x:v>5</x:v>
      </x:c>
      <x:c r="L43" s="18" t="str">
        <x:v>Historical 2026-05-26 to 2026-05-26; Min $175.00, Max $175.00, Purchases 1</x:v>
      </x:c>
    </x:row>
    <x:row r="44">
      <x:c r="A44" s="18" t="str">
        <x:v>IR-HANGING-BOTTLE-SWITCH</x:v>
      </x:c>
      <x:c r="B44" s="18" t="str">
        <x:v>吊瓶熨斗開關</x:v>
      </x:c>
      <x:c r="C44" s="18" t="n">
        <x:v>0</x:v>
      </x:c>
      <x:c r="D44" s="21" t="n">
        <x:v>4.5</x:v>
      </x:c>
      <x:c r="E44" s="18" t="str">
        <x:v>Switch</x:v>
      </x:c>
      <x:c r="F44" s="18" t="str">
        <x:v>Ironing/Heat Transfer</x:v>
      </x:c>
      <x:c r="G44" s="18" t="str"/>
      <x:c r="H44" s="18" t="str">
        <x:v>Iron</x:v>
      </x:c>
      <x:c r="I44" s="18" t="str">
        <x:v>個</x:v>
      </x:c>
      <x:c r="J44" s="18" t="n">
        <x:v>5</x:v>
      </x:c>
      <x:c r="K44" s="18" t="n">
        <x:v>20</x:v>
      </x:c>
      <x:c r="L44" s="18" t="str">
        <x:v>Historical 2026-05-26 to 2026-05-26; Min $4.50, Max $4.50, Purchases 1</x:v>
      </x:c>
    </x:row>
    <x:row r="45">
      <x:c r="A45" s="18" t="str">
        <x:v>IR-ES94A-SHOE</x:v>
      </x:c>
      <x:c r="B45" s="18" t="str">
        <x:v>熨斗鞋 ES-94(A)</x:v>
      </x:c>
      <x:c r="C45" s="18" t="n">
        <x:v>0</x:v>
      </x:c>
      <x:c r="D45" s="21" t="n">
        <x:v>1.8</x:v>
      </x:c>
      <x:c r="E45" s="18" t="str">
        <x:v>ES-94(A)</x:v>
      </x:c>
      <x:c r="F45" s="18" t="str">
        <x:v>Ironing/Heat Transfer</x:v>
      </x:c>
      <x:c r="G45" s="18" t="str"/>
      <x:c r="H45" s="18" t="str">
        <x:v>Iron</x:v>
      </x:c>
      <x:c r="I45" s="18" t="str">
        <x:v>個</x:v>
      </x:c>
      <x:c r="J45" s="18" t="n">
        <x:v>10</x:v>
      </x:c>
      <x:c r="K45" s="18" t="n">
        <x:v>100</x:v>
      </x:c>
      <x:c r="L45" s="18" t="str">
        <x:v>Historical 2026-01-05 to 2026-05-02; Min $1.80, Max $1.80, Purchases 2</x:v>
      </x:c>
    </x:row>
    <x:row r="46">
      <x:c r="A46" s="18" t="str">
        <x:v>HT-HIGH-TEMP-PAD</x:v>
      </x:c>
      <x:c r="B46" s="18" t="str">
        <x:v>熱轉印高溫墊</x:v>
      </x:c>
      <x:c r="C46" s="18" t="n">
        <x:v>0</x:v>
      </x:c>
      <x:c r="D46" s="21" t="n">
        <x:v>23</x:v>
      </x:c>
      <x:c r="E46" s="18" t="str">
        <x:v>High Temperature</x:v>
      </x:c>
      <x:c r="F46" s="18" t="str">
        <x:v>Ironing/Heat Transfer</x:v>
      </x:c>
      <x:c r="G46" s="18" t="str"/>
      <x:c r="H46" s="18" t="str">
        <x:v>Heat Transfer</x:v>
      </x:c>
      <x:c r="I46" s="18" t="str">
        <x:v>張</x:v>
      </x:c>
      <x:c r="J46" s="18" t="n">
        <x:v>10</x:v>
      </x:c>
      <x:c r="K46" s="18" t="n">
        <x:v>100</x:v>
      </x:c>
      <x:c r="L46" s="18" t="str">
        <x:v>Historical 2026-03-10 to 2026-03-10; Min $23.00, Max $23.00, Purchases 1</x:v>
      </x:c>
    </x:row>
    <x:row r="47">
      <x:c r="A47" s="18" t="str">
        <x:v>IR-HANGING-BOTTLE-SET-KR</x:v>
      </x:c>
      <x:c r="B47" s="18" t="str">
        <x:v>韓國吊瓶熨斗組</x:v>
      </x:c>
      <x:c r="C47" s="18" t="n">
        <x:v>0</x:v>
      </x:c>
      <x:c r="D47" s="21" t="n">
        <x:v>29</x:v>
      </x:c>
      <x:c r="E47" s="18" t="str">
        <x:v>Complete Set</x:v>
      </x:c>
      <x:c r="F47" s="18" t="str">
        <x:v>Ironing/Heat Transfer</x:v>
      </x:c>
      <x:c r="G47" s="18" t="str">
        <x:v>Korea</x:v>
      </x:c>
      <x:c r="H47" s="18" t="str">
        <x:v>Iron</x:v>
      </x:c>
      <x:c r="I47" s="18" t="str">
        <x:v>把</x:v>
      </x:c>
      <x:c r="J47" s="18" t="n">
        <x:v>0</x:v>
      </x:c>
      <x:c r="K47" s="18" t="n">
        <x:v>5</x:v>
      </x:c>
      <x:c r="L47" s="18" t="str">
        <x:v>Historical 2026-01-05 to 2026-05-02; Min $29.00, Max $29.00, Purchases 2</x:v>
      </x:c>
    </x:row>
    <x:row r="48">
      <x:c r="A48" s="18" t="str">
        <x:v>LP-747-THREAD-HOOK</x:v>
      </x:c>
      <x:c r="B48" s="18" t="str">
        <x:v>747鎖針線鉤</x:v>
      </x:c>
      <x:c r="C48" s="18" t="n">
        <x:v>0</x:v>
      </x:c>
      <x:c r="D48" s="21" t="n">
        <x:v>0.05</x:v>
      </x:c>
      <x:c r="E48" s="18" t="str">
        <x:v>747</x:v>
      </x:c>
      <x:c r="F48" s="18" t="str">
        <x:v>Knife/Looper</x:v>
      </x:c>
      <x:c r="G48" s="18" t="str"/>
      <x:c r="H48" s="18" t="str">
        <x:v>Overlock</x:v>
      </x:c>
      <x:c r="I48" s="18" t="str">
        <x:v>個</x:v>
      </x:c>
      <x:c r="J48" s="18" t="n">
        <x:v>5</x:v>
      </x:c>
      <x:c r="K48" s="18" t="n">
        <x:v>20</x:v>
      </x:c>
      <x:c r="L48" s="18" t="str">
        <x:v>Historical 2026-05-02 to 2026-05-02; Min $0.05, Max $0.05, Purchases 1</x:v>
      </x:c>
    </x:row>
    <x:row r="49">
      <x:c r="A49" s="18" t="str">
        <x:v>KN-BROTHER-FIXED</x:v>
      </x:c>
      <x:c r="B49" s="18" t="str">
        <x:v>Brother 固定刀</x:v>
      </x:c>
      <x:c r="C49" s="18" t="n">
        <x:v>0</x:v>
      </x:c>
      <x:c r="D49" s="21" t="n">
        <x:v>1.2</x:v>
      </x:c>
      <x:c r="E49" s="18" t="str">
        <x:v>Fixed Knife</x:v>
      </x:c>
      <x:c r="F49" s="18" t="str">
        <x:v>Knife/Looper</x:v>
      </x:c>
      <x:c r="G49" s="18" t="str">
        <x:v>Brother</x:v>
      </x:c>
      <x:c r="H49" s="18" t="str">
        <x:v>Sewing Machine</x:v>
      </x:c>
      <x:c r="I49" s="18" t="str">
        <x:v>支</x:v>
      </x:c>
      <x:c r="J49" s="18" t="n">
        <x:v>5</x:v>
      </x:c>
      <x:c r="K49" s="18" t="n">
        <x:v>20</x:v>
      </x:c>
      <x:c r="L49" s="18" t="str">
        <x:v>Historical 2026-05-26 to 2026-05-26; Min $1.20, Max $1.20, Purchases 1</x:v>
      </x:c>
    </x:row>
    <x:row r="50">
      <x:c r="A50" s="18" t="str">
        <x:v>KN-JUKI8700A-MOVING</x:v>
      </x:c>
      <x:c r="B50" s="18" t="str">
        <x:v>JUKI-8700A 活動刀</x:v>
      </x:c>
      <x:c r="C50" s="18" t="n">
        <x:v>0</x:v>
      </x:c>
      <x:c r="D50" s="21" t="n">
        <x:v>2.5</x:v>
      </x:c>
      <x:c r="E50" s="18" t="str">
        <x:v>8700A</x:v>
      </x:c>
      <x:c r="F50" s="18" t="str">
        <x:v>Knife/Looper</x:v>
      </x:c>
      <x:c r="G50" s="18" t="str">
        <x:v>JUKI</x:v>
      </x:c>
      <x:c r="H50" s="18" t="str">
        <x:v>Single Needle</x:v>
      </x:c>
      <x:c r="I50" s="18" t="str">
        <x:v>個</x:v>
      </x:c>
      <x:c r="J50" s="18" t="n">
        <x:v>5</x:v>
      </x:c>
      <x:c r="K50" s="18" t="n">
        <x:v>20</x:v>
      </x:c>
      <x:c r="L50" s="18" t="str">
        <x:v>Historical 2026-04-23 to 2026-05-02; Min $2.30, Max $2.50, Purchases 2</x:v>
      </x:c>
    </x:row>
    <x:row r="51">
      <x:c r="A51" s="18" t="str">
        <x:v>KN-KR23-UPPER</x:v>
      </x:c>
      <x:c r="B51" s="18" t="str">
        <x:v>拷克上刀 KR23</x:v>
      </x:c>
      <x:c r="C51" s="18" t="n">
        <x:v>0</x:v>
      </x:c>
      <x:c r="D51" s="21" t="n">
        <x:v>0.6</x:v>
      </x:c>
      <x:c r="E51" s="18" t="str">
        <x:v>KR23</x:v>
      </x:c>
      <x:c r="F51" s="18" t="str">
        <x:v>Knife/Looper</x:v>
      </x:c>
      <x:c r="G51" s="18" t="str"/>
      <x:c r="H51" s="18" t="str">
        <x:v>Overlock</x:v>
      </x:c>
      <x:c r="I51" s="18" t="str">
        <x:v>支</x:v>
      </x:c>
      <x:c r="J51" s="18" t="n">
        <x:v>5</x:v>
      </x:c>
      <x:c r="K51" s="18" t="n">
        <x:v>20</x:v>
      </x:c>
      <x:c r="L51" s="18" t="str">
        <x:v>Historical 2026-03-05 to 2026-05-26; Min $0.60, Max $0.60, Purchases 2</x:v>
      </x:c>
    </x:row>
    <x:row r="52">
      <x:c r="A52" s="18" t="str">
        <x:v>LP-LP226-UPPER</x:v>
      </x:c>
      <x:c r="B52" s="18" t="str">
        <x:v>拷克上勾針 LP226</x:v>
      </x:c>
      <x:c r="C52" s="18" t="n">
        <x:v>0</x:v>
      </x:c>
      <x:c r="D52" s="21" t="n">
        <x:v>1.5</x:v>
      </x:c>
      <x:c r="E52" s="18" t="str">
        <x:v>LP226</x:v>
      </x:c>
      <x:c r="F52" s="18" t="str">
        <x:v>Knife/Looper</x:v>
      </x:c>
      <x:c r="G52" s="18" t="str"/>
      <x:c r="H52" s="18" t="str">
        <x:v>Overlock</x:v>
      </x:c>
      <x:c r="I52" s="18" t="str">
        <x:v>個</x:v>
      </x:c>
      <x:c r="J52" s="18" t="n">
        <x:v>5</x:v>
      </x:c>
      <x:c r="K52" s="18" t="n">
        <x:v>20</x:v>
      </x:c>
      <x:c r="L52" s="18" t="str">
        <x:v>Historical 2026-03-05 to 2026-05-26; Min $1.50, Max $1.50, Purchases 2</x:v>
      </x:c>
    </x:row>
    <x:row r="53">
      <x:c r="A53" s="18" t="str">
        <x:v>KN-BUTTONHOLE-3-4</x:v>
      </x:c>
      <x:c r="B53" s="18" t="str">
        <x:v>鎖眼刀</x:v>
      </x:c>
      <x:c r="C53" s="18" t="n">
        <x:v>0</x:v>
      </x:c>
      <x:c r="D53" s="21" t="n">
        <x:v>2.5</x:v>
      </x:c>
      <x:c r="E53" s="18" t="str">
        <x:v>3/4 inch</x:v>
      </x:c>
      <x:c r="F53" s="18" t="str">
        <x:v>Knife/Looper</x:v>
      </x:c>
      <x:c r="G53" s="18" t="str"/>
      <x:c r="H53" s="18" t="str">
        <x:v>Buttonhole</x:v>
      </x:c>
      <x:c r="I53" s="18" t="str">
        <x:v>盒</x:v>
      </x:c>
      <x:c r="J53" s="18" t="n">
        <x:v>5</x:v>
      </x:c>
      <x:c r="K53" s="18" t="n">
        <x:v>20</x:v>
      </x:c>
      <x:c r="L53" s="18" t="str">
        <x:v>Historical 2026-06-08 to 2026-06-08; Min $2.50, Max $2.50, Purchases 1</x:v>
      </x:c>
    </x:row>
    <x:row r="54">
      <x:c r="A54" s="18" t="str">
        <x:v>MT-SIRUBA747KD-COUPLER</x:v>
      </x:c>
      <x:c r="B54" s="18" t="str">
        <x:v>SIRUBA-747KD 馬達聯軸器</x:v>
      </x:c>
      <x:c r="C54" s="18" t="n">
        <x:v>0</x:v>
      </x:c>
      <x:c r="D54" s="21" t="n">
        <x:v>9.5</x:v>
      </x:c>
      <x:c r="E54" s="18" t="str">
        <x:v>747KD</x:v>
      </x:c>
      <x:c r="F54" s="18" t="str">
        <x:v>Motor/Drive</x:v>
      </x:c>
      <x:c r="G54" s="18" t="str">
        <x:v>SIRUBA</x:v>
      </x:c>
      <x:c r="H54" s="18" t="str">
        <x:v>Overlock</x:v>
      </x:c>
      <x:c r="I54" s="18" t="str">
        <x:v>個</x:v>
      </x:c>
      <x:c r="J54" s="18" t="n">
        <x:v>5</x:v>
      </x:c>
      <x:c r="K54" s="18" t="n">
        <x:v>20</x:v>
      </x:c>
      <x:c r="L54" s="18" t="str">
        <x:v>Historical 2026-02-14 to 2026-05-26; Min $9.50, Max $9.50, Purchases 2</x:v>
      </x:c>
    </x:row>
    <x:row r="55">
      <x:c r="A55" s="18" t="str">
        <x:v>MT-YUANYI-SPREADER-BALANCE-MOTOR</x:v>
      </x:c>
      <x:c r="B55" s="18" t="str">
        <x:v>元一自動拉布機封邊平衡馬達</x:v>
      </x:c>
      <x:c r="C55" s="18" t="n">
        <x:v>0</x:v>
      </x:c>
      <x:c r="D55" s="21" t="n">
        <x:v>250</x:v>
      </x:c>
      <x:c r="E55" s="18" t="str">
        <x:v>Automatic Spreader</x:v>
      </x:c>
      <x:c r="F55" s="18" t="str">
        <x:v>Motor/Drive</x:v>
      </x:c>
      <x:c r="G55" s="18" t="str">
        <x:v>元一</x:v>
      </x:c>
      <x:c r="H55" s="18" t="str">
        <x:v>Cutting</x:v>
      </x:c>
      <x:c r="I55" s="18" t="str">
        <x:v>個</x:v>
      </x:c>
      <x:c r="J55" s="18" t="n">
        <x:v>5</x:v>
      </x:c>
      <x:c r="K55" s="18" t="n">
        <x:v>20</x:v>
      </x:c>
      <x:c r="L55" s="18" t="str">
        <x:v>Historical 2026-03-13 to 2026-03-13; Min $250.00, Max $250.00, Purchases 1</x:v>
      </x:c>
    </x:row>
    <x:row r="56">
      <x:c r="A56" s="18" t="str">
        <x:v>ND-DBX1-11</x:v>
      </x:c>
      <x:c r="B56" s="18" t="str">
        <x:v>風琴機針 DBx1 #11</x:v>
      </x:c>
      <x:c r="C56" s="18" t="n">
        <x:v>0</x:v>
      </x:c>
      <x:c r="D56" s="21" t="n">
        <x:v>0.78</x:v>
      </x:c>
      <x:c r="E56" s="18" t="str">
        <x:v>DBx1 #11</x:v>
      </x:c>
      <x:c r="F56" s="18" t="str">
        <x:v>Needle</x:v>
      </x:c>
      <x:c r="G56" s="18" t="str">
        <x:v>ORGAN/風琴</x:v>
      </x:c>
      <x:c r="H56" s="18" t="str">
        <x:v>Single Needle</x:v>
      </x:c>
      <x:c r="I56" s="18" t="str">
        <x:v>包</x:v>
      </x:c>
      <x:c r="J56" s="18" t="n">
        <x:v>50</x:v>
      </x:c>
      <x:c r="K56" s="18" t="n">
        <x:v>300</x:v>
      </x:c>
      <x:c r="L56" s="18" t="str">
        <x:v>Historical 2026-03-25 to 2026-03-25; Min $0.78, Max $0.78, Purchases 1</x:v>
      </x:c>
    </x:row>
    <x:row r="57">
      <x:c r="A57" s="18" t="str">
        <x:v>ND-DBX1-12</x:v>
      </x:c>
      <x:c r="B57" s="18" t="str">
        <x:v>風琴機針 DBx1 #12</x:v>
      </x:c>
      <x:c r="C57" s="18" t="n">
        <x:v>0</x:v>
      </x:c>
      <x:c r="D57" s="21" t="n">
        <x:v>0.78</x:v>
      </x:c>
      <x:c r="E57" s="18" t="str">
        <x:v>DBx1 #12</x:v>
      </x:c>
      <x:c r="F57" s="18" t="str">
        <x:v>Needle</x:v>
      </x:c>
      <x:c r="G57" s="18" t="str">
        <x:v>ORGAN/風琴</x:v>
      </x:c>
      <x:c r="H57" s="18" t="str">
        <x:v>Single Needle</x:v>
      </x:c>
      <x:c r="I57" s="18" t="str">
        <x:v>包</x:v>
      </x:c>
      <x:c r="J57" s="18" t="n">
        <x:v>50</x:v>
      </x:c>
      <x:c r="K57" s="18" t="n">
        <x:v>300</x:v>
      </x:c>
      <x:c r="L57" s="18" t="str">
        <x:v>Historical 2026-03-25 to 2026-06-16; Min $0.78, Max $0.78, Purchases 2</x:v>
      </x:c>
    </x:row>
    <x:row r="58">
      <x:c r="A58" s="18" t="str">
        <x:v>ND-DBX1-14</x:v>
      </x:c>
      <x:c r="B58" s="18" t="str">
        <x:v>風琴機針 DBx1 #14</x:v>
      </x:c>
      <x:c r="C58" s="18" t="n">
        <x:v>0</x:v>
      </x:c>
      <x:c r="D58" s="21" t="n">
        <x:v>0.78</x:v>
      </x:c>
      <x:c r="E58" s="18" t="str">
        <x:v>DBx1 #14</x:v>
      </x:c>
      <x:c r="F58" s="18" t="str">
        <x:v>Needle</x:v>
      </x:c>
      <x:c r="G58" s="18" t="str">
        <x:v>ORGAN/風琴</x:v>
      </x:c>
      <x:c r="H58" s="18" t="str">
        <x:v>Single Needle</x:v>
      </x:c>
      <x:c r="I58" s="18" t="str">
        <x:v>包</x:v>
      </x:c>
      <x:c r="J58" s="18" t="n">
        <x:v>50</x:v>
      </x:c>
      <x:c r="K58" s="18" t="n">
        <x:v>300</x:v>
      </x:c>
      <x:c r="L58" s="18" t="str">
        <x:v>Historical 2026-02-12 to 2026-06-02; Min $0.78, Max $0.78, Purchases 3</x:v>
      </x:c>
    </x:row>
    <x:row r="59">
      <x:c r="A59" s="18" t="str">
        <x:v>ND-DBX1-16</x:v>
      </x:c>
      <x:c r="B59" s="18" t="str">
        <x:v>風琴機針 DBx1 #16</x:v>
      </x:c>
      <x:c r="C59" s="18" t="n">
        <x:v>0</x:v>
      </x:c>
      <x:c r="D59" s="21" t="n">
        <x:v>0.78</x:v>
      </x:c>
      <x:c r="E59" s="18" t="str">
        <x:v>DBx1 #16</x:v>
      </x:c>
      <x:c r="F59" s="18" t="str">
        <x:v>Needle</x:v>
      </x:c>
      <x:c r="G59" s="18" t="str">
        <x:v>ORGAN/風琴</x:v>
      </x:c>
      <x:c r="H59" s="18" t="str">
        <x:v>Single Needle</x:v>
      </x:c>
      <x:c r="I59" s="18" t="str">
        <x:v>包</x:v>
      </x:c>
      <x:c r="J59" s="18" t="n">
        <x:v>50</x:v>
      </x:c>
      <x:c r="K59" s="18" t="n">
        <x:v>300</x:v>
      </x:c>
      <x:c r="L59" s="18" t="str">
        <x:v>Historical 2026-02-12 to 2026-06-02; Min $0.78, Max $0.78, Purchases 3</x:v>
      </x:c>
    </x:row>
    <x:row r="60">
      <x:c r="A60" s="18" t="str">
        <x:v>ND-DBX1-9</x:v>
      </x:c>
      <x:c r="B60" s="18" t="str">
        <x:v>風琴機針 DBx1 #9</x:v>
      </x:c>
      <x:c r="C60" s="18" t="n">
        <x:v>0</x:v>
      </x:c>
      <x:c r="D60" s="21" t="n">
        <x:v>0.78</x:v>
      </x:c>
      <x:c r="E60" s="18" t="str">
        <x:v>DBx1 #9</x:v>
      </x:c>
      <x:c r="F60" s="18" t="str">
        <x:v>Needle</x:v>
      </x:c>
      <x:c r="G60" s="18" t="str">
        <x:v>ORGAN/風琴</x:v>
      </x:c>
      <x:c r="H60" s="18" t="str">
        <x:v>Single Needle</x:v>
      </x:c>
      <x:c r="I60" s="18" t="str">
        <x:v>包</x:v>
      </x:c>
      <x:c r="J60" s="18" t="n">
        <x:v>50</x:v>
      </x:c>
      <x:c r="K60" s="18" t="n">
        <x:v>300</x:v>
      </x:c>
      <x:c r="L60" s="18" t="str">
        <x:v>Historical 2026-03-25 to 2026-03-25; Min $0.78, Max $0.78, Purchases 1</x:v>
      </x:c>
    </x:row>
    <x:row r="61">
      <x:c r="A61" s="18" t="str">
        <x:v>ND-DCX27-12</x:v>
      </x:c>
      <x:c r="B61" s="18" t="str">
        <x:v>風琴機針 DCx27 #12</x:v>
      </x:c>
      <x:c r="C61" s="18" t="n">
        <x:v>0</x:v>
      </x:c>
      <x:c r="D61" s="21" t="n">
        <x:v>1.3</x:v>
      </x:c>
      <x:c r="E61" s="18" t="str">
        <x:v>DCx27 #12</x:v>
      </x:c>
      <x:c r="F61" s="18" t="str">
        <x:v>Needle</x:v>
      </x:c>
      <x:c r="G61" s="18" t="str">
        <x:v>ORGAN/風琴</x:v>
      </x:c>
      <x:c r="H61" s="18" t="str">
        <x:v>Overlock</x:v>
      </x:c>
      <x:c r="I61" s="18" t="str">
        <x:v>包</x:v>
      </x:c>
      <x:c r="J61" s="18" t="n">
        <x:v>50</x:v>
      </x:c>
      <x:c r="K61" s="18" t="n">
        <x:v>300</x:v>
      </x:c>
      <x:c r="L61" s="18" t="str">
        <x:v>Historical 2026-01-02 to 2026-06-16; Min $1.30, Max $1.30, Purchases 11</x:v>
      </x:c>
    </x:row>
    <x:row r="62">
      <x:c r="A62" s="18" t="str">
        <x:v>ND-DCX27-14</x:v>
      </x:c>
      <x:c r="B62" s="18" t="str">
        <x:v>風琴機針 DCx27 #14</x:v>
      </x:c>
      <x:c r="C62" s="18" t="n">
        <x:v>0</x:v>
      </x:c>
      <x:c r="D62" s="21" t="n">
        <x:v>1.3</x:v>
      </x:c>
      <x:c r="E62" s="18" t="str">
        <x:v>DCx27 #14</x:v>
      </x:c>
      <x:c r="F62" s="18" t="str">
        <x:v>Needle</x:v>
      </x:c>
      <x:c r="G62" s="18" t="str">
        <x:v>ORGAN/風琴</x:v>
      </x:c>
      <x:c r="H62" s="18" t="str">
        <x:v>Overlock</x:v>
      </x:c>
      <x:c r="I62" s="18" t="str">
        <x:v>包</x:v>
      </x:c>
      <x:c r="J62" s="18" t="n">
        <x:v>50</x:v>
      </x:c>
      <x:c r="K62" s="18" t="n">
        <x:v>300</x:v>
      </x:c>
      <x:c r="L62" s="18" t="str">
        <x:v>Historical 2026-02-12 to 2026-06-02; Min $1.30, Max $1.30, Purchases 3</x:v>
      </x:c>
    </x:row>
    <x:row r="63">
      <x:c r="A63" s="18" t="str">
        <x:v>ND-DCX27-16</x:v>
      </x:c>
      <x:c r="B63" s="18" t="str">
        <x:v>風琴機針 DCx27 #16</x:v>
      </x:c>
      <x:c r="C63" s="18" t="n">
        <x:v>0</x:v>
      </x:c>
      <x:c r="D63" s="21" t="n">
        <x:v>1.3</x:v>
      </x:c>
      <x:c r="E63" s="18" t="str">
        <x:v>DCx27 #16</x:v>
      </x:c>
      <x:c r="F63" s="18" t="str">
        <x:v>Needle</x:v>
      </x:c>
      <x:c r="G63" s="18" t="str">
        <x:v>ORGAN/風琴</x:v>
      </x:c>
      <x:c r="H63" s="18" t="str">
        <x:v>Overlock</x:v>
      </x:c>
      <x:c r="I63" s="18" t="str">
        <x:v>包</x:v>
      </x:c>
      <x:c r="J63" s="18" t="n">
        <x:v>50</x:v>
      </x:c>
      <x:c r="K63" s="18" t="n">
        <x:v>300</x:v>
      </x:c>
      <x:c r="L63" s="18" t="str">
        <x:v>Historical 2026-02-12 to 2026-06-02; Min $1.30, Max $1.30, Purchases 3</x:v>
      </x:c>
    </x:row>
    <x:row r="64">
      <x:c r="A64" s="18" t="str">
        <x:v>ND-DPX17-16</x:v>
      </x:c>
      <x:c r="B64" s="18" t="str">
        <x:v>風琴機針 DPx17 #16</x:v>
      </x:c>
      <x:c r="C64" s="18" t="n">
        <x:v>0</x:v>
      </x:c>
      <x:c r="D64" s="21" t="n">
        <x:v>1.3</x:v>
      </x:c>
      <x:c r="E64" s="18" t="str">
        <x:v>DPx17 #16</x:v>
      </x:c>
      <x:c r="F64" s="18" t="str">
        <x:v>Needle</x:v>
      </x:c>
      <x:c r="G64" s="18" t="str">
        <x:v>ORGAN/風琴</x:v>
      </x:c>
      <x:c r="H64" s="18" t="str">
        <x:v>Buttonhole / Special</x:v>
      </x:c>
      <x:c r="I64" s="18" t="str">
        <x:v>包</x:v>
      </x:c>
      <x:c r="J64" s="18" t="n">
        <x:v>50</x:v>
      </x:c>
      <x:c r="K64" s="18" t="n">
        <x:v>300</x:v>
      </x:c>
      <x:c r="L64" s="18" t="str">
        <x:v>Historical 2026-04-23 to 2026-04-23; Min $1.30, Max $1.30, Purchases 1</x:v>
      </x:c>
    </x:row>
    <x:row r="65">
      <x:c r="A65" s="18" t="str">
        <x:v>ND-DPX5-14</x:v>
      </x:c>
      <x:c r="B65" s="18" t="str">
        <x:v>風琴機針 DPx5 #14</x:v>
      </x:c>
      <x:c r="C65" s="18" t="n">
        <x:v>0</x:v>
      </x:c>
      <x:c r="D65" s="21" t="n">
        <x:v>0.78</x:v>
      </x:c>
      <x:c r="E65" s="18" t="str">
        <x:v>DPx5 #14</x:v>
      </x:c>
      <x:c r="F65" s="18" t="str">
        <x:v>Needle</x:v>
      </x:c>
      <x:c r="G65" s="18" t="str">
        <x:v>ORGAN/風琴</x:v>
      </x:c>
      <x:c r="H65" s="18" t="str">
        <x:v>Lockstitch</x:v>
      </x:c>
      <x:c r="I65" s="18" t="str">
        <x:v>包</x:v>
      </x:c>
      <x:c r="J65" s="18" t="n">
        <x:v>50</x:v>
      </x:c>
      <x:c r="K65" s="18" t="n">
        <x:v>300</x:v>
      </x:c>
      <x:c r="L65" s="18" t="str">
        <x:v>Historical 2026-02-12 to 2026-06-02; Min $0.78, Max $0.78, Purchases 3</x:v>
      </x:c>
    </x:row>
    <x:row r="66">
      <x:c r="A66" s="18" t="str">
        <x:v>ND-DPX5-16</x:v>
      </x:c>
      <x:c r="B66" s="18" t="str">
        <x:v>風琴機針 DPx5 #16</x:v>
      </x:c>
      <x:c r="C66" s="18" t="n">
        <x:v>0</x:v>
      </x:c>
      <x:c r="D66" s="21" t="n">
        <x:v>0.78</x:v>
      </x:c>
      <x:c r="E66" s="18" t="str">
        <x:v>DPx5 #16</x:v>
      </x:c>
      <x:c r="F66" s="18" t="str">
        <x:v>Needle</x:v>
      </x:c>
      <x:c r="G66" s="18" t="str">
        <x:v>ORGAN/風琴</x:v>
      </x:c>
      <x:c r="H66" s="18" t="str">
        <x:v>Lockstitch</x:v>
      </x:c>
      <x:c r="I66" s="18" t="str">
        <x:v>包</x:v>
      </x:c>
      <x:c r="J66" s="18" t="n">
        <x:v>50</x:v>
      </x:c>
      <x:c r="K66" s="18" t="n">
        <x:v>300</x:v>
      </x:c>
      <x:c r="L66" s="18" t="str">
        <x:v>Historical 2026-02-12 to 2026-06-02; Min $0.78, Max $0.78, Purchases 2</x:v>
      </x:c>
    </x:row>
    <x:row r="67">
      <x:c r="A67" s="18" t="str">
        <x:v>ND-UOX113-12</x:v>
      </x:c>
      <x:c r="B67" s="18" t="str">
        <x:v>風琴機針 UOx113 #12</x:v>
      </x:c>
      <x:c r="C67" s="18" t="n">
        <x:v>0</x:v>
      </x:c>
      <x:c r="D67" s="21" t="n">
        <x:v>3</x:v>
      </x:c>
      <x:c r="E67" s="18" t="str">
        <x:v>UOx113 #12</x:v>
      </x:c>
      <x:c r="F67" s="18" t="str">
        <x:v>Needle</x:v>
      </x:c>
      <x:c r="G67" s="18" t="str">
        <x:v>ORGAN/風琴</x:v>
      </x:c>
      <x:c r="H67" s="18" t="str">
        <x:v>Multi-needle</x:v>
      </x:c>
      <x:c r="I67" s="18" t="str">
        <x:v>包</x:v>
      </x:c>
      <x:c r="J67" s="18" t="n">
        <x:v>50</x:v>
      </x:c>
      <x:c r="K67" s="18" t="n">
        <x:v>300</x:v>
      </x:c>
      <x:c r="L67" s="18" t="str">
        <x:v>Historical 2026-04-04 to 2026-06-09; Min $3.00, Max $3.00, Purchases 7</x:v>
      </x:c>
    </x:row>
    <x:row r="68">
      <x:c r="A68" s="18" t="str">
        <x:v>ND-UOX113-14</x:v>
      </x:c>
      <x:c r="B68" s="18" t="str">
        <x:v>風琴機針 UOx113 #14</x:v>
      </x:c>
      <x:c r="C68" s="18" t="n">
        <x:v>0</x:v>
      </x:c>
      <x:c r="D68" s="21" t="n">
        <x:v>3</x:v>
      </x:c>
      <x:c r="E68" s="18" t="str">
        <x:v>UOx113 #14</x:v>
      </x:c>
      <x:c r="F68" s="18" t="str">
        <x:v>Needle</x:v>
      </x:c>
      <x:c r="G68" s="18" t="str">
        <x:v>ORGAN/風琴</x:v>
      </x:c>
      <x:c r="H68" s="18" t="str">
        <x:v>Multi-needle</x:v>
      </x:c>
      <x:c r="I68" s="18" t="str">
        <x:v>包</x:v>
      </x:c>
      <x:c r="J68" s="18" t="n">
        <x:v>50</x:v>
      </x:c>
      <x:c r="K68" s="18" t="n">
        <x:v>300</x:v>
      </x:c>
      <x:c r="L68" s="18" t="str">
        <x:v>Historical 2026-01-02 to 2026-06-24; Min $3.00, Max $3.00, Purchases 7</x:v>
      </x:c>
    </x:row>
    <x:row r="69">
      <x:c r="A69" s="18" t="str">
        <x:v>ND-UOX113-16</x:v>
      </x:c>
      <x:c r="B69" s="18" t="str">
        <x:v>風琴機針 UOx113 #16</x:v>
      </x:c>
      <x:c r="C69" s="18" t="n">
        <x:v>0</x:v>
      </x:c>
      <x:c r="D69" s="21" t="n">
        <x:v>3</x:v>
      </x:c>
      <x:c r="E69" s="18" t="str">
        <x:v>UOx113 #16</x:v>
      </x:c>
      <x:c r="F69" s="18" t="str">
        <x:v>Needle</x:v>
      </x:c>
      <x:c r="G69" s="18" t="str">
        <x:v>ORGAN/風琴</x:v>
      </x:c>
      <x:c r="H69" s="18" t="str">
        <x:v>Multi-needle</x:v>
      </x:c>
      <x:c r="I69" s="18" t="str">
        <x:v>包</x:v>
      </x:c>
      <x:c r="J69" s="18" t="n">
        <x:v>50</x:v>
      </x:c>
      <x:c r="K69" s="18" t="n">
        <x:v>300</x:v>
      </x:c>
      <x:c r="L69" s="18" t="str">
        <x:v>Historical 2026-03-25 to 2026-06-24; Min $3.00, Max $3.00, Purchases 2</x:v>
      </x:c>
    </x:row>
    <x:row r="70">
      <x:c r="A70" s="18" t="str">
        <x:v>ND-UYX128-11</x:v>
      </x:c>
      <x:c r="B70" s="18" t="str">
        <x:v>風琴機針 UYx128 #11</x:v>
      </x:c>
      <x:c r="C70" s="18" t="n">
        <x:v>0</x:v>
      </x:c>
      <x:c r="D70" s="21" t="n">
        <x:v>1.78</x:v>
      </x:c>
      <x:c r="E70" s="18" t="str">
        <x:v>UYx128 #11</x:v>
      </x:c>
      <x:c r="F70" s="18" t="str">
        <x:v>Needle</x:v>
      </x:c>
      <x:c r="G70" s="18" t="str">
        <x:v>ORGAN/風琴</x:v>
      </x:c>
      <x:c r="H70" s="18" t="str">
        <x:v>Multi-needle / Chainstitch</x:v>
      </x:c>
      <x:c r="I70" s="18" t="str">
        <x:v>包</x:v>
      </x:c>
      <x:c r="J70" s="18" t="n">
        <x:v>50</x:v>
      </x:c>
      <x:c r="K70" s="18" t="n">
        <x:v>300</x:v>
      </x:c>
      <x:c r="L70" s="18" t="str">
        <x:v>Historical 2026-01-02 to 2026-01-29; Min $1.78, Max $1.78, Purchases 4</x:v>
      </x:c>
    </x:row>
    <x:row r="71">
      <x:c r="A71" s="18" t="str">
        <x:v>ND-UYX128-12</x:v>
      </x:c>
      <x:c r="B71" s="18" t="str">
        <x:v>風琴機針 UYx128 #12</x:v>
      </x:c>
      <x:c r="C71" s="18" t="n">
        <x:v>0</x:v>
      </x:c>
      <x:c r="D71" s="21" t="n">
        <x:v>1.78</x:v>
      </x:c>
      <x:c r="E71" s="18" t="str">
        <x:v>UYx128 #12</x:v>
      </x:c>
      <x:c r="F71" s="18" t="str">
        <x:v>Needle</x:v>
      </x:c>
      <x:c r="G71" s="18" t="str">
        <x:v>ORGAN/風琴</x:v>
      </x:c>
      <x:c r="H71" s="18" t="str">
        <x:v>Multi-needle / Chainstitch</x:v>
      </x:c>
      <x:c r="I71" s="18" t="str">
        <x:v>包</x:v>
      </x:c>
      <x:c r="J71" s="18" t="n">
        <x:v>50</x:v>
      </x:c>
      <x:c r="K71" s="18" t="n">
        <x:v>300</x:v>
      </x:c>
      <x:c r="L71" s="18" t="str">
        <x:v>Historical 2026-03-09 to 2026-06-09; Min $1.78, Max $1.78, Purchases 7</x:v>
      </x:c>
    </x:row>
    <x:row r="72">
      <x:c r="A72" s="18" t="str">
        <x:v>ND-UYX128-14</x:v>
      </x:c>
      <x:c r="B72" s="18" t="str">
        <x:v>風琴機針 UYx128 #14</x:v>
      </x:c>
      <x:c r="C72" s="18" t="n">
        <x:v>0</x:v>
      </x:c>
      <x:c r="D72" s="21" t="n">
        <x:v>1.78</x:v>
      </x:c>
      <x:c r="E72" s="18" t="str">
        <x:v>UYx128 #14</x:v>
      </x:c>
      <x:c r="F72" s="18" t="str">
        <x:v>Needle</x:v>
      </x:c>
      <x:c r="G72" s="18" t="str">
        <x:v>ORGAN/風琴</x:v>
      </x:c>
      <x:c r="H72" s="18" t="str">
        <x:v>Multi-needle / Chainstitch</x:v>
      </x:c>
      <x:c r="I72" s="18" t="str">
        <x:v>包</x:v>
      </x:c>
      <x:c r="J72" s="18" t="n">
        <x:v>50</x:v>
      </x:c>
      <x:c r="K72" s="18" t="n">
        <x:v>300</x:v>
      </x:c>
      <x:c r="L72" s="18" t="str">
        <x:v>Historical 2026-03-04 to 2026-06-16; Min $1.78, Max $1.78, Purchases 3</x:v>
      </x:c>
    </x:row>
    <x:row r="73">
      <x:c r="A73" s="18" t="str">
        <x:v>NP-E22</x:v>
      </x:c>
      <x:c r="B73" s="18" t="str">
        <x:v>E22 針板</x:v>
      </x:c>
      <x:c r="C73" s="18" t="n">
        <x:v>0</x:v>
      </x:c>
      <x:c r="D73" s="21" t="n">
        <x:v>0.35</x:v>
      </x:c>
      <x:c r="E73" s="18" t="str">
        <x:v>E22</x:v>
      </x:c>
      <x:c r="F73" s="18" t="str">
        <x:v>Needle Plate/Feed Dog</x:v>
      </x:c>
      <x:c r="G73" s="18" t="str"/>
      <x:c r="H73" s="18" t="str">
        <x:v>Single Needle</x:v>
      </x:c>
      <x:c r="I73" s="18" t="str">
        <x:v>個</x:v>
      </x:c>
      <x:c r="J73" s="18" t="n">
        <x:v>5</x:v>
      </x:c>
      <x:c r="K73" s="18" t="n">
        <x:v>20</x:v>
      </x:c>
      <x:c r="L73" s="18" t="str">
        <x:v>Historical 2026-02-14 to 2026-06-09; Min $0.35, Max $0.35, Purchases 2</x:v>
      </x:c>
    </x:row>
    <x:row r="74">
      <x:c r="A74" s="18" t="str">
        <x:v>FD-H208K</x:v>
      </x:c>
      <x:c r="B74" s="18" t="str">
        <x:v>H208K 牙齒</x:v>
      </x:c>
      <x:c r="C74" s="18" t="n">
        <x:v>0</x:v>
      </x:c>
      <x:c r="D74" s="21" t="n">
        <x:v>3.25</x:v>
      </x:c>
      <x:c r="E74" s="18" t="str">
        <x:v>H208K</x:v>
      </x:c>
      <x:c r="F74" s="18" t="str">
        <x:v>Needle Plate/Feed Dog</x:v>
      </x:c>
      <x:c r="G74" s="18" t="str"/>
      <x:c r="H74" s="18" t="str">
        <x:v>Sewing Machine</x:v>
      </x:c>
      <x:c r="I74" s="18" t="str">
        <x:v>個</x:v>
      </x:c>
      <x:c r="J74" s="18" t="n">
        <x:v>5</x:v>
      </x:c>
      <x:c r="K74" s="18" t="n">
        <x:v>20</x:v>
      </x:c>
      <x:c r="L74" s="18" t="str">
        <x:v>Historical 2026-05-29 to 2026-05-29; Min $3.25, Max $3.25, Purchases 1</x:v>
      </x:c>
    </x:row>
    <x:row r="75">
      <x:c r="A75" s="18" t="str">
        <x:v>FD-SIRUBA747K-SET</x:v>
      </x:c>
      <x:c r="B75" s="18" t="str">
        <x:v>SIRUBA-747K 牙齒組</x:v>
      </x:c>
      <x:c r="C75" s="18" t="n">
        <x:v>0</x:v>
      </x:c>
      <x:c r="D75" s="21" t="n">
        <x:v>6.5</x:v>
      </x:c>
      <x:c r="E75" s="18" t="str">
        <x:v>747K</x:v>
      </x:c>
      <x:c r="F75" s="18" t="str">
        <x:v>Needle Plate/Feed Dog</x:v>
      </x:c>
      <x:c r="G75" s="18" t="str">
        <x:v>SIRUBA</x:v>
      </x:c>
      <x:c r="H75" s="18" t="str">
        <x:v>Overlock</x:v>
      </x:c>
      <x:c r="I75" s="18" t="str">
        <x:v>套</x:v>
      </x:c>
      <x:c r="J75" s="18" t="n">
        <x:v>5</x:v>
      </x:c>
      <x:c r="K75" s="18" t="n">
        <x:v>20</x:v>
      </x:c>
      <x:c r="L75" s="18" t="str">
        <x:v>Historical 2026-02-14 to 2026-02-14; Min $6.50, Max $6.50, Purchases 1</x:v>
      </x:c>
    </x:row>
    <x:row r="76">
      <x:c r="A76" s="18" t="str">
        <x:v>NP-SIRUBA747K</x:v>
      </x:c>
      <x:c r="B76" s="18" t="str">
        <x:v>SIRUBA-747K 針板</x:v>
      </x:c>
      <x:c r="C76" s="18" t="n">
        <x:v>0</x:v>
      </x:c>
      <x:c r="D76" s="21" t="n">
        <x:v>2.5</x:v>
      </x:c>
      <x:c r="E76" s="18" t="str">
        <x:v>747K</x:v>
      </x:c>
      <x:c r="F76" s="18" t="str">
        <x:v>Needle Plate/Feed Dog</x:v>
      </x:c>
      <x:c r="G76" s="18" t="str">
        <x:v>SIRUBA</x:v>
      </x:c>
      <x:c r="H76" s="18" t="str">
        <x:v>Overlock</x:v>
      </x:c>
      <x:c r="I76" s="18" t="str">
        <x:v>個</x:v>
      </x:c>
      <x:c r="J76" s="18" t="n">
        <x:v>5</x:v>
      </x:c>
      <x:c r="K76" s="18" t="n">
        <x:v>20</x:v>
      </x:c>
      <x:c r="L76" s="18" t="str">
        <x:v>Historical 2026-02-14 to 2026-02-14; Min $2.50, Max $2.50, Purchases 1</x:v>
      </x:c>
    </x:row>
    <x:row r="77">
      <x:c r="A77" s="18" t="str">
        <x:v>FD-SIRUBA747KS-SMALL-ORIG</x:v>
      </x:c>
      <x:c r="B77" s="18" t="str">
        <x:v>SIRUBA-747KS小頭拷克牙齒組（原裝）</x:v>
      </x:c>
      <x:c r="C77" s="18" t="n">
        <x:v>0</x:v>
      </x:c>
      <x:c r="D77" s="21" t="n">
        <x:v>15</x:v>
      </x:c>
      <x:c r="E77" s="18" t="str">
        <x:v>747KS</x:v>
      </x:c>
      <x:c r="F77" s="18" t="str">
        <x:v>Needle Plate/Feed Dog</x:v>
      </x:c>
      <x:c r="G77" s="18" t="str">
        <x:v>SIRUBA</x:v>
      </x:c>
      <x:c r="H77" s="18" t="str">
        <x:v>Overlock</x:v>
      </x:c>
      <x:c r="I77" s="18" t="str">
        <x:v>套</x:v>
      </x:c>
      <x:c r="J77" s="18" t="n">
        <x:v>5</x:v>
      </x:c>
      <x:c r="K77" s="18" t="n">
        <x:v>20</x:v>
      </x:c>
      <x:c r="L77" s="18" t="str">
        <x:v>Historical 2026-06-09 to 2026-06-09; Min $15.00, Max $15.00, Purchases 1</x:v>
      </x:c>
    </x:row>
    <x:row r="78">
      <x:c r="A78" s="18" t="str">
        <x:v>FD-SN-E-TYPE</x:v>
      </x:c>
      <x:c r="B78" s="18" t="str">
        <x:v>平車E型牙齒</x:v>
      </x:c>
      <x:c r="C78" s="18" t="n">
        <x:v>0</x:v>
      </x:c>
      <x:c r="D78" s="21" t="n">
        <x:v>0.5</x:v>
      </x:c>
      <x:c r="E78" s="18" t="str">
        <x:v>E Type</x:v>
      </x:c>
      <x:c r="F78" s="18" t="str">
        <x:v>Needle Plate/Feed Dog</x:v>
      </x:c>
      <x:c r="G78" s="18" t="str"/>
      <x:c r="H78" s="18" t="str">
        <x:v>Single Needle</x:v>
      </x:c>
      <x:c r="I78" s="18" t="str">
        <x:v>個</x:v>
      </x:c>
      <x:c r="J78" s="18" t="n">
        <x:v>5</x:v>
      </x:c>
      <x:c r="K78" s="18" t="n">
        <x:v>20</x:v>
      </x:c>
      <x:c r="L78" s="18" t="str">
        <x:v>Historical 2026-06-09 to 2026-06-09; Min $0.50, Max $0.50, Purchases 1</x:v>
      </x:c>
    </x:row>
    <x:row r="79">
      <x:c r="A79" s="18" t="str">
        <x:v>SP-SN-THREAD-SPRING</x:v>
      </x:c>
      <x:c r="B79" s="18" t="str">
        <x:v>平車跳線彈簧</x:v>
      </x:c>
      <x:c r="C79" s="18" t="n">
        <x:v>0</x:v>
      </x:c>
      <x:c r="D79" s="21" t="n">
        <x:v>0.1</x:v>
      </x:c>
      <x:c r="E79" s="18" t="str">
        <x:v>Thread Take-up Spring</x:v>
      </x:c>
      <x:c r="F79" s="18" t="str">
        <x:v>Other</x:v>
      </x:c>
      <x:c r="G79" s="18" t="str"/>
      <x:c r="H79" s="18" t="str">
        <x:v>Single Needle</x:v>
      </x:c>
      <x:c r="I79" s="18" t="str">
        <x:v>個</x:v>
      </x:c>
      <x:c r="J79" s="18" t="n">
        <x:v>5</x:v>
      </x:c>
      <x:c r="K79" s="18" t="n">
        <x:v>20</x:v>
      </x:c>
      <x:c r="L79" s="18" t="str">
        <x:v>Historical 2026-05-02 to 2026-05-02; Min $0.10, Max $0.10, Purchases 1</x:v>
      </x:c>
    </x:row>
    <x:row r="80">
      <x:c r="A80" s="18" t="str">
        <x:v>PF-CL1-16N</x:v>
      </x:c>
      <x:c r="B80" s="18" t="str">
        <x:v>CL1/16N 壓腳</x:v>
      </x:c>
      <x:c r="C80" s="18" t="n">
        <x:v>0</x:v>
      </x:c>
      <x:c r="D80" s="21" t="n">
        <x:v>0.6</x:v>
      </x:c>
      <x:c r="E80" s="18" t="str">
        <x:v>CL1/16N</x:v>
      </x:c>
      <x:c r="F80" s="18" t="str">
        <x:v>Presser Foot</x:v>
      </x:c>
      <x:c r="G80" s="18" t="str"/>
      <x:c r="H80" s="18" t="str">
        <x:v>Single Needle</x:v>
      </x:c>
      <x:c r="I80" s="18" t="str">
        <x:v>個</x:v>
      </x:c>
      <x:c r="J80" s="18" t="n">
        <x:v>5</x:v>
      </x:c>
      <x:c r="K80" s="18" t="n">
        <x:v>20</x:v>
      </x:c>
      <x:c r="L80" s="18" t="str">
        <x:v>Historical 2026-03-05 to 2026-05-02; Min $0.60, Max $0.60, Purchases 2</x:v>
      </x:c>
    </x:row>
    <x:row r="81">
      <x:c r="A81" s="18" t="str">
        <x:v>PF-CR1-16N</x:v>
      </x:c>
      <x:c r="B81" s="18" t="str">
        <x:v>CR1/16N 壓腳</x:v>
      </x:c>
      <x:c r="C81" s="18" t="n">
        <x:v>0</x:v>
      </x:c>
      <x:c r="D81" s="21" t="n">
        <x:v>0.6</x:v>
      </x:c>
      <x:c r="E81" s="18" t="str">
        <x:v>CR1/16N</x:v>
      </x:c>
      <x:c r="F81" s="18" t="str">
        <x:v>Presser Foot</x:v>
      </x:c>
      <x:c r="G81" s="18" t="str"/>
      <x:c r="H81" s="18" t="str">
        <x:v>Single Needle</x:v>
      </x:c>
      <x:c r="I81" s="18" t="str">
        <x:v>個</x:v>
      </x:c>
      <x:c r="J81" s="18" t="n">
        <x:v>5</x:v>
      </x:c>
      <x:c r="K81" s="18" t="n">
        <x:v>20</x:v>
      </x:c>
      <x:c r="L81" s="18" t="str">
        <x:v>Historical 2026-03-05 to 2026-03-05; Min $0.60, Max $0.60, Purchases 1</x:v>
      </x:c>
    </x:row>
    <x:row r="82">
      <x:c r="A82" s="18" t="str">
        <x:v>PF-JUKI781</x:v>
      </x:c>
      <x:c r="B82" s="18" t="str">
        <x:v>JUKI-781 壓腳</x:v>
      </x:c>
      <x:c r="C82" s="18" t="n">
        <x:v>0</x:v>
      </x:c>
      <x:c r="D82" s="21" t="n">
        <x:v>6</x:v>
      </x:c>
      <x:c r="E82" s="18" t="str">
        <x:v>JUKI-781</x:v>
      </x:c>
      <x:c r="F82" s="18" t="str">
        <x:v>Presser Foot</x:v>
      </x:c>
      <x:c r="G82" s="18" t="str">
        <x:v>JUKI</x:v>
      </x:c>
      <x:c r="H82" s="18" t="str">
        <x:v>Buttonhole</x:v>
      </x:c>
      <x:c r="I82" s="18" t="str">
        <x:v>個</x:v>
      </x:c>
      <x:c r="J82" s="18" t="n">
        <x:v>5</x:v>
      </x:c>
      <x:c r="K82" s="18" t="n">
        <x:v>20</x:v>
      </x:c>
      <x:c r="L82" s="18" t="str">
        <x:v>Historical 2026-04-04 to 2026-04-04; Min $6.00, Max $6.00, Purchases 1</x:v>
      </x:c>
    </x:row>
    <x:row r="83">
      <x:c r="A83" s="18" t="str">
        <x:v>PF-S950-STEEL</x:v>
      </x:c>
      <x:c r="B83" s="18" t="str">
        <x:v>S950壓腳（全鋼）</x:v>
      </x:c>
      <x:c r="C83" s="18" t="n">
        <x:v>0</x:v>
      </x:c>
      <x:c r="D83" s="21" t="n">
        <x:v>1.8</x:v>
      </x:c>
      <x:c r="E83" s="18" t="str">
        <x:v>S950</x:v>
      </x:c>
      <x:c r="F83" s="18" t="str">
        <x:v>Presser Foot</x:v>
      </x:c>
      <x:c r="G83" s="18" t="str"/>
      <x:c r="H83" s="18" t="str">
        <x:v>Single Needle</x:v>
      </x:c>
      <x:c r="I83" s="18" t="str">
        <x:v>個</x:v>
      </x:c>
      <x:c r="J83" s="18" t="n">
        <x:v>5</x:v>
      </x:c>
      <x:c r="K83" s="18" t="n">
        <x:v>20</x:v>
      </x:c>
      <x:c r="L83" s="18" t="str">
        <x:v>Historical 2026-06-09 to 2026-06-09; Min $1.80, Max $1.80, Purchases 1</x:v>
      </x:c>
    </x:row>
    <x:row r="84">
      <x:c r="A84" s="18" t="str">
        <x:v>TL-TAPE-19GL</x:v>
      </x:c>
      <x:c r="B84" s="18" t="str">
        <x:v>19GL 大皮尺</x:v>
      </x:c>
      <x:c r="C84" s="18" t="n">
        <x:v>0</x:v>
      </x:c>
      <x:c r="D84" s="21" t="n">
        <x:v>0.65</x:v>
      </x:c>
      <x:c r="E84" s="18" t="str">
        <x:v>19GL</x:v>
      </x:c>
      <x:c r="F84" s="18" t="str">
        <x:v>Tools</x:v>
      </x:c>
      <x:c r="G84" s="18" t="str"/>
      <x:c r="H84" s="18" t="str">
        <x:v>Measuring</x:v>
      </x:c>
      <x:c r="I84" s="18" t="str">
        <x:v>條</x:v>
      </x:c>
      <x:c r="J84" s="18" t="n">
        <x:v>5</x:v>
      </x:c>
      <x:c r="K84" s="18" t="n">
        <x:v>20</x:v>
      </x:c>
      <x:c r="L84" s="18" t="str">
        <x:v>Historical 2026-05-02 to 2026-05-02; Min $0.65, Max $0.65, Purchases 1</x:v>
      </x:c>
    </x:row>
    <x:row r="85">
      <x:c r="A85" s="18" t="str">
        <x:v>TL-SCREWDRIVER-FLAT-JINGMU</x:v>
      </x:c>
      <x:c r="B85" s="18" t="str">
        <x:v>京木一字螺絲刀</x:v>
      </x:c>
      <x:c r="C85" s="18" t="n">
        <x:v>0</x:v>
      </x:c>
      <x:c r="D85" s="21" t="n">
        <x:v>7</x:v>
      </x:c>
      <x:c r="E85" s="18" t="str">
        <x:v>Flat</x:v>
      </x:c>
      <x:c r="F85" s="18" t="str">
        <x:v>Tools</x:v>
      </x:c>
      <x:c r="G85" s="18" t="str">
        <x:v>京木</x:v>
      </x:c>
      <x:c r="H85" s="18" t="str">
        <x:v>Maintenance</x:v>
      </x:c>
      <x:c r="I85" s="18" t="str">
        <x:v>個</x:v>
      </x:c>
      <x:c r="J85" s="18" t="n">
        <x:v>5</x:v>
      </x:c>
      <x:c r="K85" s="18" t="n">
        <x:v>20</x:v>
      </x:c>
      <x:c r="L85" s="18" t="str">
        <x:v>Historical 2026-01-02 to 2026-01-02; Min $7.00, Max $7.00, Purchases 1</x:v>
      </x:c>
    </x:row>
    <x:row r="86">
      <x:c r="A86" s="18" t="str">
        <x:v>TL-HEX-WRENCH-JINGMU</x:v>
      </x:c>
      <x:c r="B86" s="18" t="str">
        <x:v>京木六角扳手</x:v>
      </x:c>
      <x:c r="C86" s="18" t="n">
        <x:v>0</x:v>
      </x:c>
      <x:c r="D86" s="21" t="n">
        <x:v>20</x:v>
      </x:c>
      <x:c r="E86" s="18" t="str">
        <x:v>Set</x:v>
      </x:c>
      <x:c r="F86" s="18" t="str">
        <x:v>Tools</x:v>
      </x:c>
      <x:c r="G86" s="18" t="str">
        <x:v>京木</x:v>
      </x:c>
      <x:c r="H86" s="18" t="str">
        <x:v>Maintenance</x:v>
      </x:c>
      <x:c r="I86" s="18" t="str">
        <x:v>套</x:v>
      </x:c>
      <x:c r="J86" s="18" t="n">
        <x:v>5</x:v>
      </x:c>
      <x:c r="K86" s="18" t="n">
        <x:v>20</x:v>
      </x:c>
      <x:c r="L86" s="18" t="str">
        <x:v>Historical 2026-01-02 to 2026-01-02; Min $20.00, Max $20.00, Purchases 1</x:v>
      </x:c>
    </x:row>
    <x:row r="87">
      <x:c r="A87" s="18" t="str">
        <x:v>TL-SOLDERING-IRON-150W-TW</x:v>
      </x:c>
      <x:c r="B87" s="18" t="str">
        <x:v>台灣產電烙鐵</x:v>
      </x:c>
      <x:c r="C87" s="18" t="n">
        <x:v>0</x:v>
      </x:c>
      <x:c r="D87" s="21" t="n">
        <x:v>20</x:v>
      </x:c>
      <x:c r="E87" s="18" t="str">
        <x:v>150W</x:v>
      </x:c>
      <x:c r="F87" s="18" t="str">
        <x:v>Tools</x:v>
      </x:c>
      <x:c r="G87" s="18" t="str">
        <x:v>Taiwan</x:v>
      </x:c>
      <x:c r="H87" s="18" t="str">
        <x:v>Electrical</x:v>
      </x:c>
      <x:c r="I87" s="18" t="str">
        <x:v>把</x:v>
      </x:c>
      <x:c r="J87" s="18" t="n">
        <x:v>5</x:v>
      </x:c>
      <x:c r="K87" s="18" t="n">
        <x:v>20</x:v>
      </x:c>
      <x:c r="L87" s="18" t="str">
        <x:v>Historical 2026-06-08 to 2026-06-08; Min $20.00, Max $20.00, Purchases 1</x:v>
      </x:c>
    </x:row>
    <x:row r="88">
      <x:c r="A88" s="18" t="str">
        <x:v>TL-SCISSOR-ZHANGXIAO-10IN</x:v>
      </x:c>
      <x:c r="B88" s="18" t="str">
        <x:v>張小牌10吋大剪刀</x:v>
      </x:c>
      <x:c r="C88" s="18" t="n">
        <x:v>0</x:v>
      </x:c>
      <x:c r="D88" s="21" t="n">
        <x:v>7</x:v>
      </x:c>
      <x:c r="E88" s="18" t="str">
        <x:v>10 inch</x:v>
      </x:c>
      <x:c r="F88" s="18" t="str">
        <x:v>Tools</x:v>
      </x:c>
      <x:c r="G88" s="18" t="str">
        <x:v>張小牌</x:v>
      </x:c>
      <x:c r="H88" s="18" t="str">
        <x:v>Cutting/Sewing</x:v>
      </x:c>
      <x:c r="I88" s="18" t="str">
        <x:v>個</x:v>
      </x:c>
      <x:c r="J88" s="18" t="n">
        <x:v>5</x:v>
      </x:c>
      <x:c r="K88" s="18" t="n">
        <x:v>20</x:v>
      </x:c>
      <x:c r="L88" s="18" t="str">
        <x:v>Historical 2026-05-02 to 2026-05-02; Min $7.00, Max $7.00, Purchases 1</x:v>
      </x:c>
    </x:row>
    <x:row r="89">
      <x:c r="A89" s="18" t="str">
        <x:v>TL-THREAD-SNIP-GLOBE</x:v>
      </x:c>
      <x:c r="B89" s="18" t="str">
        <x:v>環球沙剪</x:v>
      </x:c>
      <x:c r="C89" s="18" t="n">
        <x:v>0</x:v>
      </x:c>
      <x:c r="D89" s="21" t="n">
        <x:v>2.3</x:v>
      </x:c>
      <x:c r="E89" s="18" t="str">
        <x:v>Thread Snip</x:v>
      </x:c>
      <x:c r="F89" s="18" t="str">
        <x:v>Tools</x:v>
      </x:c>
      <x:c r="G89" s="18" t="str">
        <x:v>環球</x:v>
      </x:c>
      <x:c r="H89" s="18" t="str">
        <x:v>Sewing</x:v>
      </x:c>
      <x:c r="I89" s="18" t="str">
        <x:v>打</x:v>
      </x:c>
      <x:c r="J89" s="18" t="n">
        <x:v>5</x:v>
      </x:c>
      <x:c r="K89" s="18" t="n">
        <x:v>20</x:v>
      </x:c>
      <x:c r="L89" s="18" t="str">
        <x:v>Historical 2026-02-07 to 2026-06-16; Min $2.30, Max $2.30, Purchases 4</x:v>
      </x:c>
    </x:row>
    <x:row r="90">
      <x:c r="A90" s="18" t="str">
        <x:v>TL-BULLET-CRIMPING-PLIERS</x:v>
      </x:c>
      <x:c r="B90" s="18" t="str">
        <x:v>電工子彈鉗</x:v>
      </x:c>
      <x:c r="C90" s="18" t="n">
        <x:v>0</x:v>
      </x:c>
      <x:c r="D90" s="21" t="n">
        <x:v>7</x:v>
      </x:c>
      <x:c r="E90" s="18" t="str">
        <x:v>Good Quality</x:v>
      </x:c>
      <x:c r="F90" s="18" t="str">
        <x:v>Tools</x:v>
      </x:c>
      <x:c r="G90" s="18" t="str"/>
      <x:c r="H90" s="18" t="str">
        <x:v>Electrical</x:v>
      </x:c>
      <x:c r="I90" s="18" t="str">
        <x:v>個</x:v>
      </x:c>
      <x:c r="J90" s="18" t="n">
        <x:v>5</x:v>
      </x:c>
      <x:c r="K90" s="18" t="n">
        <x:v>20</x:v>
      </x:c>
      <x:c r="L90" s="18" t="str">
        <x:v>Historical 2026-06-24 to 2026-06-24; Min $7.00, Max $7.00, Purchases 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e2073e5206f49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6" hidden="0" customWidth="1"/>
    <x:col min="4" max="4" width="28" hidden="0" customWidth="1"/>
    <x:col min="5" max="5" width="34" hidden="0" customWidth="1"/>
    <x:col min="6" max="6" width="9" hidden="0" customWidth="1"/>
    <x:col min="7" max="7" width="12" hidden="0" customWidth="1"/>
    <x:col min="8" max="8" width="12" hidden="0" customWidth="1"/>
    <x:col min="9" max="9" width="52" hidden="0" customWidth="1"/>
    <x:col min="10" max="10" width="31" hidden="0" customWidth="1"/>
  </x:cols>
  <x:sheetData>
    <x:row r="1">
      <x:c r="A1" s="28" t="str">
        <x:v>Items Requiring Manual Confirmation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3">
      <x:c r="A3" s="6" t="str">
        <x:v>Date</x:v>
      </x:c>
      <x:c r="B3" s="6" t="str">
        <x:v>Invoice No</x:v>
      </x:c>
      <x:c r="C3" s="6" t="str">
        <x:v>Raw Item Name</x:v>
      </x:c>
      <x:c r="D3" s="6" t="str">
        <x:v>Standard Part No</x:v>
      </x:c>
      <x:c r="E3" s="6" t="str">
        <x:v>Standard Name</x:v>
      </x:c>
      <x:c r="F3" s="6" t="str">
        <x:v>Qty</x:v>
      </x:c>
      <x:c r="G3" s="6" t="str">
        <x:v>Unit Price</x:v>
      </x:c>
      <x:c r="H3" s="6" t="str">
        <x:v>Confidence</x:v>
      </x:c>
      <x:c r="I3" s="6" t="str">
        <x:v>Reason / Note</x:v>
      </x:c>
      <x:c r="J3" s="6" t="str">
        <x:v>Source File</x:v>
      </x:c>
    </x:row>
    <x:row r="4">
      <x:c r="A4" s="19" t="n">
        <x:v>46006</x:v>
      </x:c>
      <x:c r="B4" s="18" t="str">
        <x:v>YI-000091</x:v>
      </x:c>
      <x:c r="C4" s="18" t="str">
        <x:v>維修:600燙襯機</x:v>
      </x:c>
      <x:c r="D4" s="18" t="str">
        <x:v>SV-TSM600-REPAIR</x:v>
      </x:c>
      <x:c r="E4" s="18" t="str">
        <x:v>600燙襯機維修服務</x:v>
      </x:c>
      <x:c r="F4" s="18" t="n">
        <x:v>1</x:v>
      </x:c>
      <x:c r="G4" s="21" t="n">
        <x:v>0</x:v>
      </x:c>
      <x:c r="H4" s="18" t="str">
        <x:v>High</x:v>
      </x:c>
      <x:c r="I4" s="18" t="str">
        <x:v>發票列示金額為空白／零</x:v>
      </x:c>
      <x:c r="J4" s="18" t="str">
        <x:v>Yi New Sewing Machine_Jan.'26.pdf</x:v>
      </x:c>
    </x:row>
    <x:row r="5">
      <x:c r="A5" s="19" t="n">
        <x:v>46006</x:v>
      </x:c>
      <x:c r="B5" s="18" t="str">
        <x:v>YI-000091</x:v>
      </x:c>
      <x:c r="C5" s="18" t="str">
        <x:v>600型燙襯機大溫電機</x:v>
      </x:c>
      <x:c r="D5" s="18" t="str">
        <x:v>EL-TSM600-HIGH-TEMP-MOTOR</x:v>
      </x:c>
      <x:c r="E5" s="18" t="str">
        <x:v>600型燙襯機大溫電機</x:v>
      </x:c>
      <x:c r="F5" s="18" t="n">
        <x:v>1</x:v>
      </x:c>
      <x:c r="G5" s="21" t="n">
        <x:v>18</x:v>
      </x:c>
      <x:c r="H5" s="18" t="str">
        <x:v>Medium</x:v>
      </x:c>
      <x:c r="I5" s="18" t="str">
        <x:v>原始品名較不常見，建議以實物或供應商料號確認</x:v>
      </x:c>
      <x:c r="J5" s="18" t="str">
        <x:v>Yi New Sewing Machine_Jan.'26.pdf</x:v>
      </x:c>
    </x:row>
    <x:row r="6">
      <x:c r="A6" s="19" t="n">
        <x:v>46042</x:v>
      </x:c>
      <x:c r="B6" s="18" t="str">
        <x:v>YI-000100</x:v>
      </x:c>
      <x:c r="C6" s="18" t="str">
        <x:v>505c3-224組-10in</x:v>
      </x:c>
      <x:c r="D6" s="18" t="str">
        <x:v>CT-505C3-224-10IN</x:v>
      </x:c>
      <x:c r="E6" s="18" t="str">
        <x:v>505C3-224組 10吋</x:v>
      </x:c>
      <x:c r="F6" s="18" t="n">
        <x:v>2</x:v>
      </x:c>
      <x:c r="G6" s="21" t="n">
        <x:v>50</x:v>
      </x:c>
      <x:c r="H6" s="18" t="str">
        <x:v>Medium</x:v>
      </x:c>
      <x:c r="I6" s="18" t="str">
        <x:v>原始品名保留；建議補機型與實物照片</x:v>
      </x:c>
      <x:c r="J6" s="18" t="str">
        <x:v>Yi New Sewing Machine_Jan.'26.pdf</x:v>
      </x:c>
    </x:row>
    <x:row r="7">
      <x:c r="A7" s="19" t="n">
        <x:v>46090</x:v>
      </x:c>
      <x:c r="B7" s="18" t="str">
        <x:v>YI-000114</x:v>
      </x:c>
      <x:c r="C7" s="18" t="str">
        <x:v>沙剪刀</x:v>
      </x:c>
      <x:c r="D7" s="18" t="str">
        <x:v>TL-THREAD-SNIP-GLOBE</x:v>
      </x:c>
      <x:c r="E7" s="18" t="str">
        <x:v>環球沙剪</x:v>
      </x:c>
      <x:c r="F7" s="18" t="n">
        <x:v>5</x:v>
      </x:c>
      <x:c r="G7" s="21" t="n">
        <x:v>2.3</x:v>
      </x:c>
      <x:c r="H7" s="18" t="str">
        <x:v>Medium</x:v>
      </x:c>
      <x:c r="I7" s="18" t="str">
        <x:v>原始發票寫「沙剪刀」，依同價同品項合併至環球沙剪</x:v>
      </x:c>
      <x:c r="J7" s="18" t="str">
        <x:v>Yi New Sewing Machine_Mar.'26.pdf</x:v>
      </x:c>
    </x:row>
    <x:row r="8">
      <x:c r="A8" s="19" t="n">
        <x:v>46091</x:v>
      </x:c>
      <x:c r="B8" s="18" t="str">
        <x:v>YI-000116</x:v>
      </x:c>
      <x:c r="C8" s="18" t="str">
        <x:v>台灣產強效益美精去污劑</x:v>
      </x:c>
      <x:c r="D8" s="18" t="str">
        <x:v>CH-YIMEIJING-STAIN-REMOVER</x:v>
      </x:c>
      <x:c r="E8" s="18" t="str">
        <x:v>台灣產強效益美精去污劑</x:v>
      </x:c>
      <x:c r="F8" s="18" t="n">
        <x:v>1</x:v>
      </x:c>
      <x:c r="G8" s="21" t="n">
        <x:v>6.5</x:v>
      </x:c>
      <x:c r="H8" s="18" t="str">
        <x:v>Medium</x:v>
      </x:c>
      <x:c r="I8" s="18" t="str">
        <x:v>原始中文辨識可能需供應商再次確認</x:v>
      </x:c>
      <x:c r="J8" s="18" t="str">
        <x:v>Yi New Sewing Machine_Mar.'26.pdf</x:v>
      </x:c>
    </x:row>
    <x:row r="9">
      <x:c r="A9" s="19" t="n">
        <x:v>46144</x:v>
      </x:c>
      <x:c r="B9" s="18" t="str">
        <x:v>YI-000128</x:v>
      </x:c>
      <x:c r="C9" s="18" t="str">
        <x:v>JUKI-8700活動刀</x:v>
      </x:c>
      <x:c r="D9" s="18" t="str">
        <x:v>KN-JUKI8700A-MOVING</x:v>
      </x:c>
      <x:c r="E9" s="18" t="str">
        <x:v>JUKI-8700A 活動刀</x:v>
      </x:c>
      <x:c r="F9" s="18" t="n">
        <x:v>10</x:v>
      </x:c>
      <x:c r="G9" s="21" t="n">
        <x:v>2.5</x:v>
      </x:c>
      <x:c r="H9" s="18" t="str">
        <x:v>Medium</x:v>
      </x:c>
      <x:c r="I9" s="18" t="str">
        <x:v>原始發票型號寫8700，與4月8700A合併比較</x:v>
      </x:c>
      <x:c r="J9" s="18" t="str">
        <x:v>Yi New Sewing Machine_May.'26.pdf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cb0bcfd761c4d7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2" hidden="0" customWidth="1"/>
    <x:col min="4" max="4" width="26" hidden="0" customWidth="1"/>
    <x:col min="5" max="5" width="34" hidden="0" customWidth="1"/>
    <x:col min="6" max="6" width="20" hidden="0" customWidth="1"/>
  </x:cols>
  <x:sheetData>
    <x:row r="1">
      <x:c r="A1" s="28" t="str">
        <x:v>Price Comparison Rules &amp; Part Number Logic</x:v>
      </x:c>
      <x:c r="B1" s="28"/>
      <x:c r="C1" s="28"/>
      <x:c r="D1" s="28"/>
      <x:c r="E1" s="28"/>
      <x:c r="F1" s="28"/>
    </x:row>
    <x:row r="3">
      <x:c r="A3" s="6" t="str">
        <x:v>Rule</x:v>
      </x:c>
      <x:c r="B3" s="6" t="str">
        <x:v>Definition</x:v>
      </x:c>
      <x:c r="C3" s="6" t="str">
        <x:v>Action</x:v>
      </x:c>
      <x:c r="D3" s="6" t="str">
        <x:v>Example</x:v>
      </x:c>
      <x:c r="E3" s="6" t="str">
        <x:v>Why</x:v>
      </x:c>
      <x:c r="F3" s="6" t="str">
        <x:v>System Use</x:v>
      </x:c>
    </x:row>
    <x:row r="4">
      <x:c r="A4" s="18" t="str">
        <x:v>Normal</x:v>
      </x:c>
      <x:c r="B4" s="18" t="str">
        <x:v>New price &lt;= historical max</x:v>
      </x:c>
      <x:c r="C4" s="18" t="str">
        <x:v>Accept after normal review</x:v>
      </x:c>
      <x:c r="D4" s="18" t="str">
        <x:v>DCx27 #12 &lt;= $1.30</x:v>
      </x:c>
      <x:c r="E4" s="18" t="str">
        <x:v>Within actual historical range</x:v>
      </x:c>
      <x:c r="F4" s="18" t="str">
        <x:v>Green</x:v>
      </x:c>
    </x:row>
    <x:row r="5">
      <x:c r="A5" s="18" t="str">
        <x:v>Watch</x:v>
      </x:c>
      <x:c r="B5" s="18" t="str">
        <x:v>Historical max &lt; new price &lt;= upper trigger</x:v>
      </x:c>
      <x:c r="C5" s="18" t="str">
        <x:v>Confirm quantity/unit/spec</x:v>
      </x:c>
      <x:c r="D5" s="18" t="str">
        <x:v>$1.30 to $1.43</x:v>
      </x:c>
      <x:c r="E5" s="18" t="str">
        <x:v>Possible small market or packaging change</x:v>
      </x:c>
      <x:c r="F5" s="18" t="str">
        <x:v>Amber</x:v>
      </x:c>
    </x:row>
    <x:row r="6">
      <x:c r="A6" s="18" t="str">
        <x:v>Review</x:v>
      </x:c>
      <x:c r="B6" s="18" t="str">
        <x:v>New price &gt; historical max × 1.10</x:v>
      </x:c>
      <x:c r="C6" s="18" t="str">
        <x:v>Require quotation and approval</x:v>
      </x:c>
      <x:c r="D6" s="18" t="str">
        <x:v>DCx27 #12 &gt; $1.43</x:v>
      </x:c>
      <x:c r="E6" s="18" t="str">
        <x:v>More than 10% above known maximum</x:v>
      </x:c>
      <x:c r="F6" s="18" t="str">
        <x:v>Red</x:v>
      </x:c>
    </x:row>
    <x:row r="7">
      <x:c r="A7" s="18" t="str">
        <x:v>Duplicate item</x:v>
      </x:c>
      <x:c r="B7" s="18" t="str">
        <x:v>Same standardized Part No already exists</x:v>
      </x:c>
      <x:c r="C7" s="18" t="str">
        <x:v>Update price/history; do not create duplicate</x:v>
      </x:c>
      <x:c r="D7" s="18" t="str">
        <x:v>ORGAN / 風琴 / Organ</x:v>
      </x:c>
      <x:c r="E7" s="18" t="str">
        <x:v>Different writing can be same item</x:v>
      </x:c>
      <x:c r="F7" s="18" t="str">
        <x:v>Match by Part No</x:v>
      </x:c>
    </x:row>
    <x:row r="8">
      <x:c r="A8" s="18" t="str">
        <x:v>Unit mismatch</x:v>
      </x:c>
      <x:c r="B8" s="18" t="str">
        <x:v>Same item but unit changes</x:v>
      </x:c>
      <x:c r="C8" s="18" t="str">
        <x:v>Do not compare until converted</x:v>
      </x:c>
      <x:c r="D8" s="18" t="str">
        <x:v>包 vs 盒</x:v>
      </x:c>
      <x:c r="E8" s="18" t="str">
        <x:v>Unit-price comparison would be misleading</x:v>
      </x:c>
      <x:c r="F8" s="18" t="str">
        <x:v>Block import</x:v>
      </x:c>
    </x:row>
    <x:row r="9">
      <x:c r="A9" s="18" t="str">
        <x:v>Single record</x:v>
      </x:c>
      <x:c r="B9" s="18" t="str">
        <x:v>Only one historical purchase</x:v>
      </x:c>
      <x:c r="C9" s="18" t="str">
        <x:v>Use ±10% as provisional range</x:v>
      </x:c>
      <x:c r="D9" s="18" t="str">
        <x:v>One-off equipment</x:v>
      </x:c>
      <x:c r="E9" s="18" t="str">
        <x:v>Insufficient history</x:v>
      </x:c>
      <x:c r="F9" s="18" t="str">
        <x:v>Low reliability</x:v>
      </x:c>
    </x:row>
    <x:row r="12">
      <x:c r="A12" s="6" t="str">
        <x:v>Code Prefix</x:v>
      </x:c>
      <x:c r="B12" s="6" t="str">
        <x:v>Category</x:v>
      </x:c>
      <x:c r="C12" s="6" t="str">
        <x:v>Meaning</x:v>
      </x:c>
      <x:c r="D12" s="6" t="str">
        <x:v>Example Part No</x:v>
      </x:c>
      <x:c r="E12" s="6" t="str">
        <x:v>Example Name</x:v>
      </x:c>
      <x:c r="F12" s="6" t="str">
        <x:v>Notes</x:v>
      </x:c>
    </x:row>
    <x:row r="13">
      <x:c r="A13" s="18" t="str">
        <x:v>ND</x:v>
      </x:c>
      <x:c r="B13" s="18" t="str">
        <x:v>Needle</x:v>
      </x:c>
      <x:c r="C13" s="18" t="str">
        <x:v>Machine needle</x:v>
      </x:c>
      <x:c r="D13" s="18" t="str">
        <x:v>ND-DCX27-12</x:v>
      </x:c>
      <x:c r="E13" s="18" t="str">
        <x:v>風琴機針 DCx27 #12</x:v>
      </x:c>
      <x:c r="F13" s="18" t="str">
        <x:v>型號與針號必須分開</x:v>
      </x:c>
    </x:row>
    <x:row r="14">
      <x:c r="A14" s="18" t="str">
        <x:v>PF</x:v>
      </x:c>
      <x:c r="B14" s="18" t="str">
        <x:v>Presser Foot</x:v>
      </x:c>
      <x:c r="C14" s="18" t="str">
        <x:v>Presser foot</x:v>
      </x:c>
      <x:c r="D14" s="18" t="str">
        <x:v>PF-CL1-16N</x:v>
      </x:c>
      <x:c r="E14" s="18" t="str">
        <x:v>CL1/16N 壓腳</x:v>
      </x:c>
      <x:c r="F14" s="18" t="str"/>
    </x:row>
    <x:row r="15">
      <x:c r="A15" s="18" t="str">
        <x:v>NP</x:v>
      </x:c>
      <x:c r="B15" s="18" t="str">
        <x:v>Needle Plate</x:v>
      </x:c>
      <x:c r="C15" s="18" t="str">
        <x:v>Needle plate</x:v>
      </x:c>
      <x:c r="D15" s="18" t="str">
        <x:v>NP-E22</x:v>
      </x:c>
      <x:c r="E15" s="18" t="str">
        <x:v>E22 針板</x:v>
      </x:c>
      <x:c r="F15" s="18" t="str"/>
    </x:row>
    <x:row r="16">
      <x:c r="A16" s="18" t="str">
        <x:v>FD</x:v>
      </x:c>
      <x:c r="B16" s="18" t="str">
        <x:v>Feed Dog</x:v>
      </x:c>
      <x:c r="C16" s="18" t="str">
        <x:v>Feed dog / tooth</x:v>
      </x:c>
      <x:c r="D16" s="18" t="str">
        <x:v>FD-H208K</x:v>
      </x:c>
      <x:c r="E16" s="18" t="str">
        <x:v>H208K 牙齒</x:v>
      </x:c>
      <x:c r="F16" s="18" t="str"/>
    </x:row>
    <x:row r="17">
      <x:c r="A17" s="18" t="str">
        <x:v>KN</x:v>
      </x:c>
      <x:c r="B17" s="18" t="str">
        <x:v>Knife</x:v>
      </x:c>
      <x:c r="C17" s="18" t="str">
        <x:v>Knife / cutting blade</x:v>
      </x:c>
      <x:c r="D17" s="18" t="str">
        <x:v>KN-KR23-UPPER</x:v>
      </x:c>
      <x:c r="E17" s="18" t="str">
        <x:v>拷克上刀 KR23</x:v>
      </x:c>
      <x:c r="F17" s="18" t="str"/>
    </x:row>
    <x:row r="18">
      <x:c r="A18" s="18" t="str">
        <x:v>LP</x:v>
      </x:c>
      <x:c r="B18" s="18" t="str">
        <x:v>Looper</x:v>
      </x:c>
      <x:c r="C18" s="18" t="str">
        <x:v>Looper / hook</x:v>
      </x:c>
      <x:c r="D18" s="18" t="str">
        <x:v>LP-LP226-UPPER</x:v>
      </x:c>
      <x:c r="E18" s="18" t="str">
        <x:v>拷克上勾針 LP226</x:v>
      </x:c>
      <x:c r="F18" s="18" t="str"/>
    </x:row>
    <x:row r="19">
      <x:c r="A19" s="18" t="str">
        <x:v>EL</x:v>
      </x:c>
      <x:c r="B19" s="18" t="str">
        <x:v>Electrical</x:v>
      </x:c>
      <x:c r="C19" s="18" t="str">
        <x:v>Electrical/control part</x:v>
      </x:c>
      <x:c r="D19" s="18" t="str">
        <x:v>EL-TSM600-TEMP-CONTROLLER</x:v>
      </x:c>
      <x:c r="E19" s="18" t="str">
        <x:v>燙襯機溫控器</x:v>
      </x:c>
      <x:c r="F19" s="18" t="str"/>
    </x:row>
    <x:row r="20">
      <x:c r="A20" s="18" t="str">
        <x:v>MT</x:v>
      </x:c>
      <x:c r="B20" s="18" t="str">
        <x:v>Motor/Drive</x:v>
      </x:c>
      <x:c r="C20" s="18" t="str">
        <x:v>Motor/coupler</x:v>
      </x:c>
      <x:c r="D20" s="18" t="str">
        <x:v>MT-SIRUBA747KD-COUPLER</x:v>
      </x:c>
      <x:c r="E20" s="18" t="str">
        <x:v>馬達聯軸器</x:v>
      </x:c>
      <x:c r="F20" s="18" t="str"/>
    </x:row>
    <x:row r="21">
      <x:c r="A21" s="18" t="str">
        <x:v>CN/CH</x:v>
      </x:c>
      <x:c r="B21" s="18" t="str">
        <x:v>Consumable</x:v>
      </x:c>
      <x:c r="C21" s="18" t="str">
        <x:v>General/chemical consumable</x:v>
      </x:c>
      <x:c r="D21" s="18" t="str">
        <x:v>CN-TEFLON-STRIP-1MM</x:v>
      </x:c>
      <x:c r="E21" s="18" t="str">
        <x:v>鐵氟龍條</x:v>
      </x:c>
      <x:c r="F21" s="18" t="str"/>
    </x:row>
    <x:row r="22">
      <x:c r="A22" s="18" t="str">
        <x:v>TL</x:v>
      </x:c>
      <x:c r="B22" s="18" t="str">
        <x:v>Tool</x:v>
      </x:c>
      <x:c r="C22" s="18" t="str">
        <x:v>Maintenance or cutting tool</x:v>
      </x:c>
      <x:c r="D22" s="18" t="str">
        <x:v>TL-THREAD-SNIP-GLOBE</x:v>
      </x:c>
      <x:c r="E22" s="18" t="str">
        <x:v>環球沙剪</x:v>
      </x:c>
      <x:c r="F22" s="18" t="str"/>
    </x:row>
    <x:row r="23">
      <x:c r="A23" s="18" t="str">
        <x:v>EQ</x:v>
      </x:c>
      <x:c r="B23" s="18" t="str">
        <x:v>Equipment</x:v>
      </x:c>
      <x:c r="C23" s="18" t="str">
        <x:v>Complete equipment</x:v>
      </x:c>
      <x:c r="D23" s="18" t="str">
        <x:v>EQ-FABRIC-CUTTER-RAIL</x:v>
      </x:c>
      <x:c r="E23" s="18" t="str">
        <x:v>斷布機（含軌道）</x:v>
      </x:c>
      <x:c r="F23" s="18" t="str"/>
    </x:row>
    <x:row r="24">
      <x:c r="A24" s="18" t="str">
        <x:v>SV</x:v>
      </x:c>
      <x:c r="B24" s="18" t="str">
        <x:v>Service</x:v>
      </x:c>
      <x:c r="C24" s="18" t="str">
        <x:v>Repair service</x:v>
      </x:c>
      <x:c r="D24" s="18" t="str">
        <x:v>SV-YUANYI-SPREADER-REPAIR</x:v>
      </x:c>
      <x:c r="E24" s="18" t="str">
        <x:v>拉布機維修</x:v>
      </x:c>
      <x:c r="F24" s="18" t="str">
        <x:v>不匯入庫存主檔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d1d3ef56861e4141"/>
    <x:tablePart xmlns:r="http://schemas.openxmlformats.org/officeDocument/2006/relationships" r:id="Rc0abaa1668cc4e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8" hidden="0" customWidth="1"/>
    <x:col min="5" max="5" width="25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18" t="str">
        <x:v>VRT Machine Spare Parts Purchase &amp; Price Benchmark</x:v>
      </x:c>
      <x:c r="B1" s="218"/>
      <x:c r="C1" s="218"/>
      <x:c r="D1" s="218"/>
      <x:c r="E1" s="218"/>
      <x:c r="F1" s="218"/>
      <x:c r="G1" s="218"/>
      <x:c r="H1" s="218"/>
      <x:c r="I1" s="218"/>
      <x:c r="J1" s="218"/>
      <x:c r="K1" s="218"/>
      <x:c r="L1" s="218"/>
    </x:row>
    <x:row r="2">
      <x:c r="A2" s="218"/>
      <x:c r="B2" s="218"/>
      <x:c r="C2" s="218"/>
      <x:c r="D2" s="218"/>
      <x:c r="E2" s="218"/>
      <x:c r="F2" s="218"/>
      <x:c r="G2" s="218"/>
      <x:c r="H2" s="218"/>
      <x:c r="I2" s="218"/>
      <x:c r="J2" s="218"/>
      <x:c r="K2" s="218"/>
      <x:c r="L2" s="218"/>
    </x:row>
    <x:row r="3">
      <x:c r="A3" s="219" t="str">
        <x:v>Supplier: YI New Sewing Machine Co., Ltd | Source: Monthly Statements | Period: 2026 Jan-Jun | Currency: USD</x:v>
      </x:c>
      <x:c r="B3" s="219"/>
      <x:c r="C3" s="219"/>
      <x:c r="D3" s="219"/>
      <x:c r="E3" s="219"/>
      <x:c r="F3" s="219"/>
      <x:c r="G3" s="219"/>
      <x:c r="H3" s="219"/>
      <x:c r="I3" s="219"/>
      <x:c r="J3" s="219"/>
      <x:c r="K3" s="219"/>
      <x:c r="L3" s="219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</x:row>
    <x:row r="5">
      <x:c r="A5" s="92" t="str">
        <x:v>Subtotal
$14,563.15
Before VAT</x:v>
      </x:c>
      <x:c r="B5" s="93"/>
      <x:c r="C5" s="94"/>
      <x:c r="D5" s="92" t="str">
        <x:v>Grand Total
$16,019.47
Including 10% VAT</x:v>
      </x:c>
      <x:c r="E5" s="93"/>
      <x:c r="F5" s="94"/>
      <x:c r="G5" s="92" t="str">
        <x:v>Unique Master Items
86
Standardized Part Nos</x:v>
      </x:c>
      <x:c r="H5" s="93"/>
      <x:c r="I5" s="94"/>
      <x:c r="J5" s="92" t="str">
        <x:v>Transaction Lines
152
6 monthly statements</x:v>
      </x:c>
      <x:c r="K5" s="93"/>
      <x:c r="L5" s="94"/>
    </x:row>
    <x:row r="6">
      <x:c r="A6" s="95"/>
      <x:c r="B6" s="96"/>
      <x:c r="C6" s="97"/>
      <x:c r="D6" s="95"/>
      <x:c r="E6" s="96"/>
      <x:c r="F6" s="97"/>
      <x:c r="G6" s="95"/>
      <x:c r="H6" s="96"/>
      <x:c r="I6" s="97"/>
      <x:c r="J6" s="95"/>
      <x:c r="K6" s="96"/>
      <x:c r="L6" s="97"/>
    </x:row>
    <x:row r="7">
      <x:c r="A7" s="98"/>
      <x:c r="B7" s="99"/>
      <x:c r="C7" s="100"/>
      <x:c r="D7" s="98"/>
      <x:c r="E7" s="99"/>
      <x:c r="F7" s="100"/>
      <x:c r="G7" s="98"/>
      <x:c r="H7" s="99"/>
      <x:c r="I7" s="100"/>
      <x:c r="J7" s="98"/>
      <x:c r="K7" s="99"/>
      <x:c r="L7" s="100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</x:row>
    <x:row r="9">
      <x:c r="A9" s="92" t="str">
        <x:v>Needle Spend
$8,942.00
61.4% of subtotal</x:v>
      </x:c>
      <x:c r="B9" s="93"/>
      <x:c r="C9" s="94"/>
      <x:c r="D9" s="92" t="str">
        <x:v>Repeated Items
29
Items with &gt;=2 price records</x:v>
      </x:c>
      <x:c r="E9" s="93"/>
      <x:c r="F9" s="94"/>
      <x:c r="G9" s="92" t="str">
        <x:v>Price Changes
1
JUKI-8700A moving knife</x:v>
      </x:c>
      <x:c r="H9" s="93"/>
      <x:c r="I9" s="94"/>
      <x:c r="J9" s="92" t="str">
        <x:v>Review Items
6
Name/model confirmation</x:v>
      </x:c>
      <x:c r="K9" s="93"/>
      <x:c r="L9" s="94"/>
    </x:row>
    <x:row r="10">
      <x:c r="A10" s="95"/>
      <x:c r="B10" s="96"/>
      <x:c r="C10" s="97"/>
      <x:c r="D10" s="95"/>
      <x:c r="E10" s="96"/>
      <x:c r="F10" s="97"/>
      <x:c r="G10" s="95"/>
      <x:c r="H10" s="96"/>
      <x:c r="I10" s="97"/>
      <x:c r="J10" s="95"/>
      <x:c r="K10" s="96"/>
      <x:c r="L10" s="97"/>
    </x:row>
    <x:row r="11">
      <x:c r="A11" s="98"/>
      <x:c r="B11" s="99"/>
      <x:c r="C11" s="100"/>
      <x:c r="D11" s="98"/>
      <x:c r="E11" s="99"/>
      <x:c r="F11" s="100"/>
      <x:c r="G11" s="98"/>
      <x:c r="H11" s="99"/>
      <x:c r="I11" s="100"/>
      <x:c r="J11" s="98"/>
      <x:c r="K11" s="99"/>
      <x:c r="L11" s="100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>
      <x:c r="A13" s="220" t="str">
        <x:v>Key Findings</x:v>
      </x:c>
      <x:c r="B13" s="220"/>
      <x:c r="C13" s="220"/>
      <x:c r="D13" s="220"/>
      <x:c r="E13" s="220"/>
      <x:c r="F13" s="220"/>
      <x:c r="G13" s="18"/>
      <x:c r="H13" s="18"/>
      <x:c r="I13" s="18"/>
      <x:c r="J13" s="18"/>
      <x:c r="K13" s="18"/>
      <x:c r="L13" s="18"/>
    </x:row>
    <x:row r="14">
      <x:c r="A14" s="221" t="str">
        <x:v>1</x:v>
      </x:c>
      <x:c r="B14" s="151" t="str">
        <x:v>Needles are the dominant spend</x:v>
      </x:c>
      <x:c r="C14" s="151" t="str">
        <x:v>$8,942.00 / 61.4% of subtotal</x:v>
      </x:c>
      <x:c r="D14" s="151" t="str">
        <x:v>Use fixed benchmark prices by needle model and size.</x:v>
      </x:c>
      <x:c r="E14" s="151"/>
      <x:c r="F14" s="152"/>
      <x:c r="G14" s="18"/>
      <x:c r="H14" s="18"/>
      <x:c r="I14" s="18"/>
      <x:c r="J14" s="18"/>
      <x:c r="K14" s="18"/>
      <x:c r="L14" s="18"/>
    </x:row>
    <x:row r="15">
      <x:c r="A15" s="222" t="str">
        <x:v>2</x:v>
      </x:c>
      <x:c r="B15" s="18" t="str">
        <x:v>Repeated prices are highly stable</x:v>
      </x:c>
      <x:c r="C15" s="18" t="str">
        <x:v>28 of 29 repeated items had no price change</x:v>
      </x:c>
      <x:c r="D15" s="18" t="str">
        <x:v>Suitable for automatic price-check rules.</x:v>
      </x:c>
      <x:c r="E15" s="18"/>
      <x:c r="F15" s="154"/>
      <x:c r="G15" s="18"/>
      <x:c r="H15" s="18"/>
      <x:c r="I15" s="18"/>
      <x:c r="J15" s="18"/>
      <x:c r="K15" s="18"/>
      <x:c r="L15" s="18"/>
    </x:row>
    <x:row r="16">
      <x:c r="A16" s="222" t="str">
        <x:v>3</x:v>
      </x:c>
      <x:c r="B16" s="18" t="str">
        <x:v>Only confirmed price movement</x:v>
      </x:c>
      <x:c r="C16" s="18" t="str">
        <x:v>JUKI-8700A moving knife: $2.30 -&gt; $2.50 (+8.7%)</x:v>
      </x:c>
      <x:c r="D16" s="18" t="str">
        <x:v>Watch, but still below the 10% review trigger.</x:v>
      </x:c>
      <x:c r="E16" s="18"/>
      <x:c r="F16" s="154"/>
      <x:c r="G16" s="18"/>
      <x:c r="H16" s="18"/>
      <x:c r="I16" s="18"/>
      <x:c r="J16" s="18"/>
      <x:c r="K16" s="18"/>
      <x:c r="L16" s="18"/>
    </x:row>
    <x:row r="17">
      <x:c r="A17" s="222" t="str">
        <x:v>4</x:v>
      </x:c>
      <x:c r="B17" s="18" t="str">
        <x:v>Highest month</x:v>
      </x:c>
      <x:c r="C17" s="18" t="str">
        <x:v>March subtotal $3,032.00</x:v>
      </x:c>
      <x:c r="D17" s="18" t="str">
        <x:v>Driven by automatic spreader repairs/parts.</x:v>
      </x:c>
      <x:c r="E17" s="18"/>
      <x:c r="F17" s="154"/>
      <x:c r="G17" s="18"/>
      <x:c r="H17" s="18"/>
      <x:c r="I17" s="18"/>
      <x:c r="J17" s="18"/>
      <x:c r="K17" s="18"/>
      <x:c r="L17" s="18"/>
    </x:row>
    <x:row r="18">
      <x:c r="A18" s="223" t="str">
        <x:v>5</x:v>
      </x:c>
      <x:c r="B18" s="156" t="str">
        <x:v>Recommended control</x:v>
      </x:c>
      <x:c r="C18" s="156" t="str">
        <x:v>Review new quote if &gt; historical max × 1.10</x:v>
      </x:c>
      <x:c r="D18" s="156" t="str">
        <x:v>Also block comparisons when units differ.</x:v>
      </x:c>
      <x:c r="E18" s="156"/>
      <x:c r="F18" s="157"/>
      <x:c r="G18" s="18"/>
      <x:c r="H18" s="18"/>
      <x:c r="I18" s="18"/>
      <x:c r="J18" s="18"/>
      <x:c r="K18" s="18"/>
      <x:c r="L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6" t="str">
        <x:v>Month</x:v>
      </x:c>
      <x:c r="B21" s="6" t="str">
        <x:v>Subtotal</x:v>
      </x:c>
      <x:c r="C21" s="6" t="str">
        <x:v>Grand Total</x:v>
      </x:c>
      <x:c r="D21" s="18"/>
      <x:c r="E21" s="6" t="str">
        <x:v>Category</x:v>
      </x:c>
      <x:c r="F21" s="6" t="str">
        <x:v>Spend</x:v>
      </x:c>
      <x:c r="G21" s="18"/>
      <x:c r="H21" s="18"/>
      <x:c r="I21" s="18"/>
      <x:c r="J21" s="18"/>
      <x:c r="K21" s="18"/>
      <x:c r="L21" s="18"/>
    </x:row>
    <x:row r="22">
      <x:c r="A22" s="18" t="str">
        <x:v>2026 Jan</x:v>
      </x:c>
      <x:c r="B22" s="21" t="n">
        <x:v>2610</x:v>
      </x:c>
      <x:c r="C22" s="21" t="n">
        <x:v>2871</x:v>
      </x:c>
      <x:c r="D22" s="18"/>
      <x:c r="E22" s="18" t="str">
        <x:v>Needle</x:v>
      </x:c>
      <x:c r="F22" s="21" t="n">
        <x:v>8942</x:v>
      </x:c>
      <x:c r="G22" s="18"/>
      <x:c r="H22" s="18"/>
      <x:c r="I22" s="18"/>
      <x:c r="J22" s="18"/>
      <x:c r="K22" s="18"/>
      <x:c r="L22" s="18"/>
    </x:row>
    <x:row r="23">
      <x:c r="A23" s="18" t="str">
        <x:v>2026 Feb</x:v>
      </x:c>
      <x:c r="B23" s="21" t="n">
        <x:v>1850.9</x:v>
      </x:c>
      <x:c r="C23" s="21" t="n">
        <x:v>2035.99</x:v>
      </x:c>
      <x:c r="D23" s="18"/>
      <x:c r="E23" s="18" t="str">
        <x:v>Electrical/Control</x:v>
      </x:c>
      <x:c r="F23" s="21" t="n">
        <x:v>1175</x:v>
      </x:c>
      <x:c r="G23" s="18"/>
      <x:c r="H23" s="18"/>
      <x:c r="I23" s="18"/>
      <x:c r="J23" s="18"/>
      <x:c r="K23" s="18"/>
      <x:c r="L23" s="18"/>
    </x:row>
    <x:row r="24">
      <x:c r="A24" s="18" t="str">
        <x:v>2026 Mar</x:v>
      </x:c>
      <x:c r="B24" s="21" t="n">
        <x:v>3032</x:v>
      </x:c>
      <x:c r="C24" s="21" t="n">
        <x:v>3335.2</x:v>
      </x:c>
      <x:c r="D24" s="18"/>
      <x:c r="E24" s="18" t="str">
        <x:v>Consumable/Chemical</x:v>
      </x:c>
      <x:c r="F24" s="21" t="n">
        <x:v>951.9</x:v>
      </x:c>
      <x:c r="G24" s="18"/>
      <x:c r="H24" s="18"/>
      <x:c r="I24" s="18"/>
      <x:c r="J24" s="18"/>
      <x:c r="K24" s="18"/>
      <x:c r="L24" s="18"/>
    </x:row>
    <x:row r="25">
      <x:c r="A25" s="18" t="str">
        <x:v>2026 Apr</x:v>
      </x:c>
      <x:c r="B25" s="21" t="n">
        <x:v>1736</x:v>
      </x:c>
      <x:c r="C25" s="21" t="n">
        <x:v>1909.6</x:v>
      </x:c>
      <x:c r="D25" s="18"/>
      <x:c r="E25" s="18" t="str">
        <x:v>Motor/Drive</x:v>
      </x:c>
      <x:c r="F25" s="21" t="n">
        <x:v>630</x:v>
      </x:c>
      <x:c r="G25" s="18"/>
      <x:c r="H25" s="18"/>
      <x:c r="I25" s="18"/>
      <x:c r="J25" s="18"/>
      <x:c r="K25" s="18"/>
      <x:c r="L25" s="18"/>
    </x:row>
    <x:row r="26">
      <x:c r="A26" s="18" t="str">
        <x:v>2026 May</x:v>
      </x:c>
      <x:c r="B26" s="21" t="n">
        <x:v>2572.5</x:v>
      </x:c>
      <x:c r="C26" s="21" t="n">
        <x:v>2829.75</x:v>
      </x:c>
      <x:c r="D26" s="18"/>
      <x:c r="E26" s="18" t="str">
        <x:v>Cutting</x:v>
      </x:c>
      <x:c r="F26" s="21" t="n">
        <x:v>621</x:v>
      </x:c>
      <x:c r="G26" s="18"/>
      <x:c r="H26" s="18"/>
      <x:c r="I26" s="18"/>
      <x:c r="J26" s="18"/>
      <x:c r="K26" s="18"/>
      <x:c r="L26" s="18"/>
    </x:row>
    <x:row r="27">
      <x:c r="A27" s="18" t="str">
        <x:v>2026 Jun</x:v>
      </x:c>
      <x:c r="B27" s="21" t="n">
        <x:v>2761.75</x:v>
      </x:c>
      <x:c r="C27" s="21" t="n">
        <x:v>3037.93</x:v>
      </x:c>
      <x:c r="D27" s="18"/>
      <x:c r="E27" s="18" t="str">
        <x:v>Equipment</x:v>
      </x:c>
      <x:c r="F27" s="21" t="n">
        <x:v>525</x:v>
      </x:c>
      <x:c r="G27" s="18"/>
      <x:c r="H27" s="18"/>
      <x:c r="I27" s="18"/>
      <x:c r="J27" s="18"/>
      <x:c r="K27" s="18"/>
      <x:c r="L27" s="18"/>
    </x:row>
    <x:row r="28">
      <x:c r="A28" s="18"/>
      <x:c r="B28" s="18"/>
      <x:c r="C28" s="18"/>
      <x:c r="D28" s="18"/>
      <x:c r="E28" s="18" t="str">
        <x:v>Ironing/Heat Transfer</x:v>
      </x:c>
      <x:c r="F28" s="21" t="n">
        <x:v>503</x:v>
      </x:c>
      <x:c r="G28" s="18"/>
      <x:c r="H28" s="18"/>
      <x:c r="I28" s="18"/>
      <x:c r="J28" s="18"/>
      <x:c r="K28" s="18"/>
      <x:c r="L28" s="18"/>
    </x:row>
    <x:row r="29">
      <x:c r="A29" s="18"/>
      <x:c r="B29" s="18"/>
      <x:c r="C29" s="18"/>
      <x:c r="D29" s="18"/>
      <x:c r="E29" s="18" t="str">
        <x:v>Repair Service</x:v>
      </x:c>
      <x:c r="F29" s="21" t="n">
        <x:v>360</x:v>
      </x:c>
      <x:c r="G29" s="220" t="str">
        <x:v>Core Needle Benchmark (USD / pack)</x:v>
      </x:c>
      <x:c r="H29" s="220"/>
      <x:c r="I29" s="220"/>
      <x:c r="J29" s="220"/>
      <x:c r="K29" s="220"/>
      <x:c r="L29" s="220"/>
    </x:row>
    <x:row r="30">
      <x:c r="A30" s="18"/>
      <x:c r="B30" s="18"/>
      <x:c r="C30" s="18"/>
      <x:c r="D30" s="18"/>
      <x:c r="E30" s="18"/>
      <x:c r="F30" s="18"/>
      <x:c r="G30" s="186" t="str">
        <x:v>DBx1 / DPx5</x:v>
      </x:c>
      <x:c r="H30" s="187" t="str">
        <x:v>$0.78</x:v>
      </x:c>
      <x:c r="I30" s="187" t="str">
        <x:v>DCx27</x:v>
      </x:c>
      <x:c r="J30" s="187" t="str">
        <x:v>$1.30</x:v>
      </x:c>
      <x:c r="K30" s="187" t="str">
        <x:v>UYx128</x:v>
      </x:c>
      <x:c r="L30" s="188" t="str">
        <x:v>$1.78</x:v>
      </x:c>
    </x:row>
    <x:row r="31">
      <x:c r="A31" s="18"/>
      <x:c r="B31" s="18"/>
      <x:c r="C31" s="18"/>
      <x:c r="D31" s="18"/>
      <x:c r="E31" s="18"/>
      <x:c r="F31" s="18"/>
      <x:c r="G31" s="189" t="str">
        <x:v>UOx113</x:v>
      </x:c>
      <x:c r="H31" s="190" t="str">
        <x:v>$3.00</x:v>
      </x:c>
      <x:c r="I31" s="190" t="str">
        <x:v>Rule</x:v>
      </x:c>
      <x:c r="J31" s="190" t="str">
        <x:v>Historical Max × 1.10</x:v>
      </x:c>
      <x:c r="K31" s="190" t="str">
        <x:v>Unit</x:v>
      </x:c>
      <x:c r="L31" s="191" t="str">
        <x:v>Must match</x:v>
      </x:c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</x:row>
  </x:sheetData>
  <x:mergeCells>
    <x:mergeCell ref="A1:L2"/>
    <x:mergeCell ref="A3:L3"/>
    <x:mergeCell ref="A5:C7"/>
    <x:mergeCell ref="D5:F7"/>
    <x:mergeCell ref="G5:I7"/>
    <x:mergeCell ref="J5:L7"/>
    <x:mergeCell ref="A9:C11"/>
    <x:mergeCell ref="D9:F11"/>
    <x:mergeCell ref="G9:I11"/>
    <x:mergeCell ref="J9:L11"/>
    <x:mergeCell ref="A13:F13"/>
    <x:mergeCell ref="G29:L29"/>
  </x:mergeCells>
  <x:pageMargins left="0.7" right="0.7" top="0.75" bottom="0.75" header="0.3" footer="0.3"/>
  <x:drawing xmlns:r="http://schemas.openxmlformats.org/officeDocument/2006/relationships" r:id="Re2204cfbcb834076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3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  <x:col min="14" max="14" width="16" hidden="0" customWidth="1"/>
    <x:col min="15" max="15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2" customHeight="1">
      <x:c r="A1" s="255" t="str">
        <x:v>VRT 2026年1–6月機修採購費用與機針占比</x:v>
      </x:c>
      <x:c r="B1" s="255"/>
      <x:c r="C1" s="255"/>
      <x:c r="D1" s="255"/>
      <x:c r="E1" s="255"/>
      <x:c r="F1" s="255"/>
      <x:c r="G1" s="255"/>
      <x:c r="H1" s="255"/>
      <x:c r="I1" s="255"/>
      <x:c r="J1" s="255"/>
      <x:c r="K1" s="18"/>
      <x:c r="L1" s="18"/>
      <x:c r="M1" s="18"/>
      <x:c r="N1" s="18"/>
      <x:c r="O1" s="18"/>
    </x:row>
    <x:row r="2" ht="34" customHeight="1">
      <x:c r="A2" s="236" t="str">
        <x:v>機針占比以每月未稅採購費用為分母；VAT與含稅總額另外列示，避免把稅額混入品項成本比較。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18"/>
      <x:c r="L2" s="18"/>
      <x:c r="M2" s="18"/>
      <x:c r="N2" s="18"/>
      <x:c r="O2" s="18"/>
      <x:c r="Q2" s="265" t="str">
        <x:v>月份</x:v>
      </x:c>
      <x:c r="R2" s="265" t="str">
        <x:v>未稅費用</x:v>
      </x:c>
      <x:c r="S2" s="265" t="str">
        <x:v>機針費用</x:v>
      </x:c>
      <x:c r="T2" s="265" t="str">
        <x:v>非機針費用</x:v>
      </x:c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Q3" s="265" t="str">
        <x:v>2026-01</x:v>
      </x:c>
      <x:c r="R3" s="266" t="n">
        <x:f>B5</x:f>
        <x:v>2610</x:v>
      </x:c>
      <x:c r="S3" s="266" t="n">
        <x:f>E5</x:f>
        <x:v>1702</x:v>
      </x:c>
      <x:c r="T3" s="266" t="n">
        <x:f>G5</x:f>
        <x:v>908</x:v>
      </x:c>
    </x:row>
    <x:row r="4" ht="34" customHeight="1">
      <x:c r="A4" s="240" t="str">
        <x:v>月份</x:v>
      </x:c>
      <x:c r="B4" s="240" t="str">
        <x:v>未稅費用</x:v>
      </x:c>
      <x:c r="C4" s="240" t="str">
        <x:v>VAT 10%</x:v>
      </x:c>
      <x:c r="D4" s="240" t="str">
        <x:v>含稅總費用</x:v>
      </x:c>
      <x:c r="E4" s="240" t="str">
        <x:v>機針費用</x:v>
      </x:c>
      <x:c r="F4" s="240" t="str">
        <x:v>機針占未稅費用</x:v>
      </x:c>
      <x:c r="G4" s="240" t="str">
        <x:v>非機針費用</x:v>
      </x:c>
      <x:c r="H4" s="240" t="str">
        <x:v>非機針占比</x:v>
      </x:c>
      <x:c r="I4" s="240" t="str">
        <x:v>機針採購數量</x:v>
      </x:c>
      <x:c r="J4" s="240" t="str">
        <x:v>機針交易筆數</x:v>
      </x:c>
      <x:c r="K4" s="18"/>
      <x:c r="L4" s="18"/>
      <x:c r="M4" s="18"/>
      <x:c r="N4" s="18"/>
      <x:c r="O4" s="18"/>
      <x:c r="Q4" s="265" t="str">
        <x:v>2026-02</x:v>
      </x:c>
      <x:c r="R4" s="266" t="n">
        <x:f>B6</x:f>
        <x:v>1850.9</x:v>
      </x:c>
      <x:c r="S4" s="266" t="n">
        <x:f>E6</x:f>
        <x:v>1172</x:v>
      </x:c>
      <x:c r="T4" s="266" t="n">
        <x:f>G6</x:f>
        <x:v>678.9000000000001</x:v>
      </x:c>
    </x:row>
    <x:row r="5">
      <x:c r="A5" s="18" t="str">
        <x:v>2026-01</x:v>
      </x:c>
      <x:c r="B5" s="21" t="n">
        <x:f>SUMIFS('Transaction Detail'!$Q$2:$Q$153,'Transaction Detail'!$A$2:$A$153,$A5)</x:f>
        <x:v>2610</x:v>
      </x:c>
      <x:c r="C5" s="21" t="n">
        <x:f>ROUND(B5*10%,2)</x:f>
        <x:v>261</x:v>
      </x:c>
      <x:c r="D5" s="21" t="n">
        <x:f>B5+C5</x:f>
        <x:v>2871</x:v>
      </x:c>
      <x:c r="E5" s="21" t="n">
        <x:f>SUMIFS('Transaction Detail'!$Q$2:$Q$153,'Transaction Detail'!$A$2:$A$153,$A5,'Transaction Detail'!$I$2:$I$153,"Needle")</x:f>
        <x:v>1702</x:v>
      </x:c>
      <x:c r="F5" s="40" t="n">
        <x:f>IF(B5=0,0,E5/B5)</x:f>
        <x:v>0.6521072796934866</x:v>
      </x:c>
      <x:c r="G5" s="40" t="n">
        <x:f>B5-E5</x:f>
        <x:v>908</x:v>
      </x:c>
      <x:c r="H5" s="40" t="n">
        <x:f>IF(B5=0,0,G5/B5)</x:f>
        <x:v>0.3478927203065134</x:v>
      </x:c>
      <x:c r="I5" s="247" t="n">
        <x:f>SUMIFS('Transaction Detail'!$M$2:$M$153,'Transaction Detail'!$A$2:$A$153,$A5,'Transaction Detail'!$I$2:$I$153,"Needle")</x:f>
        <x:v>900</x:v>
      </x:c>
      <x:c r="J5" s="247" t="n">
        <x:f>COUNTIFS('Transaction Detail'!$A$2:$A$153,$A5,'Transaction Detail'!$I$2:$I$153,"Needle")</x:f>
        <x:v>9</x:v>
      </x:c>
      <x:c r="K5" s="18"/>
      <x:c r="L5" s="18"/>
      <x:c r="M5" s="18"/>
      <x:c r="N5" s="18"/>
      <x:c r="O5" s="18"/>
      <x:c r="Q5" s="265" t="str">
        <x:v>2026-03</x:v>
      </x:c>
      <x:c r="R5" s="266" t="n">
        <x:f>B7</x:f>
        <x:v>3032</x:v>
      </x:c>
      <x:c r="S5" s="266" t="n">
        <x:f>E7</x:f>
        <x:v>1296</x:v>
      </x:c>
      <x:c r="T5" s="266" t="n">
        <x:f>G7</x:f>
        <x:v>1736</x:v>
      </x:c>
    </x:row>
    <x:row r="6">
      <x:c r="A6" s="18" t="str">
        <x:v>2026-02</x:v>
      </x:c>
      <x:c r="B6" s="21" t="n">
        <x:f>SUMIFS('Transaction Detail'!$Q$2:$Q$153,'Transaction Detail'!$A$2:$A$153,$A6)</x:f>
        <x:v>1850.9</x:v>
      </x:c>
      <x:c r="C6" s="21" t="n">
        <x:f>ROUND(B6*10%,2)</x:f>
        <x:v>185.09</x:v>
      </x:c>
      <x:c r="D6" s="21" t="n">
        <x:f>B6+C6</x:f>
        <x:v>2035.99</x:v>
      </x:c>
      <x:c r="E6" s="21" t="n">
        <x:f>SUMIFS('Transaction Detail'!$Q$2:$Q$153,'Transaction Detail'!$A$2:$A$153,$A6,'Transaction Detail'!$I$2:$I$153,"Needle")</x:f>
        <x:v>1172</x:v>
      </x:c>
      <x:c r="F6" s="40" t="n">
        <x:f>IF(B6=0,0,E6/B6)</x:f>
        <x:v>0.6332054676103517</x:v>
      </x:c>
      <x:c r="G6" s="40" t="n">
        <x:f>B6-E6</x:f>
        <x:v>678.9000000000001</x:v>
      </x:c>
      <x:c r="H6" s="40" t="n">
        <x:f>IF(B6=0,0,G6/B6)</x:f>
        <x:v>0.3667945323896483</x:v>
      </x:c>
      <x:c r="I6" s="247" t="n">
        <x:f>SUMIFS('Transaction Detail'!$M$2:$M$153,'Transaction Detail'!$A$2:$A$153,$A6,'Transaction Detail'!$I$2:$I$153,"Needle")</x:f>
        <x:v>800</x:v>
      </x:c>
      <x:c r="J6" s="247" t="n">
        <x:f>COUNTIFS('Transaction Detail'!$A$2:$A$153,$A6,'Transaction Detail'!$I$2:$I$153,"Needle")</x:f>
        <x:v>8</x:v>
      </x:c>
      <x:c r="K6" s="18"/>
      <x:c r="L6" s="18"/>
      <x:c r="M6" s="18"/>
      <x:c r="N6" s="18"/>
      <x:c r="O6" s="18"/>
      <x:c r="Q6" s="265" t="str">
        <x:v>2026-04</x:v>
      </x:c>
      <x:c r="R6" s="266" t="n">
        <x:f>B8</x:f>
        <x:v>1736</x:v>
      </x:c>
      <x:c r="S6" s="266" t="n">
        <x:f>E8</x:f>
        <x:v>1541</x:v>
      </x:c>
      <x:c r="T6" s="266" t="n">
        <x:f>G8</x:f>
        <x:v>195</x:v>
      </x:c>
    </x:row>
    <x:row r="7">
      <x:c r="A7" s="18" t="str">
        <x:v>2026-03</x:v>
      </x:c>
      <x:c r="B7" s="21" t="n">
        <x:f>SUMIFS('Transaction Detail'!$Q$2:$Q$153,'Transaction Detail'!$A$2:$A$153,$A7)</x:f>
        <x:v>3032</x:v>
      </x:c>
      <x:c r="C7" s="21" t="n">
        <x:f>ROUND(B7*10%,2)</x:f>
        <x:v>303.2</x:v>
      </x:c>
      <x:c r="D7" s="21" t="n">
        <x:f>B7+C7</x:f>
        <x:v>3335.2</x:v>
      </x:c>
      <x:c r="E7" s="21" t="n">
        <x:f>SUMIFS('Transaction Detail'!$Q$2:$Q$153,'Transaction Detail'!$A$2:$A$153,$A7,'Transaction Detail'!$I$2:$I$153,"Needle")</x:f>
        <x:v>1296</x:v>
      </x:c>
      <x:c r="F7" s="40" t="n">
        <x:f>IF(B7=0,0,E7/B7)</x:f>
        <x:v>0.42744063324538256</x:v>
      </x:c>
      <x:c r="G7" s="40" t="n">
        <x:f>B7-E7</x:f>
        <x:v>1736</x:v>
      </x:c>
      <x:c r="H7" s="40" t="n">
        <x:f>IF(B7=0,0,G7/B7)</x:f>
        <x:v>0.5725593667546174</x:v>
      </x:c>
      <x:c r="I7" s="247" t="n">
        <x:f>SUMIFS('Transaction Detail'!$M$2:$M$153,'Transaction Detail'!$A$2:$A$153,$A7,'Transaction Detail'!$I$2:$I$153,"Needle")</x:f>
        <x:v>750</x:v>
      </x:c>
      <x:c r="J7" s="247" t="n">
        <x:f>COUNTIFS('Transaction Detail'!$A$2:$A$153,$A7,'Transaction Detail'!$I$2:$I$153,"Needle")</x:f>
        <x:v>9</x:v>
      </x:c>
      <x:c r="K7" s="18"/>
      <x:c r="L7" s="18"/>
      <x:c r="M7" s="18"/>
      <x:c r="N7" s="18"/>
      <x:c r="O7" s="18"/>
      <x:c r="Q7" s="265" t="str">
        <x:v>2026-05</x:v>
      </x:c>
      <x:c r="R7" s="266" t="n">
        <x:f>B9</x:f>
        <x:v>2572.5</x:v>
      </x:c>
      <x:c r="S7" s="266" t="n">
        <x:f>E9</x:f>
        <x:v>997</x:v>
      </x:c>
      <x:c r="T7" s="266" t="n">
        <x:f>G9</x:f>
        <x:v>1575.5</x:v>
      </x:c>
    </x:row>
    <x:row r="8">
      <x:c r="A8" s="18" t="str">
        <x:v>2026-04</x:v>
      </x:c>
      <x:c r="B8" s="21" t="n">
        <x:f>SUMIFS('Transaction Detail'!$Q$2:$Q$153,'Transaction Detail'!$A$2:$A$153,$A8)</x:f>
        <x:v>1736</x:v>
      </x:c>
      <x:c r="C8" s="21" t="n">
        <x:f>ROUND(B8*10%,2)</x:f>
        <x:v>173.6</x:v>
      </x:c>
      <x:c r="D8" s="21" t="n">
        <x:f>B8+C8</x:f>
        <x:v>1909.6</x:v>
      </x:c>
      <x:c r="E8" s="21" t="n">
        <x:f>SUMIFS('Transaction Detail'!$Q$2:$Q$153,'Transaction Detail'!$A$2:$A$153,$A8,'Transaction Detail'!$I$2:$I$153,"Needle")</x:f>
        <x:v>1541</x:v>
      </x:c>
      <x:c r="F8" s="40" t="n">
        <x:f>IF(B8=0,0,E8/B8)</x:f>
        <x:v>0.8876728110599078</x:v>
      </x:c>
      <x:c r="G8" s="40" t="n">
        <x:f>B8-E8</x:f>
        <x:v>195</x:v>
      </x:c>
      <x:c r="H8" s="40" t="n">
        <x:f>IF(B8=0,0,G8/B8)</x:f>
        <x:v>0.11232718894009217</x:v>
      </x:c>
      <x:c r="I8" s="247" t="n">
        <x:f>SUMIFS('Transaction Detail'!$M$2:$M$153,'Transaction Detail'!$A$2:$A$153,$A8,'Transaction Detail'!$I$2:$I$153,"Needle")</x:f>
        <x:v>1030</x:v>
      </x:c>
      <x:c r="J8" s="247" t="n">
        <x:f>COUNTIFS('Transaction Detail'!$A$2:$A$153,$A8,'Transaction Detail'!$I$2:$I$153,"Needle")</x:f>
        <x:v>13</x:v>
      </x:c>
      <x:c r="K8" s="18"/>
      <x:c r="L8" s="18"/>
      <x:c r="M8" s="18"/>
      <x:c r="N8" s="18"/>
      <x:c r="O8" s="18"/>
      <x:c r="Q8" s="265" t="str">
        <x:v>2026-06</x:v>
      </x:c>
      <x:c r="R8" s="266" t="n">
        <x:f>B10</x:f>
        <x:v>2761.75</x:v>
      </x:c>
      <x:c r="S8" s="266" t="n">
        <x:f>E10</x:f>
        <x:v>2234</x:v>
      </x:c>
      <x:c r="T8" s="266" t="n">
        <x:f>G10</x:f>
        <x:v>527.75</x:v>
      </x:c>
    </x:row>
    <x:row r="9">
      <x:c r="A9" s="18" t="str">
        <x:v>2026-05</x:v>
      </x:c>
      <x:c r="B9" s="21" t="n">
        <x:f>SUMIFS('Transaction Detail'!$Q$2:$Q$153,'Transaction Detail'!$A$2:$A$153,$A9)</x:f>
        <x:v>2572.5</x:v>
      </x:c>
      <x:c r="C9" s="21" t="n">
        <x:f>ROUND(B9*10%,2)</x:f>
        <x:v>257.25</x:v>
      </x:c>
      <x:c r="D9" s="21" t="n">
        <x:f>B9+C9</x:f>
        <x:v>2829.75</x:v>
      </x:c>
      <x:c r="E9" s="21" t="n">
        <x:f>SUMIFS('Transaction Detail'!$Q$2:$Q$153,'Transaction Detail'!$A$2:$A$153,$A9,'Transaction Detail'!$I$2:$I$153,"Needle")</x:f>
        <x:v>997</x:v>
      </x:c>
      <x:c r="F9" s="40" t="n">
        <x:f>IF(B9=0,0,E9/B9)</x:f>
        <x:v>0.38756073858114676</x:v>
      </x:c>
      <x:c r="G9" s="40" t="n">
        <x:f>B9-E9</x:f>
        <x:v>1575.5</x:v>
      </x:c>
      <x:c r="H9" s="40" t="n">
        <x:f>IF(B9=0,0,G9/B9)</x:f>
        <x:v>0.6124392614188533</x:v>
      </x:c>
      <x:c r="I9" s="247" t="n">
        <x:f>SUMIFS('Transaction Detail'!$M$2:$M$153,'Transaction Detail'!$A$2:$A$153,$A9,'Transaction Detail'!$I$2:$I$153,"Needle")</x:f>
        <x:v>450</x:v>
      </x:c>
      <x:c r="J9" s="247" t="n">
        <x:f>COUNTIFS('Transaction Detail'!$A$2:$A$153,$A9,'Transaction Detail'!$I$2:$I$153,"Needle")</x:f>
        <x:v>6</x:v>
      </x:c>
      <x:c r="K9" s="18"/>
      <x:c r="L9" s="18"/>
      <x:c r="M9" s="18"/>
      <x:c r="N9" s="18"/>
      <x:c r="O9" s="18"/>
    </x:row>
    <x:row r="10">
      <x:c r="A10" s="18" t="str">
        <x:v>2026-06</x:v>
      </x:c>
      <x:c r="B10" s="21" t="n">
        <x:f>SUMIFS('Transaction Detail'!$Q$2:$Q$153,'Transaction Detail'!$A$2:$A$153,$A10)</x:f>
        <x:v>2761.75</x:v>
      </x:c>
      <x:c r="C10" s="21" t="n">
        <x:f>ROUND(B10*10%,2)</x:f>
        <x:v>276.18</x:v>
      </x:c>
      <x:c r="D10" s="21" t="n">
        <x:f>B10+C10</x:f>
        <x:v>3037.93</x:v>
      </x:c>
      <x:c r="E10" s="21" t="n">
        <x:f>SUMIFS('Transaction Detail'!$Q$2:$Q$153,'Transaction Detail'!$A$2:$A$153,$A10,'Transaction Detail'!$I$2:$I$153,"Needle")</x:f>
        <x:v>2234</x:v>
      </x:c>
      <x:c r="F10" s="40" t="n">
        <x:f>IF(B10=0,0,E10/B10)</x:f>
        <x:v>0.8089073956730334</x:v>
      </x:c>
      <x:c r="G10" s="40" t="n">
        <x:f>B10-E10</x:f>
        <x:v>527.75</x:v>
      </x:c>
      <x:c r="H10" s="40" t="n">
        <x:f>IF(B10=0,0,G10/B10)</x:f>
        <x:v>0.1910926043269666</x:v>
      </x:c>
      <x:c r="I10" s="247" t="n">
        <x:f>SUMIFS('Transaction Detail'!$M$2:$M$153,'Transaction Detail'!$A$2:$A$153,$A10,'Transaction Detail'!$I$2:$I$153,"Needle")</x:f>
        <x:v>1250</x:v>
      </x:c>
      <x:c r="J10" s="247" t="n">
        <x:f>COUNTIFS('Transaction Detail'!$A$2:$A$153,$A10,'Transaction Detail'!$I$2:$I$153,"Needle")</x:f>
        <x:v>18</x:v>
      </x:c>
      <x:c r="K10" s="18"/>
      <x:c r="L10" s="18"/>
      <x:c r="M10" s="18"/>
      <x:c r="N10" s="18"/>
      <x:c r="O10" s="18"/>
    </x:row>
    <x:row r="11">
      <x:c r="A11" s="248" t="str">
        <x:v>合計</x:v>
      </x:c>
      <x:c r="B11" s="249" t="n">
        <x:f>SUM(B5:B10)</x:f>
        <x:v>14563.15</x:v>
      </x:c>
      <x:c r="C11" s="249" t="n">
        <x:f>SUM(C5:C10)</x:f>
        <x:v>1456.32</x:v>
      </x:c>
      <x:c r="D11" s="249" t="n">
        <x:f>SUM(D5:D10)</x:f>
        <x:v>16019.47</x:v>
      </x:c>
      <x:c r="E11" s="249" t="n">
        <x:f>SUM(E5:E10)</x:f>
        <x:v>8942</x:v>
      </x:c>
      <x:c r="F11" s="250" t="n">
        <x:f>IF(B11=0,0,E11/B11)</x:f>
        <x:v>0.6140155117539818</x:v>
      </x:c>
      <x:c r="G11" s="250" t="n">
        <x:f>SUM(G5:G10)</x:f>
        <x:v>5621.15</x:v>
      </x:c>
      <x:c r="H11" s="250" t="n">
        <x:f>IF(B11=0,0,G11/B11)</x:f>
        <x:v>0.38598448824601816</x:v>
      </x:c>
      <x:c r="I11" s="251" t="n">
        <x:f>SUM(I5:I10)</x:f>
        <x:v>5180</x:v>
      </x:c>
      <x:c r="J11" s="251" t="n">
        <x:f>SUM(J5:J10)</x:f>
        <x:v>63</x:v>
      </x:c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256" t="str">
        <x:v>機針型號每月費用明細（USD）</x:v>
      </x:c>
      <x:c r="B14" s="256"/>
      <x:c r="C14" s="256"/>
      <x:c r="D14" s="256"/>
      <x:c r="E14" s="256"/>
      <x:c r="F14" s="256"/>
      <x:c r="G14" s="256"/>
      <x:c r="H14" s="256"/>
      <x:c r="I14" s="256"/>
      <x:c r="J14" s="256"/>
      <x:c r="K14" s="256"/>
      <x:c r="L14" s="256"/>
      <x:c r="M14" s="256"/>
      <x:c r="N14" s="256"/>
      <x:c r="O14" s="256"/>
    </x:row>
    <x:row r="15" ht="36" customHeight="1">
      <x:c r="A15" s="240" t="str">
        <x:v>PART NO</x:v>
      </x:c>
      <x:c r="B15" s="240" t="str">
        <x:v>機針名稱</x:v>
      </x:c>
      <x:c r="C15" s="240" t="str">
        <x:v>規格</x:v>
      </x:c>
      <x:c r="D15" s="240" t="str">
        <x:v>單位</x:v>
      </x:c>
      <x:c r="E15" s="240" t="str">
        <x:v>最近單價</x:v>
      </x:c>
      <x:c r="F15" s="240" t="str">
        <x:v>1月費用</x:v>
      </x:c>
      <x:c r="G15" s="240" t="str">
        <x:v>2月費用</x:v>
      </x:c>
      <x:c r="H15" s="240" t="str">
        <x:v>3月費用</x:v>
      </x:c>
      <x:c r="I15" s="240" t="str">
        <x:v>4月費用</x:v>
      </x:c>
      <x:c r="J15" s="240" t="str">
        <x:v>5月費用</x:v>
      </x:c>
      <x:c r="K15" s="240" t="str">
        <x:v>6月費用</x:v>
      </x:c>
      <x:c r="L15" s="240" t="str">
        <x:v>累計費用</x:v>
      </x:c>
      <x:c r="M15" s="240" t="str">
        <x:v>累計數量</x:v>
      </x:c>
      <x:c r="N15" s="240" t="str">
        <x:v>占全部機針費用</x:v>
      </x:c>
      <x:c r="O15" s="240" t="str">
        <x:v>採購筆數</x:v>
      </x:c>
    </x:row>
    <x:row r="16">
      <x:c r="A16" s="18" t="str">
        <x:v>ND-DBX1-11</x:v>
      </x:c>
      <x:c r="B16" s="18" t="str">
        <x:v>風琴機針 DBx1 #11</x:v>
      </x:c>
      <x:c r="C16" s="18" t="str">
        <x:v>DBx1 #11</x:v>
      </x:c>
      <x:c r="D16" s="18" t="str">
        <x:v>包</x:v>
      </x:c>
      <x:c r="E16" s="21" t="n">
        <x:v>0.78</x:v>
      </x:c>
      <x:c r="F16" s="21" t="n">
        <x:f>SUMIFS('Transaction Detail'!$Q$2:$Q$153,'Transaction Detail'!$F$2:$F$153,$A16,'Transaction Detail'!$A$2:$A$153,"2026-01")</x:f>
        <x:v>0</x:v>
      </x:c>
      <x:c r="G16" s="21" t="n">
        <x:f>SUMIFS('Transaction Detail'!$Q$2:$Q$153,'Transaction Detail'!$F$2:$F$153,$A16,'Transaction Detail'!$A$2:$A$153,"2026-02")</x:f>
        <x:v>0</x:v>
      </x:c>
      <x:c r="H16" s="21" t="n">
        <x:f>SUMIFS('Transaction Detail'!$Q$2:$Q$153,'Transaction Detail'!$F$2:$F$153,$A16,'Transaction Detail'!$A$2:$A$153,"2026-03")</x:f>
        <x:v>39</x:v>
      </x:c>
      <x:c r="I16" s="21" t="n">
        <x:f>SUMIFS('Transaction Detail'!$Q$2:$Q$153,'Transaction Detail'!$F$2:$F$153,$A16,'Transaction Detail'!$A$2:$A$153,"2026-04")</x:f>
        <x:v>0</x:v>
      </x:c>
      <x:c r="J16" s="21" t="n">
        <x:f>SUMIFS('Transaction Detail'!$Q$2:$Q$153,'Transaction Detail'!$F$2:$F$153,$A16,'Transaction Detail'!$A$2:$A$153,"2026-05")</x:f>
        <x:v>0</x:v>
      </x:c>
      <x:c r="K16" s="21" t="n">
        <x:f>SUMIFS('Transaction Detail'!$Q$2:$Q$153,'Transaction Detail'!$F$2:$F$153,$A16,'Transaction Detail'!$A$2:$A$153,"2026-06")</x:f>
        <x:v>0</x:v>
      </x:c>
      <x:c r="L16" s="21" t="n">
        <x:f>SUM(F16:K16)</x:f>
        <x:v>39</x:v>
      </x:c>
      <x:c r="M16" s="247" t="n">
        <x:f>SUMIFS('Transaction Detail'!$M$2:$M$153,'Transaction Detail'!$F$2:$F$153,$A16,'Transaction Detail'!$I$2:$I$153,"Needle")</x:f>
        <x:v>50</x:v>
      </x:c>
      <x:c r="N16" s="40" t="n">
        <x:f>IF($E$11=0,0,L16/$E$11)</x:f>
        <x:v>0.004361440393647953</x:v>
      </x:c>
      <x:c r="O16" s="247" t="n">
        <x:f>COUNTIF('Transaction Detail'!$F$2:$F$153,$A16)</x:f>
        <x:v>1</x:v>
      </x:c>
    </x:row>
    <x:row r="17">
      <x:c r="A17" s="18" t="str">
        <x:v>ND-DBX1-12</x:v>
      </x:c>
      <x:c r="B17" s="18" t="str">
        <x:v>風琴機針 DBx1 #12</x:v>
      </x:c>
      <x:c r="C17" s="18" t="str">
        <x:v>DBx1 #12</x:v>
      </x:c>
      <x:c r="D17" s="18" t="str">
        <x:v>包</x:v>
      </x:c>
      <x:c r="E17" s="21" t="n">
        <x:v>0.78</x:v>
      </x:c>
      <x:c r="F17" s="21" t="n">
        <x:f>SUMIFS('Transaction Detail'!$Q$2:$Q$153,'Transaction Detail'!$F$2:$F$153,$A17,'Transaction Detail'!$A$2:$A$153,"2026-01")</x:f>
        <x:v>0</x:v>
      </x:c>
      <x:c r="G17" s="21" t="n">
        <x:f>SUMIFS('Transaction Detail'!$Q$2:$Q$153,'Transaction Detail'!$F$2:$F$153,$A17,'Transaction Detail'!$A$2:$A$153,"2026-02")</x:f>
        <x:v>0</x:v>
      </x:c>
      <x:c r="H17" s="21" t="n">
        <x:f>SUMIFS('Transaction Detail'!$Q$2:$Q$153,'Transaction Detail'!$F$2:$F$153,$A17,'Transaction Detail'!$A$2:$A$153,"2026-03")</x:f>
        <x:v>39</x:v>
      </x:c>
      <x:c r="I17" s="21" t="n">
        <x:f>SUMIFS('Transaction Detail'!$Q$2:$Q$153,'Transaction Detail'!$F$2:$F$153,$A17,'Transaction Detail'!$A$2:$A$153,"2026-04")</x:f>
        <x:v>0</x:v>
      </x:c>
      <x:c r="J17" s="21" t="n">
        <x:f>SUMIFS('Transaction Detail'!$Q$2:$Q$153,'Transaction Detail'!$F$2:$F$153,$A17,'Transaction Detail'!$A$2:$A$153,"2026-05")</x:f>
        <x:v>0</x:v>
      </x:c>
      <x:c r="K17" s="21" t="n">
        <x:f>SUMIFS('Transaction Detail'!$Q$2:$Q$153,'Transaction Detail'!$F$2:$F$153,$A17,'Transaction Detail'!$A$2:$A$153,"2026-06")</x:f>
        <x:v>39</x:v>
      </x:c>
      <x:c r="L17" s="21" t="n">
        <x:f>SUM(F17:K17)</x:f>
        <x:v>78</x:v>
      </x:c>
      <x:c r="M17" s="247" t="n">
        <x:f>SUMIFS('Transaction Detail'!$M$2:$M$153,'Transaction Detail'!$F$2:$F$153,$A17,'Transaction Detail'!$I$2:$I$153,"Needle")</x:f>
        <x:v>100</x:v>
      </x:c>
      <x:c r="N17" s="40" t="n">
        <x:f>IF($E$11=0,0,L17/$E$11)</x:f>
        <x:v>0.008722880787295906</x:v>
      </x:c>
      <x:c r="O17" s="247" t="n">
        <x:f>COUNTIF('Transaction Detail'!$F$2:$F$153,$A17)</x:f>
        <x:v>2</x:v>
      </x:c>
      <x:c r="Q17" t="str">
        <x:v>月份</x:v>
      </x:c>
      <x:c r="R17" t="str">
        <x:v>機針占比</x:v>
      </x:c>
    </x:row>
    <x:row r="18">
      <x:c r="A18" s="18" t="str">
        <x:v>ND-DBX1-14</x:v>
      </x:c>
      <x:c r="B18" s="18" t="str">
        <x:v>風琴機針 DBx1 #14</x:v>
      </x:c>
      <x:c r="C18" s="18" t="str">
        <x:v>DBx1 #14</x:v>
      </x:c>
      <x:c r="D18" s="18" t="str">
        <x:v>包</x:v>
      </x:c>
      <x:c r="E18" s="21" t="n">
        <x:v>0.78</x:v>
      </x:c>
      <x:c r="F18" s="21" t="n">
        <x:f>SUMIFS('Transaction Detail'!$Q$2:$Q$153,'Transaction Detail'!$F$2:$F$153,$A18,'Transaction Detail'!$A$2:$A$153,"2026-01")</x:f>
        <x:v>0</x:v>
      </x:c>
      <x:c r="G18" s="21" t="n">
        <x:f>SUMIFS('Transaction Detail'!$Q$2:$Q$153,'Transaction Detail'!$F$2:$F$153,$A18,'Transaction Detail'!$A$2:$A$153,"2026-02")</x:f>
        <x:v>78</x:v>
      </x:c>
      <x:c r="H18" s="21" t="n">
        <x:f>SUMIFS('Transaction Detail'!$Q$2:$Q$153,'Transaction Detail'!$F$2:$F$153,$A18,'Transaction Detail'!$A$2:$A$153,"2026-03")</x:f>
        <x:v>0</x:v>
      </x:c>
      <x:c r="I18" s="21" t="n">
        <x:f>SUMIFS('Transaction Detail'!$Q$2:$Q$153,'Transaction Detail'!$F$2:$F$153,$A18,'Transaction Detail'!$A$2:$A$153,"2026-04")</x:f>
        <x:v>39</x:v>
      </x:c>
      <x:c r="J18" s="21" t="n">
        <x:f>SUMIFS('Transaction Detail'!$Q$2:$Q$153,'Transaction Detail'!$F$2:$F$153,$A18,'Transaction Detail'!$A$2:$A$153,"2026-05")</x:f>
        <x:v>0</x:v>
      </x:c>
      <x:c r="K18" s="21" t="n">
        <x:f>SUMIFS('Transaction Detail'!$Q$2:$Q$153,'Transaction Detail'!$F$2:$F$153,$A18,'Transaction Detail'!$A$2:$A$153,"2026-06")</x:f>
        <x:v>39</x:v>
      </x:c>
      <x:c r="L18" s="21" t="n">
        <x:f>SUM(F18:K18)</x:f>
        <x:v>156</x:v>
      </x:c>
      <x:c r="M18" s="247" t="n">
        <x:f>SUMIFS('Transaction Detail'!$M$2:$M$153,'Transaction Detail'!$F$2:$F$153,$A18,'Transaction Detail'!$I$2:$I$153,"Needle")</x:f>
        <x:v>200</x:v>
      </x:c>
      <x:c r="N18" s="40" t="n">
        <x:f>IF($E$11=0,0,L18/$E$11)</x:f>
        <x:v>0.017445761574591812</x:v>
      </x:c>
      <x:c r="O18" s="247" t="n">
        <x:f>COUNTIF('Transaction Detail'!$F$2:$F$153,$A18)</x:f>
        <x:v>3</x:v>
      </x:c>
      <x:c r="Q18" t="str">
        <x:v>2026-01</x:v>
      </x:c>
      <x:c r="R18" s="38" t="n">
        <x:f>F5</x:f>
        <x:v>0.6521072796934866</x:v>
      </x:c>
    </x:row>
    <x:row r="19">
      <x:c r="A19" s="18" t="str">
        <x:v>ND-DBX1-16</x:v>
      </x:c>
      <x:c r="B19" s="18" t="str">
        <x:v>風琴機針 DBx1 #16</x:v>
      </x:c>
      <x:c r="C19" s="18" t="str">
        <x:v>DBx1 #16</x:v>
      </x:c>
      <x:c r="D19" s="18" t="str">
        <x:v>包</x:v>
      </x:c>
      <x:c r="E19" s="21" t="n">
        <x:v>0.78</x:v>
      </x:c>
      <x:c r="F19" s="21" t="n">
        <x:f>SUMIFS('Transaction Detail'!$Q$2:$Q$153,'Transaction Detail'!$F$2:$F$153,$A19,'Transaction Detail'!$A$2:$A$153,"2026-01")</x:f>
        <x:v>0</x:v>
      </x:c>
      <x:c r="G19" s="21" t="n">
        <x:f>SUMIFS('Transaction Detail'!$Q$2:$Q$153,'Transaction Detail'!$F$2:$F$153,$A19,'Transaction Detail'!$A$2:$A$153,"2026-02")</x:f>
        <x:v>78</x:v>
      </x:c>
      <x:c r="H19" s="21" t="n">
        <x:f>SUMIFS('Transaction Detail'!$Q$2:$Q$153,'Transaction Detail'!$F$2:$F$153,$A19,'Transaction Detail'!$A$2:$A$153,"2026-03")</x:f>
        <x:v>0</x:v>
      </x:c>
      <x:c r="I19" s="21" t="n">
        <x:f>SUMIFS('Transaction Detail'!$Q$2:$Q$153,'Transaction Detail'!$F$2:$F$153,$A19,'Transaction Detail'!$A$2:$A$153,"2026-04")</x:f>
        <x:v>39</x:v>
      </x:c>
      <x:c r="J19" s="21" t="n">
        <x:f>SUMIFS('Transaction Detail'!$Q$2:$Q$153,'Transaction Detail'!$F$2:$F$153,$A19,'Transaction Detail'!$A$2:$A$153,"2026-05")</x:f>
        <x:v>0</x:v>
      </x:c>
      <x:c r="K19" s="21" t="n">
        <x:f>SUMIFS('Transaction Detail'!$Q$2:$Q$153,'Transaction Detail'!$F$2:$F$153,$A19,'Transaction Detail'!$A$2:$A$153,"2026-06")</x:f>
        <x:v>39</x:v>
      </x:c>
      <x:c r="L19" s="21" t="n">
        <x:f>SUM(F19:K19)</x:f>
        <x:v>156</x:v>
      </x:c>
      <x:c r="M19" s="247" t="n">
        <x:f>SUMIFS('Transaction Detail'!$M$2:$M$153,'Transaction Detail'!$F$2:$F$153,$A19,'Transaction Detail'!$I$2:$I$153,"Needle")</x:f>
        <x:v>200</x:v>
      </x:c>
      <x:c r="N19" s="40" t="n">
        <x:f>IF($E$11=0,0,L19/$E$11)</x:f>
        <x:v>0.017445761574591812</x:v>
      </x:c>
      <x:c r="O19" s="247" t="n">
        <x:f>COUNTIF('Transaction Detail'!$F$2:$F$153,$A19)</x:f>
        <x:v>3</x:v>
      </x:c>
      <x:c r="Q19" t="str">
        <x:v>2026-02</x:v>
      </x:c>
      <x:c r="R19" s="38" t="n">
        <x:f>F6</x:f>
        <x:v>0.6332054676103517</x:v>
      </x:c>
    </x:row>
    <x:row r="20">
      <x:c r="A20" s="18" t="str">
        <x:v>ND-DBX1-9</x:v>
      </x:c>
      <x:c r="B20" s="18" t="str">
        <x:v>風琴機針 DBx1 #9</x:v>
      </x:c>
      <x:c r="C20" s="18" t="str">
        <x:v>DBx1 #9</x:v>
      </x:c>
      <x:c r="D20" s="18" t="str">
        <x:v>包</x:v>
      </x:c>
      <x:c r="E20" s="21" t="n">
        <x:v>0.78</x:v>
      </x:c>
      <x:c r="F20" s="21" t="n">
        <x:f>SUMIFS('Transaction Detail'!$Q$2:$Q$153,'Transaction Detail'!$F$2:$F$153,$A20,'Transaction Detail'!$A$2:$A$153,"2026-01")</x:f>
        <x:v>0</x:v>
      </x:c>
      <x:c r="G20" s="21" t="n">
        <x:f>SUMIFS('Transaction Detail'!$Q$2:$Q$153,'Transaction Detail'!$F$2:$F$153,$A20,'Transaction Detail'!$A$2:$A$153,"2026-02")</x:f>
        <x:v>0</x:v>
      </x:c>
      <x:c r="H20" s="21" t="n">
        <x:f>SUMIFS('Transaction Detail'!$Q$2:$Q$153,'Transaction Detail'!$F$2:$F$153,$A20,'Transaction Detail'!$A$2:$A$153,"2026-03")</x:f>
        <x:v>39</x:v>
      </x:c>
      <x:c r="I20" s="21" t="n">
        <x:f>SUMIFS('Transaction Detail'!$Q$2:$Q$153,'Transaction Detail'!$F$2:$F$153,$A20,'Transaction Detail'!$A$2:$A$153,"2026-04")</x:f>
        <x:v>0</x:v>
      </x:c>
      <x:c r="J20" s="21" t="n">
        <x:f>SUMIFS('Transaction Detail'!$Q$2:$Q$153,'Transaction Detail'!$F$2:$F$153,$A20,'Transaction Detail'!$A$2:$A$153,"2026-05")</x:f>
        <x:v>0</x:v>
      </x:c>
      <x:c r="K20" s="21" t="n">
        <x:f>SUMIFS('Transaction Detail'!$Q$2:$Q$153,'Transaction Detail'!$F$2:$F$153,$A20,'Transaction Detail'!$A$2:$A$153,"2026-06")</x:f>
        <x:v>0</x:v>
      </x:c>
      <x:c r="L20" s="21" t="n">
        <x:f>SUM(F20:K20)</x:f>
        <x:v>39</x:v>
      </x:c>
      <x:c r="M20" s="247" t="n">
        <x:f>SUMIFS('Transaction Detail'!$M$2:$M$153,'Transaction Detail'!$F$2:$F$153,$A20,'Transaction Detail'!$I$2:$I$153,"Needle")</x:f>
        <x:v>50</x:v>
      </x:c>
      <x:c r="N20" s="40" t="n">
        <x:f>IF($E$11=0,0,L20/$E$11)</x:f>
        <x:v>0.004361440393647953</x:v>
      </x:c>
      <x:c r="O20" s="247" t="n">
        <x:f>COUNTIF('Transaction Detail'!$F$2:$F$153,$A20)</x:f>
        <x:v>1</x:v>
      </x:c>
      <x:c r="Q20" t="str">
        <x:v>2026-03</x:v>
      </x:c>
      <x:c r="R20" s="38" t="n">
        <x:f>F7</x:f>
        <x:v>0.42744063324538256</x:v>
      </x:c>
    </x:row>
    <x:row r="21">
      <x:c r="A21" s="18" t="str">
        <x:v>ND-DCX27-12</x:v>
      </x:c>
      <x:c r="B21" s="18" t="str">
        <x:v>風琴機針 DCx27 #12</x:v>
      </x:c>
      <x:c r="C21" s="18" t="str">
        <x:v>DCx27 #12</x:v>
      </x:c>
      <x:c r="D21" s="18" t="str">
        <x:v>包</x:v>
      </x:c>
      <x:c r="E21" s="21" t="n">
        <x:v>1.3</x:v>
      </x:c>
      <x:c r="F21" s="21" t="n">
        <x:f>SUMIFS('Transaction Detail'!$Q$2:$Q$153,'Transaction Detail'!$F$2:$F$153,$A21,'Transaction Detail'!$A$2:$A$153,"2026-01")</x:f>
        <x:v>390</x:v>
      </x:c>
      <x:c r="G21" s="21" t="n">
        <x:f>SUMIFS('Transaction Detail'!$Q$2:$Q$153,'Transaction Detail'!$F$2:$F$153,$A21,'Transaction Detail'!$A$2:$A$153,"2026-02")</x:f>
        <x:v>0</x:v>
      </x:c>
      <x:c r="H21" s="21" t="n">
        <x:f>SUMIFS('Transaction Detail'!$Q$2:$Q$153,'Transaction Detail'!$F$2:$F$153,$A21,'Transaction Detail'!$A$2:$A$153,"2026-03")</x:f>
        <x:v>195</x:v>
      </x:c>
      <x:c r="I21" s="21" t="n">
        <x:f>SUMIFS('Transaction Detail'!$Q$2:$Q$153,'Transaction Detail'!$F$2:$F$153,$A21,'Transaction Detail'!$A$2:$A$153,"2026-04")</x:f>
        <x:v>520</x:v>
      </x:c>
      <x:c r="J21" s="21" t="n">
        <x:f>SUMIFS('Transaction Detail'!$Q$2:$Q$153,'Transaction Detail'!$F$2:$F$153,$A21,'Transaction Detail'!$A$2:$A$153,"2026-05")</x:f>
        <x:v>0</x:v>
      </x:c>
      <x:c r="K21" s="21" t="n">
        <x:f>SUMIFS('Transaction Detail'!$Q$2:$Q$153,'Transaction Detail'!$F$2:$F$153,$A21,'Transaction Detail'!$A$2:$A$153,"2026-06")</x:f>
        <x:v>325</x:v>
      </x:c>
      <x:c r="L21" s="21" t="n">
        <x:f>SUM(F21:K21)</x:f>
        <x:v>1430</x:v>
      </x:c>
      <x:c r="M21" s="247" t="n">
        <x:f>SUMIFS('Transaction Detail'!$M$2:$M$153,'Transaction Detail'!$F$2:$F$153,$A21,'Transaction Detail'!$I$2:$I$153,"Needle")</x:f>
        <x:v>1100</x:v>
      </x:c>
      <x:c r="N21" s="40" t="n">
        <x:f>IF($E$11=0,0,L21/$E$11)</x:f>
        <x:v>0.15991948110042495</x:v>
      </x:c>
      <x:c r="O21" s="247" t="n">
        <x:f>COUNTIF('Transaction Detail'!$F$2:$F$153,$A21)</x:f>
        <x:v>11</x:v>
      </x:c>
      <x:c r="Q21" t="str">
        <x:v>2026-04</x:v>
      </x:c>
      <x:c r="R21" s="38" t="n">
        <x:f>F8</x:f>
        <x:v>0.8876728110599078</x:v>
      </x:c>
    </x:row>
    <x:row r="22">
      <x:c r="A22" s="18" t="str">
        <x:v>ND-DCX27-14</x:v>
      </x:c>
      <x:c r="B22" s="18" t="str">
        <x:v>風琴機針 DCx27 #14</x:v>
      </x:c>
      <x:c r="C22" s="18" t="str">
        <x:v>DCx27 #14</x:v>
      </x:c>
      <x:c r="D22" s="18" t="str">
        <x:v>包</x:v>
      </x:c>
      <x:c r="E22" s="21" t="n">
        <x:v>1.3</x:v>
      </x:c>
      <x:c r="F22" s="21" t="n">
        <x:f>SUMIFS('Transaction Detail'!$Q$2:$Q$153,'Transaction Detail'!$F$2:$F$153,$A22,'Transaction Detail'!$A$2:$A$153,"2026-01")</x:f>
        <x:v>0</x:v>
      </x:c>
      <x:c r="G22" s="21" t="n">
        <x:f>SUMIFS('Transaction Detail'!$Q$2:$Q$153,'Transaction Detail'!$F$2:$F$153,$A22,'Transaction Detail'!$A$2:$A$153,"2026-02")</x:f>
        <x:v>130</x:v>
      </x:c>
      <x:c r="H22" s="21" t="n">
        <x:f>SUMIFS('Transaction Detail'!$Q$2:$Q$153,'Transaction Detail'!$F$2:$F$153,$A22,'Transaction Detail'!$A$2:$A$153,"2026-03")</x:f>
        <x:v>0</x:v>
      </x:c>
      <x:c r="I22" s="21" t="n">
        <x:f>SUMIFS('Transaction Detail'!$Q$2:$Q$153,'Transaction Detail'!$F$2:$F$153,$A22,'Transaction Detail'!$A$2:$A$153,"2026-04")</x:f>
        <x:v>0</x:v>
      </x:c>
      <x:c r="J22" s="21" t="n">
        <x:f>SUMIFS('Transaction Detail'!$Q$2:$Q$153,'Transaction Detail'!$F$2:$F$153,$A22,'Transaction Detail'!$A$2:$A$153,"2026-05")</x:f>
        <x:v>130</x:v>
      </x:c>
      <x:c r="K22" s="21" t="n">
        <x:f>SUMIFS('Transaction Detail'!$Q$2:$Q$153,'Transaction Detail'!$F$2:$F$153,$A22,'Transaction Detail'!$A$2:$A$153,"2026-06")</x:f>
        <x:v>65</x:v>
      </x:c>
      <x:c r="L22" s="21" t="n">
        <x:f>SUM(F22:K22)</x:f>
        <x:v>325</x:v>
      </x:c>
      <x:c r="M22" s="247" t="n">
        <x:f>SUMIFS('Transaction Detail'!$M$2:$M$153,'Transaction Detail'!$F$2:$F$153,$A22,'Transaction Detail'!$I$2:$I$153,"Needle")</x:f>
        <x:v>250</x:v>
      </x:c>
      <x:c r="N22" s="40" t="n">
        <x:f>IF($E$11=0,0,L22/$E$11)</x:f>
        <x:v>0.036345336613732945</x:v>
      </x:c>
      <x:c r="O22" s="247" t="n">
        <x:f>COUNTIF('Transaction Detail'!$F$2:$F$153,$A22)</x:f>
        <x:v>3</x:v>
      </x:c>
      <x:c r="Q22" t="str">
        <x:v>2026-05</x:v>
      </x:c>
      <x:c r="R22" s="38" t="n">
        <x:f>F9</x:f>
        <x:v>0.38756073858114676</x:v>
      </x:c>
    </x:row>
    <x:row r="23">
      <x:c r="A23" s="18" t="str">
        <x:v>ND-DCX27-16</x:v>
      </x:c>
      <x:c r="B23" s="18" t="str">
        <x:v>風琴機針 DCx27 #16</x:v>
      </x:c>
      <x:c r="C23" s="18" t="str">
        <x:v>DCx27 #16</x:v>
      </x:c>
      <x:c r="D23" s="18" t="str">
        <x:v>包</x:v>
      </x:c>
      <x:c r="E23" s="21" t="n">
        <x:v>1.3</x:v>
      </x:c>
      <x:c r="F23" s="21" t="n">
        <x:f>SUMIFS('Transaction Detail'!$Q$2:$Q$153,'Transaction Detail'!$F$2:$F$153,$A23,'Transaction Detail'!$A$2:$A$153,"2026-01")</x:f>
        <x:v>0</x:v>
      </x:c>
      <x:c r="G23" s="21" t="n">
        <x:f>SUMIFS('Transaction Detail'!$Q$2:$Q$153,'Transaction Detail'!$F$2:$F$153,$A23,'Transaction Detail'!$A$2:$A$153,"2026-02")</x:f>
        <x:v>130</x:v>
      </x:c>
      <x:c r="H23" s="21" t="n">
        <x:f>SUMIFS('Transaction Detail'!$Q$2:$Q$153,'Transaction Detail'!$F$2:$F$153,$A23,'Transaction Detail'!$A$2:$A$153,"2026-03")</x:f>
        <x:v>0</x:v>
      </x:c>
      <x:c r="I23" s="21" t="n">
        <x:f>SUMIFS('Transaction Detail'!$Q$2:$Q$153,'Transaction Detail'!$F$2:$F$153,$A23,'Transaction Detail'!$A$2:$A$153,"2026-04")</x:f>
        <x:v>65</x:v>
      </x:c>
      <x:c r="J23" s="21" t="n">
        <x:f>SUMIFS('Transaction Detail'!$Q$2:$Q$153,'Transaction Detail'!$F$2:$F$153,$A23,'Transaction Detail'!$A$2:$A$153,"2026-05")</x:f>
        <x:v>0</x:v>
      </x:c>
      <x:c r="K23" s="21" t="n">
        <x:f>SUMIFS('Transaction Detail'!$Q$2:$Q$153,'Transaction Detail'!$F$2:$F$153,$A23,'Transaction Detail'!$A$2:$A$153,"2026-06")</x:f>
        <x:v>65</x:v>
      </x:c>
      <x:c r="L23" s="21" t="n">
        <x:f>SUM(F23:K23)</x:f>
        <x:v>260</x:v>
      </x:c>
      <x:c r="M23" s="247" t="n">
        <x:f>SUMIFS('Transaction Detail'!$M$2:$M$153,'Transaction Detail'!$F$2:$F$153,$A23,'Transaction Detail'!$I$2:$I$153,"Needle")</x:f>
        <x:v>200</x:v>
      </x:c>
      <x:c r="N23" s="40" t="n">
        <x:f>IF($E$11=0,0,L23/$E$11)</x:f>
        <x:v>0.029076269290986355</x:v>
      </x:c>
      <x:c r="O23" s="247" t="n">
        <x:f>COUNTIF('Transaction Detail'!$F$2:$F$153,$A23)</x:f>
        <x:v>3</x:v>
      </x:c>
      <x:c r="Q23" t="str">
        <x:v>2026-06</x:v>
      </x:c>
      <x:c r="R23" s="38" t="n">
        <x:f>F10</x:f>
        <x:v>0.8089073956730334</x:v>
      </x:c>
    </x:row>
    <x:row r="24">
      <x:c r="A24" s="18" t="str">
        <x:v>ND-DPX17-16</x:v>
      </x:c>
      <x:c r="B24" s="18" t="str">
        <x:v>風琴機針 DPx17 #16</x:v>
      </x:c>
      <x:c r="C24" s="18" t="str">
        <x:v>DPx17 #16</x:v>
      </x:c>
      <x:c r="D24" s="18" t="str">
        <x:v>包</x:v>
      </x:c>
      <x:c r="E24" s="21" t="n">
        <x:v>1.3</x:v>
      </x:c>
      <x:c r="F24" s="21" t="n">
        <x:f>SUMIFS('Transaction Detail'!$Q$2:$Q$153,'Transaction Detail'!$F$2:$F$153,$A24,'Transaction Detail'!$A$2:$A$153,"2026-01")</x:f>
        <x:v>0</x:v>
      </x:c>
      <x:c r="G24" s="21" t="n">
        <x:f>SUMIFS('Transaction Detail'!$Q$2:$Q$153,'Transaction Detail'!$F$2:$F$153,$A24,'Transaction Detail'!$A$2:$A$153,"2026-02")</x:f>
        <x:v>0</x:v>
      </x:c>
      <x:c r="H24" s="21" t="n">
        <x:f>SUMIFS('Transaction Detail'!$Q$2:$Q$153,'Transaction Detail'!$F$2:$F$153,$A24,'Transaction Detail'!$A$2:$A$153,"2026-03")</x:f>
        <x:v>0</x:v>
      </x:c>
      <x:c r="I24" s="21" t="n">
        <x:f>SUMIFS('Transaction Detail'!$Q$2:$Q$153,'Transaction Detail'!$F$2:$F$153,$A24,'Transaction Detail'!$A$2:$A$153,"2026-04")</x:f>
        <x:v>65</x:v>
      </x:c>
      <x:c r="J24" s="21" t="n">
        <x:f>SUMIFS('Transaction Detail'!$Q$2:$Q$153,'Transaction Detail'!$F$2:$F$153,$A24,'Transaction Detail'!$A$2:$A$153,"2026-05")</x:f>
        <x:v>0</x:v>
      </x:c>
      <x:c r="K24" s="21" t="n">
        <x:f>SUMIFS('Transaction Detail'!$Q$2:$Q$153,'Transaction Detail'!$F$2:$F$153,$A24,'Transaction Detail'!$A$2:$A$153,"2026-06")</x:f>
        <x:v>0</x:v>
      </x:c>
      <x:c r="L24" s="21" t="n">
        <x:f>SUM(F24:K24)</x:f>
        <x:v>65</x:v>
      </x:c>
      <x:c r="M24" s="247" t="n">
        <x:f>SUMIFS('Transaction Detail'!$M$2:$M$153,'Transaction Detail'!$F$2:$F$153,$A24,'Transaction Detail'!$I$2:$I$153,"Needle")</x:f>
        <x:v>50</x:v>
      </x:c>
      <x:c r="N24" s="40" t="n">
        <x:f>IF($E$11=0,0,L24/$E$11)</x:f>
        <x:v>0.007269067322746589</x:v>
      </x:c>
      <x:c r="O24" s="247" t="n">
        <x:f>COUNTIF('Transaction Detail'!$F$2:$F$153,$A24)</x:f>
        <x:v>1</x:v>
      </x:c>
    </x:row>
    <x:row r="25">
      <x:c r="A25" s="18" t="str">
        <x:v>ND-DPX5-14</x:v>
      </x:c>
      <x:c r="B25" s="18" t="str">
        <x:v>風琴機針 DPx5 #14</x:v>
      </x:c>
      <x:c r="C25" s="18" t="str">
        <x:v>DPx5 #14</x:v>
      </x:c>
      <x:c r="D25" s="18" t="str">
        <x:v>包</x:v>
      </x:c>
      <x:c r="E25" s="21" t="n">
        <x:v>0.78</x:v>
      </x:c>
      <x:c r="F25" s="21" t="n">
        <x:f>SUMIFS('Transaction Detail'!$Q$2:$Q$153,'Transaction Detail'!$F$2:$F$153,$A25,'Transaction Detail'!$A$2:$A$153,"2026-01")</x:f>
        <x:v>0</x:v>
      </x:c>
      <x:c r="G25" s="21" t="n">
        <x:f>SUMIFS('Transaction Detail'!$Q$2:$Q$153,'Transaction Detail'!$F$2:$F$153,$A25,'Transaction Detail'!$A$2:$A$153,"2026-02")</x:f>
        <x:v>78</x:v>
      </x:c>
      <x:c r="H25" s="21" t="n">
        <x:f>SUMIFS('Transaction Detail'!$Q$2:$Q$153,'Transaction Detail'!$F$2:$F$153,$A25,'Transaction Detail'!$A$2:$A$153,"2026-03")</x:f>
        <x:v>0</x:v>
      </x:c>
      <x:c r="I25" s="21" t="n">
        <x:f>SUMIFS('Transaction Detail'!$Q$2:$Q$153,'Transaction Detail'!$F$2:$F$153,$A25,'Transaction Detail'!$A$2:$A$153,"2026-04")</x:f>
        <x:v>39</x:v>
      </x:c>
      <x:c r="J25" s="21" t="n">
        <x:f>SUMIFS('Transaction Detail'!$Q$2:$Q$153,'Transaction Detail'!$F$2:$F$153,$A25,'Transaction Detail'!$A$2:$A$153,"2026-05")</x:f>
        <x:v>0</x:v>
      </x:c>
      <x:c r="K25" s="21" t="n">
        <x:f>SUMIFS('Transaction Detail'!$Q$2:$Q$153,'Transaction Detail'!$F$2:$F$153,$A25,'Transaction Detail'!$A$2:$A$153,"2026-06")</x:f>
        <x:v>39</x:v>
      </x:c>
      <x:c r="L25" s="21" t="n">
        <x:f>SUM(F25:K25)</x:f>
        <x:v>156</x:v>
      </x:c>
      <x:c r="M25" s="247" t="n">
        <x:f>SUMIFS('Transaction Detail'!$M$2:$M$153,'Transaction Detail'!$F$2:$F$153,$A25,'Transaction Detail'!$I$2:$I$153,"Needle")</x:f>
        <x:v>200</x:v>
      </x:c>
      <x:c r="N25" s="40" t="n">
        <x:f>IF($E$11=0,0,L25/$E$11)</x:f>
        <x:v>0.017445761574591812</x:v>
      </x:c>
      <x:c r="O25" s="247" t="n">
        <x:f>COUNTIF('Transaction Detail'!$F$2:$F$153,$A25)</x:f>
        <x:v>3</x:v>
      </x:c>
    </x:row>
    <x:row r="26">
      <x:c r="A26" s="18" t="str">
        <x:v>ND-DPX5-16</x:v>
      </x:c>
      <x:c r="B26" s="18" t="str">
        <x:v>風琴機針 DPx5 #16</x:v>
      </x:c>
      <x:c r="C26" s="18" t="str">
        <x:v>DPx5 #16</x:v>
      </x:c>
      <x:c r="D26" s="18" t="str">
        <x:v>包</x:v>
      </x:c>
      <x:c r="E26" s="21" t="n">
        <x:v>0.78</x:v>
      </x:c>
      <x:c r="F26" s="21" t="n">
        <x:f>SUMIFS('Transaction Detail'!$Q$2:$Q$153,'Transaction Detail'!$F$2:$F$153,$A26,'Transaction Detail'!$A$2:$A$153,"2026-01")</x:f>
        <x:v>0</x:v>
      </x:c>
      <x:c r="G26" s="21" t="n">
        <x:f>SUMIFS('Transaction Detail'!$Q$2:$Q$153,'Transaction Detail'!$F$2:$F$153,$A26,'Transaction Detail'!$A$2:$A$153,"2026-02")</x:f>
        <x:v>78</x:v>
      </x:c>
      <x:c r="H26" s="21" t="n">
        <x:f>SUMIFS('Transaction Detail'!$Q$2:$Q$153,'Transaction Detail'!$F$2:$F$153,$A26,'Transaction Detail'!$A$2:$A$153,"2026-03")</x:f>
        <x:v>0</x:v>
      </x:c>
      <x:c r="I26" s="21" t="n">
        <x:f>SUMIFS('Transaction Detail'!$Q$2:$Q$153,'Transaction Detail'!$F$2:$F$153,$A26,'Transaction Detail'!$A$2:$A$153,"2026-04")</x:f>
        <x:v>0</x:v>
      </x:c>
      <x:c r="J26" s="21" t="n">
        <x:f>SUMIFS('Transaction Detail'!$Q$2:$Q$153,'Transaction Detail'!$F$2:$F$153,$A26,'Transaction Detail'!$A$2:$A$153,"2026-05")</x:f>
        <x:v>0</x:v>
      </x:c>
      <x:c r="K26" s="21" t="n">
        <x:f>SUMIFS('Transaction Detail'!$Q$2:$Q$153,'Transaction Detail'!$F$2:$F$153,$A26,'Transaction Detail'!$A$2:$A$153,"2026-06")</x:f>
        <x:v>39</x:v>
      </x:c>
      <x:c r="L26" s="21" t="n">
        <x:f>SUM(F26:K26)</x:f>
        <x:v>117</x:v>
      </x:c>
      <x:c r="M26" s="247" t="n">
        <x:f>SUMIFS('Transaction Detail'!$M$2:$M$153,'Transaction Detail'!$F$2:$F$153,$A26,'Transaction Detail'!$I$2:$I$153,"Needle")</x:f>
        <x:v>150</x:v>
      </x:c>
      <x:c r="N26" s="40" t="n">
        <x:f>IF($E$11=0,0,L26/$E$11)</x:f>
        <x:v>0.01308432118094386</x:v>
      </x:c>
      <x:c r="O26" s="247" t="n">
        <x:f>COUNTIF('Transaction Detail'!$F$2:$F$153,$A26)</x:f>
        <x:v>2</x:v>
      </x:c>
    </x:row>
    <x:row r="27">
      <x:c r="A27" s="18" t="str">
        <x:v>ND-UOX113-12</x:v>
      </x:c>
      <x:c r="B27" s="18" t="str">
        <x:v>風琴機針 UOx113 #12</x:v>
      </x:c>
      <x:c r="C27" s="18" t="str">
        <x:v>UOx113 #12</x:v>
      </x:c>
      <x:c r="D27" s="18" t="str">
        <x:v>包</x:v>
      </x:c>
      <x:c r="E27" s="21" t="n">
        <x:v>3</x:v>
      </x:c>
      <x:c r="F27" s="21" t="n">
        <x:f>SUMIFS('Transaction Detail'!$Q$2:$Q$153,'Transaction Detail'!$F$2:$F$153,$A27,'Transaction Detail'!$A$2:$A$153,"2026-01")</x:f>
        <x:v>0</x:v>
      </x:c>
      <x:c r="G27" s="21" t="n">
        <x:f>SUMIFS('Transaction Detail'!$Q$2:$Q$153,'Transaction Detail'!$F$2:$F$153,$A27,'Transaction Detail'!$A$2:$A$153,"2026-02")</x:f>
        <x:v>0</x:v>
      </x:c>
      <x:c r="H27" s="21" t="n">
        <x:f>SUMIFS('Transaction Detail'!$Q$2:$Q$153,'Transaction Detail'!$F$2:$F$153,$A27,'Transaction Detail'!$A$2:$A$153,"2026-03")</x:f>
        <x:v>0</x:v>
      </x:c>
      <x:c r="I27" s="21" t="n">
        <x:f>SUMIFS('Transaction Detail'!$Q$2:$Q$153,'Transaction Detail'!$F$2:$F$153,$A27,'Transaction Detail'!$A$2:$A$153,"2026-04")</x:f>
        <x:v>240</x:v>
      </x:c>
      <x:c r="J27" s="21" t="n">
        <x:f>SUMIFS('Transaction Detail'!$Q$2:$Q$153,'Transaction Detail'!$F$2:$F$153,$A27,'Transaction Detail'!$A$2:$A$153,"2026-05")</x:f>
        <x:v>600</x:v>
      </x:c>
      <x:c r="K27" s="21" t="n">
        <x:f>SUMIFS('Transaction Detail'!$Q$2:$Q$153,'Transaction Detail'!$F$2:$F$153,$A27,'Transaction Detail'!$A$2:$A$153,"2026-06")</x:f>
        <x:v>750</x:v>
      </x:c>
      <x:c r="L27" s="21" t="n">
        <x:f>SUM(F27:K27)</x:f>
        <x:v>1590</x:v>
      </x:c>
      <x:c r="M27" s="247" t="n">
        <x:f>SUMIFS('Transaction Detail'!$M$2:$M$153,'Transaction Detail'!$F$2:$F$153,$A27,'Transaction Detail'!$I$2:$I$153,"Needle")</x:f>
        <x:v>530</x:v>
      </x:c>
      <x:c r="N27" s="40" t="n">
        <x:f>IF($E$11=0,0,L27/$E$11)</x:f>
        <x:v>0.1778125698948781</x:v>
      </x:c>
      <x:c r="O27" s="247" t="n">
        <x:f>COUNTIF('Transaction Detail'!$F$2:$F$153,$A27)</x:f>
        <x:v>7</x:v>
      </x:c>
    </x:row>
    <x:row r="28">
      <x:c r="A28" s="18" t="str">
        <x:v>ND-UOX113-14</x:v>
      </x:c>
      <x:c r="B28" s="18" t="str">
        <x:v>風琴機針 UOx113 #14</x:v>
      </x:c>
      <x:c r="C28" s="18" t="str">
        <x:v>UOx113 #14</x:v>
      </x:c>
      <x:c r="D28" s="18" t="str">
        <x:v>包</x:v>
      </x:c>
      <x:c r="E28" s="21" t="n">
        <x:v>3</x:v>
      </x:c>
      <x:c r="F28" s="21" t="n">
        <x:f>SUMIFS('Transaction Detail'!$Q$2:$Q$153,'Transaction Detail'!$F$2:$F$153,$A28,'Transaction Detail'!$A$2:$A$153,"2026-01")</x:f>
        <x:v>600</x:v>
      </x:c>
      <x:c r="G28" s="21" t="n">
        <x:f>SUMIFS('Transaction Detail'!$Q$2:$Q$153,'Transaction Detail'!$F$2:$F$153,$A28,'Transaction Detail'!$A$2:$A$153,"2026-02")</x:f>
        <x:v>600</x:v>
      </x:c>
      <x:c r="H28" s="21" t="n">
        <x:f>SUMIFS('Transaction Detail'!$Q$2:$Q$153,'Transaction Detail'!$F$2:$F$153,$A28,'Transaction Detail'!$A$2:$A$153,"2026-03")</x:f>
        <x:v>300</x:v>
      </x:c>
      <x:c r="I28" s="21" t="n">
        <x:f>SUMIFS('Transaction Detail'!$Q$2:$Q$153,'Transaction Detail'!$F$2:$F$153,$A28,'Transaction Detail'!$A$2:$A$153,"2026-04")</x:f>
        <x:v>0</x:v>
      </x:c>
      <x:c r="J28" s="21" t="n">
        <x:f>SUMIFS('Transaction Detail'!$Q$2:$Q$153,'Transaction Detail'!$F$2:$F$153,$A28,'Transaction Detail'!$A$2:$A$153,"2026-05")</x:f>
        <x:v>0</x:v>
      </x:c>
      <x:c r="K28" s="21" t="n">
        <x:f>SUMIFS('Transaction Detail'!$Q$2:$Q$153,'Transaction Detail'!$F$2:$F$153,$A28,'Transaction Detail'!$A$2:$A$153,"2026-06")</x:f>
        <x:v>150</x:v>
      </x:c>
      <x:c r="L28" s="21" t="n">
        <x:f>SUM(F28:K28)</x:f>
        <x:v>1650</x:v>
      </x:c>
      <x:c r="M28" s="247" t="n">
        <x:f>SUMIFS('Transaction Detail'!$M$2:$M$153,'Transaction Detail'!$F$2:$F$153,$A28,'Transaction Detail'!$I$2:$I$153,"Needle")</x:f>
        <x:v>550</x:v>
      </x:c>
      <x:c r="N28" s="40" t="n">
        <x:f>IF($E$11=0,0,L28/$E$11)</x:f>
        <x:v>0.18452247819279805</x:v>
      </x:c>
      <x:c r="O28" s="247" t="n">
        <x:f>COUNTIF('Transaction Detail'!$F$2:$F$153,$A28)</x:f>
        <x:v>7</x:v>
      </x:c>
    </x:row>
    <x:row r="29">
      <x:c r="A29" s="18" t="str">
        <x:v>ND-UOX113-16</x:v>
      </x:c>
      <x:c r="B29" s="18" t="str">
        <x:v>風琴機針 UOx113 #16</x:v>
      </x:c>
      <x:c r="C29" s="18" t="str">
        <x:v>UOx113 #16</x:v>
      </x:c>
      <x:c r="D29" s="18" t="str">
        <x:v>包</x:v>
      </x:c>
      <x:c r="E29" s="21" t="n">
        <x:v>3</x:v>
      </x:c>
      <x:c r="F29" s="21" t="n">
        <x:f>SUMIFS('Transaction Detail'!$Q$2:$Q$153,'Transaction Detail'!$F$2:$F$153,$A29,'Transaction Detail'!$A$2:$A$153,"2026-01")</x:f>
        <x:v>0</x:v>
      </x:c>
      <x:c r="G29" s="21" t="n">
        <x:f>SUMIFS('Transaction Detail'!$Q$2:$Q$153,'Transaction Detail'!$F$2:$F$153,$A29,'Transaction Detail'!$A$2:$A$153,"2026-02")</x:f>
        <x:v>0</x:v>
      </x:c>
      <x:c r="H29" s="21" t="n">
        <x:f>SUMIFS('Transaction Detail'!$Q$2:$Q$153,'Transaction Detail'!$F$2:$F$153,$A29,'Transaction Detail'!$A$2:$A$153,"2026-03")</x:f>
        <x:v>150</x:v>
      </x:c>
      <x:c r="I29" s="21" t="n">
        <x:f>SUMIFS('Transaction Detail'!$Q$2:$Q$153,'Transaction Detail'!$F$2:$F$153,$A29,'Transaction Detail'!$A$2:$A$153,"2026-04")</x:f>
        <x:v>0</x:v>
      </x:c>
      <x:c r="J29" s="21" t="n">
        <x:f>SUMIFS('Transaction Detail'!$Q$2:$Q$153,'Transaction Detail'!$F$2:$F$153,$A29,'Transaction Detail'!$A$2:$A$153,"2026-05")</x:f>
        <x:v>0</x:v>
      </x:c>
      <x:c r="K29" s="21" t="n">
        <x:f>SUMIFS('Transaction Detail'!$Q$2:$Q$153,'Transaction Detail'!$F$2:$F$153,$A29,'Transaction Detail'!$A$2:$A$153,"2026-06")</x:f>
        <x:v>150</x:v>
      </x:c>
      <x:c r="L29" s="21" t="n">
        <x:f>SUM(F29:K29)</x:f>
        <x:v>300</x:v>
      </x:c>
      <x:c r="M29" s="247" t="n">
        <x:f>SUMIFS('Transaction Detail'!$M$2:$M$153,'Transaction Detail'!$F$2:$F$153,$A29,'Transaction Detail'!$I$2:$I$153,"Needle")</x:f>
        <x:v>100</x:v>
      </x:c>
      <x:c r="N29" s="40" t="n">
        <x:f>IF($E$11=0,0,L29/$E$11)</x:f>
        <x:v>0.03354954148959964</x:v>
      </x:c>
      <x:c r="O29" s="247" t="n">
        <x:f>COUNTIF('Transaction Detail'!$F$2:$F$153,$A29)</x:f>
        <x:v>2</x:v>
      </x:c>
    </x:row>
    <x:row r="30">
      <x:c r="A30" s="18" t="str">
        <x:v>ND-UYX128-11</x:v>
      </x:c>
      <x:c r="B30" s="18" t="str">
        <x:v>風琴機針 UYx128 #11</x:v>
      </x:c>
      <x:c r="C30" s="18" t="str">
        <x:v>UYx128 #11</x:v>
      </x:c>
      <x:c r="D30" s="18" t="str">
        <x:v>包</x:v>
      </x:c>
      <x:c r="E30" s="21" t="n">
        <x:v>1.78</x:v>
      </x:c>
      <x:c r="F30" s="21" t="n">
        <x:f>SUMIFS('Transaction Detail'!$Q$2:$Q$153,'Transaction Detail'!$F$2:$F$153,$A30,'Transaction Detail'!$A$2:$A$153,"2026-01")</x:f>
        <x:v>712</x:v>
      </x:c>
      <x:c r="G30" s="21" t="n">
        <x:f>SUMIFS('Transaction Detail'!$Q$2:$Q$153,'Transaction Detail'!$F$2:$F$153,$A30,'Transaction Detail'!$A$2:$A$153,"2026-02")</x:f>
        <x:v>0</x:v>
      </x:c>
      <x:c r="H30" s="21" t="n">
        <x:f>SUMIFS('Transaction Detail'!$Q$2:$Q$153,'Transaction Detail'!$F$2:$F$153,$A30,'Transaction Detail'!$A$2:$A$153,"2026-03")</x:f>
        <x:v>0</x:v>
      </x:c>
      <x:c r="I30" s="21" t="n">
        <x:f>SUMIFS('Transaction Detail'!$Q$2:$Q$153,'Transaction Detail'!$F$2:$F$153,$A30,'Transaction Detail'!$A$2:$A$153,"2026-04")</x:f>
        <x:v>0</x:v>
      </x:c>
      <x:c r="J30" s="21" t="n">
        <x:f>SUMIFS('Transaction Detail'!$Q$2:$Q$153,'Transaction Detail'!$F$2:$F$153,$A30,'Transaction Detail'!$A$2:$A$153,"2026-05")</x:f>
        <x:v>0</x:v>
      </x:c>
      <x:c r="K30" s="21" t="n">
        <x:f>SUMIFS('Transaction Detail'!$Q$2:$Q$153,'Transaction Detail'!$F$2:$F$153,$A30,'Transaction Detail'!$A$2:$A$153,"2026-06")</x:f>
        <x:v>0</x:v>
      </x:c>
      <x:c r="L30" s="21" t="n">
        <x:f>SUM(F30:K30)</x:f>
        <x:v>712</x:v>
      </x:c>
      <x:c r="M30" s="247" t="n">
        <x:f>SUMIFS('Transaction Detail'!$M$2:$M$153,'Transaction Detail'!$F$2:$F$153,$A30,'Transaction Detail'!$I$2:$I$153,"Needle")</x:f>
        <x:v>400</x:v>
      </x:c>
      <x:c r="N30" s="40" t="n">
        <x:f>IF($E$11=0,0,L30/$E$11)</x:f>
        <x:v>0.07962424513531649</x:v>
      </x:c>
      <x:c r="O30" s="247" t="n">
        <x:f>COUNTIF('Transaction Detail'!$F$2:$F$153,$A30)</x:f>
        <x:v>4</x:v>
      </x:c>
    </x:row>
    <x:row r="31">
      <x:c r="A31" s="18" t="str">
        <x:v>ND-UYX128-12</x:v>
      </x:c>
      <x:c r="B31" s="18" t="str">
        <x:v>風琴機針 UYx128 #12</x:v>
      </x:c>
      <x:c r="C31" s="18" t="str">
        <x:v>UYx128 #12</x:v>
      </x:c>
      <x:c r="D31" s="18" t="str">
        <x:v>包</x:v>
      </x:c>
      <x:c r="E31" s="21" t="n">
        <x:v>1.78</x:v>
      </x:c>
      <x:c r="F31" s="21" t="n">
        <x:f>SUMIFS('Transaction Detail'!$Q$2:$Q$153,'Transaction Detail'!$F$2:$F$153,$A31,'Transaction Detail'!$A$2:$A$153,"2026-01")</x:f>
        <x:v>0</x:v>
      </x:c>
      <x:c r="G31" s="21" t="n">
        <x:f>SUMIFS('Transaction Detail'!$Q$2:$Q$153,'Transaction Detail'!$F$2:$F$153,$A31,'Transaction Detail'!$A$2:$A$153,"2026-02")</x:f>
        <x:v>0</x:v>
      </x:c>
      <x:c r="H31" s="21" t="n">
        <x:f>SUMIFS('Transaction Detail'!$Q$2:$Q$153,'Transaction Detail'!$F$2:$F$153,$A31,'Transaction Detail'!$A$2:$A$153,"2026-03")</x:f>
        <x:v>267</x:v>
      </x:c>
      <x:c r="I31" s="21" t="n">
        <x:f>SUMIFS('Transaction Detail'!$Q$2:$Q$153,'Transaction Detail'!$F$2:$F$153,$A31,'Transaction Detail'!$A$2:$A$153,"2026-04")</x:f>
        <x:v>534</x:v>
      </x:c>
      <x:c r="J31" s="21" t="n">
        <x:f>SUMIFS('Transaction Detail'!$Q$2:$Q$153,'Transaction Detail'!$F$2:$F$153,$A31,'Transaction Detail'!$A$2:$A$153,"2026-05")</x:f>
        <x:v>89</x:v>
      </x:c>
      <x:c r="K31" s="21" t="n">
        <x:f>SUMIFS('Transaction Detail'!$Q$2:$Q$153,'Transaction Detail'!$F$2:$F$153,$A31,'Transaction Detail'!$A$2:$A$153,"2026-06")</x:f>
        <x:v>445</x:v>
      </x:c>
      <x:c r="L31" s="21" t="n">
        <x:f>SUM(F31:K31)</x:f>
        <x:v>1335</x:v>
      </x:c>
      <x:c r="M31" s="247" t="n">
        <x:f>SUMIFS('Transaction Detail'!$M$2:$M$153,'Transaction Detail'!$F$2:$F$153,$A31,'Transaction Detail'!$I$2:$I$153,"Needle")</x:f>
        <x:v>750</x:v>
      </x:c>
      <x:c r="N31" s="40" t="n">
        <x:f>IF($E$11=0,0,L31/$E$11)</x:f>
        <x:v>0.1492954596287184</x:v>
      </x:c>
      <x:c r="O31" s="247" t="n">
        <x:f>COUNTIF('Transaction Detail'!$F$2:$F$153,$A31)</x:f>
        <x:v>7</x:v>
      </x:c>
    </x:row>
    <x:row r="32">
      <x:c r="A32" s="18" t="str">
        <x:v>ND-UYX128-14</x:v>
      </x:c>
      <x:c r="B32" s="18" t="str">
        <x:v>風琴機針 UYx128 #14</x:v>
      </x:c>
      <x:c r="C32" s="18" t="str">
        <x:v>UYx128 #14</x:v>
      </x:c>
      <x:c r="D32" s="18" t="str">
        <x:v>包</x:v>
      </x:c>
      <x:c r="E32" s="21" t="n">
        <x:v>1.78</x:v>
      </x:c>
      <x:c r="F32" s="21" t="n">
        <x:f>SUMIFS('Transaction Detail'!$Q$2:$Q$153,'Transaction Detail'!$F$2:$F$153,$A32,'Transaction Detail'!$A$2:$A$153,"2026-01")</x:f>
        <x:v>0</x:v>
      </x:c>
      <x:c r="G32" s="21" t="n">
        <x:f>SUMIFS('Transaction Detail'!$Q$2:$Q$153,'Transaction Detail'!$F$2:$F$153,$A32,'Transaction Detail'!$A$2:$A$153,"2026-02")</x:f>
        <x:v>0</x:v>
      </x:c>
      <x:c r="H32" s="21" t="n">
        <x:f>SUMIFS('Transaction Detail'!$Q$2:$Q$153,'Transaction Detail'!$F$2:$F$153,$A32,'Transaction Detail'!$A$2:$A$153,"2026-03")</x:f>
        <x:v>267</x:v>
      </x:c>
      <x:c r="I32" s="21" t="n">
        <x:f>SUMIFS('Transaction Detail'!$Q$2:$Q$153,'Transaction Detail'!$F$2:$F$153,$A32,'Transaction Detail'!$A$2:$A$153,"2026-04")</x:f>
        <x:v>0</x:v>
      </x:c>
      <x:c r="J32" s="21" t="n">
        <x:f>SUMIFS('Transaction Detail'!$Q$2:$Q$153,'Transaction Detail'!$F$2:$F$153,$A32,'Transaction Detail'!$A$2:$A$153,"2026-05")</x:f>
        <x:v>178</x:v>
      </x:c>
      <x:c r="K32" s="21" t="n">
        <x:f>SUMIFS('Transaction Detail'!$Q$2:$Q$153,'Transaction Detail'!$F$2:$F$153,$A32,'Transaction Detail'!$A$2:$A$153,"2026-06")</x:f>
        <x:v>89</x:v>
      </x:c>
      <x:c r="L32" s="21" t="n">
        <x:f>SUM(F32:K32)</x:f>
        <x:v>534</x:v>
      </x:c>
      <x:c r="M32" s="247" t="n">
        <x:f>SUMIFS('Transaction Detail'!$M$2:$M$153,'Transaction Detail'!$F$2:$F$153,$A32,'Transaction Detail'!$I$2:$I$153,"Needle")</x:f>
        <x:v>300</x:v>
      </x:c>
      <x:c r="N32" s="40" t="n">
        <x:f>IF($E$11=0,0,L32/$E$11)</x:f>
        <x:v>0.05971818385148736</x:v>
      </x:c>
      <x:c r="O32" s="247" t="n">
        <x:f>COUNTIF('Transaction Detail'!$F$2:$F$153,$A32)</x:f>
        <x:v>3</x:v>
      </x:c>
    </x:row>
    <x:row r="33">
      <x:c r="A33" s="248" t="str">
        <x:v>合計</x:v>
      </x:c>
      <x:c r="B33" s="248" t="str"/>
      <x:c r="C33" s="248" t="str"/>
      <x:c r="D33" s="248" t="str"/>
      <x:c r="E33" s="249" t="str"/>
      <x:c r="F33" s="249" t="n">
        <x:f>SUM(F16:F32)</x:f>
        <x:v>1702</x:v>
      </x:c>
      <x:c r="G33" s="249" t="n">
        <x:f>SUM(G16:G32)</x:f>
        <x:v>1172</x:v>
      </x:c>
      <x:c r="H33" s="249" t="n">
        <x:f>SUM(H16:H32)</x:f>
        <x:v>1296</x:v>
      </x:c>
      <x:c r="I33" s="249" t="n">
        <x:f>SUM(I16:I32)</x:f>
        <x:v>1541</x:v>
      </x:c>
      <x:c r="J33" s="249" t="n">
        <x:f>SUM(J16:J32)</x:f>
        <x:v>997</x:v>
      </x:c>
      <x:c r="K33" s="249" t="n">
        <x:f>SUM(K16:K32)</x:f>
        <x:v>2234</x:v>
      </x:c>
      <x:c r="L33" s="249" t="n">
        <x:f>SUM(L16:L32)</x:f>
        <x:v>8942</x:v>
      </x:c>
      <x:c r="M33" s="251" t="n">
        <x:f>SUM(M16:M32)</x:f>
        <x:v>5180</x:v>
      </x:c>
      <x:c r="N33" s="250" t="n">
        <x:f>SUM(N16:N32)</x:f>
        <x:v>1</x:v>
      </x:c>
      <x:c r="O33" s="251" t="n">
        <x:f>SUM(O16:O32)</x:f>
        <x:v>63</x:v>
      </x:c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</x:sheetData>
  <x:mergeCells>
    <x:mergeCell ref="A1:J1"/>
    <x:mergeCell ref="A2:J2"/>
    <x:mergeCell ref="A14:O14"/>
  </x:mergeCells>
  <x:conditionalFormatting sqref="F5:F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16:N3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{5E5B7DBF-609F-2E0B-4A55-16882E540183}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e1f88311fe64126"/>
  <x:tableParts count="2">
    <x:tablePart xmlns:r="http://schemas.openxmlformats.org/officeDocument/2006/relationships" r:id="R03aede98ce424530"/>
    <x:tablePart xmlns:r="http://schemas.openxmlformats.org/officeDocument/2006/relationships" r:id="R70bbb2dfb6554a1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E5B7DBF-609F-2E0B-4A55-16882E540183}">
            <x14:dataBar gradient="1">
              <x14:cfvo type="min"/>
              <x14:cfvo type="max"/>
              <x14:fillColor rgb="FFA02B93"/>
            </x14:dataBar>
          </x14:cfRule>
          <xm:sqref>N16:N32</xm:sqref>
        </x14:conditionalFormatting>
      </x14:conditionalFormattings>
    </x:ext>
  </x:extLst>
</x:worksheet>
</file>