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5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6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drawings/drawing7.xml" ContentType="application/vnd.openxmlformats-officedocument.drawing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drawings/drawing8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Paul Report\Machine Speartart &amp; Needle Report\Sparepart Machine\"/>
    </mc:Choice>
  </mc:AlternateContent>
  <bookViews>
    <workbookView xWindow="0" yWindow="0" windowWidth="20490" windowHeight="7620" firstSheet="1" activeTab="6"/>
  </bookViews>
  <sheets>
    <sheet name="9-10" sheetId="1" state="hidden" r:id="rId1"/>
    <sheet name="9-11" sheetId="2" r:id="rId2"/>
    <sheet name="9-12" sheetId="3" r:id="rId3"/>
    <sheet name="9-14" sheetId="4" r:id="rId4"/>
    <sheet name="9-15" sheetId="5" r:id="rId5"/>
    <sheet name="9-16" sheetId="6" r:id="rId6"/>
    <sheet name="9-17" sheetId="7" r:id="rId7"/>
    <sheet name="9-18" sheetId="8" state="hidden" r:id="rId8"/>
  </sheets>
  <calcPr calcId="162913" calcMode="autoNoTable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82" i="7" l="1"/>
  <c r="F82" i="7" s="1"/>
  <c r="A82" i="7"/>
  <c r="D5" i="8" l="1"/>
  <c r="D7" i="8"/>
  <c r="D10" i="8"/>
  <c r="D11" i="8"/>
  <c r="D12" i="8"/>
  <c r="D13" i="8"/>
  <c r="D14" i="8"/>
  <c r="D16" i="8"/>
  <c r="D17" i="8"/>
  <c r="D18" i="8"/>
  <c r="D22" i="8"/>
  <c r="D23" i="8"/>
  <c r="D25" i="8"/>
  <c r="D26" i="8"/>
  <c r="D28" i="8"/>
  <c r="D29" i="8"/>
  <c r="D30" i="8"/>
  <c r="D31" i="8"/>
  <c r="D32" i="8"/>
  <c r="D33" i="8"/>
  <c r="D34" i="8"/>
  <c r="D35" i="8"/>
  <c r="D36" i="8"/>
  <c r="D38" i="8"/>
  <c r="D39" i="8"/>
  <c r="D41" i="8"/>
  <c r="D42" i="8"/>
  <c r="D43" i="8"/>
  <c r="D44" i="8"/>
  <c r="D45" i="8"/>
  <c r="D46" i="8"/>
  <c r="D47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A82" i="8"/>
  <c r="E81" i="8"/>
  <c r="F81" i="8"/>
  <c r="A81" i="8"/>
  <c r="E80" i="8"/>
  <c r="F80" i="8"/>
  <c r="A80" i="8"/>
  <c r="E79" i="8"/>
  <c r="F79" i="8"/>
  <c r="A79" i="8"/>
  <c r="E78" i="8"/>
  <c r="F78" i="8"/>
  <c r="A78" i="8"/>
  <c r="E77" i="8"/>
  <c r="F77" i="8"/>
  <c r="A77" i="8"/>
  <c r="E76" i="8"/>
  <c r="F76" i="8"/>
  <c r="A76" i="8"/>
  <c r="E75" i="8"/>
  <c r="F75" i="8"/>
  <c r="A75" i="8"/>
  <c r="E74" i="8"/>
  <c r="F74" i="8"/>
  <c r="A74" i="8"/>
  <c r="E73" i="8"/>
  <c r="F73" i="8"/>
  <c r="A73" i="8"/>
  <c r="E72" i="8"/>
  <c r="F72" i="8"/>
  <c r="A72" i="8"/>
  <c r="E71" i="8"/>
  <c r="F71" i="8"/>
  <c r="A71" i="8"/>
  <c r="E70" i="8"/>
  <c r="F70" i="8"/>
  <c r="A70" i="8"/>
  <c r="E69" i="8"/>
  <c r="F69" i="8"/>
  <c r="A69" i="8"/>
  <c r="E68" i="8"/>
  <c r="F68" i="8"/>
  <c r="A68" i="8"/>
  <c r="E67" i="8"/>
  <c r="F67" i="8"/>
  <c r="A67" i="8"/>
  <c r="E66" i="8"/>
  <c r="F66" i="8"/>
  <c r="A66" i="8"/>
  <c r="E65" i="8"/>
  <c r="F65" i="8"/>
  <c r="A65" i="8"/>
  <c r="E64" i="8"/>
  <c r="F64" i="8"/>
  <c r="A64" i="8"/>
  <c r="E63" i="8"/>
  <c r="F63" i="8"/>
  <c r="A63" i="8"/>
  <c r="E62" i="8"/>
  <c r="F62" i="8"/>
  <c r="A62" i="8"/>
  <c r="E61" i="8"/>
  <c r="F61" i="8"/>
  <c r="A61" i="8"/>
  <c r="E60" i="8"/>
  <c r="F60" i="8"/>
  <c r="A60" i="8"/>
  <c r="E59" i="8"/>
  <c r="F59" i="8"/>
  <c r="A59" i="8"/>
  <c r="E58" i="8"/>
  <c r="F58" i="8"/>
  <c r="A58" i="8"/>
  <c r="E57" i="8"/>
  <c r="F57" i="8"/>
  <c r="A57" i="8"/>
  <c r="E56" i="8"/>
  <c r="F56" i="8"/>
  <c r="A56" i="8"/>
  <c r="E55" i="8"/>
  <c r="F55" i="8"/>
  <c r="A55" i="8"/>
  <c r="E54" i="8"/>
  <c r="F54" i="8"/>
  <c r="A54" i="8"/>
  <c r="E53" i="8"/>
  <c r="F53" i="8"/>
  <c r="A53" i="8"/>
  <c r="E52" i="8"/>
  <c r="F52" i="8"/>
  <c r="A52" i="8"/>
  <c r="E51" i="8"/>
  <c r="F51" i="8"/>
  <c r="A51" i="8"/>
  <c r="E50" i="8"/>
  <c r="F50" i="8"/>
  <c r="A50" i="8"/>
  <c r="E49" i="8"/>
  <c r="A49" i="8"/>
  <c r="E48" i="8"/>
  <c r="A48" i="8"/>
  <c r="E47" i="8"/>
  <c r="F47" i="8"/>
  <c r="A47" i="8"/>
  <c r="E46" i="8"/>
  <c r="F46" i="8"/>
  <c r="A46" i="8"/>
  <c r="E45" i="8"/>
  <c r="F45" i="8"/>
  <c r="A45" i="8"/>
  <c r="E44" i="8"/>
  <c r="F44" i="8"/>
  <c r="A44" i="8"/>
  <c r="E43" i="8"/>
  <c r="F43" i="8"/>
  <c r="A43" i="8"/>
  <c r="E42" i="8"/>
  <c r="F42" i="8"/>
  <c r="A42" i="8"/>
  <c r="E41" i="8"/>
  <c r="F41" i="8"/>
  <c r="A41" i="8"/>
  <c r="E40" i="8"/>
  <c r="A40" i="8"/>
  <c r="E39" i="8"/>
  <c r="F39" i="8"/>
  <c r="A39" i="8"/>
  <c r="E38" i="8"/>
  <c r="F38" i="8"/>
  <c r="A38" i="8"/>
  <c r="E37" i="8"/>
  <c r="A37" i="8"/>
  <c r="E36" i="8"/>
  <c r="F36" i="8"/>
  <c r="A36" i="8"/>
  <c r="E35" i="8"/>
  <c r="F35" i="8"/>
  <c r="A35" i="8"/>
  <c r="E34" i="8"/>
  <c r="F34" i="8"/>
  <c r="A34" i="8"/>
  <c r="E33" i="8"/>
  <c r="F33" i="8"/>
  <c r="A33" i="8"/>
  <c r="E32" i="8"/>
  <c r="F32" i="8"/>
  <c r="A32" i="8"/>
  <c r="E31" i="8"/>
  <c r="F31" i="8"/>
  <c r="A31" i="8"/>
  <c r="E30" i="8"/>
  <c r="F30" i="8"/>
  <c r="A30" i="8"/>
  <c r="E29" i="8"/>
  <c r="F29" i="8"/>
  <c r="A29" i="8"/>
  <c r="E28" i="8"/>
  <c r="F28" i="8"/>
  <c r="A28" i="8"/>
  <c r="E27" i="8"/>
  <c r="A27" i="8"/>
  <c r="E26" i="8"/>
  <c r="F26" i="8"/>
  <c r="A26" i="8"/>
  <c r="E25" i="8"/>
  <c r="F25" i="8"/>
  <c r="A25" i="8"/>
  <c r="E24" i="8"/>
  <c r="A24" i="8"/>
  <c r="E23" i="8"/>
  <c r="F23" i="8"/>
  <c r="A23" i="8"/>
  <c r="E22" i="8"/>
  <c r="F22" i="8"/>
  <c r="A22" i="8"/>
  <c r="E21" i="8"/>
  <c r="A21" i="8"/>
  <c r="E20" i="8"/>
  <c r="A20" i="8"/>
  <c r="E19" i="8"/>
  <c r="A19" i="8"/>
  <c r="E18" i="8"/>
  <c r="F18" i="8"/>
  <c r="A18" i="8"/>
  <c r="E17" i="8"/>
  <c r="F17" i="8"/>
  <c r="A17" i="8"/>
  <c r="E16" i="8"/>
  <c r="F16" i="8"/>
  <c r="A16" i="8"/>
  <c r="E15" i="8"/>
  <c r="A15" i="8"/>
  <c r="E14" i="8"/>
  <c r="F14" i="8"/>
  <c r="A14" i="8"/>
  <c r="E13" i="8"/>
  <c r="F13" i="8"/>
  <c r="A13" i="8"/>
  <c r="E12" i="8"/>
  <c r="F12" i="8"/>
  <c r="A12" i="8"/>
  <c r="E11" i="8"/>
  <c r="F11" i="8"/>
  <c r="A11" i="8"/>
  <c r="E10" i="8"/>
  <c r="F10" i="8"/>
  <c r="A10" i="8"/>
  <c r="E9" i="8"/>
  <c r="A9" i="8"/>
  <c r="E8" i="8"/>
  <c r="A8" i="8"/>
  <c r="E7" i="8"/>
  <c r="F7" i="8"/>
  <c r="A7" i="8"/>
  <c r="E6" i="8"/>
  <c r="A6" i="8"/>
  <c r="E5" i="8"/>
  <c r="F5" i="8"/>
  <c r="A5" i="8"/>
  <c r="E4" i="8"/>
  <c r="A4" i="8"/>
  <c r="E3" i="8"/>
  <c r="A3" i="8"/>
  <c r="D5" i="7"/>
  <c r="D7" i="7"/>
  <c r="D10" i="7"/>
  <c r="D11" i="7"/>
  <c r="D12" i="7"/>
  <c r="D13" i="7"/>
  <c r="D14" i="7"/>
  <c r="D16" i="7"/>
  <c r="D17" i="7"/>
  <c r="D18" i="7"/>
  <c r="D20" i="7"/>
  <c r="D22" i="7"/>
  <c r="D23" i="7"/>
  <c r="D25" i="7"/>
  <c r="D26" i="7"/>
  <c r="D28" i="7"/>
  <c r="D29" i="7"/>
  <c r="D30" i="7"/>
  <c r="D31" i="7"/>
  <c r="D32" i="7"/>
  <c r="D33" i="7"/>
  <c r="D34" i="7"/>
  <c r="D35" i="7"/>
  <c r="D36" i="7"/>
  <c r="D38" i="7"/>
  <c r="D39" i="7"/>
  <c r="D41" i="7"/>
  <c r="D42" i="7"/>
  <c r="D43" i="7"/>
  <c r="D44" i="7"/>
  <c r="D45" i="7"/>
  <c r="D46" i="7"/>
  <c r="D47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E81" i="7"/>
  <c r="F81" i="7"/>
  <c r="A81" i="7"/>
  <c r="E80" i="7"/>
  <c r="F80" i="7"/>
  <c r="A80" i="7"/>
  <c r="E79" i="7"/>
  <c r="F79" i="7"/>
  <c r="A79" i="7"/>
  <c r="E78" i="7"/>
  <c r="F78" i="7"/>
  <c r="A78" i="7"/>
  <c r="E77" i="7"/>
  <c r="F77" i="7"/>
  <c r="A77" i="7"/>
  <c r="E76" i="7"/>
  <c r="F76" i="7"/>
  <c r="A76" i="7"/>
  <c r="E75" i="7"/>
  <c r="F75" i="7"/>
  <c r="A75" i="7"/>
  <c r="E74" i="7"/>
  <c r="F74" i="7"/>
  <c r="A74" i="7"/>
  <c r="E73" i="7"/>
  <c r="F73" i="7"/>
  <c r="A73" i="7"/>
  <c r="E72" i="7"/>
  <c r="F72" i="7"/>
  <c r="A72" i="7"/>
  <c r="E71" i="7"/>
  <c r="F71" i="7"/>
  <c r="A71" i="7"/>
  <c r="E70" i="7"/>
  <c r="F70" i="7"/>
  <c r="A70" i="7"/>
  <c r="E69" i="7"/>
  <c r="F69" i="7"/>
  <c r="A69" i="7"/>
  <c r="E68" i="7"/>
  <c r="F68" i="7"/>
  <c r="A68" i="7"/>
  <c r="E67" i="7"/>
  <c r="F67" i="7"/>
  <c r="A67" i="7"/>
  <c r="E66" i="7"/>
  <c r="F66" i="7"/>
  <c r="A66" i="7"/>
  <c r="E65" i="7"/>
  <c r="F65" i="7"/>
  <c r="A65" i="7"/>
  <c r="E64" i="7"/>
  <c r="F64" i="7"/>
  <c r="A64" i="7"/>
  <c r="E63" i="7"/>
  <c r="F63" i="7"/>
  <c r="A63" i="7"/>
  <c r="E62" i="7"/>
  <c r="F62" i="7"/>
  <c r="A62" i="7"/>
  <c r="E61" i="7"/>
  <c r="F61" i="7"/>
  <c r="A61" i="7"/>
  <c r="E60" i="7"/>
  <c r="F60" i="7"/>
  <c r="A60" i="7"/>
  <c r="E59" i="7"/>
  <c r="F59" i="7"/>
  <c r="A59" i="7"/>
  <c r="E58" i="7"/>
  <c r="F58" i="7"/>
  <c r="A58" i="7"/>
  <c r="E57" i="7"/>
  <c r="F57" i="7"/>
  <c r="A57" i="7"/>
  <c r="E56" i="7"/>
  <c r="F56" i="7"/>
  <c r="A56" i="7"/>
  <c r="E55" i="7"/>
  <c r="F55" i="7"/>
  <c r="A55" i="7"/>
  <c r="E54" i="7"/>
  <c r="F54" i="7"/>
  <c r="A54" i="7"/>
  <c r="E53" i="7"/>
  <c r="F53" i="7"/>
  <c r="A53" i="7"/>
  <c r="E52" i="7"/>
  <c r="F52" i="7"/>
  <c r="A52" i="7"/>
  <c r="E51" i="7"/>
  <c r="F51" i="7"/>
  <c r="A51" i="7"/>
  <c r="E50" i="7"/>
  <c r="F50" i="7"/>
  <c r="A50" i="7"/>
  <c r="E49" i="7"/>
  <c r="A49" i="7"/>
  <c r="E48" i="7"/>
  <c r="A48" i="7"/>
  <c r="E47" i="7"/>
  <c r="F47" i="7"/>
  <c r="A47" i="7"/>
  <c r="E46" i="7"/>
  <c r="F46" i="7"/>
  <c r="A46" i="7"/>
  <c r="E45" i="7"/>
  <c r="F45" i="7"/>
  <c r="A45" i="7"/>
  <c r="E44" i="7"/>
  <c r="F44" i="7"/>
  <c r="A44" i="7"/>
  <c r="E43" i="7"/>
  <c r="F43" i="7"/>
  <c r="A43" i="7"/>
  <c r="E42" i="7"/>
  <c r="F42" i="7"/>
  <c r="A42" i="7"/>
  <c r="E41" i="7"/>
  <c r="F41" i="7"/>
  <c r="A41" i="7"/>
  <c r="E40" i="7"/>
  <c r="A40" i="7"/>
  <c r="E39" i="7"/>
  <c r="F39" i="7"/>
  <c r="A39" i="7"/>
  <c r="E38" i="7"/>
  <c r="F38" i="7"/>
  <c r="A38" i="7"/>
  <c r="E37" i="7"/>
  <c r="A37" i="7"/>
  <c r="E36" i="7"/>
  <c r="F36" i="7"/>
  <c r="A36" i="7"/>
  <c r="E35" i="7"/>
  <c r="F35" i="7"/>
  <c r="A35" i="7"/>
  <c r="E34" i="7"/>
  <c r="F34" i="7"/>
  <c r="A34" i="7"/>
  <c r="E33" i="7"/>
  <c r="F33" i="7"/>
  <c r="A33" i="7"/>
  <c r="E32" i="7"/>
  <c r="F32" i="7"/>
  <c r="A32" i="7"/>
  <c r="E31" i="7"/>
  <c r="F31" i="7"/>
  <c r="A31" i="7"/>
  <c r="E30" i="7"/>
  <c r="F30" i="7"/>
  <c r="A30" i="7"/>
  <c r="E29" i="7"/>
  <c r="F29" i="7"/>
  <c r="A29" i="7"/>
  <c r="E28" i="7"/>
  <c r="F28" i="7"/>
  <c r="A28" i="7"/>
  <c r="E27" i="7"/>
  <c r="A27" i="7"/>
  <c r="E26" i="7"/>
  <c r="F26" i="7"/>
  <c r="A26" i="7"/>
  <c r="E25" i="7"/>
  <c r="F25" i="7"/>
  <c r="A25" i="7"/>
  <c r="E24" i="7"/>
  <c r="A24" i="7"/>
  <c r="E23" i="7"/>
  <c r="F23" i="7"/>
  <c r="A23" i="7"/>
  <c r="E22" i="7"/>
  <c r="F22" i="7"/>
  <c r="A22" i="7"/>
  <c r="E21" i="7"/>
  <c r="A21" i="7"/>
  <c r="E20" i="7"/>
  <c r="F20" i="7" s="1"/>
  <c r="D20" i="8" s="1"/>
  <c r="F20" i="8" s="1"/>
  <c r="A20" i="7"/>
  <c r="E19" i="7"/>
  <c r="A19" i="7"/>
  <c r="E18" i="7"/>
  <c r="F18" i="7"/>
  <c r="A18" i="7"/>
  <c r="E17" i="7"/>
  <c r="F17" i="7"/>
  <c r="A17" i="7"/>
  <c r="E16" i="7"/>
  <c r="F16" i="7"/>
  <c r="A16" i="7"/>
  <c r="E15" i="7"/>
  <c r="A15" i="7"/>
  <c r="E14" i="7"/>
  <c r="F14" i="7"/>
  <c r="A14" i="7"/>
  <c r="E13" i="7"/>
  <c r="F13" i="7"/>
  <c r="A13" i="7"/>
  <c r="E12" i="7"/>
  <c r="F12" i="7"/>
  <c r="A12" i="7"/>
  <c r="E11" i="7"/>
  <c r="F11" i="7"/>
  <c r="A11" i="7"/>
  <c r="E10" i="7"/>
  <c r="F10" i="7"/>
  <c r="A10" i="7"/>
  <c r="E9" i="7"/>
  <c r="A9" i="7"/>
  <c r="E8" i="7"/>
  <c r="A8" i="7"/>
  <c r="E7" i="7"/>
  <c r="F7" i="7"/>
  <c r="A7" i="7"/>
  <c r="E6" i="7"/>
  <c r="A6" i="7"/>
  <c r="E5" i="7"/>
  <c r="F5" i="7"/>
  <c r="A5" i="7"/>
  <c r="E4" i="7"/>
  <c r="A4" i="7"/>
  <c r="E3" i="7"/>
  <c r="A3" i="7"/>
  <c r="D5" i="6"/>
  <c r="D7" i="6"/>
  <c r="D10" i="6"/>
  <c r="D11" i="6"/>
  <c r="D12" i="6"/>
  <c r="D13" i="6"/>
  <c r="D14" i="6"/>
  <c r="D16" i="6"/>
  <c r="D17" i="6"/>
  <c r="D18" i="6"/>
  <c r="D19" i="6"/>
  <c r="D20" i="6"/>
  <c r="D22" i="6"/>
  <c r="D23" i="6"/>
  <c r="D25" i="6"/>
  <c r="D26" i="6"/>
  <c r="D28" i="6"/>
  <c r="D29" i="6"/>
  <c r="D30" i="6"/>
  <c r="D31" i="6"/>
  <c r="D32" i="6"/>
  <c r="D33" i="6"/>
  <c r="D34" i="6"/>
  <c r="D35" i="6"/>
  <c r="D36" i="6"/>
  <c r="D38" i="6"/>
  <c r="D39" i="6"/>
  <c r="D41" i="6"/>
  <c r="D42" i="6"/>
  <c r="D43" i="6"/>
  <c r="D44" i="6"/>
  <c r="D45" i="6"/>
  <c r="D46" i="6"/>
  <c r="D47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A82" i="6"/>
  <c r="E81" i="6"/>
  <c r="F81" i="6"/>
  <c r="A81" i="6"/>
  <c r="E80" i="6"/>
  <c r="F80" i="6"/>
  <c r="A80" i="6"/>
  <c r="E79" i="6"/>
  <c r="F79" i="6"/>
  <c r="A79" i="6"/>
  <c r="E78" i="6"/>
  <c r="F78" i="6"/>
  <c r="A78" i="6"/>
  <c r="E77" i="6"/>
  <c r="F77" i="6"/>
  <c r="A77" i="6"/>
  <c r="E76" i="6"/>
  <c r="F76" i="6"/>
  <c r="A76" i="6"/>
  <c r="E75" i="6"/>
  <c r="F75" i="6"/>
  <c r="A75" i="6"/>
  <c r="E74" i="6"/>
  <c r="F74" i="6"/>
  <c r="A74" i="6"/>
  <c r="E73" i="6"/>
  <c r="F73" i="6"/>
  <c r="A73" i="6"/>
  <c r="E72" i="6"/>
  <c r="F72" i="6"/>
  <c r="A72" i="6"/>
  <c r="E71" i="6"/>
  <c r="F71" i="6"/>
  <c r="A71" i="6"/>
  <c r="E70" i="6"/>
  <c r="F70" i="6"/>
  <c r="A70" i="6"/>
  <c r="E69" i="6"/>
  <c r="F69" i="6"/>
  <c r="A69" i="6"/>
  <c r="E68" i="6"/>
  <c r="F68" i="6"/>
  <c r="A68" i="6"/>
  <c r="E67" i="6"/>
  <c r="F67" i="6"/>
  <c r="A67" i="6"/>
  <c r="E66" i="6"/>
  <c r="F66" i="6"/>
  <c r="A66" i="6"/>
  <c r="E65" i="6"/>
  <c r="F65" i="6"/>
  <c r="A65" i="6"/>
  <c r="E64" i="6"/>
  <c r="F64" i="6"/>
  <c r="A64" i="6"/>
  <c r="E63" i="6"/>
  <c r="F63" i="6"/>
  <c r="A63" i="6"/>
  <c r="E62" i="6"/>
  <c r="F62" i="6"/>
  <c r="A62" i="6"/>
  <c r="E61" i="6"/>
  <c r="F61" i="6"/>
  <c r="A61" i="6"/>
  <c r="E60" i="6"/>
  <c r="F60" i="6"/>
  <c r="A60" i="6"/>
  <c r="E59" i="6"/>
  <c r="F59" i="6"/>
  <c r="A59" i="6"/>
  <c r="E58" i="6"/>
  <c r="F58" i="6"/>
  <c r="A58" i="6"/>
  <c r="E57" i="6"/>
  <c r="F57" i="6"/>
  <c r="A57" i="6"/>
  <c r="E56" i="6"/>
  <c r="F56" i="6"/>
  <c r="A56" i="6"/>
  <c r="E55" i="6"/>
  <c r="F55" i="6"/>
  <c r="A55" i="6"/>
  <c r="E54" i="6"/>
  <c r="F54" i="6"/>
  <c r="A54" i="6"/>
  <c r="E53" i="6"/>
  <c r="F53" i="6"/>
  <c r="A53" i="6"/>
  <c r="E52" i="6"/>
  <c r="F52" i="6"/>
  <c r="A52" i="6"/>
  <c r="E51" i="6"/>
  <c r="F51" i="6"/>
  <c r="A51" i="6"/>
  <c r="E50" i="6"/>
  <c r="F50" i="6"/>
  <c r="A50" i="6"/>
  <c r="E49" i="6"/>
  <c r="A49" i="6"/>
  <c r="E48" i="6"/>
  <c r="A48" i="6"/>
  <c r="E47" i="6"/>
  <c r="F47" i="6"/>
  <c r="A47" i="6"/>
  <c r="E46" i="6"/>
  <c r="F46" i="6"/>
  <c r="A46" i="6"/>
  <c r="E45" i="6"/>
  <c r="F45" i="6"/>
  <c r="A45" i="6"/>
  <c r="E44" i="6"/>
  <c r="F44" i="6"/>
  <c r="A44" i="6"/>
  <c r="E43" i="6"/>
  <c r="F43" i="6"/>
  <c r="A43" i="6"/>
  <c r="E42" i="6"/>
  <c r="F42" i="6"/>
  <c r="A42" i="6"/>
  <c r="E41" i="6"/>
  <c r="F41" i="6"/>
  <c r="A41" i="6"/>
  <c r="E40" i="6"/>
  <c r="A40" i="6"/>
  <c r="E39" i="6"/>
  <c r="F39" i="6"/>
  <c r="A39" i="6"/>
  <c r="E38" i="6"/>
  <c r="F38" i="6"/>
  <c r="A38" i="6"/>
  <c r="E37" i="6"/>
  <c r="A37" i="6"/>
  <c r="E36" i="6"/>
  <c r="F36" i="6"/>
  <c r="A36" i="6"/>
  <c r="E35" i="6"/>
  <c r="F35" i="6"/>
  <c r="A35" i="6"/>
  <c r="E34" i="6"/>
  <c r="F34" i="6"/>
  <c r="A34" i="6"/>
  <c r="E33" i="6"/>
  <c r="F33" i="6"/>
  <c r="A33" i="6"/>
  <c r="E32" i="6"/>
  <c r="F32" i="6"/>
  <c r="A32" i="6"/>
  <c r="E31" i="6"/>
  <c r="F31" i="6"/>
  <c r="A31" i="6"/>
  <c r="E30" i="6"/>
  <c r="F30" i="6"/>
  <c r="A30" i="6"/>
  <c r="E29" i="6"/>
  <c r="F29" i="6"/>
  <c r="A29" i="6"/>
  <c r="E28" i="6"/>
  <c r="F28" i="6"/>
  <c r="A28" i="6"/>
  <c r="E27" i="6"/>
  <c r="A27" i="6"/>
  <c r="E26" i="6"/>
  <c r="F26" i="6"/>
  <c r="A26" i="6"/>
  <c r="E25" i="6"/>
  <c r="F25" i="6"/>
  <c r="A25" i="6"/>
  <c r="E24" i="6"/>
  <c r="A24" i="6"/>
  <c r="E23" i="6"/>
  <c r="F23" i="6"/>
  <c r="A23" i="6"/>
  <c r="E22" i="6"/>
  <c r="F22" i="6"/>
  <c r="A22" i="6"/>
  <c r="E21" i="6"/>
  <c r="A21" i="6"/>
  <c r="E20" i="6"/>
  <c r="F20" i="6"/>
  <c r="A20" i="6"/>
  <c r="E19" i="6"/>
  <c r="F19" i="6" s="1"/>
  <c r="D19" i="7" s="1"/>
  <c r="F19" i="7" s="1"/>
  <c r="D19" i="8" s="1"/>
  <c r="F19" i="8" s="1"/>
  <c r="A19" i="6"/>
  <c r="E18" i="6"/>
  <c r="F18" i="6"/>
  <c r="A18" i="6"/>
  <c r="E17" i="6"/>
  <c r="F17" i="6"/>
  <c r="A17" i="6"/>
  <c r="E16" i="6"/>
  <c r="F16" i="6"/>
  <c r="A16" i="6"/>
  <c r="E15" i="6"/>
  <c r="A15" i="6"/>
  <c r="E14" i="6"/>
  <c r="F14" i="6"/>
  <c r="A14" i="6"/>
  <c r="E13" i="6"/>
  <c r="F13" i="6"/>
  <c r="A13" i="6"/>
  <c r="E12" i="6"/>
  <c r="F12" i="6"/>
  <c r="A12" i="6"/>
  <c r="E11" i="6"/>
  <c r="F11" i="6"/>
  <c r="A11" i="6"/>
  <c r="E10" i="6"/>
  <c r="F10" i="6"/>
  <c r="A10" i="6"/>
  <c r="E9" i="6"/>
  <c r="A9" i="6"/>
  <c r="E8" i="6"/>
  <c r="A8" i="6"/>
  <c r="E7" i="6"/>
  <c r="F7" i="6"/>
  <c r="A7" i="6"/>
  <c r="E6" i="6"/>
  <c r="A6" i="6"/>
  <c r="E5" i="6"/>
  <c r="F5" i="6"/>
  <c r="A5" i="6"/>
  <c r="E4" i="6"/>
  <c r="A4" i="6"/>
  <c r="E3" i="6"/>
  <c r="A3" i="6"/>
  <c r="D5" i="5"/>
  <c r="D7" i="5"/>
  <c r="D10" i="5"/>
  <c r="D11" i="5"/>
  <c r="D12" i="5"/>
  <c r="D13" i="5"/>
  <c r="D14" i="5"/>
  <c r="D16" i="5"/>
  <c r="D17" i="5"/>
  <c r="D18" i="5"/>
  <c r="D19" i="5"/>
  <c r="D20" i="5"/>
  <c r="D22" i="5"/>
  <c r="D23" i="5"/>
  <c r="D25" i="5"/>
  <c r="D26" i="5"/>
  <c r="D28" i="5"/>
  <c r="D29" i="5"/>
  <c r="D30" i="5"/>
  <c r="D31" i="5"/>
  <c r="D32" i="5"/>
  <c r="D33" i="5"/>
  <c r="D34" i="5"/>
  <c r="D35" i="5"/>
  <c r="D36" i="5"/>
  <c r="D38" i="5"/>
  <c r="D39" i="5"/>
  <c r="D41" i="5"/>
  <c r="D42" i="5"/>
  <c r="D43" i="5"/>
  <c r="D44" i="5"/>
  <c r="D45" i="5"/>
  <c r="D46" i="5"/>
  <c r="D47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A82" i="5"/>
  <c r="E81" i="5"/>
  <c r="F81" i="5"/>
  <c r="A81" i="5"/>
  <c r="E80" i="5"/>
  <c r="F80" i="5"/>
  <c r="A80" i="5"/>
  <c r="E79" i="5"/>
  <c r="F79" i="5"/>
  <c r="A79" i="5"/>
  <c r="E78" i="5"/>
  <c r="F78" i="5"/>
  <c r="A78" i="5"/>
  <c r="E77" i="5"/>
  <c r="F77" i="5"/>
  <c r="A77" i="5"/>
  <c r="E76" i="5"/>
  <c r="F76" i="5"/>
  <c r="A76" i="5"/>
  <c r="E75" i="5"/>
  <c r="F75" i="5"/>
  <c r="A75" i="5"/>
  <c r="E74" i="5"/>
  <c r="F74" i="5"/>
  <c r="A74" i="5"/>
  <c r="E73" i="5"/>
  <c r="F73" i="5"/>
  <c r="A73" i="5"/>
  <c r="E72" i="5"/>
  <c r="F72" i="5"/>
  <c r="A72" i="5"/>
  <c r="E71" i="5"/>
  <c r="F71" i="5"/>
  <c r="A71" i="5"/>
  <c r="E70" i="5"/>
  <c r="F70" i="5"/>
  <c r="A70" i="5"/>
  <c r="E69" i="5"/>
  <c r="F69" i="5"/>
  <c r="A69" i="5"/>
  <c r="E68" i="5"/>
  <c r="F68" i="5"/>
  <c r="A68" i="5"/>
  <c r="E67" i="5"/>
  <c r="F67" i="5"/>
  <c r="A67" i="5"/>
  <c r="E66" i="5"/>
  <c r="F66" i="5"/>
  <c r="A66" i="5"/>
  <c r="E65" i="5"/>
  <c r="F65" i="5"/>
  <c r="A65" i="5"/>
  <c r="E64" i="5"/>
  <c r="F64" i="5"/>
  <c r="A64" i="5"/>
  <c r="E63" i="5"/>
  <c r="F63" i="5"/>
  <c r="A63" i="5"/>
  <c r="E62" i="5"/>
  <c r="F62" i="5"/>
  <c r="A62" i="5"/>
  <c r="E61" i="5"/>
  <c r="F61" i="5"/>
  <c r="A61" i="5"/>
  <c r="E60" i="5"/>
  <c r="F60" i="5"/>
  <c r="A60" i="5"/>
  <c r="E59" i="5"/>
  <c r="F59" i="5"/>
  <c r="A59" i="5"/>
  <c r="E58" i="5"/>
  <c r="F58" i="5"/>
  <c r="A58" i="5"/>
  <c r="E57" i="5"/>
  <c r="F57" i="5"/>
  <c r="A57" i="5"/>
  <c r="E56" i="5"/>
  <c r="F56" i="5"/>
  <c r="A56" i="5"/>
  <c r="E55" i="5"/>
  <c r="F55" i="5"/>
  <c r="A55" i="5"/>
  <c r="E54" i="5"/>
  <c r="F54" i="5"/>
  <c r="A54" i="5"/>
  <c r="E53" i="5"/>
  <c r="F53" i="5"/>
  <c r="A53" i="5"/>
  <c r="E52" i="5"/>
  <c r="F52" i="5"/>
  <c r="A52" i="5"/>
  <c r="E51" i="5"/>
  <c r="F51" i="5"/>
  <c r="A51" i="5"/>
  <c r="E50" i="5"/>
  <c r="F50" i="5"/>
  <c r="A50" i="5"/>
  <c r="E49" i="5"/>
  <c r="A49" i="5"/>
  <c r="E48" i="5"/>
  <c r="A48" i="5"/>
  <c r="E47" i="5"/>
  <c r="F47" i="5"/>
  <c r="A47" i="5"/>
  <c r="E46" i="5"/>
  <c r="F46" i="5"/>
  <c r="A46" i="5"/>
  <c r="E45" i="5"/>
  <c r="F45" i="5"/>
  <c r="A45" i="5"/>
  <c r="E44" i="5"/>
  <c r="F44" i="5"/>
  <c r="A44" i="5"/>
  <c r="E43" i="5"/>
  <c r="F43" i="5"/>
  <c r="A43" i="5"/>
  <c r="E42" i="5"/>
  <c r="F42" i="5"/>
  <c r="A42" i="5"/>
  <c r="E41" i="5"/>
  <c r="F41" i="5"/>
  <c r="A41" i="5"/>
  <c r="E40" i="5"/>
  <c r="A40" i="5"/>
  <c r="E39" i="5"/>
  <c r="F39" i="5"/>
  <c r="A39" i="5"/>
  <c r="E38" i="5"/>
  <c r="F38" i="5"/>
  <c r="A38" i="5"/>
  <c r="E37" i="5"/>
  <c r="A37" i="5"/>
  <c r="E36" i="5"/>
  <c r="F36" i="5"/>
  <c r="A36" i="5"/>
  <c r="E35" i="5"/>
  <c r="F35" i="5"/>
  <c r="A35" i="5"/>
  <c r="E34" i="5"/>
  <c r="F34" i="5"/>
  <c r="A34" i="5"/>
  <c r="E33" i="5"/>
  <c r="F33" i="5"/>
  <c r="A33" i="5"/>
  <c r="E32" i="5"/>
  <c r="F32" i="5"/>
  <c r="A32" i="5"/>
  <c r="E31" i="5"/>
  <c r="F31" i="5"/>
  <c r="A31" i="5"/>
  <c r="E30" i="5"/>
  <c r="F30" i="5"/>
  <c r="A30" i="5"/>
  <c r="E29" i="5"/>
  <c r="F29" i="5"/>
  <c r="A29" i="5"/>
  <c r="E28" i="5"/>
  <c r="F28" i="5"/>
  <c r="A28" i="5"/>
  <c r="E27" i="5"/>
  <c r="A27" i="5"/>
  <c r="E26" i="5"/>
  <c r="F26" i="5"/>
  <c r="A26" i="5"/>
  <c r="E25" i="5"/>
  <c r="F25" i="5"/>
  <c r="A25" i="5"/>
  <c r="E24" i="5"/>
  <c r="A24" i="5"/>
  <c r="E23" i="5"/>
  <c r="F23" i="5"/>
  <c r="A23" i="5"/>
  <c r="E22" i="5"/>
  <c r="F22" i="5"/>
  <c r="A22" i="5"/>
  <c r="E21" i="5"/>
  <c r="A21" i="5"/>
  <c r="E20" i="5"/>
  <c r="F20" i="5"/>
  <c r="A20" i="5"/>
  <c r="E19" i="5"/>
  <c r="F19" i="5"/>
  <c r="A19" i="5"/>
  <c r="E18" i="5"/>
  <c r="F18" i="5"/>
  <c r="A18" i="5"/>
  <c r="E17" i="5"/>
  <c r="F17" i="5"/>
  <c r="A17" i="5"/>
  <c r="E16" i="5"/>
  <c r="F16" i="5"/>
  <c r="A16" i="5"/>
  <c r="E15" i="5"/>
  <c r="A15" i="5"/>
  <c r="E14" i="5"/>
  <c r="F14" i="5"/>
  <c r="A14" i="5"/>
  <c r="E13" i="5"/>
  <c r="F13" i="5"/>
  <c r="A13" i="5"/>
  <c r="E12" i="5"/>
  <c r="F12" i="5"/>
  <c r="A12" i="5"/>
  <c r="E11" i="5"/>
  <c r="F11" i="5"/>
  <c r="A11" i="5"/>
  <c r="E10" i="5"/>
  <c r="F10" i="5"/>
  <c r="A10" i="5"/>
  <c r="E9" i="5"/>
  <c r="A9" i="5"/>
  <c r="E8" i="5"/>
  <c r="A8" i="5"/>
  <c r="E7" i="5"/>
  <c r="F7" i="5"/>
  <c r="A7" i="5"/>
  <c r="E6" i="5"/>
  <c r="A6" i="5"/>
  <c r="E5" i="5"/>
  <c r="F5" i="5"/>
  <c r="A5" i="5"/>
  <c r="E4" i="5"/>
  <c r="A4" i="5"/>
  <c r="E3" i="5"/>
  <c r="A3" i="5"/>
  <c r="D5" i="4"/>
  <c r="D7" i="4"/>
  <c r="D10" i="4"/>
  <c r="D11" i="4"/>
  <c r="D12" i="4"/>
  <c r="D13" i="4"/>
  <c r="D14" i="4"/>
  <c r="D16" i="4"/>
  <c r="D17" i="4"/>
  <c r="D18" i="4"/>
  <c r="D19" i="4"/>
  <c r="D20" i="4"/>
  <c r="D22" i="4"/>
  <c r="D23" i="4"/>
  <c r="D25" i="4"/>
  <c r="D26" i="4"/>
  <c r="D28" i="4"/>
  <c r="D29" i="4"/>
  <c r="D30" i="4"/>
  <c r="D31" i="4"/>
  <c r="D32" i="4"/>
  <c r="D33" i="4"/>
  <c r="D34" i="4"/>
  <c r="D35" i="4"/>
  <c r="D36" i="4"/>
  <c r="D38" i="4"/>
  <c r="D39" i="4"/>
  <c r="F39" i="4" s="1"/>
  <c r="D41" i="4"/>
  <c r="D42" i="4"/>
  <c r="D43" i="4"/>
  <c r="D44" i="4"/>
  <c r="D45" i="4"/>
  <c r="D46" i="4"/>
  <c r="D47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F78" i="4" s="1"/>
  <c r="D79" i="4"/>
  <c r="D80" i="4"/>
  <c r="D81" i="4"/>
  <c r="A82" i="4"/>
  <c r="E81" i="4"/>
  <c r="F81" i="4"/>
  <c r="A81" i="4"/>
  <c r="E80" i="4"/>
  <c r="F80" i="4"/>
  <c r="A80" i="4"/>
  <c r="E79" i="4"/>
  <c r="F79" i="4"/>
  <c r="A79" i="4"/>
  <c r="E78" i="4"/>
  <c r="A78" i="4"/>
  <c r="E77" i="4"/>
  <c r="F77" i="4"/>
  <c r="A77" i="4"/>
  <c r="E76" i="4"/>
  <c r="F76" i="4"/>
  <c r="A76" i="4"/>
  <c r="E75" i="4"/>
  <c r="F75" i="4"/>
  <c r="A75" i="4"/>
  <c r="E74" i="4"/>
  <c r="F74" i="4"/>
  <c r="A74" i="4"/>
  <c r="E73" i="4"/>
  <c r="F73" i="4"/>
  <c r="A73" i="4"/>
  <c r="E72" i="4"/>
  <c r="F72" i="4"/>
  <c r="A72" i="4"/>
  <c r="E71" i="4"/>
  <c r="F71" i="4"/>
  <c r="A71" i="4"/>
  <c r="E70" i="4"/>
  <c r="F70" i="4"/>
  <c r="A70" i="4"/>
  <c r="E69" i="4"/>
  <c r="F69" i="4"/>
  <c r="A69" i="4"/>
  <c r="E68" i="4"/>
  <c r="F68" i="4"/>
  <c r="A68" i="4"/>
  <c r="E67" i="4"/>
  <c r="F67" i="4"/>
  <c r="A67" i="4"/>
  <c r="E66" i="4"/>
  <c r="F66" i="4"/>
  <c r="A66" i="4"/>
  <c r="E65" i="4"/>
  <c r="F65" i="4"/>
  <c r="A65" i="4"/>
  <c r="E64" i="4"/>
  <c r="F64" i="4"/>
  <c r="A64" i="4"/>
  <c r="E63" i="4"/>
  <c r="F63" i="4"/>
  <c r="A63" i="4"/>
  <c r="E62" i="4"/>
  <c r="F62" i="4"/>
  <c r="A62" i="4"/>
  <c r="E61" i="4"/>
  <c r="F61" i="4"/>
  <c r="A61" i="4"/>
  <c r="E60" i="4"/>
  <c r="F60" i="4"/>
  <c r="A60" i="4"/>
  <c r="E59" i="4"/>
  <c r="F59" i="4"/>
  <c r="A59" i="4"/>
  <c r="E58" i="4"/>
  <c r="F58" i="4"/>
  <c r="A58" i="4"/>
  <c r="E57" i="4"/>
  <c r="F57" i="4"/>
  <c r="A57" i="4"/>
  <c r="E56" i="4"/>
  <c r="F56" i="4"/>
  <c r="A56" i="4"/>
  <c r="E55" i="4"/>
  <c r="F55" i="4"/>
  <c r="A55" i="4"/>
  <c r="E54" i="4"/>
  <c r="F54" i="4"/>
  <c r="A54" i="4"/>
  <c r="E53" i="4"/>
  <c r="F53" i="4"/>
  <c r="A53" i="4"/>
  <c r="E52" i="4"/>
  <c r="F52" i="4"/>
  <c r="A52" i="4"/>
  <c r="E51" i="4"/>
  <c r="F51" i="4"/>
  <c r="A51" i="4"/>
  <c r="E50" i="4"/>
  <c r="F50" i="4"/>
  <c r="A50" i="4"/>
  <c r="E49" i="4"/>
  <c r="A49" i="4"/>
  <c r="E48" i="4"/>
  <c r="A48" i="4"/>
  <c r="E47" i="4"/>
  <c r="F47" i="4"/>
  <c r="A47" i="4"/>
  <c r="E46" i="4"/>
  <c r="F46" i="4"/>
  <c r="A46" i="4"/>
  <c r="E45" i="4"/>
  <c r="F45" i="4"/>
  <c r="A45" i="4"/>
  <c r="E44" i="4"/>
  <c r="F44" i="4"/>
  <c r="A44" i="4"/>
  <c r="E43" i="4"/>
  <c r="F43" i="4"/>
  <c r="A43" i="4"/>
  <c r="E42" i="4"/>
  <c r="F42" i="4"/>
  <c r="A42" i="4"/>
  <c r="E41" i="4"/>
  <c r="F41" i="4"/>
  <c r="A41" i="4"/>
  <c r="E40" i="4"/>
  <c r="A40" i="4"/>
  <c r="E39" i="4"/>
  <c r="A39" i="4"/>
  <c r="E38" i="4"/>
  <c r="F38" i="4"/>
  <c r="A38" i="4"/>
  <c r="E37" i="4"/>
  <c r="A37" i="4"/>
  <c r="E36" i="4"/>
  <c r="F36" i="4"/>
  <c r="A36" i="4"/>
  <c r="E35" i="4"/>
  <c r="F35" i="4"/>
  <c r="A35" i="4"/>
  <c r="E34" i="4"/>
  <c r="F34" i="4"/>
  <c r="A34" i="4"/>
  <c r="E33" i="4"/>
  <c r="F33" i="4"/>
  <c r="A33" i="4"/>
  <c r="E32" i="4"/>
  <c r="F32" i="4"/>
  <c r="A32" i="4"/>
  <c r="E31" i="4"/>
  <c r="F31" i="4"/>
  <c r="A31" i="4"/>
  <c r="E30" i="4"/>
  <c r="F30" i="4"/>
  <c r="A30" i="4"/>
  <c r="E29" i="4"/>
  <c r="F29" i="4"/>
  <c r="A29" i="4"/>
  <c r="E28" i="4"/>
  <c r="F28" i="4"/>
  <c r="A28" i="4"/>
  <c r="E27" i="4"/>
  <c r="A27" i="4"/>
  <c r="E26" i="4"/>
  <c r="F26" i="4"/>
  <c r="A26" i="4"/>
  <c r="E25" i="4"/>
  <c r="F25" i="4"/>
  <c r="A25" i="4"/>
  <c r="E24" i="4"/>
  <c r="A24" i="4"/>
  <c r="E23" i="4"/>
  <c r="F23" i="4"/>
  <c r="A23" i="4"/>
  <c r="E22" i="4"/>
  <c r="F22" i="4"/>
  <c r="A22" i="4"/>
  <c r="E21" i="4"/>
  <c r="A21" i="4"/>
  <c r="E20" i="4"/>
  <c r="F20" i="4"/>
  <c r="A20" i="4"/>
  <c r="E19" i="4"/>
  <c r="F19" i="4"/>
  <c r="A19" i="4"/>
  <c r="E18" i="4"/>
  <c r="F18" i="4"/>
  <c r="A18" i="4"/>
  <c r="E17" i="4"/>
  <c r="F17" i="4"/>
  <c r="A17" i="4"/>
  <c r="E16" i="4"/>
  <c r="F16" i="4"/>
  <c r="A16" i="4"/>
  <c r="E15" i="4"/>
  <c r="A15" i="4"/>
  <c r="E14" i="4"/>
  <c r="F14" i="4"/>
  <c r="A14" i="4"/>
  <c r="E13" i="4"/>
  <c r="F13" i="4"/>
  <c r="A13" i="4"/>
  <c r="E12" i="4"/>
  <c r="F12" i="4"/>
  <c r="A12" i="4"/>
  <c r="E11" i="4"/>
  <c r="F11" i="4"/>
  <c r="A11" i="4"/>
  <c r="E10" i="4"/>
  <c r="F10" i="4"/>
  <c r="A10" i="4"/>
  <c r="E9" i="4"/>
  <c r="A9" i="4"/>
  <c r="E8" i="4"/>
  <c r="A8" i="4"/>
  <c r="E7" i="4"/>
  <c r="F7" i="4"/>
  <c r="A7" i="4"/>
  <c r="E6" i="4"/>
  <c r="A6" i="4"/>
  <c r="E5" i="4"/>
  <c r="F5" i="4"/>
  <c r="A5" i="4"/>
  <c r="E4" i="4"/>
  <c r="A4" i="4"/>
  <c r="E3" i="4"/>
  <c r="A3" i="4"/>
  <c r="D5" i="3"/>
  <c r="D6" i="3"/>
  <c r="F6" i="3" s="1"/>
  <c r="D6" i="4" s="1"/>
  <c r="D7" i="3"/>
  <c r="D10" i="3"/>
  <c r="D11" i="3"/>
  <c r="D12" i="3"/>
  <c r="D13" i="3"/>
  <c r="D14" i="3"/>
  <c r="D16" i="3"/>
  <c r="D17" i="3"/>
  <c r="D18" i="3"/>
  <c r="D19" i="3"/>
  <c r="D20" i="3"/>
  <c r="D22" i="3"/>
  <c r="D23" i="3"/>
  <c r="D25" i="3"/>
  <c r="D26" i="3"/>
  <c r="D28" i="3"/>
  <c r="D29" i="3"/>
  <c r="D30" i="3"/>
  <c r="D31" i="3"/>
  <c r="D32" i="3"/>
  <c r="D33" i="3"/>
  <c r="D34" i="3"/>
  <c r="D35" i="3"/>
  <c r="D36" i="3"/>
  <c r="D37" i="3"/>
  <c r="F37" i="3" s="1"/>
  <c r="D37" i="4" s="1"/>
  <c r="F37" i="4" s="1"/>
  <c r="D37" i="5" s="1"/>
  <c r="F37" i="5" s="1"/>
  <c r="D37" i="6" s="1"/>
  <c r="F37" i="6" s="1"/>
  <c r="D37" i="7" s="1"/>
  <c r="F37" i="7" s="1"/>
  <c r="D37" i="8" s="1"/>
  <c r="F37" i="8" s="1"/>
  <c r="D38" i="3"/>
  <c r="D39" i="3"/>
  <c r="D41" i="3"/>
  <c r="D42" i="3"/>
  <c r="D43" i="3"/>
  <c r="D44" i="3"/>
  <c r="D45" i="3"/>
  <c r="D46" i="3"/>
  <c r="D47" i="3"/>
  <c r="D48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A82" i="3"/>
  <c r="E81" i="3"/>
  <c r="F81" i="3"/>
  <c r="A81" i="3"/>
  <c r="E80" i="3"/>
  <c r="F80" i="3"/>
  <c r="A80" i="3"/>
  <c r="E79" i="3"/>
  <c r="F79" i="3"/>
  <c r="A79" i="3"/>
  <c r="E78" i="3"/>
  <c r="F78" i="3"/>
  <c r="A78" i="3"/>
  <c r="E77" i="3"/>
  <c r="F77" i="3"/>
  <c r="A77" i="3"/>
  <c r="E76" i="3"/>
  <c r="F76" i="3"/>
  <c r="A76" i="3"/>
  <c r="E75" i="3"/>
  <c r="F75" i="3"/>
  <c r="A75" i="3"/>
  <c r="E74" i="3"/>
  <c r="F74" i="3"/>
  <c r="A74" i="3"/>
  <c r="E73" i="3"/>
  <c r="F73" i="3"/>
  <c r="A73" i="3"/>
  <c r="E72" i="3"/>
  <c r="F72" i="3"/>
  <c r="A72" i="3"/>
  <c r="E71" i="3"/>
  <c r="F71" i="3"/>
  <c r="A71" i="3"/>
  <c r="E70" i="3"/>
  <c r="F70" i="3"/>
  <c r="A70" i="3"/>
  <c r="E69" i="3"/>
  <c r="F69" i="3"/>
  <c r="A69" i="3"/>
  <c r="E68" i="3"/>
  <c r="F68" i="3"/>
  <c r="A68" i="3"/>
  <c r="E67" i="3"/>
  <c r="F67" i="3"/>
  <c r="A67" i="3"/>
  <c r="E66" i="3"/>
  <c r="F66" i="3"/>
  <c r="A66" i="3"/>
  <c r="E65" i="3"/>
  <c r="F65" i="3"/>
  <c r="A65" i="3"/>
  <c r="E64" i="3"/>
  <c r="F64" i="3"/>
  <c r="A64" i="3"/>
  <c r="E63" i="3"/>
  <c r="F63" i="3"/>
  <c r="A63" i="3"/>
  <c r="E62" i="3"/>
  <c r="F62" i="3"/>
  <c r="A62" i="3"/>
  <c r="E61" i="3"/>
  <c r="F61" i="3"/>
  <c r="A61" i="3"/>
  <c r="E60" i="3"/>
  <c r="F60" i="3"/>
  <c r="A60" i="3"/>
  <c r="E59" i="3"/>
  <c r="F59" i="3"/>
  <c r="A59" i="3"/>
  <c r="E58" i="3"/>
  <c r="F58" i="3"/>
  <c r="A58" i="3"/>
  <c r="E57" i="3"/>
  <c r="F57" i="3"/>
  <c r="A57" i="3"/>
  <c r="E56" i="3"/>
  <c r="F56" i="3"/>
  <c r="A56" i="3"/>
  <c r="E55" i="3"/>
  <c r="F55" i="3"/>
  <c r="A55" i="3"/>
  <c r="E54" i="3"/>
  <c r="F54" i="3"/>
  <c r="A54" i="3"/>
  <c r="E53" i="3"/>
  <c r="F53" i="3"/>
  <c r="A53" i="3"/>
  <c r="E52" i="3"/>
  <c r="F52" i="3"/>
  <c r="A52" i="3"/>
  <c r="E51" i="3"/>
  <c r="F51" i="3"/>
  <c r="A51" i="3"/>
  <c r="E50" i="3"/>
  <c r="F50" i="3"/>
  <c r="A50" i="3"/>
  <c r="E49" i="3"/>
  <c r="A49" i="3"/>
  <c r="E48" i="3"/>
  <c r="F48" i="3" s="1"/>
  <c r="D48" i="4" s="1"/>
  <c r="F48" i="4" s="1"/>
  <c r="D48" i="5" s="1"/>
  <c r="F48" i="5" s="1"/>
  <c r="D48" i="6" s="1"/>
  <c r="F48" i="6" s="1"/>
  <c r="D48" i="7" s="1"/>
  <c r="F48" i="7" s="1"/>
  <c r="D48" i="8" s="1"/>
  <c r="F48" i="8" s="1"/>
  <c r="A48" i="3"/>
  <c r="E47" i="3"/>
  <c r="F47" i="3"/>
  <c r="A47" i="3"/>
  <c r="E46" i="3"/>
  <c r="F46" i="3"/>
  <c r="A46" i="3"/>
  <c r="E45" i="3"/>
  <c r="F45" i="3"/>
  <c r="A45" i="3"/>
  <c r="E44" i="3"/>
  <c r="F44" i="3"/>
  <c r="A44" i="3"/>
  <c r="E43" i="3"/>
  <c r="F43" i="3"/>
  <c r="A43" i="3"/>
  <c r="E42" i="3"/>
  <c r="F42" i="3"/>
  <c r="A42" i="3"/>
  <c r="E41" i="3"/>
  <c r="F41" i="3"/>
  <c r="A41" i="3"/>
  <c r="E40" i="3"/>
  <c r="A40" i="3"/>
  <c r="E39" i="3"/>
  <c r="F39" i="3"/>
  <c r="A39" i="3"/>
  <c r="E38" i="3"/>
  <c r="F38" i="3"/>
  <c r="A38" i="3"/>
  <c r="E37" i="3"/>
  <c r="A37" i="3"/>
  <c r="E36" i="3"/>
  <c r="F36" i="3"/>
  <c r="A36" i="3"/>
  <c r="E35" i="3"/>
  <c r="F35" i="3"/>
  <c r="A35" i="3"/>
  <c r="E34" i="3"/>
  <c r="F34" i="3"/>
  <c r="A34" i="3"/>
  <c r="E33" i="3"/>
  <c r="F33" i="3"/>
  <c r="A33" i="3"/>
  <c r="E32" i="3"/>
  <c r="F32" i="3"/>
  <c r="A32" i="3"/>
  <c r="E31" i="3"/>
  <c r="F31" i="3"/>
  <c r="A31" i="3"/>
  <c r="E30" i="3"/>
  <c r="F30" i="3"/>
  <c r="A30" i="3"/>
  <c r="E29" i="3"/>
  <c r="F29" i="3"/>
  <c r="A29" i="3"/>
  <c r="E28" i="3"/>
  <c r="F28" i="3"/>
  <c r="A28" i="3"/>
  <c r="E27" i="3"/>
  <c r="A27" i="3"/>
  <c r="E26" i="3"/>
  <c r="F26" i="3"/>
  <c r="A26" i="3"/>
  <c r="E25" i="3"/>
  <c r="F25" i="3"/>
  <c r="A25" i="3"/>
  <c r="E24" i="3"/>
  <c r="A24" i="3"/>
  <c r="E23" i="3"/>
  <c r="F23" i="3"/>
  <c r="A23" i="3"/>
  <c r="E22" i="3"/>
  <c r="F22" i="3"/>
  <c r="A22" i="3"/>
  <c r="E21" i="3"/>
  <c r="A21" i="3"/>
  <c r="E20" i="3"/>
  <c r="F20" i="3"/>
  <c r="A20" i="3"/>
  <c r="E19" i="3"/>
  <c r="F19" i="3"/>
  <c r="A19" i="3"/>
  <c r="E18" i="3"/>
  <c r="F18" i="3"/>
  <c r="A18" i="3"/>
  <c r="E17" i="3"/>
  <c r="F17" i="3"/>
  <c r="A17" i="3"/>
  <c r="E16" i="3"/>
  <c r="F16" i="3"/>
  <c r="A16" i="3"/>
  <c r="E15" i="3"/>
  <c r="A15" i="3"/>
  <c r="E14" i="3"/>
  <c r="F14" i="3"/>
  <c r="A14" i="3"/>
  <c r="E13" i="3"/>
  <c r="F13" i="3"/>
  <c r="A13" i="3"/>
  <c r="E12" i="3"/>
  <c r="F12" i="3"/>
  <c r="A12" i="3"/>
  <c r="E11" i="3"/>
  <c r="F11" i="3"/>
  <c r="A11" i="3"/>
  <c r="E10" i="3"/>
  <c r="F10" i="3"/>
  <c r="A10" i="3"/>
  <c r="E9" i="3"/>
  <c r="A9" i="3"/>
  <c r="E8" i="3"/>
  <c r="A8" i="3"/>
  <c r="E7" i="3"/>
  <c r="F7" i="3"/>
  <c r="A7" i="3"/>
  <c r="E6" i="3"/>
  <c r="A6" i="3"/>
  <c r="E5" i="3"/>
  <c r="F5" i="3"/>
  <c r="A5" i="3"/>
  <c r="E4" i="3"/>
  <c r="A4" i="3"/>
  <c r="E3" i="3"/>
  <c r="A3" i="3"/>
  <c r="D4" i="2"/>
  <c r="D5" i="2"/>
  <c r="D6" i="2"/>
  <c r="D7" i="2"/>
  <c r="F7" i="2" s="1"/>
  <c r="D8" i="2"/>
  <c r="D9" i="2"/>
  <c r="D10" i="2"/>
  <c r="D11" i="2"/>
  <c r="F11" i="2" s="1"/>
  <c r="D12" i="2"/>
  <c r="D13" i="2"/>
  <c r="D14" i="2"/>
  <c r="D15" i="2"/>
  <c r="D16" i="2"/>
  <c r="D17" i="2"/>
  <c r="D18" i="2"/>
  <c r="D19" i="2"/>
  <c r="F19" i="2" s="1"/>
  <c r="D20" i="2"/>
  <c r="D21" i="2"/>
  <c r="D22" i="2"/>
  <c r="D23" i="2"/>
  <c r="F23" i="2" s="1"/>
  <c r="D24" i="2"/>
  <c r="D25" i="2"/>
  <c r="D26" i="2"/>
  <c r="D27" i="2"/>
  <c r="D28" i="2"/>
  <c r="D29" i="2"/>
  <c r="D30" i="2"/>
  <c r="D31" i="2"/>
  <c r="F31" i="2" s="1"/>
  <c r="D32" i="2"/>
  <c r="D33" i="2"/>
  <c r="D34" i="2"/>
  <c r="D35" i="2"/>
  <c r="F35" i="2" s="1"/>
  <c r="D36" i="2"/>
  <c r="D37" i="2"/>
  <c r="D38" i="2"/>
  <c r="D39" i="2"/>
  <c r="D40" i="2"/>
  <c r="D41" i="2"/>
  <c r="D42" i="2"/>
  <c r="D43" i="2"/>
  <c r="F43" i="2" s="1"/>
  <c r="D44" i="2"/>
  <c r="D45" i="2"/>
  <c r="D46" i="2"/>
  <c r="D47" i="2"/>
  <c r="F47" i="2" s="1"/>
  <c r="D48" i="2"/>
  <c r="D49" i="2"/>
  <c r="D50" i="2"/>
  <c r="D51" i="2"/>
  <c r="D52" i="2"/>
  <c r="D53" i="2"/>
  <c r="D54" i="2"/>
  <c r="D55" i="2"/>
  <c r="F55" i="2" s="1"/>
  <c r="D56" i="2"/>
  <c r="D57" i="2"/>
  <c r="D58" i="2"/>
  <c r="D59" i="2"/>
  <c r="F59" i="2" s="1"/>
  <c r="D60" i="2"/>
  <c r="D61" i="2"/>
  <c r="D62" i="2"/>
  <c r="D63" i="2"/>
  <c r="F63" i="2" s="1"/>
  <c r="D64" i="2"/>
  <c r="D65" i="2"/>
  <c r="D66" i="2"/>
  <c r="D67" i="2"/>
  <c r="D68" i="2"/>
  <c r="D69" i="2"/>
  <c r="D70" i="2"/>
  <c r="D71" i="2"/>
  <c r="F71" i="2" s="1"/>
  <c r="D72" i="2"/>
  <c r="D73" i="2"/>
  <c r="D74" i="2"/>
  <c r="D75" i="2"/>
  <c r="F75" i="2" s="1"/>
  <c r="D76" i="2"/>
  <c r="D77" i="2"/>
  <c r="D78" i="2"/>
  <c r="D79" i="2"/>
  <c r="F79" i="2" s="1"/>
  <c r="D80" i="2"/>
  <c r="D81" i="2"/>
  <c r="A82" i="2"/>
  <c r="E81" i="2"/>
  <c r="F81" i="2" s="1"/>
  <c r="A81" i="2"/>
  <c r="F80" i="2"/>
  <c r="E80" i="2"/>
  <c r="A80" i="2"/>
  <c r="E79" i="2"/>
  <c r="A79" i="2"/>
  <c r="E78" i="2"/>
  <c r="F78" i="2" s="1"/>
  <c r="A78" i="2"/>
  <c r="E77" i="2"/>
  <c r="F77" i="2" s="1"/>
  <c r="A77" i="2"/>
  <c r="E76" i="2"/>
  <c r="F76" i="2" s="1"/>
  <c r="A76" i="2"/>
  <c r="E75" i="2"/>
  <c r="A75" i="2"/>
  <c r="E74" i="2"/>
  <c r="A74" i="2"/>
  <c r="E73" i="2"/>
  <c r="F73" i="2" s="1"/>
  <c r="A73" i="2"/>
  <c r="E72" i="2"/>
  <c r="F72" i="2" s="1"/>
  <c r="A72" i="2"/>
  <c r="E71" i="2"/>
  <c r="A71" i="2"/>
  <c r="E70" i="2"/>
  <c r="A70" i="2"/>
  <c r="E69" i="2"/>
  <c r="F69" i="2" s="1"/>
  <c r="A69" i="2"/>
  <c r="E68" i="2"/>
  <c r="F68" i="2" s="1"/>
  <c r="A68" i="2"/>
  <c r="F67" i="2"/>
  <c r="E67" i="2"/>
  <c r="A67" i="2"/>
  <c r="E66" i="2"/>
  <c r="F66" i="2" s="1"/>
  <c r="A66" i="2"/>
  <c r="E65" i="2"/>
  <c r="F65" i="2" s="1"/>
  <c r="A65" i="2"/>
  <c r="E64" i="2"/>
  <c r="F64" i="2" s="1"/>
  <c r="A64" i="2"/>
  <c r="E63" i="2"/>
  <c r="A63" i="2"/>
  <c r="E62" i="2"/>
  <c r="F62" i="2" s="1"/>
  <c r="A62" i="2"/>
  <c r="E61" i="2"/>
  <c r="F61" i="2" s="1"/>
  <c r="A61" i="2"/>
  <c r="E60" i="2"/>
  <c r="F60" i="2" s="1"/>
  <c r="A60" i="2"/>
  <c r="E59" i="2"/>
  <c r="A59" i="2"/>
  <c r="E58" i="2"/>
  <c r="F58" i="2" s="1"/>
  <c r="A58" i="2"/>
  <c r="E57" i="2"/>
  <c r="F57" i="2" s="1"/>
  <c r="A57" i="2"/>
  <c r="E56" i="2"/>
  <c r="F56" i="2" s="1"/>
  <c r="A56" i="2"/>
  <c r="E55" i="2"/>
  <c r="A55" i="2"/>
  <c r="E54" i="2"/>
  <c r="F54" i="2" s="1"/>
  <c r="A54" i="2"/>
  <c r="E53" i="2"/>
  <c r="F53" i="2" s="1"/>
  <c r="A53" i="2"/>
  <c r="E52" i="2"/>
  <c r="F52" i="2" s="1"/>
  <c r="A52" i="2"/>
  <c r="F51" i="2"/>
  <c r="E51" i="2"/>
  <c r="A51" i="2"/>
  <c r="E50" i="2"/>
  <c r="F50" i="2" s="1"/>
  <c r="A50" i="2"/>
  <c r="E49" i="2"/>
  <c r="F49" i="2" s="1"/>
  <c r="D49" i="3" s="1"/>
  <c r="F49" i="3" s="1"/>
  <c r="D49" i="4" s="1"/>
  <c r="F49" i="4" s="1"/>
  <c r="D49" i="5" s="1"/>
  <c r="F49" i="5" s="1"/>
  <c r="D49" i="6" s="1"/>
  <c r="F49" i="6" s="1"/>
  <c r="D49" i="7" s="1"/>
  <c r="F49" i="7" s="1"/>
  <c r="D49" i="8" s="1"/>
  <c r="F49" i="8" s="1"/>
  <c r="A49" i="2"/>
  <c r="E48" i="2"/>
  <c r="F48" i="2" s="1"/>
  <c r="A48" i="2"/>
  <c r="E47" i="2"/>
  <c r="A47" i="2"/>
  <c r="E46" i="2"/>
  <c r="F46" i="2" s="1"/>
  <c r="A46" i="2"/>
  <c r="E45" i="2"/>
  <c r="F45" i="2" s="1"/>
  <c r="A45" i="2"/>
  <c r="E44" i="2"/>
  <c r="F44" i="2" s="1"/>
  <c r="A44" i="2"/>
  <c r="E43" i="2"/>
  <c r="A43" i="2"/>
  <c r="E42" i="2"/>
  <c r="F42" i="2" s="1"/>
  <c r="A42" i="2"/>
  <c r="E41" i="2"/>
  <c r="F41" i="2" s="1"/>
  <c r="A41" i="2"/>
  <c r="E40" i="2"/>
  <c r="F40" i="2" s="1"/>
  <c r="D40" i="3" s="1"/>
  <c r="F40" i="3" s="1"/>
  <c r="D40" i="4" s="1"/>
  <c r="F40" i="4" s="1"/>
  <c r="D40" i="5" s="1"/>
  <c r="F40" i="5" s="1"/>
  <c r="D40" i="6" s="1"/>
  <c r="F40" i="6" s="1"/>
  <c r="D40" i="7" s="1"/>
  <c r="F40" i="7" s="1"/>
  <c r="D40" i="8" s="1"/>
  <c r="F40" i="8" s="1"/>
  <c r="A40" i="2"/>
  <c r="F39" i="2"/>
  <c r="E39" i="2"/>
  <c r="A39" i="2"/>
  <c r="E38" i="2"/>
  <c r="F38" i="2" s="1"/>
  <c r="A38" i="2"/>
  <c r="E37" i="2"/>
  <c r="F37" i="2" s="1"/>
  <c r="A37" i="2"/>
  <c r="F36" i="2"/>
  <c r="E36" i="2"/>
  <c r="A36" i="2"/>
  <c r="E35" i="2"/>
  <c r="A35" i="2"/>
  <c r="E34" i="2"/>
  <c r="F34" i="2" s="1"/>
  <c r="A34" i="2"/>
  <c r="E33" i="2"/>
  <c r="F33" i="2" s="1"/>
  <c r="A33" i="2"/>
  <c r="E32" i="2"/>
  <c r="F32" i="2" s="1"/>
  <c r="A32" i="2"/>
  <c r="E31" i="2"/>
  <c r="A31" i="2"/>
  <c r="E30" i="2"/>
  <c r="F30" i="2" s="1"/>
  <c r="A30" i="2"/>
  <c r="E29" i="2"/>
  <c r="F29" i="2" s="1"/>
  <c r="A29" i="2"/>
  <c r="E28" i="2"/>
  <c r="F28" i="2" s="1"/>
  <c r="A28" i="2"/>
  <c r="E27" i="2"/>
  <c r="F27" i="2" s="1"/>
  <c r="D27" i="3" s="1"/>
  <c r="F27" i="3" s="1"/>
  <c r="D27" i="4" s="1"/>
  <c r="F27" i="4" s="1"/>
  <c r="D27" i="5" s="1"/>
  <c r="F27" i="5" s="1"/>
  <c r="D27" i="6" s="1"/>
  <c r="F27" i="6" s="1"/>
  <c r="D27" i="7" s="1"/>
  <c r="F27" i="7" s="1"/>
  <c r="D27" i="8" s="1"/>
  <c r="F27" i="8" s="1"/>
  <c r="A27" i="2"/>
  <c r="E26" i="2"/>
  <c r="F26" i="2" s="1"/>
  <c r="A26" i="2"/>
  <c r="E25" i="2"/>
  <c r="F25" i="2" s="1"/>
  <c r="A25" i="2"/>
  <c r="E24" i="2"/>
  <c r="F24" i="2" s="1"/>
  <c r="D24" i="3" s="1"/>
  <c r="F24" i="3" s="1"/>
  <c r="D24" i="4" s="1"/>
  <c r="F24" i="4" s="1"/>
  <c r="D24" i="5" s="1"/>
  <c r="F24" i="5" s="1"/>
  <c r="D24" i="6" s="1"/>
  <c r="F24" i="6" s="1"/>
  <c r="D24" i="7" s="1"/>
  <c r="A24" i="2"/>
  <c r="E23" i="2"/>
  <c r="A23" i="2"/>
  <c r="E22" i="2"/>
  <c r="F22" i="2" s="1"/>
  <c r="A22" i="2"/>
  <c r="E21" i="2"/>
  <c r="F21" i="2" s="1"/>
  <c r="D21" i="3" s="1"/>
  <c r="F21" i="3" s="1"/>
  <c r="D21" i="4" s="1"/>
  <c r="F21" i="4" s="1"/>
  <c r="D21" i="5" s="1"/>
  <c r="F21" i="5" s="1"/>
  <c r="D21" i="6" s="1"/>
  <c r="F21" i="6" s="1"/>
  <c r="D21" i="7" s="1"/>
  <c r="F21" i="7" s="1"/>
  <c r="D21" i="8" s="1"/>
  <c r="F21" i="8" s="1"/>
  <c r="A21" i="2"/>
  <c r="F20" i="2"/>
  <c r="E20" i="2"/>
  <c r="A20" i="2"/>
  <c r="E19" i="2"/>
  <c r="A19" i="2"/>
  <c r="E18" i="2"/>
  <c r="F18" i="2" s="1"/>
  <c r="A18" i="2"/>
  <c r="E17" i="2"/>
  <c r="F17" i="2" s="1"/>
  <c r="A17" i="2"/>
  <c r="E16" i="2"/>
  <c r="F16" i="2" s="1"/>
  <c r="A16" i="2"/>
  <c r="E15" i="2"/>
  <c r="F15" i="2" s="1"/>
  <c r="D15" i="3" s="1"/>
  <c r="A15" i="2"/>
  <c r="E14" i="2"/>
  <c r="F14" i="2" s="1"/>
  <c r="A14" i="2"/>
  <c r="E13" i="2"/>
  <c r="F13" i="2" s="1"/>
  <c r="A13" i="2"/>
  <c r="E12" i="2"/>
  <c r="F12" i="2" s="1"/>
  <c r="A12" i="2"/>
  <c r="E11" i="2"/>
  <c r="A11" i="2"/>
  <c r="E10" i="2"/>
  <c r="F10" i="2" s="1"/>
  <c r="A10" i="2"/>
  <c r="E9" i="2"/>
  <c r="F9" i="2" s="1"/>
  <c r="D9" i="3" s="1"/>
  <c r="F9" i="3" s="1"/>
  <c r="D9" i="4" s="1"/>
  <c r="F9" i="4" s="1"/>
  <c r="D9" i="5" s="1"/>
  <c r="F9" i="5" s="1"/>
  <c r="D9" i="6" s="1"/>
  <c r="F9" i="6" s="1"/>
  <c r="D9" i="7" s="1"/>
  <c r="F9" i="7" s="1"/>
  <c r="D9" i="8" s="1"/>
  <c r="F9" i="8" s="1"/>
  <c r="A9" i="2"/>
  <c r="E8" i="2"/>
  <c r="F8" i="2" s="1"/>
  <c r="D8" i="3" s="1"/>
  <c r="A8" i="2"/>
  <c r="E7" i="2"/>
  <c r="A7" i="2"/>
  <c r="E6" i="2"/>
  <c r="F6" i="2" s="1"/>
  <c r="A6" i="2"/>
  <c r="E5" i="2"/>
  <c r="F5" i="2" s="1"/>
  <c r="A5" i="2"/>
  <c r="E4" i="2"/>
  <c r="F4" i="2" s="1"/>
  <c r="D4" i="3" s="1"/>
  <c r="F4" i="3" s="1"/>
  <c r="D4" i="4" s="1"/>
  <c r="F4" i="4" s="1"/>
  <c r="D4" i="5" s="1"/>
  <c r="F4" i="5" s="1"/>
  <c r="D4" i="6" s="1"/>
  <c r="F4" i="6" s="1"/>
  <c r="D4" i="7" s="1"/>
  <c r="F4" i="7" s="1"/>
  <c r="D4" i="8" s="1"/>
  <c r="F4" i="8" s="1"/>
  <c r="A4" i="2"/>
  <c r="E3" i="2"/>
  <c r="A3" i="2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E3" i="1"/>
  <c r="F3" i="1" s="1"/>
  <c r="D3" i="2" s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F24" i="7" l="1"/>
  <c r="D24" i="8" s="1"/>
  <c r="F24" i="8" s="1"/>
  <c r="F6" i="4"/>
  <c r="D6" i="5" s="1"/>
  <c r="F6" i="5" s="1"/>
  <c r="D6" i="6" s="1"/>
  <c r="F6" i="6" s="1"/>
  <c r="D6" i="7" s="1"/>
  <c r="F6" i="7" s="1"/>
  <c r="D6" i="8" s="1"/>
  <c r="F6" i="8" s="1"/>
  <c r="F15" i="3"/>
  <c r="D15" i="4" s="1"/>
  <c r="F15" i="4" s="1"/>
  <c r="D15" i="5" s="1"/>
  <c r="F15" i="5" s="1"/>
  <c r="D15" i="6" s="1"/>
  <c r="F15" i="6" s="1"/>
  <c r="D15" i="7" s="1"/>
  <c r="F15" i="7" s="1"/>
  <c r="D15" i="8" s="1"/>
  <c r="F15" i="8" s="1"/>
  <c r="F8" i="3"/>
  <c r="D8" i="4" s="1"/>
  <c r="F8" i="4" s="1"/>
  <c r="D8" i="5" s="1"/>
  <c r="F8" i="5" s="1"/>
  <c r="D8" i="6" s="1"/>
  <c r="F8" i="6" s="1"/>
  <c r="D8" i="7" s="1"/>
  <c r="F8" i="7" s="1"/>
  <c r="D8" i="8" s="1"/>
  <c r="F8" i="8" s="1"/>
  <c r="F3" i="2"/>
  <c r="D3" i="3" s="1"/>
  <c r="F3" i="3" s="1"/>
  <c r="D3" i="4" s="1"/>
  <c r="F3" i="4" s="1"/>
  <c r="D3" i="5" s="1"/>
  <c r="F3" i="5" s="1"/>
  <c r="D3" i="6" s="1"/>
  <c r="F3" i="6" s="1"/>
  <c r="D3" i="7" s="1"/>
  <c r="F3" i="7" s="1"/>
  <c r="D3" i="8" s="1"/>
  <c r="F3" i="8" s="1"/>
  <c r="F70" i="2"/>
  <c r="F74" i="2"/>
  <c r="A82" i="1" l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<sst xmlns="http://schemas.openxmlformats.org/spreadsheetml/2006/main" count="1487" uniqueCount="109">
  <si>
    <t>លរ​ No. 数字</t>
  </si>
  <si>
    <t>ប្រភេទគ្រឿងបន្លាស់ Sparepart Type 备件类型</t>
  </si>
  <si>
    <t>សំបុក Rotary Hook 旋梭</t>
  </si>
  <si>
    <t>ធ្មេញរង្វើល Feed Dog 送布牙</t>
  </si>
  <si>
    <t>ធ្មេញញឺក Feed Dog fits适用于送布牙</t>
  </si>
  <si>
    <t>សន្ទះធ្មេញ Needle Plate 针板</t>
  </si>
  <si>
    <t>សន្ទះធ្មេញទុន Needle Plate 针板</t>
  </si>
  <si>
    <t>កាំបិទលើJ Fixed Knife for JUKI JUKI用固定刀</t>
  </si>
  <si>
    <t>កាំបិទក្រោមS, Thread Cutter Blade For Sirubar, Sirubar 切线刀片</t>
  </si>
  <si>
    <t>សន្លឺកស្រូវJ Thread Guide For JUKI,JUKI 穿线导向器</t>
  </si>
  <si>
    <t>សន្លឺកស្រូវS Thread Finger For Sirubar,适用于 Siruba 的过线指</t>
  </si>
  <si>
    <t>កាំបិទលើS Fixed Knif For Sirubar,Sirubar 固定刀片</t>
  </si>
  <si>
    <t>កាំបិទក្រោមS,Movable Knife For Sirubar,Siruba 动刀
Sirubar</t>
  </si>
  <si>
    <t>ដែកបុកកាក់ Dowel Pin,定位销</t>
  </si>
  <si>
    <t xml:space="preserve">ផ្ទាំងបញ្ជាខៀវJ,Blue control Panel JUKI,JUKI 蓝色控制面板
</t>
  </si>
  <si>
    <t>ផ្ទាំងបញ្ជាសJ White color control Panel JUKI,JUKI 白色控制面板</t>
  </si>
  <si>
    <t>ផ្ទាំងបញ្ជាជំនាន់ចាស់J, Old Verson Board JUKI,JUKI 旧版电路板</t>
  </si>
  <si>
    <t>ខ្សែរទាញកាក់,CABLE ASSY, HOOD LOCK CONTROL,发动机罩锁控制拉索组件</t>
  </si>
  <si>
    <t>ជ័រខារអំបោះ,Bobbin winder rubber ring,绕线器橡胶圈</t>
  </si>
  <si>
    <t xml:space="preserve">កាក់ធំ,Thread Tention Assembly,张力调节组件 </t>
  </si>
  <si>
    <t>កាក់តូច,Thread Tension Assembly Small,小型线张力组件</t>
  </si>
  <si>
    <t>ដងម្ជុល,Needle Bar,针杆</t>
  </si>
  <si>
    <t>ជើងទាឆុត,Teeth Presser Foot and Needle Plate Kit, 齿形压脚与针板套件</t>
  </si>
  <si>
    <t>ដែកវាត់អំបោះ,Thread Tension Spring,线张力弹簧</t>
  </si>
  <si>
    <t>ឈើកាវក្រោម,Upper looper, 上弯针</t>
  </si>
  <si>
    <t>ឈើកាវលើ, Lower Looper,下弯针</t>
  </si>
  <si>
    <t>ដងជើងទា,calcador overlock,包缝压脚</t>
  </si>
  <si>
    <t>ធ្មេញក្រោយ,God feed Overlock Machine,差动送料包缝机</t>
  </si>
  <si>
    <t>សន្ទះធ្មេញ, Needle Plate Fit,针板适配</t>
  </si>
  <si>
    <t>កាំបិតក្រោម,Lower Bottom Knife to Fit Overlock Machine,降低包缝机下刀位置</t>
  </si>
  <si>
    <t>កាំបិតលើ,Top Knife for Overlock,包缝机上刀</t>
  </si>
  <si>
    <t>ដងម្ជុល,Needle Clamp Holder Fitsr,适配机针夹持器</t>
  </si>
  <si>
    <t>ឈើកាវផ្កាដូង,Chainstitch Looper 5 Thread,五线链式缝弯针</t>
  </si>
  <si>
    <t>រុន្ធម្ជុលសាប់,Needle Hole Guide Bartack Machine, 针孔定位套结机</t>
  </si>
  <si>
    <t>សំបុកសាប់, Shuttle Hook Fit Bartack Machine, 适用于套结机的摆梭旋梭</t>
  </si>
  <si>
    <t>ដែកបុកកាក់, Thread Tension Release Pin, 线张力释放销</t>
  </si>
  <si>
    <t>កាំបិតក្រោមសាប់, Movable Knife Bartack Machine, 动刀式套结机</t>
  </si>
  <si>
    <t>កាំបិតលើសាប់, Fixed Knife Bartack Machine, 固定刀片式套结机</t>
  </si>
  <si>
    <t>ជើងទាសាប់, work clamp set bartack machine, 套结机工件夹具组</t>
  </si>
  <si>
    <t>ដងកាំបិតបុក, Needle Bar Buttonhole Machine, 针杆式锁眼机</t>
  </si>
  <si>
    <t>ដងកាំបិតចាប់ផ្លែ, Knife Bar Driving Lever, 刀条驱动杆</t>
  </si>
  <si>
    <t xml:space="preserve">កន្រ្តៃលើ, Upper Thread Trimming, 面线剪线 </t>
  </si>
  <si>
    <t>កាំបិតក្រោម, Bottom Thread Trimmer, 底线切线器</t>
  </si>
  <si>
    <t>រុន្ធសន្ទះធ្មេញ, Needle Plate, 针板</t>
  </si>
  <si>
    <t xml:space="preserve">ផ្ទាំងបញ្ជាខៀវJ,Blue control Panel Siruba,Siruba 蓝色控制面板
</t>
  </si>
  <si>
    <t>ខ្សែរម៉ែត្រ,Tape Measure,卷尺</t>
  </si>
  <si>
    <t>ថ្នាំបាញ់លាងម៉ាស៊ីន,Engine spray,发动机喷剂</t>
  </si>
  <si>
    <t>ថ្នាំបាញ់ច្រេះ,Rust-removing spray,除锈喷雾</t>
  </si>
  <si>
    <t>កង់បង្វិលម៉ាស៊ីនផុង,Spinning wheel of  overlock machine,包缝机手轮</t>
  </si>
  <si>
    <t>ប៊ិចវាស់ភ្លើង,Voltage tester pen,测电笔</t>
  </si>
  <si>
    <t xml:space="preserve"> ប្រេងម៉ាស៊ីន,Sewing machine oil,缝纫机油</t>
  </si>
  <si>
    <t>ផ្លែកាំបិតកាត់ក្រណាត់,Cutting Blade 10E,切割刀片 10E</t>
  </si>
  <si>
    <t>ដែកចាក់រុន្ធ,Drill hole Needle,穿孔针</t>
  </si>
  <si>
    <t>ស្លាបម្ជុលជាមួយពុម្ភ, Sewing Guide Stitch Ruler, 缝纫导向缝迹尺</t>
  </si>
  <si>
    <t>សោគាស្រេះអូតូ,Button hole rotary hook auto,自动锁眼旋梭</t>
  </si>
  <si>
    <t>ត្រល់ស្រេះអូតូ,Buttonholing Machine Bobbin,锁眼机梭芯</t>
  </si>
  <si>
    <t>សំបុកម្ជុលពីរ,​​ Rotary Hook Fit  2-Needle Sewing Machine, 适用于双针缝纫机的旋梭</t>
  </si>
  <si>
    <t>ទំនុប, Bobbine Case Opener, 梭壳开启器</t>
  </si>
  <si>
    <t>សន្ទះចាប់ពុម្ភ, Front Slide Plate, 前滑板</t>
  </si>
  <si>
    <t>ឈុតដងម្ជុល, Set needle bar duoble needle machine, 调整双针机针杆</t>
  </si>
  <si>
    <t>ឈើកាវផ្កាដូង, double-needle chain stitch right looper, 
双针链式线迹右弯针</t>
  </si>
  <si>
    <t>ឈើកាវម៉ាស៊ីនអោប, Lopper Scrub Sewing Machine, 灌木修剪机缝纫机</t>
  </si>
  <si>
    <t>ដុំវ៉ៃឡេវឆុត,  FLEX COUPLING, 挠性联轴器</t>
  </si>
  <si>
    <t>ប៉ាដាងវ៉ៃឡេវ, needle-bearing, 滚针轴承</t>
  </si>
  <si>
    <t>កុងសែនស័រវ៉ៃឡេវ, Micro Limit Switch with Roller Lever, 带滚轮杠杆的微型限位开关</t>
  </si>
  <si>
    <t>ជ័រជើងទា, Presser Foot Adhesive Tape, 压脚粘胶带</t>
  </si>
  <si>
    <t>ជ័រកាថ502,Glue 502, 胶水</t>
  </si>
  <si>
    <t>ឡតម៉ាស៊ីនផុង,  Coupling Overlock, 包缝接合</t>
  </si>
  <si>
    <t>ឆ្នាំងអ៊ុត, Iron, 铁</t>
  </si>
  <si>
    <t>ទួណឺវីស, screwdriver, 螺丝刀</t>
  </si>
  <si>
    <t>សោគាម៉ាស៊ីនម្ជុល១, SINGER BOBBIN CASE</t>
  </si>
  <si>
    <t>ដងចាប់ពុម្ភ, 
Sewing Gauge, 缝纫量规</t>
  </si>
  <si>
    <t>កន្រ្តៃកាត់អំបោះ ,Sewing Scissors Yarn Thread Cutter, 缝纫剪刀/纱线剪</t>
  </si>
  <si>
    <t>ប៉ាដាង​#6202, Bearing #6202, 轴承 #6202</t>
  </si>
  <si>
    <t>កុងតាក់តូច,  MINI ROCKER Switch , 迷你船型开关</t>
  </si>
  <si>
    <t>ដីសខ្លាឃ្មុំ, Panda Garment Chalk, 熊猫牌服装粉笔</t>
  </si>
  <si>
    <t>ដីសពណ៌, Color Chalk ,彩色粉笔</t>
  </si>
  <si>
    <t>ទំហំ​ SIZE 尺寸</t>
  </si>
  <si>
    <t>តូច small​  小</t>
  </si>
  <si>
    <t>ធំ Big 大的</t>
  </si>
  <si>
    <t>ចំនួននៅសល់ Stock Left 剩余库存</t>
  </si>
  <si>
    <t>ម្ជុលដែលបានផ្តល់ជូន, Issued  Needle, 已发放的针头</t>
  </si>
  <si>
    <t>តុល្យភាព Balance 平衡</t>
  </si>
  <si>
    <t>សំគាល់ Remark 评论</t>
  </si>
  <si>
    <t># 1</t>
  </si>
  <si>
    <t># 2</t>
  </si>
  <si>
    <t># 3</t>
  </si>
  <si>
    <t># 4</t>
  </si>
  <si>
    <t># 5</t>
  </si>
  <si>
    <t># 6</t>
  </si>
  <si>
    <t># 7</t>
  </si>
  <si>
    <t># 8</t>
  </si>
  <si>
    <t># 9</t>
  </si>
  <si>
    <t># 10</t>
  </si>
  <si>
    <t># 11</t>
  </si>
  <si>
    <t># 12</t>
  </si>
  <si>
    <t>ខូច​ Damage 损害</t>
  </si>
  <si>
    <t>បាក់​ Broken 破碎的</t>
  </si>
  <si>
    <t>ប្តូរម៉ូដ Change Style, 更改样式</t>
  </si>
  <si>
    <t>បាត់​ Lost 迷失</t>
  </si>
  <si>
    <t>ផ្សេងៗ​ Other 其他</t>
  </si>
  <si>
    <t>​​​         របាយការណ៏ដូរ​បន្លាស់ប្រចាំថ្ងៃ Daily Spare Part Change Report 每日备件更换报告</t>
  </si>
  <si>
    <t>/9/2026</t>
  </si>
  <si>
    <t>ការផ្លាស់ប្តូរគ្រឿងបន្លាស់សម្រាប់ខ្សែសង្វាក់ផលិតកម្មដេរ,  Spare Part Change For Sewing Line ,  缝纫线备件更换</t>
  </si>
  <si>
    <t>14/9/2026</t>
  </si>
  <si>
    <t>15/9/2026</t>
  </si>
  <si>
    <t>16/9/2026</t>
  </si>
  <si>
    <t>17/9/2026</t>
  </si>
  <si>
    <t>ជើងវ៉ៃអំបោះសាប់, Fly Feather, 飞羽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</si>
</sst>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\ \ &quot;Pcs&quot;"/>
    <numFmt numFmtId="165" formatCode="0\ \ &quot;Box&quot;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3" borderId="5" xfId="0" applyFill="1" applyBorder="1" applyAlignment="1"/>
    <xf numFmtId="0" fontId="0" fillId="3" borderId="0" xfId="0" applyFill="1"/>
    <xf numFmtId="0" fontId="1" fillId="2" borderId="4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0" fillId="0" borderId="0" xfId="0" applyBorder="1"/>
    <xf numFmtId="164" fontId="0" fillId="5" borderId="1" xfId="0" applyNumberFormat="1" applyFont="1" applyFill="1" applyBorder="1" applyAlignment="1">
      <alignment horizontal="center" vertical="center"/>
    </xf>
    <xf numFmtId="0" fontId="0" fillId="5" borderId="10" xfId="0" applyFont="1" applyFill="1" applyBorder="1" applyAlignment="1">
      <alignment horizontal="center" vertical="center" wrapText="1"/>
    </xf>
    <xf numFmtId="0" fontId="0" fillId="5" borderId="10" xfId="0" applyFont="1" applyFill="1" applyBorder="1" applyAlignment="1">
      <alignment horizontal="center" vertic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164" fontId="0" fillId="5" borderId="1" xfId="0" applyNumberFormat="1" applyFont="1" applyFill="1" applyBorder="1" applyAlignment="1">
      <alignment horizontal="center" vertical="center" wrapText="1"/>
    </xf>
    <xf numFmtId="0" fontId="0" fillId="6" borderId="9" xfId="0" applyFont="1" applyFill="1" applyBorder="1" applyAlignment="1">
      <alignment horizontal="center" vertical="center" wrapText="1"/>
    </xf>
    <xf numFmtId="0" fontId="0" fillId="6" borderId="1" xfId="0" applyFont="1" applyFill="1" applyBorder="1" applyAlignment="1">
      <alignment horizontal="center" vertical="center" wrapText="1"/>
    </xf>
    <xf numFmtId="164" fontId="0" fillId="6" borderId="1" xfId="0" applyNumberFormat="1" applyFont="1" applyFill="1" applyBorder="1" applyAlignment="1">
      <alignment horizontal="center" vertical="center" wrapText="1"/>
    </xf>
    <xf numFmtId="0" fontId="0" fillId="5" borderId="1" xfId="0" applyFont="1" applyFill="1" applyBorder="1" applyAlignment="1">
      <alignment vertical="top" wrapText="1"/>
    </xf>
    <xf numFmtId="0" fontId="0" fillId="6" borderId="2" xfId="0" applyFont="1" applyFill="1" applyBorder="1" applyAlignment="1">
      <alignment horizontal="center" vertical="center" wrapText="1"/>
    </xf>
    <xf numFmtId="0" fontId="0" fillId="6" borderId="9" xfId="0" applyNumberFormat="1" applyFont="1" applyFill="1" applyBorder="1" applyAlignment="1">
      <alignment horizontal="center" vertical="center" wrapText="1"/>
    </xf>
    <xf numFmtId="0" fontId="0" fillId="5" borderId="9" xfId="0" applyNumberFormat="1" applyFont="1" applyFill="1" applyBorder="1" applyAlignment="1">
      <alignment horizontal="center" vertical="center" wrapText="1"/>
    </xf>
    <xf numFmtId="165" fontId="0" fillId="6" borderId="1" xfId="0" applyNumberFormat="1" applyFont="1" applyFill="1" applyBorder="1" applyAlignment="1">
      <alignment horizontal="center" vertical="center" wrapText="1"/>
    </xf>
    <xf numFmtId="0" fontId="0" fillId="5" borderId="2" xfId="0" applyFont="1" applyFill="1" applyBorder="1" applyAlignment="1">
      <alignment horizontal="center" vertical="center" wrapText="1"/>
    </xf>
    <xf numFmtId="165" fontId="0" fillId="5" borderId="1" xfId="0" applyNumberFormat="1" applyFont="1" applyFill="1" applyBorder="1" applyAlignment="1">
      <alignment horizontal="center" vertical="center" wrapText="1"/>
    </xf>
    <xf numFmtId="0" fontId="0" fillId="6" borderId="0" xfId="0" applyFill="1" applyBorder="1"/>
    <xf numFmtId="0" fontId="2" fillId="6" borderId="11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3" fillId="7" borderId="12" xfId="0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6" xfId="0" applyBorder="1"/>
    <xf numFmtId="0" fontId="0" fillId="0" borderId="19" xfId="0" applyBorder="1"/>
    <xf numFmtId="164" fontId="0" fillId="6" borderId="0" xfId="0" applyNumberFormat="1" applyFill="1" applyBorder="1"/>
    <xf numFmtId="14" fontId="0" fillId="3" borderId="0" xfId="0" applyNumberFormat="1" applyFill="1"/>
    <xf numFmtId="0" fontId="0" fillId="3" borderId="0" xfId="0" applyFill="1" applyAlignment="1">
      <alignment horizontal="right"/>
    </xf>
    <xf numFmtId="0" fontId="4" fillId="3" borderId="5" xfId="0" applyFont="1" applyFill="1" applyBorder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5" xfId="0" applyFont="1" applyFill="1" applyBorder="1" applyAlignment="1">
      <alignment horizontal="center" vertical="center" wrapText="1"/>
    </xf>
  </cellXfs>
  <cellStyles count="1">
    <cellStyle name="Normal" xfId="0" builtinId="0"/>
  </cellStyles>
  <dxfs count="216"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outline="0">
        <top style="medium">
          <color rgb="FF000000"/>
        </top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ill>
        <patternFill>
          <bgColor theme="0"/>
        </patternFill>
      </fill>
    </dxf>
    <dxf>
      <numFmt numFmtId="164" formatCode="0\ \ &quot;Pcs&quot;"/>
      <fill>
        <patternFill>
          <bgColor theme="0"/>
        </patternFill>
      </fill>
    </dxf>
    <dxf>
      <numFmt numFmtId="164" formatCode="0\ \ &quot;Pcs&quot;"/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 diagonalUp="0" diagonalDown="0">
        <left style="medium">
          <color rgb="FF000000"/>
        </left>
        <right style="thin">
          <color rgb="FF000000"/>
        </right>
        <top style="medium">
          <color rgb="FF000000"/>
        </top>
        <bottom style="double">
          <color rgb="FF000000"/>
        </bottom>
      </border>
    </dxf>
    <dxf>
      <fill>
        <patternFill>
          <bgColor rgb="FFFFFFFF"/>
        </patternFill>
      </fill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/>
        <color rgb="FFFF0000"/>
      </font>
      <fill>
        <patternFill>
          <bgColor theme="9" tint="0.59996337778862885"/>
        </patternFill>
      </fill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outline="0">
        <top style="medium">
          <color rgb="FF000000"/>
        </top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ill>
        <patternFill>
          <bgColor theme="0"/>
        </patternFill>
      </fill>
    </dxf>
    <dxf>
      <numFmt numFmtId="164" formatCode="0\ \ &quot;Pcs&quot;"/>
      <fill>
        <patternFill>
          <bgColor theme="0"/>
        </patternFill>
      </fill>
    </dxf>
    <dxf>
      <numFmt numFmtId="164" formatCode="0\ \ &quot;Pcs&quot;"/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 diagonalUp="0" diagonalDown="0">
        <left style="medium">
          <color rgb="FF000000"/>
        </left>
        <right style="thin">
          <color rgb="FF000000"/>
        </right>
        <top style="medium">
          <color rgb="FF000000"/>
        </top>
        <bottom style="double">
          <color rgb="FF000000"/>
        </bottom>
      </border>
    </dxf>
    <dxf>
      <fill>
        <patternFill>
          <bgColor rgb="FFFFFFFF"/>
        </patternFill>
      </fill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/>
        <color rgb="FFFF0000"/>
      </font>
      <fill>
        <patternFill>
          <bgColor theme="9" tint="0.59996337778862885"/>
        </patternFill>
      </fill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outline="0">
        <top style="medium">
          <color rgb="FF000000"/>
        </top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ill>
        <patternFill>
          <bgColor theme="0"/>
        </patternFill>
      </fill>
    </dxf>
    <dxf>
      <numFmt numFmtId="164" formatCode="0\ \ &quot;Pcs&quot;"/>
      <fill>
        <patternFill>
          <bgColor theme="0"/>
        </patternFill>
      </fill>
    </dxf>
    <dxf>
      <numFmt numFmtId="164" formatCode="0\ \ &quot;Pcs&quot;"/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 diagonalUp="0" diagonalDown="0">
        <left style="medium">
          <color rgb="FF000000"/>
        </left>
        <right style="thin">
          <color rgb="FF000000"/>
        </right>
        <top style="medium">
          <color rgb="FF000000"/>
        </top>
        <bottom style="double">
          <color rgb="FF000000"/>
        </bottom>
      </border>
    </dxf>
    <dxf>
      <fill>
        <patternFill>
          <bgColor rgb="FFFFFFFF"/>
        </patternFill>
      </fill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/>
        <color rgb="FFFF0000"/>
      </font>
      <fill>
        <patternFill>
          <bgColor theme="9" tint="0.59996337778862885"/>
        </patternFill>
      </fill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outline="0">
        <top style="medium">
          <color rgb="FF000000"/>
        </top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ill>
        <patternFill>
          <bgColor theme="0"/>
        </patternFill>
      </fill>
    </dxf>
    <dxf>
      <numFmt numFmtId="164" formatCode="0\ \ &quot;Pcs&quot;"/>
      <fill>
        <patternFill>
          <bgColor theme="0"/>
        </patternFill>
      </fill>
    </dxf>
    <dxf>
      <numFmt numFmtId="164" formatCode="0\ \ &quot;Pcs&quot;"/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 diagonalUp="0" diagonalDown="0">
        <left style="medium">
          <color rgb="FF000000"/>
        </left>
        <right style="thin">
          <color rgb="FF000000"/>
        </right>
        <top style="medium">
          <color rgb="FF000000"/>
        </top>
        <bottom style="double">
          <color rgb="FF000000"/>
        </bottom>
      </border>
    </dxf>
    <dxf>
      <fill>
        <patternFill>
          <bgColor rgb="FFFFFFFF"/>
        </patternFill>
      </fill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/>
        <color rgb="FFFF0000"/>
      </font>
      <fill>
        <patternFill>
          <bgColor theme="9" tint="0.59996337778862885"/>
        </patternFill>
      </fill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outline="0">
        <top style="medium">
          <color rgb="FF000000"/>
        </top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ill>
        <patternFill>
          <bgColor theme="0"/>
        </patternFill>
      </fill>
    </dxf>
    <dxf>
      <numFmt numFmtId="164" formatCode="0\ \ &quot;Pcs&quot;"/>
      <fill>
        <patternFill>
          <bgColor theme="0"/>
        </patternFill>
      </fill>
    </dxf>
    <dxf>
      <numFmt numFmtId="164" formatCode="0\ \ &quot;Pcs&quot;"/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 diagonalUp="0" diagonalDown="0">
        <left style="medium">
          <color rgb="FF000000"/>
        </left>
        <right style="thin">
          <color rgb="FF000000"/>
        </right>
        <top style="medium">
          <color rgb="FF000000"/>
        </top>
        <bottom style="double">
          <color rgb="FF000000"/>
        </bottom>
      </border>
    </dxf>
    <dxf>
      <fill>
        <patternFill>
          <bgColor rgb="FFFFFFFF"/>
        </patternFill>
      </fill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/>
        <color rgb="FFFF0000"/>
      </font>
      <fill>
        <patternFill>
          <bgColor theme="9" tint="0.59996337778862885"/>
        </patternFill>
      </fill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outline="0">
        <top style="medium">
          <color rgb="FF000000"/>
        </top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ill>
        <patternFill>
          <bgColor theme="0"/>
        </patternFill>
      </fill>
    </dxf>
    <dxf>
      <numFmt numFmtId="164" formatCode="0\ \ &quot;Pcs&quot;"/>
      <fill>
        <patternFill>
          <bgColor theme="0"/>
        </patternFill>
      </fill>
    </dxf>
    <dxf>
      <numFmt numFmtId="164" formatCode="0\ \ &quot;Pcs&quot;"/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 diagonalUp="0" diagonalDown="0">
        <left style="medium">
          <color rgb="FF000000"/>
        </left>
        <right style="thin">
          <color rgb="FF000000"/>
        </right>
        <top style="medium">
          <color rgb="FF000000"/>
        </top>
        <bottom style="double">
          <color rgb="FF000000"/>
        </bottom>
      </border>
    </dxf>
    <dxf>
      <fill>
        <patternFill>
          <bgColor rgb="FFFFFFFF"/>
        </patternFill>
      </fill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/>
        <color rgb="FFFF0000"/>
      </font>
      <fill>
        <patternFill>
          <bgColor theme="9" tint="0.59996337778862885"/>
        </patternFill>
      </fill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outline="0">
        <top style="medium">
          <color rgb="FF000000"/>
        </top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ill>
        <patternFill>
          <bgColor theme="0"/>
        </patternFill>
      </fill>
    </dxf>
    <dxf>
      <numFmt numFmtId="164" formatCode="0\ \ &quot;Pcs&quot;"/>
      <fill>
        <patternFill>
          <bgColor theme="0"/>
        </patternFill>
      </fill>
    </dxf>
    <dxf>
      <numFmt numFmtId="164" formatCode="0\ \ &quot;Pcs&quot;"/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 diagonalUp="0" diagonalDown="0">
        <left style="medium">
          <color rgb="FF000000"/>
        </left>
        <right style="thin">
          <color rgb="FF000000"/>
        </right>
        <top style="medium">
          <color rgb="FF000000"/>
        </top>
        <bottom style="double">
          <color rgb="FF000000"/>
        </bottom>
      </border>
    </dxf>
    <dxf>
      <fill>
        <patternFill>
          <bgColor rgb="FFFFFFFF"/>
        </patternFill>
      </fill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/>
        <color rgb="FFFF0000"/>
      </font>
      <fill>
        <patternFill>
          <bgColor theme="9" tint="0.59996337778862885"/>
        </patternFill>
      </fill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outline="0">
        <top style="medium">
          <color indexed="64"/>
        </top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ill>
        <patternFill>
          <bgColor theme="0"/>
        </patternFill>
      </fill>
    </dxf>
    <dxf>
      <numFmt numFmtId="164" formatCode="0\ \ &quot;Pcs&quot;"/>
      <fill>
        <patternFill>
          <bgColor theme="0"/>
        </patternFill>
      </fill>
    </dxf>
    <dxf>
      <numFmt numFmtId="164" formatCode="0\ \ &quot;Pcs&quot;"/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 diagonalUp="0" diagonalDown="0">
        <left style="medium">
          <color rgb="FF000000"/>
        </left>
        <right style="thin">
          <color indexed="64"/>
        </right>
        <top style="medium">
          <color rgb="FF000000"/>
        </top>
        <bottom style="double">
          <color indexed="64"/>
        </bottom>
      </border>
    </dxf>
    <dxf>
      <fill>
        <patternFill>
          <bgColor theme="0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/>
        <color rgb="FFFF000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E9A9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57150</xdr:rowOff>
    </xdr:from>
    <xdr:ext cx="1162050" cy="6381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0"/>
          <a:ext cx="1162050" cy="6381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57150</xdr:rowOff>
    </xdr:from>
    <xdr:ext cx="1162050" cy="6381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0"/>
          <a:ext cx="1162050" cy="6381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57150</xdr:rowOff>
    </xdr:from>
    <xdr:ext cx="1162050" cy="6381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0"/>
          <a:ext cx="1162050" cy="6381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57150</xdr:rowOff>
    </xdr:from>
    <xdr:ext cx="1162050" cy="6381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0"/>
          <a:ext cx="1162050" cy="6381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57150</xdr:rowOff>
    </xdr:from>
    <xdr:ext cx="1162050" cy="6381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0"/>
          <a:ext cx="1162050" cy="6381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57150</xdr:rowOff>
    </xdr:from>
    <xdr:ext cx="1162050" cy="6381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0"/>
          <a:ext cx="1162050" cy="6381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57150</xdr:rowOff>
    </xdr:from>
    <xdr:ext cx="1162050" cy="6381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0"/>
          <a:ext cx="1162050" cy="6381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57150</xdr:rowOff>
    </xdr:from>
    <xdr:ext cx="1162050" cy="6381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0"/>
          <a:ext cx="1162050" cy="6381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tables/table1.xml><?xml version="1.0" encoding="utf-8"?>
<table xmlns="http://schemas.openxmlformats.org/spreadsheetml/2006/main" id="2" name="Table2" displayName="Table2" ref="A2:G84" totalsRowShown="0" headerRowDxfId="214" dataDxfId="212" headerRowBorderDxfId="213" tableBorderDxfId="211">
  <autoFilter ref="A2:G84"/>
  <tableColumns count="7">
    <tableColumn id="1" name="លរ​ No. 数字" dataDxfId="210"/>
    <tableColumn id="2" name="ប្រភេទគ្រឿងបន្លាស់ Sparepart Type 备件类型" dataDxfId="209"/>
    <tableColumn id="3" name="ទំហំ​ SIZE 尺寸" dataDxfId="208"/>
    <tableColumn id="4" name="ចំនួននៅសល់ Stock Left 剩余库存" dataDxfId="207"/>
    <tableColumn id="5" name="ម្ជុលដែលបានផ្តល់ជូន, Issued  Needle, 已发放的针头" dataDxfId="206">
      <calculatedColumnFormula>SUM(J3:U3)</calculatedColumnFormula>
    </tableColumn>
    <tableColumn id="6" name="តុល្យភាព Balance 平衡" dataDxfId="205">
      <calculatedColumnFormula>D3-E3</calculatedColumnFormula>
    </tableColumn>
    <tableColumn id="7" name="សំគាល់ Remark 评论" dataDxfId="204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id="6" name="Table6" displayName="Table6" ref="J2:U84" totalsRowShown="0" headerRowDxfId="203" headerRowBorderDxfId="202" tableBorderDxfId="201">
  <autoFilter ref="J2:U84"/>
  <tableColumns count="12">
    <tableColumn id="1" name="# 1" dataDxfId="200"/>
    <tableColumn id="2" name="# 2" dataDxfId="199"/>
    <tableColumn id="3" name="# 3" dataDxfId="198"/>
    <tableColumn id="4" name="# 4" dataDxfId="197"/>
    <tableColumn id="5" name="# 5" dataDxfId="196"/>
    <tableColumn id="6" name="# 6" dataDxfId="195"/>
    <tableColumn id="7" name="# 7" dataDxfId="194"/>
    <tableColumn id="8" name="# 8" dataDxfId="193"/>
    <tableColumn id="9" name="# 9" dataDxfId="192"/>
    <tableColumn id="10" name="# 10" dataDxfId="191"/>
    <tableColumn id="11" name="# 11" dataDxfId="190"/>
    <tableColumn id="12" name="# 12" dataDxfId="189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id="7" name="Table28" displayName="Table28" ref="A2:G84" totalsRowShown="0" headerRowDxfId="187" dataDxfId="185" headerRowBorderDxfId="186" tableBorderDxfId="184">
  <autoFilter ref="A2:G84"/>
  <tableColumns count="7">
    <tableColumn id="1" name="លរ​ No. 数字" dataDxfId="183"/>
    <tableColumn id="2" name="ប្រភេទគ្រឿងបន្លាស់ Sparepart Type 备件类型" dataDxfId="182"/>
    <tableColumn id="3" name="ទំហំ​ SIZE 尺寸" dataDxfId="181"/>
    <tableColumn id="4" name="ចំនួននៅសល់ Stock Left 剩余库存" dataDxfId="180"/>
    <tableColumn id="5" name="ម្ជុលដែលបានផ្តល់ជូន, Issued  Needle, 已发放的针头" dataDxfId="179">
      <calculatedColumnFormula>SUM(J3:U3)</calculatedColumnFormula>
    </tableColumn>
    <tableColumn id="6" name="តុល្យភាព Balance 平衡" dataDxfId="178">
      <calculatedColumnFormula>D3-E3</calculatedColumnFormula>
    </tableColumn>
    <tableColumn id="7" name="សំគាល់ Remark 评论" dataDxfId="177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id="8" name="Table69" displayName="Table69" ref="J2:U84" totalsRowShown="0" headerRowDxfId="176" headerRowBorderDxfId="175" tableBorderDxfId="174">
  <autoFilter ref="J2:U84"/>
  <tableColumns count="12">
    <tableColumn id="1" name="# 1" dataDxfId="173"/>
    <tableColumn id="2" name="# 2" dataDxfId="172"/>
    <tableColumn id="3" name="# 3" dataDxfId="171"/>
    <tableColumn id="4" name="# 4" dataDxfId="170"/>
    <tableColumn id="5" name="# 5" dataDxfId="169"/>
    <tableColumn id="6" name="# 6" dataDxfId="168"/>
    <tableColumn id="7" name="# 7" dataDxfId="167"/>
    <tableColumn id="8" name="# 8" dataDxfId="166"/>
    <tableColumn id="9" name="# 9" dataDxfId="165"/>
    <tableColumn id="10" name="# 10" dataDxfId="164"/>
    <tableColumn id="11" name="# 11" dataDxfId="163"/>
    <tableColumn id="12" name="# 12" dataDxfId="162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id="9" name="Table2810" displayName="Table2810" ref="A2:G84" totalsRowShown="0" headerRowDxfId="160" dataDxfId="158" headerRowBorderDxfId="159" tableBorderDxfId="157">
  <autoFilter ref="A2:G84"/>
  <tableColumns count="7">
    <tableColumn id="1" name="លរ​ No. 数字" dataDxfId="156"/>
    <tableColumn id="2" name="ប្រភេទគ្រឿងបន្លាស់ Sparepart Type 备件类型" dataDxfId="155"/>
    <tableColumn id="3" name="ទំហំ​ SIZE 尺寸" dataDxfId="154"/>
    <tableColumn id="4" name="ចំនួននៅសល់ Stock Left 剩余库存" dataDxfId="153"/>
    <tableColumn id="5" name="ម្ជុលដែលបានផ្តល់ជូន, Issued  Needle, 已发放的针头" dataDxfId="152">
      <calculatedColumnFormula>SUM(J3:U3)</calculatedColumnFormula>
    </tableColumn>
    <tableColumn id="6" name="តុល្យភាព Balance 平衡" dataDxfId="151">
      <calculatedColumnFormula>D3-E3</calculatedColumnFormula>
    </tableColumn>
    <tableColumn id="7" name="សំគាល់ Remark 评论" dataDxfId="150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id="10" name="Table6911" displayName="Table6911" ref="J2:U84" totalsRowShown="0" headerRowDxfId="149" headerRowBorderDxfId="148" tableBorderDxfId="147">
  <autoFilter ref="J2:U84"/>
  <tableColumns count="12">
    <tableColumn id="1" name="# 1" dataDxfId="146"/>
    <tableColumn id="2" name="# 2" dataDxfId="145"/>
    <tableColumn id="3" name="# 3" dataDxfId="144"/>
    <tableColumn id="4" name="# 4" dataDxfId="143"/>
    <tableColumn id="5" name="# 5" dataDxfId="142"/>
    <tableColumn id="6" name="# 6" dataDxfId="141"/>
    <tableColumn id="7" name="# 7" dataDxfId="140"/>
    <tableColumn id="8" name="# 8" dataDxfId="139"/>
    <tableColumn id="9" name="# 9" dataDxfId="138"/>
    <tableColumn id="10" name="# 10" dataDxfId="137"/>
    <tableColumn id="11" name="# 11" dataDxfId="136"/>
    <tableColumn id="12" name="# 12" dataDxfId="135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id="11" name="Table281012" displayName="Table281012" ref="A2:G84" totalsRowShown="0" headerRowDxfId="133" dataDxfId="131" headerRowBorderDxfId="132" tableBorderDxfId="130">
  <autoFilter ref="A2:G84"/>
  <tableColumns count="7">
    <tableColumn id="1" name="លរ​ No. 数字" dataDxfId="129"/>
    <tableColumn id="2" name="ប្រភេទគ្រឿងបន្លាស់ Sparepart Type 备件类型" dataDxfId="128"/>
    <tableColumn id="3" name="ទំហំ​ SIZE 尺寸" dataDxfId="127"/>
    <tableColumn id="4" name="ចំនួននៅសល់ Stock Left 剩余库存" dataDxfId="126"/>
    <tableColumn id="5" name="ម្ជុលដែលបានផ្តល់ជូន, Issued  Needle, 已发放的针头" dataDxfId="125">
      <calculatedColumnFormula>SUM(J3:U3)</calculatedColumnFormula>
    </tableColumn>
    <tableColumn id="6" name="តុល្យភាព Balance 平衡" dataDxfId="124">
      <calculatedColumnFormula>D3-E3</calculatedColumnFormula>
    </tableColumn>
    <tableColumn id="7" name="សំគាល់ Remark 评论" dataDxfId="123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id="12" name="Table691113" displayName="Table691113" ref="J2:U84" totalsRowShown="0" headerRowDxfId="122" headerRowBorderDxfId="121" tableBorderDxfId="120">
  <autoFilter ref="J2:U84"/>
  <tableColumns count="12">
    <tableColumn id="1" name="# 1" dataDxfId="119"/>
    <tableColumn id="2" name="# 2" dataDxfId="118"/>
    <tableColumn id="3" name="# 3" dataDxfId="117"/>
    <tableColumn id="4" name="# 4" dataDxfId="116"/>
    <tableColumn id="5" name="# 5" dataDxfId="115"/>
    <tableColumn id="6" name="# 6" dataDxfId="114"/>
    <tableColumn id="7" name="# 7" dataDxfId="113"/>
    <tableColumn id="8" name="# 8" dataDxfId="112"/>
    <tableColumn id="9" name="# 9" dataDxfId="111"/>
    <tableColumn id="10" name="# 10" dataDxfId="110"/>
    <tableColumn id="11" name="# 11" dataDxfId="109"/>
    <tableColumn id="12" name="# 12" dataDxfId="108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id="13" name="Table28101214" displayName="Table28101214" ref="A2:G84" totalsRowShown="0" headerRowDxfId="106" dataDxfId="104" headerRowBorderDxfId="105" tableBorderDxfId="103">
  <autoFilter ref="A2:G84"/>
  <tableColumns count="7">
    <tableColumn id="1" name="លរ​ No. 数字" dataDxfId="102"/>
    <tableColumn id="2" name="ប្រភេទគ្រឿងបន្លាស់ Sparepart Type 备件类型" dataDxfId="101"/>
    <tableColumn id="3" name="ទំហំ​ SIZE 尺寸" dataDxfId="100"/>
    <tableColumn id="4" name="ចំនួននៅសល់ Stock Left 剩余库存" dataDxfId="99"/>
    <tableColumn id="5" name="ម្ជុលដែលបានផ្តល់ជូន, Issued  Needle, 已发放的针头" dataDxfId="98">
      <calculatedColumnFormula>SUM(J3:U3)</calculatedColumnFormula>
    </tableColumn>
    <tableColumn id="6" name="តុល្យភាព Balance 平衡" dataDxfId="97">
      <calculatedColumnFormula>D3-E3</calculatedColumnFormula>
    </tableColumn>
    <tableColumn id="7" name="សំគាល់ Remark 评论" dataDxfId="96"/>
  </tableColumns>
  <tableStyleInfo name="TableStyleLight15" showFirstColumn="0" showLastColumn="0" showRowStripes="1" showColumnStripes="0"/>
</table>
</file>

<file path=xl/tables/table10.xml><?xml version="1.0" encoding="utf-8"?>
<table xmlns="http://schemas.openxmlformats.org/spreadsheetml/2006/main" id="14" name="Table69111315" displayName="Table69111315" ref="J2:U84" totalsRowShown="0" headerRowDxfId="95" headerRowBorderDxfId="94" tableBorderDxfId="93">
  <autoFilter ref="J2:U84"/>
  <tableColumns count="12">
    <tableColumn id="1" name="# 1" dataDxfId="92"/>
    <tableColumn id="2" name="# 2" dataDxfId="91"/>
    <tableColumn id="3" name="# 3" dataDxfId="90"/>
    <tableColumn id="4" name="# 4" dataDxfId="89"/>
    <tableColumn id="5" name="# 5" dataDxfId="88"/>
    <tableColumn id="6" name="# 6" dataDxfId="87"/>
    <tableColumn id="7" name="# 7" dataDxfId="86"/>
    <tableColumn id="8" name="# 8" dataDxfId="85"/>
    <tableColumn id="9" name="# 9" dataDxfId="84"/>
    <tableColumn id="10" name="# 10" dataDxfId="83"/>
    <tableColumn id="11" name="# 11" dataDxfId="82"/>
    <tableColumn id="12" name="# 12" dataDxfId="81"/>
  </tableColumns>
  <tableStyleInfo name="TableStyleLight18" showFirstColumn="0" showLastColumn="0" showRowStripes="1" showColumnStripes="0"/>
</table>
</file>

<file path=xl/tables/table11.xml><?xml version="1.0" encoding="utf-8"?>
<table xmlns="http://schemas.openxmlformats.org/spreadsheetml/2006/main" id="15" name="Table2810121416" displayName="Table2810121416" ref="A2:G84" totalsRowShown="0" headerRowDxfId="79" dataDxfId="77" headerRowBorderDxfId="78" tableBorderDxfId="76">
  <autoFilter ref="A2:G84"/>
  <tableColumns count="7">
    <tableColumn id="1" name="លរ​ No. 数字" dataDxfId="75"/>
    <tableColumn id="2" name="ប្រភេទគ្រឿងបន្លាស់ Sparepart Type 备件类型" dataDxfId="74"/>
    <tableColumn id="3" name="ទំហំ​ SIZE 尺寸" dataDxfId="73"/>
    <tableColumn id="4" name="ចំនួននៅសល់ Stock Left 剩余库存" dataDxfId="72"/>
    <tableColumn id="5" name="ម្ជុលដែលបានផ្តល់ជូន, Issued  Needle, 已发放的针头" dataDxfId="71">
      <calculatedColumnFormula>SUM(J3:U3)</calculatedColumnFormula>
    </tableColumn>
    <tableColumn id="6" name="តុល្យភាព Balance 平衡" dataDxfId="70">
      <calculatedColumnFormula>D3-E3</calculatedColumnFormula>
    </tableColumn>
    <tableColumn id="7" name="សំគាល់ Remark 评论" dataDxfId="69"/>
  </tableColumns>
  <tableStyleInfo name="TableStyleLight15" showFirstColumn="0" showLastColumn="0" showRowStripes="1" showColumnStripes="0"/>
</table>
</file>

<file path=xl/tables/table12.xml><?xml version="1.0" encoding="utf-8"?>
<table xmlns="http://schemas.openxmlformats.org/spreadsheetml/2006/main" id="16" name="Table6911131517" displayName="Table6911131517" ref="J2:U84" totalsRowShown="0" headerRowDxfId="68" headerRowBorderDxfId="67" tableBorderDxfId="66">
  <autoFilter ref="J2:U84"/>
  <tableColumns count="12">
    <tableColumn id="1" name="# 1" dataDxfId="65"/>
    <tableColumn id="2" name="# 2" dataDxfId="64"/>
    <tableColumn id="3" name="# 3" dataDxfId="63"/>
    <tableColumn id="4" name="# 4" dataDxfId="62"/>
    <tableColumn id="5" name="# 5" dataDxfId="61"/>
    <tableColumn id="6" name="# 6" dataDxfId="60"/>
    <tableColumn id="7" name="# 7" dataDxfId="59"/>
    <tableColumn id="8" name="# 8" dataDxfId="58"/>
    <tableColumn id="9" name="# 9" dataDxfId="57"/>
    <tableColumn id="10" name="# 10" dataDxfId="56"/>
    <tableColumn id="11" name="# 11" dataDxfId="55"/>
    <tableColumn id="12" name="# 12" dataDxfId="54"/>
  </tableColumns>
  <tableStyleInfo name="TableStyleLight18" showFirstColumn="0" showLastColumn="0" showRowStripes="1" showColumnStripes="0"/>
</table>
</file>

<file path=xl/tables/table13.xml><?xml version="1.0" encoding="utf-8"?>
<table xmlns="http://schemas.openxmlformats.org/spreadsheetml/2006/main" id="17" name="Table281012141618" displayName="Table281012141618" ref="A2:G84" totalsRowShown="0" headerRowDxfId="52" dataDxfId="50" headerRowBorderDxfId="51" tableBorderDxfId="49">
  <autoFilter ref="A2:G84"/>
  <tableColumns count="7">
    <tableColumn id="1" name="លរ​ No. 数字" dataDxfId="48"/>
    <tableColumn id="2" name="ប្រភេទគ្រឿងបន្លាស់ Sparepart Type 备件类型" dataDxfId="47"/>
    <tableColumn id="3" name="ទំហំ​ SIZE 尺寸" dataDxfId="46"/>
    <tableColumn id="4" name="ចំនួននៅសល់ Stock Left 剩余库存" dataDxfId="45"/>
    <tableColumn id="5" name="ម្ជុលដែលបានផ្តល់ជូន, Issued  Needle, 已发放的针头" dataDxfId="44">
      <calculatedColumnFormula>SUM(J3:U3)</calculatedColumnFormula>
    </tableColumn>
    <tableColumn id="6" name="តុល្យភាព Balance 平衡" dataDxfId="43">
      <calculatedColumnFormula>D3-E3</calculatedColumnFormula>
    </tableColumn>
    <tableColumn id="7" name="សំគាល់ Remark 评论" dataDxfId="42"/>
  </tableColumns>
  <tableStyleInfo name="TableStyleLight15" showFirstColumn="0" showLastColumn="0" showRowStripes="1" showColumnStripes="0"/>
</table>
</file>

<file path=xl/tables/table14.xml><?xml version="1.0" encoding="utf-8"?>
<table xmlns="http://schemas.openxmlformats.org/spreadsheetml/2006/main" id="18" name="Table691113151719" displayName="Table691113151719" ref="J2:U84" totalsRowShown="0" headerRowDxfId="41" headerRowBorderDxfId="40" tableBorderDxfId="39">
  <autoFilter ref="J2:U84"/>
  <tableColumns count="12">
    <tableColumn id="1" name="# 1" dataDxfId="38"/>
    <tableColumn id="2" name="# 2" dataDxfId="37"/>
    <tableColumn id="3" name="# 3" dataDxfId="36"/>
    <tableColumn id="4" name="# 4" dataDxfId="35"/>
    <tableColumn id="5" name="# 5" dataDxfId="34"/>
    <tableColumn id="6" name="# 6" dataDxfId="33"/>
    <tableColumn id="7" name="# 7" dataDxfId="32"/>
    <tableColumn id="8" name="# 8" dataDxfId="31"/>
    <tableColumn id="9" name="# 9" dataDxfId="30"/>
    <tableColumn id="10" name="# 10" dataDxfId="29"/>
    <tableColumn id="11" name="# 11" dataDxfId="28"/>
    <tableColumn id="12" name="# 12" dataDxfId="27"/>
  </tableColumns>
  <tableStyleInfo name="TableStyleLight18" showFirstColumn="0" showLastColumn="0" showRowStripes="1" showColumnStripes="0"/>
</table>
</file>

<file path=xl/tables/table15.xml><?xml version="1.0" encoding="utf-8"?>
<table xmlns="http://schemas.openxmlformats.org/spreadsheetml/2006/main" id="19" name="Table28101214161820" displayName="Table28101214161820" ref="A2:G84" totalsRowShown="0" headerRowDxfId="25" dataDxfId="23" headerRowBorderDxfId="24" tableBorderDxfId="22">
  <autoFilter ref="A2:G84"/>
  <tableColumns count="7">
    <tableColumn id="1" name="លរ​ No. 数字" dataDxfId="21"/>
    <tableColumn id="2" name="ប្រភេទគ្រឿងបន្លាស់ Sparepart Type 备件类型" dataDxfId="20"/>
    <tableColumn id="3" name="ទំហំ​ SIZE 尺寸" dataDxfId="19"/>
    <tableColumn id="4" name="ចំនួននៅសល់ Stock Left 剩余库存" dataDxfId="18"/>
    <tableColumn id="5" name="ម្ជុលដែលបានផ្តល់ជូន, Issued  Needle, 已发放的针头" dataDxfId="17">
      <calculatedColumnFormula>SUM(J3:U3)</calculatedColumnFormula>
    </tableColumn>
    <tableColumn id="6" name="តុល្យភាព Balance 平衡" dataDxfId="16">
      <calculatedColumnFormula>D3-E3</calculatedColumnFormula>
    </tableColumn>
    <tableColumn id="7" name="សំគាល់ Remark 评论" dataDxfId="15"/>
  </tableColumns>
  <tableStyleInfo name="TableStyleLight15" showFirstColumn="0" showLastColumn="0" showRowStripes="1" showColumnStripes="0"/>
</table>
</file>

<file path=xl/tables/table16.xml><?xml version="1.0" encoding="utf-8"?>
<table xmlns="http://schemas.openxmlformats.org/spreadsheetml/2006/main" id="20" name="Table69111315171921" displayName="Table69111315171921" ref="J2:U84" totalsRowShown="0" headerRowDxfId="14" headerRowBorderDxfId="13" tableBorderDxfId="12">
  <autoFilter ref="J2:U84"/>
  <tableColumns count="12">
    <tableColumn id="1" name="# 1" dataDxfId="11"/>
    <tableColumn id="2" name="# 2" dataDxfId="10"/>
    <tableColumn id="3" name="# 3" dataDxfId="9"/>
    <tableColumn id="4" name="# 4" dataDxfId="8"/>
    <tableColumn id="5" name="# 5" dataDxfId="7"/>
    <tableColumn id="6" name="# 6" dataDxfId="6"/>
    <tableColumn id="7" name="# 7" dataDxfId="5"/>
    <tableColumn id="8" name="# 8" dataDxfId="4"/>
    <tableColumn id="9" name="# 9" dataDxfId="3"/>
    <tableColumn id="10" name="# 10" dataDxfId="2"/>
    <tableColumn id="11" name="# 11" dataDxfId="1"/>
    <tableColumn id="12" name="# 12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84"/>
  <sheetViews>
    <sheetView workbookViewId="0">
      <selection activeCell="K3" sqref="K3"/>
    </sheetView>
  </sheetViews>
  <sheetFormatPr defaultRowHeight="15" x14ac:dyDescent="0.25"/>
  <cols>
    <col min="1" max="1" width="14.85546875" customWidth="1"/>
    <col min="2" max="2" width="24.140625" customWidth="1"/>
    <col min="3" max="3" width="9.85546875" customWidth="1"/>
    <col min="4" max="4" width="16.42578125" customWidth="1"/>
    <col min="5" max="5" width="19.42578125" customWidth="1"/>
    <col min="6" max="6" width="12" customWidth="1"/>
    <col min="7" max="7" width="22.28515625" customWidth="1"/>
    <col min="8" max="8" width="2.5703125" customWidth="1"/>
    <col min="9" max="9" width="5.140625" hidden="1" customWidth="1"/>
    <col min="10" max="18" width="6.140625" customWidth="1"/>
    <col min="19" max="21" width="6.42578125" customWidth="1"/>
  </cols>
  <sheetData>
    <row r="1" spans="1:24" ht="58.5" customHeight="1" thickBot="1" x14ac:dyDescent="0.3">
      <c r="A1" s="1"/>
      <c r="B1" s="35" t="s">
        <v>101</v>
      </c>
      <c r="C1" s="35"/>
      <c r="D1" s="35"/>
      <c r="E1" s="35"/>
      <c r="F1" s="35"/>
      <c r="G1" s="33">
        <v>46304</v>
      </c>
      <c r="J1" s="36" t="s">
        <v>103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8"/>
    </row>
    <row r="2" spans="1:24" ht="73.5" customHeight="1" thickBot="1" x14ac:dyDescent="0.3">
      <c r="A2" s="4" t="s">
        <v>0</v>
      </c>
      <c r="B2" s="3" t="s">
        <v>1</v>
      </c>
      <c r="C2" s="3" t="s">
        <v>77</v>
      </c>
      <c r="D2" s="3" t="s">
        <v>80</v>
      </c>
      <c r="E2" s="3" t="s">
        <v>81</v>
      </c>
      <c r="F2" s="3" t="s">
        <v>82</v>
      </c>
      <c r="G2" s="5" t="s">
        <v>83</v>
      </c>
      <c r="J2" s="26" t="s">
        <v>84</v>
      </c>
      <c r="K2" s="26" t="s">
        <v>85</v>
      </c>
      <c r="L2" s="26" t="s">
        <v>86</v>
      </c>
      <c r="M2" s="26" t="s">
        <v>87</v>
      </c>
      <c r="N2" s="26" t="s">
        <v>88</v>
      </c>
      <c r="O2" s="26" t="s">
        <v>89</v>
      </c>
      <c r="P2" s="26" t="s">
        <v>90</v>
      </c>
      <c r="Q2" s="26" t="s">
        <v>91</v>
      </c>
      <c r="R2" s="26" t="s">
        <v>92</v>
      </c>
      <c r="S2" s="26" t="s">
        <v>93</v>
      </c>
      <c r="T2" s="26" t="s">
        <v>94</v>
      </c>
      <c r="U2" s="26" t="s">
        <v>95</v>
      </c>
    </row>
    <row r="3" spans="1:24" ht="27.75" customHeight="1" x14ac:dyDescent="0.25">
      <c r="A3" s="10">
        <f>IF(B3="","",COUNTA($B$3:B3))</f>
        <v>1</v>
      </c>
      <c r="B3" s="11" t="s">
        <v>2</v>
      </c>
      <c r="C3" s="11" t="s">
        <v>78</v>
      </c>
      <c r="D3" s="12">
        <v>8</v>
      </c>
      <c r="E3" s="7">
        <f t="shared" ref="E3:E34" si="0">SUM(J3:U3)</f>
        <v>0</v>
      </c>
      <c r="F3" s="7">
        <f t="shared" ref="F3:F66" si="1">D3-E3</f>
        <v>8</v>
      </c>
      <c r="G3" s="8"/>
      <c r="J3" s="27"/>
      <c r="K3" s="6"/>
      <c r="L3" s="6"/>
      <c r="M3" s="6"/>
      <c r="N3" s="6"/>
      <c r="O3" s="6"/>
      <c r="P3" s="6"/>
      <c r="Q3" s="6"/>
      <c r="R3" s="6"/>
      <c r="S3" s="6"/>
      <c r="T3" s="6"/>
      <c r="U3" s="28"/>
      <c r="X3" t="s">
        <v>96</v>
      </c>
    </row>
    <row r="4" spans="1:24" ht="30" x14ac:dyDescent="0.25">
      <c r="A4" s="13">
        <f>IF(B4="","",COUNTA($B$3:B4))</f>
        <v>2</v>
      </c>
      <c r="B4" s="14" t="s">
        <v>3</v>
      </c>
      <c r="C4" s="14" t="s">
        <v>78</v>
      </c>
      <c r="D4" s="15">
        <v>60</v>
      </c>
      <c r="E4" s="7">
        <f t="shared" si="0"/>
        <v>0</v>
      </c>
      <c r="F4" s="7">
        <f t="shared" si="1"/>
        <v>60</v>
      </c>
      <c r="G4" s="9"/>
      <c r="J4" s="27"/>
      <c r="K4" s="6"/>
      <c r="L4" s="6"/>
      <c r="M4" s="6"/>
      <c r="N4" s="6"/>
      <c r="O4" s="6"/>
      <c r="P4" s="6"/>
      <c r="Q4" s="6"/>
      <c r="R4" s="6"/>
      <c r="S4" s="6"/>
      <c r="T4" s="6"/>
      <c r="U4" s="28"/>
      <c r="X4" t="s">
        <v>97</v>
      </c>
    </row>
    <row r="5" spans="1:24" ht="30" x14ac:dyDescent="0.25">
      <c r="A5" s="10">
        <f>IF(B5="","",COUNTA($B$3:B5))</f>
        <v>3</v>
      </c>
      <c r="B5" s="11" t="s">
        <v>4</v>
      </c>
      <c r="C5" s="11" t="s">
        <v>78</v>
      </c>
      <c r="D5" s="12">
        <v>8</v>
      </c>
      <c r="E5" s="7">
        <f t="shared" si="0"/>
        <v>0</v>
      </c>
      <c r="F5" s="7">
        <f t="shared" si="1"/>
        <v>8</v>
      </c>
      <c r="G5" s="9"/>
      <c r="J5" s="27"/>
      <c r="K5" s="6"/>
      <c r="L5" s="6"/>
      <c r="M5" s="6"/>
      <c r="N5" s="6"/>
      <c r="O5" s="6"/>
      <c r="P5" s="6"/>
      <c r="Q5" s="6"/>
      <c r="R5" s="6"/>
      <c r="S5" s="6"/>
      <c r="T5" s="6"/>
      <c r="U5" s="28"/>
      <c r="X5" t="s">
        <v>98</v>
      </c>
    </row>
    <row r="6" spans="1:24" ht="30" x14ac:dyDescent="0.25">
      <c r="A6" s="13">
        <f>IF(B6="","",COUNTA($B$3:B6))</f>
        <v>4</v>
      </c>
      <c r="B6" s="14" t="s">
        <v>5</v>
      </c>
      <c r="C6" s="14" t="s">
        <v>78</v>
      </c>
      <c r="D6" s="15">
        <v>13</v>
      </c>
      <c r="E6" s="7">
        <f t="shared" si="0"/>
        <v>0</v>
      </c>
      <c r="F6" s="7">
        <f t="shared" si="1"/>
        <v>13</v>
      </c>
      <c r="G6" s="9"/>
      <c r="J6" s="27"/>
      <c r="K6" s="6"/>
      <c r="L6" s="6"/>
      <c r="M6" s="6"/>
      <c r="N6" s="6"/>
      <c r="O6" s="6"/>
      <c r="P6" s="6"/>
      <c r="Q6" s="6"/>
      <c r="R6" s="6"/>
      <c r="S6" s="6"/>
      <c r="T6" s="6"/>
      <c r="U6" s="28"/>
      <c r="X6" t="s">
        <v>99</v>
      </c>
    </row>
    <row r="7" spans="1:24" ht="30" x14ac:dyDescent="0.25">
      <c r="A7" s="10">
        <f>IF(B7="","",COUNTA($B$3:B7))</f>
        <v>5</v>
      </c>
      <c r="B7" s="11" t="s">
        <v>6</v>
      </c>
      <c r="C7" s="11" t="s">
        <v>78</v>
      </c>
      <c r="D7" s="12">
        <v>3</v>
      </c>
      <c r="E7" s="7">
        <f t="shared" si="0"/>
        <v>0</v>
      </c>
      <c r="F7" s="7">
        <f t="shared" si="1"/>
        <v>3</v>
      </c>
      <c r="G7" s="9"/>
      <c r="J7" s="27"/>
      <c r="K7" s="6"/>
      <c r="L7" s="6"/>
      <c r="M7" s="6"/>
      <c r="N7" s="6"/>
      <c r="O7" s="6"/>
      <c r="P7" s="6"/>
      <c r="Q7" s="6"/>
      <c r="R7" s="6"/>
      <c r="S7" s="6"/>
      <c r="T7" s="6"/>
      <c r="U7" s="28"/>
      <c r="X7" t="s">
        <v>100</v>
      </c>
    </row>
    <row r="8" spans="1:24" ht="30" x14ac:dyDescent="0.25">
      <c r="A8" s="13">
        <f>IF(B8="","",COUNTA($B$3:B8))</f>
        <v>6</v>
      </c>
      <c r="B8" s="14" t="s">
        <v>7</v>
      </c>
      <c r="C8" s="14" t="s">
        <v>78</v>
      </c>
      <c r="D8" s="15">
        <v>25</v>
      </c>
      <c r="E8" s="7">
        <f t="shared" si="0"/>
        <v>0</v>
      </c>
      <c r="F8" s="7">
        <f t="shared" si="1"/>
        <v>25</v>
      </c>
      <c r="G8" s="9"/>
      <c r="J8" s="27"/>
      <c r="K8" s="6"/>
      <c r="L8" s="6"/>
      <c r="M8" s="6"/>
      <c r="N8" s="6"/>
      <c r="O8" s="6"/>
      <c r="P8" s="6"/>
      <c r="Q8" s="6"/>
      <c r="R8" s="6"/>
      <c r="S8" s="6"/>
      <c r="T8" s="6"/>
      <c r="U8" s="28"/>
    </row>
    <row r="9" spans="1:24" ht="45" x14ac:dyDescent="0.25">
      <c r="A9" s="10">
        <f>IF(B9="","",COUNTA($B$3:B9))</f>
        <v>7</v>
      </c>
      <c r="B9" s="11" t="s">
        <v>8</v>
      </c>
      <c r="C9" s="11" t="s">
        <v>78</v>
      </c>
      <c r="D9" s="12">
        <v>15</v>
      </c>
      <c r="E9" s="7">
        <f t="shared" si="0"/>
        <v>0</v>
      </c>
      <c r="F9" s="7">
        <f t="shared" si="1"/>
        <v>15</v>
      </c>
      <c r="G9" s="9"/>
      <c r="J9" s="27"/>
      <c r="K9" s="6"/>
      <c r="L9" s="6"/>
      <c r="M9" s="6"/>
      <c r="N9" s="6"/>
      <c r="O9" s="6"/>
      <c r="P9" s="6"/>
      <c r="Q9" s="6"/>
      <c r="R9" s="6"/>
      <c r="S9" s="6"/>
      <c r="T9" s="6"/>
      <c r="U9" s="28"/>
    </row>
    <row r="10" spans="1:24" ht="45" x14ac:dyDescent="0.25">
      <c r="A10" s="13">
        <f>IF(B10="","",COUNTA($B$3:B10))</f>
        <v>8</v>
      </c>
      <c r="B10" s="14" t="s">
        <v>9</v>
      </c>
      <c r="C10" s="14" t="s">
        <v>78</v>
      </c>
      <c r="D10" s="15">
        <v>2</v>
      </c>
      <c r="E10" s="7">
        <f t="shared" si="0"/>
        <v>0</v>
      </c>
      <c r="F10" s="7">
        <f t="shared" si="1"/>
        <v>2</v>
      </c>
      <c r="G10" s="9"/>
      <c r="J10" s="27"/>
      <c r="K10" s="6"/>
      <c r="L10" s="6"/>
      <c r="M10" s="6"/>
      <c r="N10" s="6"/>
      <c r="O10" s="6"/>
      <c r="P10" s="6"/>
      <c r="Q10" s="6"/>
      <c r="R10" s="6"/>
      <c r="S10" s="6"/>
      <c r="T10" s="6"/>
      <c r="U10" s="28"/>
    </row>
    <row r="11" spans="1:24" ht="60" x14ac:dyDescent="0.25">
      <c r="A11" s="10">
        <f>IF(B11="","",COUNTA($B$3:B11))</f>
        <v>9</v>
      </c>
      <c r="B11" s="11" t="s">
        <v>10</v>
      </c>
      <c r="C11" s="11" t="s">
        <v>78</v>
      </c>
      <c r="D11" s="12">
        <v>4</v>
      </c>
      <c r="E11" s="7">
        <f t="shared" si="0"/>
        <v>0</v>
      </c>
      <c r="F11" s="7">
        <f t="shared" si="1"/>
        <v>4</v>
      </c>
      <c r="G11" s="9"/>
      <c r="J11" s="27"/>
      <c r="K11" s="6"/>
      <c r="L11" s="6"/>
      <c r="M11" s="6"/>
      <c r="N11" s="6"/>
      <c r="O11" s="6"/>
      <c r="P11" s="6"/>
      <c r="Q11" s="6"/>
      <c r="R11" s="6"/>
      <c r="S11" s="6"/>
      <c r="T11" s="6"/>
      <c r="U11" s="28"/>
    </row>
    <row r="12" spans="1:24" ht="45" x14ac:dyDescent="0.25">
      <c r="A12" s="13">
        <f>IF(B12="","",COUNTA($B$3:B12))</f>
        <v>10</v>
      </c>
      <c r="B12" s="14" t="s">
        <v>11</v>
      </c>
      <c r="C12" s="14" t="s">
        <v>78</v>
      </c>
      <c r="D12" s="15">
        <v>0</v>
      </c>
      <c r="E12" s="7">
        <f t="shared" si="0"/>
        <v>0</v>
      </c>
      <c r="F12" s="7">
        <f t="shared" si="1"/>
        <v>0</v>
      </c>
      <c r="G12" s="9"/>
      <c r="J12" s="27"/>
      <c r="K12" s="6"/>
      <c r="L12" s="6"/>
      <c r="M12" s="6"/>
      <c r="N12" s="6"/>
      <c r="O12" s="6"/>
      <c r="P12" s="6"/>
      <c r="Q12" s="6"/>
      <c r="R12" s="6"/>
      <c r="S12" s="6"/>
      <c r="T12" s="6"/>
      <c r="U12" s="28"/>
    </row>
    <row r="13" spans="1:24" ht="60" x14ac:dyDescent="0.25">
      <c r="A13" s="10">
        <f>IF(B13="","",COUNTA($B$3:B13))</f>
        <v>11</v>
      </c>
      <c r="B13" s="11" t="s">
        <v>12</v>
      </c>
      <c r="C13" s="11" t="s">
        <v>78</v>
      </c>
      <c r="D13" s="12">
        <v>0</v>
      </c>
      <c r="E13" s="7">
        <f t="shared" si="0"/>
        <v>0</v>
      </c>
      <c r="F13" s="7">
        <f t="shared" si="1"/>
        <v>0</v>
      </c>
      <c r="G13" s="9"/>
      <c r="J13" s="27"/>
      <c r="K13" s="6"/>
      <c r="L13" s="6"/>
      <c r="M13" s="6"/>
      <c r="N13" s="6"/>
      <c r="O13" s="6"/>
      <c r="P13" s="6"/>
      <c r="Q13" s="6"/>
      <c r="R13" s="6"/>
      <c r="S13" s="6"/>
      <c r="T13" s="6"/>
      <c r="U13" s="28"/>
    </row>
    <row r="14" spans="1:24" ht="30" x14ac:dyDescent="0.25">
      <c r="A14" s="13">
        <f>IF(B14="","",COUNTA($B$3:B14))</f>
        <v>12</v>
      </c>
      <c r="B14" s="14" t="s">
        <v>13</v>
      </c>
      <c r="C14" s="14" t="s">
        <v>78</v>
      </c>
      <c r="D14" s="15">
        <v>7</v>
      </c>
      <c r="E14" s="7">
        <f t="shared" si="0"/>
        <v>0</v>
      </c>
      <c r="F14" s="7">
        <f t="shared" si="1"/>
        <v>7</v>
      </c>
      <c r="G14" s="9"/>
      <c r="J14" s="27"/>
      <c r="K14" s="6"/>
      <c r="L14" s="6"/>
      <c r="M14" s="6"/>
      <c r="N14" s="6"/>
      <c r="O14" s="6"/>
      <c r="P14" s="6"/>
      <c r="Q14" s="6"/>
      <c r="R14" s="6"/>
      <c r="S14" s="6"/>
      <c r="T14" s="6"/>
      <c r="U14" s="28"/>
    </row>
    <row r="15" spans="1:24" ht="60" x14ac:dyDescent="0.25">
      <c r="A15" s="10">
        <f>IF(B15="","",COUNTA($B$3:B15))</f>
        <v>13</v>
      </c>
      <c r="B15" s="16" t="s">
        <v>14</v>
      </c>
      <c r="C15" s="11" t="s">
        <v>78</v>
      </c>
      <c r="D15" s="12">
        <v>6</v>
      </c>
      <c r="E15" s="7">
        <f t="shared" si="0"/>
        <v>0</v>
      </c>
      <c r="F15" s="7">
        <f t="shared" si="1"/>
        <v>6</v>
      </c>
      <c r="G15" s="9"/>
      <c r="J15" s="27"/>
      <c r="K15" s="6"/>
      <c r="L15" s="6"/>
      <c r="M15" s="6"/>
      <c r="N15" s="6"/>
      <c r="O15" s="6"/>
      <c r="P15" s="6"/>
      <c r="Q15" s="6"/>
      <c r="R15" s="6"/>
      <c r="S15" s="6"/>
      <c r="T15" s="6"/>
      <c r="U15" s="28"/>
    </row>
    <row r="16" spans="1:24" ht="45" x14ac:dyDescent="0.25">
      <c r="A16" s="13">
        <f>IF(B16="","",COUNTA($B$3:B16))</f>
        <v>14</v>
      </c>
      <c r="B16" s="14" t="s">
        <v>15</v>
      </c>
      <c r="C16" s="14" t="s">
        <v>78</v>
      </c>
      <c r="D16" s="15">
        <v>3</v>
      </c>
      <c r="E16" s="7">
        <f t="shared" si="0"/>
        <v>0</v>
      </c>
      <c r="F16" s="7">
        <f t="shared" si="1"/>
        <v>3</v>
      </c>
      <c r="G16" s="9"/>
      <c r="J16" s="27"/>
      <c r="K16" s="6"/>
      <c r="L16" s="6"/>
      <c r="M16" s="6"/>
      <c r="N16" s="6"/>
      <c r="O16" s="6"/>
      <c r="P16" s="6"/>
      <c r="Q16" s="6"/>
      <c r="R16" s="6"/>
      <c r="S16" s="6"/>
      <c r="T16" s="6"/>
      <c r="U16" s="28"/>
    </row>
    <row r="17" spans="1:21" ht="45" x14ac:dyDescent="0.25">
      <c r="A17" s="10">
        <f>IF(B17="","",COUNTA($B$3:B17))</f>
        <v>15</v>
      </c>
      <c r="B17" s="11" t="s">
        <v>16</v>
      </c>
      <c r="C17" s="11" t="s">
        <v>78</v>
      </c>
      <c r="D17" s="12">
        <v>3</v>
      </c>
      <c r="E17" s="7">
        <f t="shared" si="0"/>
        <v>0</v>
      </c>
      <c r="F17" s="7">
        <f t="shared" si="1"/>
        <v>3</v>
      </c>
      <c r="G17" s="9"/>
      <c r="J17" s="27"/>
      <c r="K17" s="6"/>
      <c r="L17" s="6"/>
      <c r="M17" s="6"/>
      <c r="N17" s="6"/>
      <c r="O17" s="6"/>
      <c r="P17" s="6"/>
      <c r="Q17" s="6"/>
      <c r="R17" s="6"/>
      <c r="S17" s="6"/>
      <c r="T17" s="6"/>
      <c r="U17" s="28"/>
    </row>
    <row r="18" spans="1:21" ht="60" x14ac:dyDescent="0.25">
      <c r="A18" s="13">
        <f>IF(B18="","",COUNTA($B$3:B18))</f>
        <v>16</v>
      </c>
      <c r="B18" s="17" t="s">
        <v>17</v>
      </c>
      <c r="C18" s="14" t="s">
        <v>78</v>
      </c>
      <c r="D18" s="15">
        <v>2</v>
      </c>
      <c r="E18" s="7">
        <f t="shared" si="0"/>
        <v>0</v>
      </c>
      <c r="F18" s="7">
        <f t="shared" si="1"/>
        <v>2</v>
      </c>
      <c r="G18" s="9"/>
      <c r="J18" s="27"/>
      <c r="K18" s="6"/>
      <c r="L18" s="6"/>
      <c r="M18" s="6"/>
      <c r="N18" s="6"/>
      <c r="O18" s="6"/>
      <c r="P18" s="6"/>
      <c r="Q18" s="6"/>
      <c r="R18" s="6"/>
      <c r="S18" s="6"/>
      <c r="T18" s="6"/>
      <c r="U18" s="28"/>
    </row>
    <row r="19" spans="1:21" ht="45" x14ac:dyDescent="0.25">
      <c r="A19" s="10">
        <f>IF(B19="","",COUNTA($B$3:B19))</f>
        <v>17</v>
      </c>
      <c r="B19" s="11" t="s">
        <v>18</v>
      </c>
      <c r="C19" s="11" t="s">
        <v>78</v>
      </c>
      <c r="D19" s="12">
        <v>42</v>
      </c>
      <c r="E19" s="7">
        <f t="shared" si="0"/>
        <v>0</v>
      </c>
      <c r="F19" s="7">
        <f t="shared" si="1"/>
        <v>42</v>
      </c>
      <c r="G19" s="9"/>
      <c r="J19" s="27"/>
      <c r="K19" s="6"/>
      <c r="L19" s="6"/>
      <c r="M19" s="6"/>
      <c r="N19" s="6"/>
      <c r="O19" s="6"/>
      <c r="P19" s="6"/>
      <c r="Q19" s="6"/>
      <c r="R19" s="6"/>
      <c r="S19" s="6"/>
      <c r="T19" s="6"/>
      <c r="U19" s="28"/>
    </row>
    <row r="20" spans="1:21" ht="30" x14ac:dyDescent="0.25">
      <c r="A20" s="13">
        <f>IF(B20="","",COUNTA($B$3:B20))</f>
        <v>18</v>
      </c>
      <c r="B20" s="14" t="s">
        <v>19</v>
      </c>
      <c r="C20" s="14" t="s">
        <v>79</v>
      </c>
      <c r="D20" s="15">
        <v>2</v>
      </c>
      <c r="E20" s="7">
        <f t="shared" si="0"/>
        <v>0</v>
      </c>
      <c r="F20" s="7">
        <f t="shared" si="1"/>
        <v>2</v>
      </c>
      <c r="G20" s="9"/>
      <c r="J20" s="27"/>
      <c r="K20" s="6"/>
      <c r="L20" s="6"/>
      <c r="M20" s="6"/>
      <c r="N20" s="6"/>
      <c r="O20" s="6"/>
      <c r="P20" s="6"/>
      <c r="Q20" s="6"/>
      <c r="R20" s="6"/>
      <c r="S20" s="6"/>
      <c r="T20" s="6"/>
      <c r="U20" s="28"/>
    </row>
    <row r="21" spans="1:21" ht="45" x14ac:dyDescent="0.25">
      <c r="A21" s="10">
        <f>IF(B21="","",COUNTA($B$3:B21))</f>
        <v>19</v>
      </c>
      <c r="B21" s="11" t="s">
        <v>20</v>
      </c>
      <c r="C21" s="11" t="s">
        <v>78</v>
      </c>
      <c r="D21" s="12">
        <v>20</v>
      </c>
      <c r="E21" s="7">
        <f t="shared" si="0"/>
        <v>0</v>
      </c>
      <c r="F21" s="7">
        <f t="shared" si="1"/>
        <v>20</v>
      </c>
      <c r="G21" s="9"/>
      <c r="J21" s="27"/>
      <c r="K21" s="6"/>
      <c r="L21" s="6"/>
      <c r="M21" s="6"/>
      <c r="N21" s="6"/>
      <c r="O21" s="6"/>
      <c r="P21" s="6"/>
      <c r="Q21" s="6"/>
      <c r="R21" s="6"/>
      <c r="S21" s="6"/>
      <c r="T21" s="6"/>
      <c r="U21" s="28"/>
    </row>
    <row r="22" spans="1:21" ht="30" x14ac:dyDescent="0.25">
      <c r="A22" s="13">
        <f>IF(B22="","",COUNTA($B$3:B22))</f>
        <v>20</v>
      </c>
      <c r="B22" s="14" t="s">
        <v>21</v>
      </c>
      <c r="C22" s="14" t="s">
        <v>78</v>
      </c>
      <c r="D22" s="15">
        <v>5</v>
      </c>
      <c r="E22" s="7">
        <f t="shared" si="0"/>
        <v>0</v>
      </c>
      <c r="F22" s="7">
        <f t="shared" si="1"/>
        <v>5</v>
      </c>
      <c r="G22" s="9"/>
      <c r="J22" s="27"/>
      <c r="K22" s="6"/>
      <c r="L22" s="6"/>
      <c r="M22" s="6"/>
      <c r="N22" s="6"/>
      <c r="O22" s="6"/>
      <c r="P22" s="6"/>
      <c r="Q22" s="6"/>
      <c r="R22" s="6"/>
      <c r="S22" s="6"/>
      <c r="T22" s="6"/>
      <c r="U22" s="28"/>
    </row>
    <row r="23" spans="1:21" ht="60" x14ac:dyDescent="0.25">
      <c r="A23" s="10">
        <f>IF(B23="","",COUNTA($B$3:B23))</f>
        <v>21</v>
      </c>
      <c r="B23" s="11" t="s">
        <v>22</v>
      </c>
      <c r="C23" s="11" t="s">
        <v>78</v>
      </c>
      <c r="D23" s="12">
        <v>3</v>
      </c>
      <c r="E23" s="7">
        <f t="shared" si="0"/>
        <v>0</v>
      </c>
      <c r="F23" s="7">
        <f t="shared" si="1"/>
        <v>3</v>
      </c>
      <c r="G23" s="9"/>
      <c r="J23" s="27"/>
      <c r="K23" s="6"/>
      <c r="L23" s="6"/>
      <c r="M23" s="6"/>
      <c r="N23" s="6"/>
      <c r="O23" s="6"/>
      <c r="P23" s="6"/>
      <c r="Q23" s="6"/>
      <c r="R23" s="6"/>
      <c r="S23" s="6"/>
      <c r="T23" s="6"/>
      <c r="U23" s="28"/>
    </row>
    <row r="24" spans="1:21" ht="45" x14ac:dyDescent="0.25">
      <c r="A24" s="13">
        <f>IF(B24="","",COUNTA($B$3:B24))</f>
        <v>22</v>
      </c>
      <c r="B24" s="14" t="s">
        <v>23</v>
      </c>
      <c r="C24" s="14" t="s">
        <v>78</v>
      </c>
      <c r="D24" s="15">
        <v>25</v>
      </c>
      <c r="E24" s="7">
        <f t="shared" si="0"/>
        <v>0</v>
      </c>
      <c r="F24" s="7">
        <f t="shared" si="1"/>
        <v>25</v>
      </c>
      <c r="G24" s="9"/>
      <c r="J24" s="27"/>
      <c r="K24" s="6"/>
      <c r="L24" s="6"/>
      <c r="M24" s="6"/>
      <c r="N24" s="6"/>
      <c r="O24" s="6"/>
      <c r="P24" s="6"/>
      <c r="Q24" s="6"/>
      <c r="R24" s="6"/>
      <c r="S24" s="6"/>
      <c r="T24" s="6"/>
      <c r="U24" s="28"/>
    </row>
    <row r="25" spans="1:21" ht="30" x14ac:dyDescent="0.25">
      <c r="A25" s="10">
        <f>IF(B25="","",COUNTA($B$3:B25))</f>
        <v>23</v>
      </c>
      <c r="B25" s="11" t="s">
        <v>24</v>
      </c>
      <c r="C25" s="11" t="s">
        <v>78</v>
      </c>
      <c r="D25" s="12">
        <v>10</v>
      </c>
      <c r="E25" s="7">
        <f t="shared" si="0"/>
        <v>0</v>
      </c>
      <c r="F25" s="7">
        <f t="shared" si="1"/>
        <v>10</v>
      </c>
      <c r="G25" s="9"/>
      <c r="J25" s="27"/>
      <c r="K25" s="6"/>
      <c r="L25" s="6"/>
      <c r="M25" s="6"/>
      <c r="N25" s="6"/>
      <c r="O25" s="6"/>
      <c r="P25" s="6"/>
      <c r="Q25" s="6"/>
      <c r="R25" s="6"/>
      <c r="S25" s="6"/>
      <c r="T25" s="6"/>
      <c r="U25" s="28"/>
    </row>
    <row r="26" spans="1:21" ht="30" x14ac:dyDescent="0.25">
      <c r="A26" s="13">
        <f>IF(B26="","",COUNTA($B$3:B26))</f>
        <v>24</v>
      </c>
      <c r="B26" s="14" t="s">
        <v>25</v>
      </c>
      <c r="C26" s="14" t="s">
        <v>78</v>
      </c>
      <c r="D26" s="15">
        <v>0</v>
      </c>
      <c r="E26" s="7">
        <f t="shared" si="0"/>
        <v>0</v>
      </c>
      <c r="F26" s="7">
        <f t="shared" si="1"/>
        <v>0</v>
      </c>
      <c r="G26" s="9"/>
      <c r="J26" s="27"/>
      <c r="K26" s="6"/>
      <c r="L26" s="6"/>
      <c r="M26" s="6"/>
      <c r="N26" s="6"/>
      <c r="O26" s="6"/>
      <c r="P26" s="6"/>
      <c r="Q26" s="6"/>
      <c r="R26" s="6"/>
      <c r="S26" s="6"/>
      <c r="T26" s="6"/>
      <c r="U26" s="28"/>
    </row>
    <row r="27" spans="1:21" ht="30" x14ac:dyDescent="0.25">
      <c r="A27" s="10">
        <f>IF(B27="","",COUNTA($B$3:B27))</f>
        <v>25</v>
      </c>
      <c r="B27" s="11" t="s">
        <v>26</v>
      </c>
      <c r="C27" s="11" t="s">
        <v>78</v>
      </c>
      <c r="D27" s="12">
        <v>3</v>
      </c>
      <c r="E27" s="7">
        <f t="shared" si="0"/>
        <v>0</v>
      </c>
      <c r="F27" s="7">
        <f t="shared" si="1"/>
        <v>3</v>
      </c>
      <c r="G27" s="9"/>
      <c r="J27" s="27"/>
      <c r="K27" s="6"/>
      <c r="L27" s="6"/>
      <c r="M27" s="6"/>
      <c r="N27" s="6"/>
      <c r="O27" s="6"/>
      <c r="P27" s="6"/>
      <c r="Q27" s="6"/>
      <c r="R27" s="6"/>
      <c r="S27" s="6"/>
      <c r="T27" s="6"/>
      <c r="U27" s="28"/>
    </row>
    <row r="28" spans="1:21" ht="60" x14ac:dyDescent="0.25">
      <c r="A28" s="13">
        <f>IF(B28="","",COUNTA($B$3:B28))</f>
        <v>26</v>
      </c>
      <c r="B28" s="14" t="s">
        <v>27</v>
      </c>
      <c r="C28" s="14" t="s">
        <v>78</v>
      </c>
      <c r="D28" s="15">
        <v>0</v>
      </c>
      <c r="E28" s="7">
        <f t="shared" si="0"/>
        <v>0</v>
      </c>
      <c r="F28" s="7">
        <f t="shared" si="1"/>
        <v>0</v>
      </c>
      <c r="G28" s="9"/>
      <c r="J28" s="27"/>
      <c r="K28" s="6"/>
      <c r="L28" s="6"/>
      <c r="M28" s="6"/>
      <c r="N28" s="6"/>
      <c r="O28" s="6"/>
      <c r="P28" s="6"/>
      <c r="Q28" s="6"/>
      <c r="R28" s="6"/>
      <c r="S28" s="6"/>
      <c r="T28" s="6"/>
      <c r="U28" s="28"/>
    </row>
    <row r="29" spans="1:21" ht="30" x14ac:dyDescent="0.25">
      <c r="A29" s="10">
        <f>IF(B29="","",COUNTA($B$3:B29))</f>
        <v>27</v>
      </c>
      <c r="B29" s="11" t="s">
        <v>28</v>
      </c>
      <c r="C29" s="11" t="s">
        <v>78</v>
      </c>
      <c r="D29" s="12">
        <v>9</v>
      </c>
      <c r="E29" s="7">
        <f t="shared" si="0"/>
        <v>0</v>
      </c>
      <c r="F29" s="7">
        <f t="shared" si="1"/>
        <v>9</v>
      </c>
      <c r="G29" s="9"/>
      <c r="J29" s="27"/>
      <c r="K29" s="6"/>
      <c r="L29" s="6"/>
      <c r="M29" s="6"/>
      <c r="N29" s="6"/>
      <c r="O29" s="6"/>
      <c r="P29" s="6"/>
      <c r="Q29" s="6"/>
      <c r="R29" s="6"/>
      <c r="S29" s="6"/>
      <c r="T29" s="6"/>
      <c r="U29" s="28"/>
    </row>
    <row r="30" spans="1:21" ht="75" x14ac:dyDescent="0.25">
      <c r="A30" s="13">
        <f>IF(B30="","",COUNTA($B$3:B30))</f>
        <v>28</v>
      </c>
      <c r="B30" s="14" t="s">
        <v>29</v>
      </c>
      <c r="C30" s="14" t="s">
        <v>78</v>
      </c>
      <c r="D30" s="15">
        <v>4</v>
      </c>
      <c r="E30" s="7">
        <f t="shared" si="0"/>
        <v>0</v>
      </c>
      <c r="F30" s="7">
        <f t="shared" si="1"/>
        <v>4</v>
      </c>
      <c r="G30" s="9"/>
      <c r="J30" s="27"/>
      <c r="K30" s="6"/>
      <c r="L30" s="6"/>
      <c r="M30" s="6"/>
      <c r="N30" s="6"/>
      <c r="O30" s="6"/>
      <c r="P30" s="6"/>
      <c r="Q30" s="6"/>
      <c r="R30" s="6"/>
      <c r="S30" s="6"/>
      <c r="T30" s="6"/>
      <c r="U30" s="28"/>
    </row>
    <row r="31" spans="1:21" ht="30" x14ac:dyDescent="0.25">
      <c r="A31" s="10">
        <f>IF(B31="","",COUNTA($B$3:B31))</f>
        <v>29</v>
      </c>
      <c r="B31" s="11" t="s">
        <v>30</v>
      </c>
      <c r="C31" s="11" t="s">
        <v>78</v>
      </c>
      <c r="D31" s="12">
        <v>0</v>
      </c>
      <c r="E31" s="7">
        <f t="shared" si="0"/>
        <v>0</v>
      </c>
      <c r="F31" s="7">
        <f t="shared" si="1"/>
        <v>0</v>
      </c>
      <c r="G31" s="9"/>
      <c r="J31" s="27"/>
      <c r="K31" s="6"/>
      <c r="L31" s="6"/>
      <c r="M31" s="6"/>
      <c r="N31" s="6"/>
      <c r="O31" s="6"/>
      <c r="P31" s="6"/>
      <c r="Q31" s="6"/>
      <c r="R31" s="6"/>
      <c r="S31" s="6"/>
      <c r="T31" s="6"/>
      <c r="U31" s="28"/>
    </row>
    <row r="32" spans="1:21" ht="45" x14ac:dyDescent="0.25">
      <c r="A32" s="13">
        <f>IF(B32="","",COUNTA($B$3:B32))</f>
        <v>30</v>
      </c>
      <c r="B32" s="14" t="s">
        <v>31</v>
      </c>
      <c r="C32" s="14" t="s">
        <v>78</v>
      </c>
      <c r="D32" s="15">
        <v>8</v>
      </c>
      <c r="E32" s="7">
        <f t="shared" si="0"/>
        <v>0</v>
      </c>
      <c r="F32" s="7">
        <f t="shared" si="1"/>
        <v>8</v>
      </c>
      <c r="G32" s="9"/>
      <c r="J32" s="27"/>
      <c r="K32" s="6"/>
      <c r="L32" s="6"/>
      <c r="M32" s="6"/>
      <c r="N32" s="6"/>
      <c r="O32" s="6"/>
      <c r="P32" s="6"/>
      <c r="Q32" s="6"/>
      <c r="R32" s="6"/>
      <c r="S32" s="6"/>
      <c r="T32" s="6"/>
      <c r="U32" s="28"/>
    </row>
    <row r="33" spans="1:21" ht="45" x14ac:dyDescent="0.25">
      <c r="A33" s="10">
        <f>IF(B33="","",COUNTA($B$3:B33))</f>
        <v>31</v>
      </c>
      <c r="B33" s="11" t="s">
        <v>32</v>
      </c>
      <c r="C33" s="11" t="s">
        <v>78</v>
      </c>
      <c r="D33" s="12">
        <v>0</v>
      </c>
      <c r="E33" s="7">
        <f t="shared" si="0"/>
        <v>0</v>
      </c>
      <c r="F33" s="7">
        <f t="shared" si="1"/>
        <v>0</v>
      </c>
      <c r="G33" s="9"/>
      <c r="J33" s="27"/>
      <c r="K33" s="6"/>
      <c r="L33" s="6"/>
      <c r="M33" s="6"/>
      <c r="N33" s="6"/>
      <c r="O33" s="6"/>
      <c r="P33" s="6"/>
      <c r="Q33" s="6"/>
      <c r="R33" s="6"/>
      <c r="S33" s="6"/>
      <c r="T33" s="6"/>
      <c r="U33" s="28"/>
    </row>
    <row r="34" spans="1:21" ht="60" x14ac:dyDescent="0.25">
      <c r="A34" s="13">
        <f>IF(B34="","",COUNTA($B$3:B34))</f>
        <v>32</v>
      </c>
      <c r="B34" s="14" t="s">
        <v>33</v>
      </c>
      <c r="C34" s="14" t="s">
        <v>78</v>
      </c>
      <c r="D34" s="15">
        <v>7</v>
      </c>
      <c r="E34" s="7">
        <f t="shared" si="0"/>
        <v>0</v>
      </c>
      <c r="F34" s="7">
        <f t="shared" si="1"/>
        <v>7</v>
      </c>
      <c r="G34" s="9"/>
      <c r="J34" s="27"/>
      <c r="K34" s="6"/>
      <c r="L34" s="6"/>
      <c r="M34" s="6"/>
      <c r="N34" s="6"/>
      <c r="O34" s="6"/>
      <c r="P34" s="6"/>
      <c r="Q34" s="6"/>
      <c r="R34" s="6"/>
      <c r="S34" s="6"/>
      <c r="T34" s="6"/>
      <c r="U34" s="28"/>
    </row>
    <row r="35" spans="1:21" ht="75" x14ac:dyDescent="0.25">
      <c r="A35" s="10">
        <f>IF(B35="","",COUNTA($B$3:B35))</f>
        <v>33</v>
      </c>
      <c r="B35" s="11" t="s">
        <v>34</v>
      </c>
      <c r="C35" s="11" t="s">
        <v>78</v>
      </c>
      <c r="D35" s="12">
        <v>0</v>
      </c>
      <c r="E35" s="7">
        <f t="shared" ref="E35:E66" si="2">SUM(J35:U35)</f>
        <v>0</v>
      </c>
      <c r="F35" s="7">
        <f t="shared" si="1"/>
        <v>0</v>
      </c>
      <c r="G35" s="9"/>
      <c r="J35" s="27"/>
      <c r="K35" s="6"/>
      <c r="L35" s="6"/>
      <c r="M35" s="6"/>
      <c r="N35" s="6"/>
      <c r="O35" s="6"/>
      <c r="P35" s="6"/>
      <c r="Q35" s="6"/>
      <c r="R35" s="6"/>
      <c r="S35" s="6"/>
      <c r="T35" s="6"/>
      <c r="U35" s="28"/>
    </row>
    <row r="36" spans="1:21" ht="45" x14ac:dyDescent="0.25">
      <c r="A36" s="13">
        <f>IF(B36="","",COUNTA($B$3:B36))</f>
        <v>34</v>
      </c>
      <c r="B36" s="14" t="s">
        <v>35</v>
      </c>
      <c r="C36" s="14" t="s">
        <v>78</v>
      </c>
      <c r="D36" s="15">
        <v>8</v>
      </c>
      <c r="E36" s="7">
        <f t="shared" si="2"/>
        <v>0</v>
      </c>
      <c r="F36" s="7">
        <f t="shared" si="1"/>
        <v>8</v>
      </c>
      <c r="G36" s="9"/>
      <c r="J36" s="27"/>
      <c r="K36" s="6"/>
      <c r="L36" s="6"/>
      <c r="M36" s="6"/>
      <c r="N36" s="6"/>
      <c r="O36" s="6"/>
      <c r="P36" s="6"/>
      <c r="Q36" s="6"/>
      <c r="R36" s="6"/>
      <c r="S36" s="6"/>
      <c r="T36" s="6"/>
      <c r="U36" s="28"/>
    </row>
    <row r="37" spans="1:21" ht="45" x14ac:dyDescent="0.25">
      <c r="A37" s="10">
        <f>IF(B37="","",COUNTA($B$3:B37))</f>
        <v>35</v>
      </c>
      <c r="B37" s="11" t="s">
        <v>36</v>
      </c>
      <c r="C37" s="11" t="s">
        <v>78</v>
      </c>
      <c r="D37" s="12">
        <v>3</v>
      </c>
      <c r="E37" s="7">
        <f t="shared" si="2"/>
        <v>0</v>
      </c>
      <c r="F37" s="7">
        <f t="shared" si="1"/>
        <v>3</v>
      </c>
      <c r="G37" s="9"/>
      <c r="J37" s="27"/>
      <c r="K37" s="6"/>
      <c r="L37" s="6"/>
      <c r="M37" s="6"/>
      <c r="N37" s="6"/>
      <c r="O37" s="6"/>
      <c r="P37" s="6"/>
      <c r="Q37" s="6"/>
      <c r="R37" s="6"/>
      <c r="S37" s="6"/>
      <c r="T37" s="6"/>
      <c r="U37" s="28"/>
    </row>
    <row r="38" spans="1:21" ht="45" x14ac:dyDescent="0.25">
      <c r="A38" s="13">
        <f>IF(B38="","",COUNTA($B$3:B38))</f>
        <v>36</v>
      </c>
      <c r="B38" s="14" t="s">
        <v>37</v>
      </c>
      <c r="C38" s="14" t="s">
        <v>78</v>
      </c>
      <c r="D38" s="15">
        <v>1</v>
      </c>
      <c r="E38" s="7">
        <f t="shared" si="2"/>
        <v>0</v>
      </c>
      <c r="F38" s="7">
        <f t="shared" si="1"/>
        <v>1</v>
      </c>
      <c r="G38" s="9"/>
      <c r="J38" s="27"/>
      <c r="K38" s="6"/>
      <c r="L38" s="6"/>
      <c r="M38" s="6"/>
      <c r="N38" s="6"/>
      <c r="O38" s="6"/>
      <c r="P38" s="6"/>
      <c r="Q38" s="6"/>
      <c r="R38" s="6"/>
      <c r="S38" s="6"/>
      <c r="T38" s="6"/>
      <c r="U38" s="28"/>
    </row>
    <row r="39" spans="1:21" ht="45" x14ac:dyDescent="0.25">
      <c r="A39" s="10">
        <f>IF(B39="","",COUNTA($B$3:B39))</f>
        <v>37</v>
      </c>
      <c r="B39" s="11" t="s">
        <v>38</v>
      </c>
      <c r="C39" s="11" t="s">
        <v>78</v>
      </c>
      <c r="D39" s="12">
        <v>3</v>
      </c>
      <c r="E39" s="7">
        <f t="shared" si="2"/>
        <v>0</v>
      </c>
      <c r="F39" s="7">
        <f t="shared" si="1"/>
        <v>3</v>
      </c>
      <c r="G39" s="9"/>
      <c r="J39" s="27"/>
      <c r="K39" s="6"/>
      <c r="L39" s="6"/>
      <c r="M39" s="6"/>
      <c r="N39" s="6"/>
      <c r="O39" s="6"/>
      <c r="P39" s="6"/>
      <c r="Q39" s="6"/>
      <c r="R39" s="6"/>
      <c r="S39" s="6"/>
      <c r="T39" s="6"/>
      <c r="U39" s="28"/>
    </row>
    <row r="40" spans="1:21" ht="30" x14ac:dyDescent="0.25">
      <c r="A40" s="13">
        <f>IF(B40="","",COUNTA($B$3:B40))</f>
        <v>38</v>
      </c>
      <c r="B40" s="14" t="s">
        <v>2</v>
      </c>
      <c r="C40" s="14" t="s">
        <v>78</v>
      </c>
      <c r="D40" s="15">
        <v>1</v>
      </c>
      <c r="E40" s="7">
        <f t="shared" si="2"/>
        <v>0</v>
      </c>
      <c r="F40" s="7">
        <f t="shared" si="1"/>
        <v>1</v>
      </c>
      <c r="G40" s="9"/>
      <c r="J40" s="27"/>
      <c r="K40" s="6"/>
      <c r="L40" s="6"/>
      <c r="M40" s="6"/>
      <c r="N40" s="6"/>
      <c r="O40" s="6"/>
      <c r="P40" s="6"/>
      <c r="Q40" s="6"/>
      <c r="R40" s="6"/>
      <c r="S40" s="6"/>
      <c r="T40" s="6"/>
      <c r="U40" s="28"/>
    </row>
    <row r="41" spans="1:21" ht="45" x14ac:dyDescent="0.25">
      <c r="A41" s="10">
        <f>IF(B41="","",COUNTA($B$3:B41))</f>
        <v>39</v>
      </c>
      <c r="B41" s="11" t="s">
        <v>39</v>
      </c>
      <c r="C41" s="11" t="s">
        <v>78</v>
      </c>
      <c r="D41" s="12">
        <v>2</v>
      </c>
      <c r="E41" s="7">
        <f t="shared" si="2"/>
        <v>0</v>
      </c>
      <c r="F41" s="7">
        <f t="shared" si="1"/>
        <v>2</v>
      </c>
      <c r="G41" s="9"/>
      <c r="J41" s="27"/>
      <c r="K41" s="6"/>
      <c r="L41" s="6"/>
      <c r="M41" s="6"/>
      <c r="N41" s="6"/>
      <c r="O41" s="6"/>
      <c r="P41" s="6"/>
      <c r="Q41" s="6"/>
      <c r="R41" s="6"/>
      <c r="S41" s="6"/>
      <c r="T41" s="6"/>
      <c r="U41" s="28"/>
    </row>
    <row r="42" spans="1:21" ht="45" x14ac:dyDescent="0.25">
      <c r="A42" s="13">
        <f>IF(B42="","",COUNTA($B$3:B42))</f>
        <v>40</v>
      </c>
      <c r="B42" s="14" t="s">
        <v>40</v>
      </c>
      <c r="C42" s="14" t="s">
        <v>78</v>
      </c>
      <c r="D42" s="15">
        <v>5</v>
      </c>
      <c r="E42" s="7">
        <f t="shared" si="2"/>
        <v>0</v>
      </c>
      <c r="F42" s="7">
        <f t="shared" si="1"/>
        <v>5</v>
      </c>
      <c r="G42" s="9"/>
      <c r="J42" s="27"/>
      <c r="K42" s="6"/>
      <c r="L42" s="6"/>
      <c r="M42" s="6"/>
      <c r="N42" s="6"/>
      <c r="O42" s="6"/>
      <c r="P42" s="6"/>
      <c r="Q42" s="6"/>
      <c r="R42" s="6"/>
      <c r="S42" s="6"/>
      <c r="T42" s="6"/>
      <c r="U42" s="28"/>
    </row>
    <row r="43" spans="1:21" ht="30" x14ac:dyDescent="0.25">
      <c r="A43" s="10">
        <f>IF(B43="","",COUNTA($B$3:B43))</f>
        <v>41</v>
      </c>
      <c r="B43" s="11" t="s">
        <v>41</v>
      </c>
      <c r="C43" s="11" t="s">
        <v>78</v>
      </c>
      <c r="D43" s="12">
        <v>3</v>
      </c>
      <c r="E43" s="7">
        <f t="shared" si="2"/>
        <v>0</v>
      </c>
      <c r="F43" s="7">
        <f t="shared" si="1"/>
        <v>3</v>
      </c>
      <c r="G43" s="9"/>
      <c r="J43" s="27"/>
      <c r="K43" s="6"/>
      <c r="L43" s="6"/>
      <c r="M43" s="6"/>
      <c r="N43" s="6"/>
      <c r="O43" s="6"/>
      <c r="P43" s="6"/>
      <c r="Q43" s="6"/>
      <c r="R43" s="6"/>
      <c r="S43" s="6"/>
      <c r="T43" s="6"/>
      <c r="U43" s="28"/>
    </row>
    <row r="44" spans="1:21" ht="45" x14ac:dyDescent="0.25">
      <c r="A44" s="13">
        <f>IF(B44="","",COUNTA($B$3:B44))</f>
        <v>42</v>
      </c>
      <c r="B44" s="14" t="s">
        <v>42</v>
      </c>
      <c r="C44" s="14" t="s">
        <v>78</v>
      </c>
      <c r="D44" s="15">
        <v>0</v>
      </c>
      <c r="E44" s="7">
        <f t="shared" si="2"/>
        <v>0</v>
      </c>
      <c r="F44" s="7">
        <f t="shared" si="1"/>
        <v>0</v>
      </c>
      <c r="G44" s="9"/>
      <c r="J44" s="27"/>
      <c r="K44" s="6"/>
      <c r="L44" s="6"/>
      <c r="M44" s="6"/>
      <c r="N44" s="6"/>
      <c r="O44" s="6"/>
      <c r="P44" s="6"/>
      <c r="Q44" s="6"/>
      <c r="R44" s="6"/>
      <c r="S44" s="6"/>
      <c r="T44" s="6"/>
      <c r="U44" s="28"/>
    </row>
    <row r="45" spans="1:21" ht="30" x14ac:dyDescent="0.25">
      <c r="A45" s="10">
        <f>IF(B45="","",COUNTA($B$3:B45))</f>
        <v>43</v>
      </c>
      <c r="B45" s="11" t="s">
        <v>43</v>
      </c>
      <c r="C45" s="11" t="s">
        <v>78</v>
      </c>
      <c r="D45" s="12">
        <v>1</v>
      </c>
      <c r="E45" s="7">
        <f t="shared" si="2"/>
        <v>0</v>
      </c>
      <c r="F45" s="7">
        <f t="shared" si="1"/>
        <v>1</v>
      </c>
      <c r="G45" s="9"/>
      <c r="J45" s="27"/>
      <c r="K45" s="6"/>
      <c r="L45" s="6"/>
      <c r="M45" s="6"/>
      <c r="N45" s="6"/>
      <c r="O45" s="6"/>
      <c r="P45" s="6"/>
      <c r="Q45" s="6"/>
      <c r="R45" s="6"/>
      <c r="S45" s="6"/>
      <c r="T45" s="6"/>
      <c r="U45" s="28"/>
    </row>
    <row r="46" spans="1:21" ht="75" x14ac:dyDescent="0.25">
      <c r="A46" s="13">
        <f>IF(B46="","",COUNTA($B$3:B46))</f>
        <v>44</v>
      </c>
      <c r="B46" s="14" t="s">
        <v>44</v>
      </c>
      <c r="C46" s="14" t="s">
        <v>78</v>
      </c>
      <c r="D46" s="15">
        <v>0</v>
      </c>
      <c r="E46" s="7">
        <f t="shared" si="2"/>
        <v>0</v>
      </c>
      <c r="F46" s="7">
        <f t="shared" si="1"/>
        <v>0</v>
      </c>
      <c r="G46" s="9"/>
      <c r="J46" s="27"/>
      <c r="K46" s="6"/>
      <c r="L46" s="6"/>
      <c r="M46" s="6"/>
      <c r="N46" s="6"/>
      <c r="O46" s="6"/>
      <c r="P46" s="6"/>
      <c r="Q46" s="6"/>
      <c r="R46" s="6"/>
      <c r="S46" s="6"/>
      <c r="T46" s="6"/>
      <c r="U46" s="28"/>
    </row>
    <row r="47" spans="1:21" ht="30" x14ac:dyDescent="0.25">
      <c r="A47" s="10">
        <f>IF(B47="","",COUNTA($B$3:B47))</f>
        <v>45</v>
      </c>
      <c r="B47" s="11" t="s">
        <v>45</v>
      </c>
      <c r="C47" s="11" t="s">
        <v>78</v>
      </c>
      <c r="D47" s="12">
        <v>0</v>
      </c>
      <c r="E47" s="7">
        <f t="shared" si="2"/>
        <v>0</v>
      </c>
      <c r="F47" s="7">
        <f t="shared" si="1"/>
        <v>0</v>
      </c>
      <c r="G47" s="9"/>
      <c r="J47" s="27"/>
      <c r="K47" s="6"/>
      <c r="L47" s="6"/>
      <c r="M47" s="6"/>
      <c r="N47" s="6"/>
      <c r="O47" s="6"/>
      <c r="P47" s="6"/>
      <c r="Q47" s="6"/>
      <c r="R47" s="6"/>
      <c r="S47" s="6"/>
      <c r="T47" s="6"/>
      <c r="U47" s="28"/>
    </row>
    <row r="48" spans="1:21" ht="30" x14ac:dyDescent="0.25">
      <c r="A48" s="13">
        <f>IF(B48="","",COUNTA($B$3:B48))</f>
        <v>46</v>
      </c>
      <c r="B48" s="14" t="s">
        <v>46</v>
      </c>
      <c r="C48" s="14" t="s">
        <v>78</v>
      </c>
      <c r="D48" s="15">
        <v>4</v>
      </c>
      <c r="E48" s="7">
        <f t="shared" si="2"/>
        <v>0</v>
      </c>
      <c r="F48" s="7">
        <f t="shared" si="1"/>
        <v>4</v>
      </c>
      <c r="G48" s="9"/>
      <c r="J48" s="27"/>
      <c r="K48" s="6"/>
      <c r="L48" s="6"/>
      <c r="M48" s="6"/>
      <c r="N48" s="6"/>
      <c r="O48" s="6"/>
      <c r="P48" s="6"/>
      <c r="Q48" s="6"/>
      <c r="R48" s="6"/>
      <c r="S48" s="6"/>
      <c r="T48" s="6"/>
      <c r="U48" s="28"/>
    </row>
    <row r="49" spans="1:21" ht="45" x14ac:dyDescent="0.25">
      <c r="A49" s="10">
        <f>IF(B49="","",COUNTA($B$3:B49))</f>
        <v>47</v>
      </c>
      <c r="B49" s="11" t="s">
        <v>47</v>
      </c>
      <c r="C49" s="11" t="s">
        <v>78</v>
      </c>
      <c r="D49" s="12">
        <v>3</v>
      </c>
      <c r="E49" s="7">
        <f t="shared" si="2"/>
        <v>0</v>
      </c>
      <c r="F49" s="7">
        <f t="shared" si="1"/>
        <v>3</v>
      </c>
      <c r="G49" s="9"/>
      <c r="J49" s="27"/>
      <c r="K49" s="6"/>
      <c r="L49" s="6"/>
      <c r="M49" s="6"/>
      <c r="N49" s="6"/>
      <c r="O49" s="6"/>
      <c r="P49" s="6"/>
      <c r="Q49" s="6"/>
      <c r="R49" s="6"/>
      <c r="S49" s="6"/>
      <c r="T49" s="6"/>
      <c r="U49" s="28"/>
    </row>
    <row r="50" spans="1:21" ht="60" x14ac:dyDescent="0.25">
      <c r="A50" s="13">
        <f>IF(B50="","",COUNTA($B$3:B50))</f>
        <v>48</v>
      </c>
      <c r="B50" s="14" t="s">
        <v>48</v>
      </c>
      <c r="C50" s="14" t="s">
        <v>78</v>
      </c>
      <c r="D50" s="15">
        <v>3</v>
      </c>
      <c r="E50" s="7">
        <f t="shared" si="2"/>
        <v>0</v>
      </c>
      <c r="F50" s="7">
        <f t="shared" si="1"/>
        <v>3</v>
      </c>
      <c r="G50" s="9"/>
      <c r="J50" s="27"/>
      <c r="K50" s="6"/>
      <c r="L50" s="6"/>
      <c r="M50" s="6"/>
      <c r="N50" s="6"/>
      <c r="O50" s="6"/>
      <c r="P50" s="6"/>
      <c r="Q50" s="6"/>
      <c r="R50" s="6"/>
      <c r="S50" s="6"/>
      <c r="T50" s="6"/>
      <c r="U50" s="28"/>
    </row>
    <row r="51" spans="1:21" ht="30" x14ac:dyDescent="0.25">
      <c r="A51" s="10">
        <f>IF(B51="","",COUNTA($B$3:B51))</f>
        <v>49</v>
      </c>
      <c r="B51" s="11" t="s">
        <v>49</v>
      </c>
      <c r="C51" s="11" t="s">
        <v>78</v>
      </c>
      <c r="D51" s="12">
        <v>0</v>
      </c>
      <c r="E51" s="7">
        <f t="shared" si="2"/>
        <v>0</v>
      </c>
      <c r="F51" s="7">
        <f t="shared" si="1"/>
        <v>0</v>
      </c>
      <c r="G51" s="9"/>
      <c r="J51" s="27"/>
      <c r="K51" s="6"/>
      <c r="L51" s="6"/>
      <c r="M51" s="6"/>
      <c r="N51" s="6"/>
      <c r="O51" s="6"/>
      <c r="P51" s="6"/>
      <c r="Q51" s="6"/>
      <c r="R51" s="6"/>
      <c r="S51" s="6"/>
      <c r="T51" s="6"/>
      <c r="U51" s="28"/>
    </row>
    <row r="52" spans="1:21" ht="30" x14ac:dyDescent="0.25">
      <c r="A52" s="13">
        <f>IF(B52="","",COUNTA($B$3:B52))</f>
        <v>50</v>
      </c>
      <c r="B52" s="14" t="s">
        <v>2</v>
      </c>
      <c r="C52" s="14" t="s">
        <v>78</v>
      </c>
      <c r="D52" s="15">
        <v>0</v>
      </c>
      <c r="E52" s="7">
        <f t="shared" si="2"/>
        <v>0</v>
      </c>
      <c r="F52" s="7">
        <f t="shared" si="1"/>
        <v>0</v>
      </c>
      <c r="G52" s="9"/>
      <c r="J52" s="27"/>
      <c r="K52" s="6"/>
      <c r="L52" s="6"/>
      <c r="M52" s="6"/>
      <c r="N52" s="6"/>
      <c r="O52" s="6"/>
      <c r="P52" s="6"/>
      <c r="Q52" s="6"/>
      <c r="R52" s="6"/>
      <c r="S52" s="6"/>
      <c r="T52" s="6"/>
      <c r="U52" s="28"/>
    </row>
    <row r="53" spans="1:21" ht="30" x14ac:dyDescent="0.25">
      <c r="A53" s="10">
        <f>IF(B53="","",COUNTA($B$3:B53))</f>
        <v>51</v>
      </c>
      <c r="B53" s="11" t="s">
        <v>50</v>
      </c>
      <c r="C53" s="11" t="s">
        <v>79</v>
      </c>
      <c r="D53" s="12">
        <v>0</v>
      </c>
      <c r="E53" s="7">
        <f t="shared" si="2"/>
        <v>0</v>
      </c>
      <c r="F53" s="7">
        <f t="shared" si="1"/>
        <v>0</v>
      </c>
      <c r="G53" s="9"/>
      <c r="J53" s="27"/>
      <c r="K53" s="6"/>
      <c r="L53" s="6"/>
      <c r="M53" s="6"/>
      <c r="N53" s="6"/>
      <c r="O53" s="6"/>
      <c r="P53" s="6"/>
      <c r="Q53" s="6"/>
      <c r="R53" s="6"/>
      <c r="S53" s="6"/>
      <c r="T53" s="6"/>
      <c r="U53" s="28"/>
    </row>
    <row r="54" spans="1:21" ht="45" x14ac:dyDescent="0.25">
      <c r="A54" s="13">
        <f>IF(B54="","",COUNTA($B$3:B54))</f>
        <v>52</v>
      </c>
      <c r="B54" s="14" t="s">
        <v>51</v>
      </c>
      <c r="C54" s="14" t="s">
        <v>79</v>
      </c>
      <c r="D54" s="15">
        <v>0</v>
      </c>
      <c r="E54" s="7">
        <f t="shared" si="2"/>
        <v>0</v>
      </c>
      <c r="F54" s="7">
        <f t="shared" si="1"/>
        <v>0</v>
      </c>
      <c r="G54" s="9"/>
      <c r="J54" s="27"/>
      <c r="K54" s="6"/>
      <c r="L54" s="6"/>
      <c r="M54" s="6"/>
      <c r="N54" s="6"/>
      <c r="O54" s="6"/>
      <c r="P54" s="6"/>
      <c r="Q54" s="6"/>
      <c r="R54" s="6"/>
      <c r="S54" s="6"/>
      <c r="T54" s="6"/>
      <c r="U54" s="28"/>
    </row>
    <row r="55" spans="1:21" ht="30" x14ac:dyDescent="0.25">
      <c r="A55" s="10">
        <f>IF(B55="","",COUNTA($B$3:B55))</f>
        <v>53</v>
      </c>
      <c r="B55" s="11" t="s">
        <v>52</v>
      </c>
      <c r="C55" s="11" t="s">
        <v>78</v>
      </c>
      <c r="D55" s="12">
        <v>100</v>
      </c>
      <c r="E55" s="7">
        <f t="shared" si="2"/>
        <v>0</v>
      </c>
      <c r="F55" s="7">
        <f t="shared" si="1"/>
        <v>100</v>
      </c>
      <c r="G55" s="9"/>
      <c r="J55" s="27"/>
      <c r="K55" s="6"/>
      <c r="L55" s="6"/>
      <c r="M55" s="6"/>
      <c r="N55" s="6"/>
      <c r="O55" s="6"/>
      <c r="P55" s="6"/>
      <c r="Q55" s="6"/>
      <c r="R55" s="6"/>
      <c r="S55" s="6"/>
      <c r="T55" s="6"/>
      <c r="U55" s="28"/>
    </row>
    <row r="56" spans="1:21" ht="45" x14ac:dyDescent="0.25">
      <c r="A56" s="13">
        <f>IF(B56="","",COUNTA($B$3:B56))</f>
        <v>54</v>
      </c>
      <c r="B56" s="14" t="s">
        <v>53</v>
      </c>
      <c r="C56" s="14" t="s">
        <v>78</v>
      </c>
      <c r="D56" s="15">
        <v>15</v>
      </c>
      <c r="E56" s="7">
        <f t="shared" si="2"/>
        <v>0</v>
      </c>
      <c r="F56" s="7">
        <f t="shared" si="1"/>
        <v>15</v>
      </c>
      <c r="G56" s="9"/>
      <c r="J56" s="27"/>
      <c r="K56" s="6"/>
      <c r="L56" s="6"/>
      <c r="M56" s="6"/>
      <c r="N56" s="6"/>
      <c r="O56" s="6"/>
      <c r="P56" s="6"/>
      <c r="Q56" s="6"/>
      <c r="R56" s="6"/>
      <c r="S56" s="6"/>
      <c r="T56" s="6"/>
      <c r="U56" s="28"/>
    </row>
    <row r="57" spans="1:21" ht="45" x14ac:dyDescent="0.25">
      <c r="A57" s="10">
        <f>IF(B57="","",COUNTA($B$3:B57))</f>
        <v>55</v>
      </c>
      <c r="B57" s="11" t="s">
        <v>54</v>
      </c>
      <c r="C57" s="11" t="s">
        <v>78</v>
      </c>
      <c r="D57" s="12">
        <v>5</v>
      </c>
      <c r="E57" s="7">
        <f t="shared" si="2"/>
        <v>0</v>
      </c>
      <c r="F57" s="7">
        <f t="shared" si="1"/>
        <v>5</v>
      </c>
      <c r="G57" s="9"/>
      <c r="J57" s="27"/>
      <c r="K57" s="6"/>
      <c r="L57" s="6"/>
      <c r="M57" s="6"/>
      <c r="N57" s="6"/>
      <c r="O57" s="6"/>
      <c r="P57" s="6"/>
      <c r="Q57" s="6"/>
      <c r="R57" s="6"/>
      <c r="S57" s="6"/>
      <c r="T57" s="6"/>
      <c r="U57" s="28"/>
    </row>
    <row r="58" spans="1:21" ht="45" x14ac:dyDescent="0.25">
      <c r="A58" s="13">
        <f>IF(B58="","",COUNTA($B$3:B58))</f>
        <v>56</v>
      </c>
      <c r="B58" s="14" t="s">
        <v>55</v>
      </c>
      <c r="C58" s="14" t="s">
        <v>78</v>
      </c>
      <c r="D58" s="15">
        <v>10</v>
      </c>
      <c r="E58" s="7">
        <f t="shared" si="2"/>
        <v>0</v>
      </c>
      <c r="F58" s="7">
        <f t="shared" si="1"/>
        <v>10</v>
      </c>
      <c r="G58" s="9"/>
      <c r="J58" s="27"/>
      <c r="K58" s="6"/>
      <c r="L58" s="6"/>
      <c r="M58" s="6"/>
      <c r="N58" s="6"/>
      <c r="O58" s="6"/>
      <c r="P58" s="6"/>
      <c r="Q58" s="6"/>
      <c r="R58" s="6"/>
      <c r="S58" s="6"/>
      <c r="T58" s="6"/>
      <c r="U58" s="28"/>
    </row>
    <row r="59" spans="1:21" ht="75" x14ac:dyDescent="0.25">
      <c r="A59" s="10">
        <f>IF(B59="","",COUNTA($B$3:B59))</f>
        <v>57</v>
      </c>
      <c r="B59" s="11" t="s">
        <v>56</v>
      </c>
      <c r="C59" s="11" t="s">
        <v>78</v>
      </c>
      <c r="D59" s="12">
        <v>0</v>
      </c>
      <c r="E59" s="7">
        <f t="shared" si="2"/>
        <v>0</v>
      </c>
      <c r="F59" s="7">
        <f t="shared" si="1"/>
        <v>0</v>
      </c>
      <c r="G59" s="9"/>
      <c r="J59" s="27"/>
      <c r="K59" s="6"/>
      <c r="L59" s="6"/>
      <c r="M59" s="6"/>
      <c r="N59" s="6"/>
      <c r="O59" s="6"/>
      <c r="P59" s="6"/>
      <c r="Q59" s="6"/>
      <c r="R59" s="6"/>
      <c r="S59" s="6"/>
      <c r="T59" s="6"/>
      <c r="U59" s="28"/>
    </row>
    <row r="60" spans="1:21" ht="30" x14ac:dyDescent="0.25">
      <c r="A60" s="13">
        <f>IF(B60="","",COUNTA($B$3:B60))</f>
        <v>58</v>
      </c>
      <c r="B60" s="14" t="s">
        <v>57</v>
      </c>
      <c r="C60" s="14" t="s">
        <v>78</v>
      </c>
      <c r="D60" s="15">
        <v>5</v>
      </c>
      <c r="E60" s="7">
        <f t="shared" si="2"/>
        <v>0</v>
      </c>
      <c r="F60" s="7">
        <f t="shared" si="1"/>
        <v>5</v>
      </c>
      <c r="G60" s="9"/>
      <c r="J60" s="27"/>
      <c r="K60" s="6"/>
      <c r="L60" s="6"/>
      <c r="M60" s="6"/>
      <c r="N60" s="6"/>
      <c r="O60" s="6"/>
      <c r="P60" s="6"/>
      <c r="Q60" s="6"/>
      <c r="R60" s="6"/>
      <c r="S60" s="6"/>
      <c r="T60" s="6"/>
      <c r="U60" s="28"/>
    </row>
    <row r="61" spans="1:21" ht="30" x14ac:dyDescent="0.25">
      <c r="A61" s="10">
        <f>IF(B61="","",COUNTA($B$3:B61))</f>
        <v>59</v>
      </c>
      <c r="B61" s="11" t="s">
        <v>58</v>
      </c>
      <c r="C61" s="11" t="s">
        <v>78</v>
      </c>
      <c r="D61" s="12">
        <v>4</v>
      </c>
      <c r="E61" s="7">
        <f t="shared" si="2"/>
        <v>0</v>
      </c>
      <c r="F61" s="7">
        <f t="shared" si="1"/>
        <v>4</v>
      </c>
      <c r="G61" s="9"/>
      <c r="J61" s="27"/>
      <c r="K61" s="6"/>
      <c r="L61" s="6"/>
      <c r="M61" s="6"/>
      <c r="N61" s="6"/>
      <c r="O61" s="6"/>
      <c r="P61" s="6"/>
      <c r="Q61" s="6"/>
      <c r="R61" s="6"/>
      <c r="S61" s="6"/>
      <c r="T61" s="6"/>
      <c r="U61" s="28"/>
    </row>
    <row r="62" spans="1:21" ht="60" x14ac:dyDescent="0.25">
      <c r="A62" s="13">
        <f>IF(B62="","",COUNTA($B$3:B62))</f>
        <v>60</v>
      </c>
      <c r="B62" s="14" t="s">
        <v>59</v>
      </c>
      <c r="C62" s="14" t="s">
        <v>78</v>
      </c>
      <c r="D62" s="15">
        <v>1</v>
      </c>
      <c r="E62" s="7">
        <f t="shared" si="2"/>
        <v>0</v>
      </c>
      <c r="F62" s="7">
        <f t="shared" si="1"/>
        <v>1</v>
      </c>
      <c r="G62" s="9"/>
      <c r="J62" s="27"/>
      <c r="K62" s="6"/>
      <c r="L62" s="6"/>
      <c r="M62" s="6"/>
      <c r="N62" s="6"/>
      <c r="O62" s="6"/>
      <c r="P62" s="6"/>
      <c r="Q62" s="6"/>
      <c r="R62" s="6"/>
      <c r="S62" s="6"/>
      <c r="T62" s="6"/>
      <c r="U62" s="28"/>
    </row>
    <row r="63" spans="1:21" ht="60" x14ac:dyDescent="0.25">
      <c r="A63" s="10">
        <f>IF(B63="","",COUNTA($B$3:B63))</f>
        <v>61</v>
      </c>
      <c r="B63" s="11" t="s">
        <v>60</v>
      </c>
      <c r="C63" s="11" t="s">
        <v>78</v>
      </c>
      <c r="D63" s="12">
        <v>7</v>
      </c>
      <c r="E63" s="7">
        <f t="shared" si="2"/>
        <v>0</v>
      </c>
      <c r="F63" s="7">
        <f t="shared" si="1"/>
        <v>7</v>
      </c>
      <c r="G63" s="9"/>
      <c r="J63" s="27"/>
      <c r="K63" s="6"/>
      <c r="L63" s="6"/>
      <c r="M63" s="6"/>
      <c r="N63" s="6"/>
      <c r="O63" s="6"/>
      <c r="P63" s="6"/>
      <c r="Q63" s="6"/>
      <c r="R63" s="6"/>
      <c r="S63" s="6"/>
      <c r="T63" s="6"/>
      <c r="U63" s="28"/>
    </row>
    <row r="64" spans="1:21" ht="60" x14ac:dyDescent="0.25">
      <c r="A64" s="13">
        <f>IF(B64="","",COUNTA($B$3:B64))</f>
        <v>62</v>
      </c>
      <c r="B64" s="14" t="s">
        <v>61</v>
      </c>
      <c r="C64" s="14" t="s">
        <v>78</v>
      </c>
      <c r="D64" s="15">
        <v>6</v>
      </c>
      <c r="E64" s="7">
        <f t="shared" si="2"/>
        <v>0</v>
      </c>
      <c r="F64" s="7">
        <f t="shared" si="1"/>
        <v>6</v>
      </c>
      <c r="G64" s="9"/>
      <c r="J64" s="27"/>
      <c r="K64" s="6"/>
      <c r="L64" s="6"/>
      <c r="M64" s="6"/>
      <c r="N64" s="6"/>
      <c r="O64" s="6"/>
      <c r="P64" s="6"/>
      <c r="Q64" s="6"/>
      <c r="R64" s="6"/>
      <c r="S64" s="6"/>
      <c r="T64" s="6"/>
      <c r="U64" s="28"/>
    </row>
    <row r="65" spans="1:21" ht="30" x14ac:dyDescent="0.25">
      <c r="A65" s="10">
        <f>IF(B65="","",COUNTA($B$3:B65))</f>
        <v>63</v>
      </c>
      <c r="B65" s="11" t="s">
        <v>62</v>
      </c>
      <c r="C65" s="11" t="s">
        <v>78</v>
      </c>
      <c r="D65" s="12">
        <v>1</v>
      </c>
      <c r="E65" s="7">
        <f t="shared" si="2"/>
        <v>0</v>
      </c>
      <c r="F65" s="7">
        <f t="shared" si="1"/>
        <v>1</v>
      </c>
      <c r="G65" s="9"/>
      <c r="J65" s="27"/>
      <c r="K65" s="6"/>
      <c r="L65" s="6"/>
      <c r="M65" s="6"/>
      <c r="N65" s="6"/>
      <c r="O65" s="6"/>
      <c r="P65" s="6"/>
      <c r="Q65" s="6"/>
      <c r="R65" s="6"/>
      <c r="S65" s="6"/>
      <c r="T65" s="6"/>
      <c r="U65" s="28"/>
    </row>
    <row r="66" spans="1:21" ht="45" x14ac:dyDescent="0.25">
      <c r="A66" s="13">
        <f>IF(B66="","",COUNTA($B$3:B66))</f>
        <v>64</v>
      </c>
      <c r="B66" s="14" t="s">
        <v>63</v>
      </c>
      <c r="C66" s="14" t="s">
        <v>78</v>
      </c>
      <c r="D66" s="15">
        <v>1</v>
      </c>
      <c r="E66" s="7">
        <f t="shared" si="2"/>
        <v>0</v>
      </c>
      <c r="F66" s="7">
        <f t="shared" si="1"/>
        <v>1</v>
      </c>
      <c r="G66" s="9"/>
      <c r="J66" s="27"/>
      <c r="K66" s="6"/>
      <c r="L66" s="6"/>
      <c r="M66" s="6"/>
      <c r="N66" s="6"/>
      <c r="O66" s="6"/>
      <c r="P66" s="6"/>
      <c r="Q66" s="6"/>
      <c r="R66" s="6"/>
      <c r="S66" s="6"/>
      <c r="T66" s="6"/>
      <c r="U66" s="28"/>
    </row>
    <row r="67" spans="1:21" ht="75" x14ac:dyDescent="0.25">
      <c r="A67" s="10">
        <f>IF(B67="","",COUNTA($B$3:B67))</f>
        <v>65</v>
      </c>
      <c r="B67" s="11" t="s">
        <v>64</v>
      </c>
      <c r="C67" s="11" t="s">
        <v>78</v>
      </c>
      <c r="D67" s="12">
        <v>2</v>
      </c>
      <c r="E67" s="7">
        <f t="shared" ref="E67:E81" si="3">SUM(J67:U67)</f>
        <v>0</v>
      </c>
      <c r="F67" s="7">
        <f t="shared" ref="F67:F81" si="4">D67-E67</f>
        <v>2</v>
      </c>
      <c r="G67" s="9"/>
      <c r="J67" s="27"/>
      <c r="K67" s="6"/>
      <c r="L67" s="6"/>
      <c r="M67" s="6"/>
      <c r="N67" s="6"/>
      <c r="O67" s="6"/>
      <c r="P67" s="6"/>
      <c r="Q67" s="6"/>
      <c r="R67" s="6"/>
      <c r="S67" s="6"/>
      <c r="T67" s="6"/>
      <c r="U67" s="28"/>
    </row>
    <row r="68" spans="1:21" ht="45" x14ac:dyDescent="0.25">
      <c r="A68" s="13">
        <f>IF(B68="","",COUNTA($B$3:B68))</f>
        <v>66</v>
      </c>
      <c r="B68" s="14" t="s">
        <v>65</v>
      </c>
      <c r="C68" s="14" t="s">
        <v>78</v>
      </c>
      <c r="D68" s="15">
        <v>30</v>
      </c>
      <c r="E68" s="7">
        <f t="shared" si="3"/>
        <v>0</v>
      </c>
      <c r="F68" s="7">
        <f t="shared" si="4"/>
        <v>30</v>
      </c>
      <c r="G68" s="9"/>
      <c r="J68" s="27"/>
      <c r="K68" s="6"/>
      <c r="L68" s="6"/>
      <c r="M68" s="6"/>
      <c r="N68" s="6"/>
      <c r="O68" s="6"/>
      <c r="P68" s="6"/>
      <c r="Q68" s="6"/>
      <c r="R68" s="6"/>
      <c r="S68" s="6"/>
      <c r="T68" s="6"/>
      <c r="U68" s="28"/>
    </row>
    <row r="69" spans="1:21" ht="30" x14ac:dyDescent="0.25">
      <c r="A69" s="10">
        <f>IF(B69="","",COUNTA($B$3:B69))</f>
        <v>67</v>
      </c>
      <c r="B69" s="11" t="s">
        <v>66</v>
      </c>
      <c r="C69" s="11" t="s">
        <v>79</v>
      </c>
      <c r="D69" s="12">
        <v>1</v>
      </c>
      <c r="E69" s="7">
        <f t="shared" si="3"/>
        <v>0</v>
      </c>
      <c r="F69" s="7">
        <f t="shared" si="4"/>
        <v>1</v>
      </c>
      <c r="G69" s="9"/>
      <c r="J69" s="27"/>
      <c r="K69" s="6"/>
      <c r="L69" s="6"/>
      <c r="M69" s="6"/>
      <c r="N69" s="6"/>
      <c r="O69" s="6"/>
      <c r="P69" s="6"/>
      <c r="Q69" s="6"/>
      <c r="R69" s="6"/>
      <c r="S69" s="6"/>
      <c r="T69" s="6"/>
      <c r="U69" s="28"/>
    </row>
    <row r="70" spans="1:21" ht="45" x14ac:dyDescent="0.25">
      <c r="A70" s="18">
        <f>IF(B70="","",COUNTA($B$3:B70))</f>
        <v>68</v>
      </c>
      <c r="B70" s="17" t="s">
        <v>67</v>
      </c>
      <c r="C70" s="17" t="s">
        <v>78</v>
      </c>
      <c r="D70" s="15">
        <v>0</v>
      </c>
      <c r="E70" s="7">
        <f t="shared" si="3"/>
        <v>0</v>
      </c>
      <c r="F70" s="7">
        <f t="shared" si="4"/>
        <v>0</v>
      </c>
      <c r="G70" s="9"/>
      <c r="J70" s="27"/>
      <c r="K70" s="6"/>
      <c r="L70" s="6"/>
      <c r="M70" s="6"/>
      <c r="N70" s="6"/>
      <c r="O70" s="6"/>
      <c r="P70" s="6"/>
      <c r="Q70" s="6"/>
      <c r="R70" s="6"/>
      <c r="S70" s="6"/>
      <c r="T70" s="6"/>
      <c r="U70" s="28"/>
    </row>
    <row r="71" spans="1:21" ht="30" x14ac:dyDescent="0.25">
      <c r="A71" s="19">
        <f>IF(B71="","",COUNTA($B$3:B71))</f>
        <v>69</v>
      </c>
      <c r="B71" s="11" t="s">
        <v>68</v>
      </c>
      <c r="C71" s="11" t="s">
        <v>78</v>
      </c>
      <c r="D71" s="12">
        <v>0</v>
      </c>
      <c r="E71" s="7">
        <f t="shared" si="3"/>
        <v>0</v>
      </c>
      <c r="F71" s="7">
        <f t="shared" si="4"/>
        <v>0</v>
      </c>
      <c r="G71" s="9"/>
      <c r="J71" s="27"/>
      <c r="K71" s="6"/>
      <c r="L71" s="6"/>
      <c r="M71" s="6"/>
      <c r="N71" s="6"/>
      <c r="O71" s="6"/>
      <c r="P71" s="6"/>
      <c r="Q71" s="6"/>
      <c r="R71" s="6"/>
      <c r="S71" s="6"/>
      <c r="T71" s="6"/>
      <c r="U71" s="28"/>
    </row>
    <row r="72" spans="1:21" ht="30" x14ac:dyDescent="0.25">
      <c r="A72" s="18">
        <f>IF(B72="","",COUNTA($B$3:B72))</f>
        <v>70</v>
      </c>
      <c r="B72" s="14" t="s">
        <v>69</v>
      </c>
      <c r="C72" s="14" t="s">
        <v>78</v>
      </c>
      <c r="D72" s="15">
        <v>14</v>
      </c>
      <c r="E72" s="7">
        <f t="shared" si="3"/>
        <v>0</v>
      </c>
      <c r="F72" s="7">
        <f t="shared" si="4"/>
        <v>14</v>
      </c>
      <c r="G72" s="9"/>
      <c r="J72" s="27"/>
      <c r="K72" s="6"/>
      <c r="L72" s="6"/>
      <c r="M72" s="6"/>
      <c r="N72" s="6"/>
      <c r="O72" s="6"/>
      <c r="P72" s="6"/>
      <c r="Q72" s="6"/>
      <c r="R72" s="6"/>
      <c r="S72" s="6"/>
      <c r="T72" s="6"/>
      <c r="U72" s="28"/>
    </row>
    <row r="73" spans="1:21" ht="30" x14ac:dyDescent="0.25">
      <c r="A73" s="19">
        <f>IF(B73="","",COUNTA($B$3:B73))</f>
        <v>71</v>
      </c>
      <c r="B73" s="11" t="s">
        <v>70</v>
      </c>
      <c r="C73" s="11" t="s">
        <v>78</v>
      </c>
      <c r="D73" s="12">
        <v>38</v>
      </c>
      <c r="E73" s="7">
        <f t="shared" si="3"/>
        <v>0</v>
      </c>
      <c r="F73" s="7">
        <f t="shared" si="4"/>
        <v>38</v>
      </c>
      <c r="G73" s="9"/>
      <c r="J73" s="27"/>
      <c r="K73" s="6"/>
      <c r="L73" s="6"/>
      <c r="M73" s="6"/>
      <c r="N73" s="6"/>
      <c r="O73" s="6"/>
      <c r="P73" s="6"/>
      <c r="Q73" s="6"/>
      <c r="R73" s="6"/>
      <c r="S73" s="6"/>
      <c r="T73" s="6"/>
      <c r="U73" s="28"/>
    </row>
    <row r="74" spans="1:21" ht="30" x14ac:dyDescent="0.25">
      <c r="A74" s="18">
        <f>IF(B74="","",COUNTA($B$3:B74))</f>
        <v>72</v>
      </c>
      <c r="B74" s="14" t="s">
        <v>71</v>
      </c>
      <c r="C74" s="14" t="s">
        <v>78</v>
      </c>
      <c r="D74" s="15">
        <v>5</v>
      </c>
      <c r="E74" s="7">
        <f t="shared" si="3"/>
        <v>0</v>
      </c>
      <c r="F74" s="7">
        <f t="shared" si="4"/>
        <v>5</v>
      </c>
      <c r="G74" s="9"/>
      <c r="J74" s="27"/>
      <c r="K74" s="6"/>
      <c r="L74" s="6"/>
      <c r="M74" s="6"/>
      <c r="N74" s="6"/>
      <c r="O74" s="6"/>
      <c r="P74" s="6"/>
      <c r="Q74" s="6"/>
      <c r="R74" s="6"/>
      <c r="S74" s="6"/>
      <c r="T74" s="6"/>
      <c r="U74" s="28"/>
    </row>
    <row r="75" spans="1:21" ht="60" x14ac:dyDescent="0.25">
      <c r="A75" s="19">
        <f>IF(B75="","",COUNTA($B$3:B75))</f>
        <v>73</v>
      </c>
      <c r="B75" s="11" t="s">
        <v>72</v>
      </c>
      <c r="C75" s="11" t="s">
        <v>78</v>
      </c>
      <c r="D75" s="12">
        <v>185</v>
      </c>
      <c r="E75" s="7">
        <f t="shared" si="3"/>
        <v>0</v>
      </c>
      <c r="F75" s="7">
        <f t="shared" si="4"/>
        <v>185</v>
      </c>
      <c r="G75" s="9"/>
      <c r="J75" s="27"/>
      <c r="K75" s="6"/>
      <c r="L75" s="6"/>
      <c r="M75" s="6"/>
      <c r="N75" s="6"/>
      <c r="O75" s="6"/>
      <c r="P75" s="6"/>
      <c r="Q75" s="6"/>
      <c r="R75" s="6"/>
      <c r="S75" s="6"/>
      <c r="T75" s="6"/>
      <c r="U75" s="28"/>
    </row>
    <row r="76" spans="1:21" ht="30" x14ac:dyDescent="0.25">
      <c r="A76" s="18">
        <f>IF(B76="","",COUNTA($B$3:B76))</f>
        <v>74</v>
      </c>
      <c r="B76" s="14" t="s">
        <v>73</v>
      </c>
      <c r="C76" s="14" t="s">
        <v>78</v>
      </c>
      <c r="D76" s="15">
        <v>4</v>
      </c>
      <c r="E76" s="7">
        <f t="shared" si="3"/>
        <v>0</v>
      </c>
      <c r="F76" s="7">
        <f t="shared" si="4"/>
        <v>4</v>
      </c>
      <c r="G76" s="9"/>
      <c r="J76" s="27"/>
      <c r="K76" s="6"/>
      <c r="L76" s="6"/>
      <c r="M76" s="6"/>
      <c r="N76" s="6"/>
      <c r="O76" s="6"/>
      <c r="P76" s="6"/>
      <c r="Q76" s="6"/>
      <c r="R76" s="6"/>
      <c r="S76" s="6"/>
      <c r="T76" s="6"/>
      <c r="U76" s="28"/>
    </row>
    <row r="77" spans="1:21" ht="45" x14ac:dyDescent="0.25">
      <c r="A77" s="19">
        <f>IF(B77="","",COUNTA($B$3:B77))</f>
        <v>75</v>
      </c>
      <c r="B77" s="11" t="s">
        <v>74</v>
      </c>
      <c r="C77" s="11" t="s">
        <v>78</v>
      </c>
      <c r="D77" s="12">
        <v>8</v>
      </c>
      <c r="E77" s="7">
        <f t="shared" si="3"/>
        <v>0</v>
      </c>
      <c r="F77" s="7">
        <f t="shared" si="4"/>
        <v>8</v>
      </c>
      <c r="G77" s="9"/>
      <c r="J77" s="27"/>
      <c r="K77" s="6"/>
      <c r="L77" s="6"/>
      <c r="M77" s="6"/>
      <c r="N77" s="6"/>
      <c r="O77" s="6"/>
      <c r="P77" s="6"/>
      <c r="Q77" s="6"/>
      <c r="R77" s="6"/>
      <c r="S77" s="6"/>
      <c r="T77" s="6"/>
      <c r="U77" s="28"/>
    </row>
    <row r="78" spans="1:21" ht="45" x14ac:dyDescent="0.25">
      <c r="A78" s="18">
        <f>IF(B78="","",COUNTA($B$3:B78))</f>
        <v>76</v>
      </c>
      <c r="B78" s="17" t="s">
        <v>75</v>
      </c>
      <c r="C78" s="17" t="s">
        <v>78</v>
      </c>
      <c r="D78" s="20">
        <v>19</v>
      </c>
      <c r="E78" s="7">
        <f t="shared" si="3"/>
        <v>0</v>
      </c>
      <c r="F78" s="7">
        <f t="shared" si="4"/>
        <v>19</v>
      </c>
      <c r="G78" s="9"/>
      <c r="J78" s="27"/>
      <c r="K78" s="6"/>
      <c r="L78" s="6"/>
      <c r="M78" s="6"/>
      <c r="N78" s="6"/>
      <c r="O78" s="6"/>
      <c r="P78" s="6"/>
      <c r="Q78" s="6"/>
      <c r="R78" s="6"/>
      <c r="S78" s="6"/>
      <c r="T78" s="6"/>
      <c r="U78" s="28"/>
    </row>
    <row r="79" spans="1:21" ht="30" x14ac:dyDescent="0.25">
      <c r="A79" s="19">
        <f>IF(B79="","",COUNTA($B$3:B79))</f>
        <v>77</v>
      </c>
      <c r="B79" s="21" t="s">
        <v>76</v>
      </c>
      <c r="C79" s="21" t="s">
        <v>78</v>
      </c>
      <c r="D79" s="22">
        <v>8</v>
      </c>
      <c r="E79" s="7">
        <f t="shared" si="3"/>
        <v>0</v>
      </c>
      <c r="F79" s="7">
        <f t="shared" si="4"/>
        <v>8</v>
      </c>
      <c r="G79" s="9"/>
      <c r="J79" s="27"/>
      <c r="K79" s="6"/>
      <c r="L79" s="6"/>
      <c r="M79" s="6"/>
      <c r="N79" s="6"/>
      <c r="O79" s="6"/>
      <c r="P79" s="6"/>
      <c r="Q79" s="6"/>
      <c r="R79" s="6"/>
      <c r="S79" s="6"/>
      <c r="T79" s="6"/>
      <c r="U79" s="28"/>
    </row>
    <row r="80" spans="1:21" ht="30" x14ac:dyDescent="0.25">
      <c r="A80" s="18">
        <f>IF(B80="","",COUNTA($B$3:B80))</f>
        <v>78</v>
      </c>
      <c r="B80" s="14" t="s">
        <v>41</v>
      </c>
      <c r="C80" s="17" t="s">
        <v>78</v>
      </c>
      <c r="D80" s="15">
        <v>1</v>
      </c>
      <c r="E80" s="7">
        <f t="shared" si="3"/>
        <v>0</v>
      </c>
      <c r="F80" s="7">
        <f t="shared" si="4"/>
        <v>1</v>
      </c>
      <c r="G80" s="9"/>
      <c r="J80" s="27"/>
      <c r="K80" s="6"/>
      <c r="L80" s="6"/>
      <c r="M80" s="6"/>
      <c r="N80" s="6"/>
      <c r="O80" s="6"/>
      <c r="P80" s="6"/>
      <c r="Q80" s="6"/>
      <c r="R80" s="6"/>
      <c r="S80" s="6"/>
      <c r="T80" s="6"/>
      <c r="U80" s="28"/>
    </row>
    <row r="81" spans="1:21" ht="45" x14ac:dyDescent="0.25">
      <c r="A81" s="19">
        <f>IF(B81="","",COUNTA($B$3:B81))</f>
        <v>79</v>
      </c>
      <c r="B81" s="11" t="s">
        <v>42</v>
      </c>
      <c r="C81" s="21" t="s">
        <v>78</v>
      </c>
      <c r="D81" s="12">
        <v>0</v>
      </c>
      <c r="E81" s="7">
        <f t="shared" si="3"/>
        <v>0</v>
      </c>
      <c r="F81" s="7">
        <f t="shared" si="4"/>
        <v>0</v>
      </c>
      <c r="G81" s="9"/>
      <c r="J81" s="27"/>
      <c r="K81" s="6"/>
      <c r="L81" s="6"/>
      <c r="M81" s="6"/>
      <c r="N81" s="6"/>
      <c r="O81" s="6"/>
      <c r="P81" s="6"/>
      <c r="Q81" s="6"/>
      <c r="R81" s="6"/>
      <c r="S81" s="6"/>
      <c r="T81" s="6"/>
      <c r="U81" s="28"/>
    </row>
    <row r="82" spans="1:21" x14ac:dyDescent="0.25">
      <c r="A82" s="13" t="str">
        <f>IF(B82="","",COUNTA($B$3:B82))</f>
        <v/>
      </c>
      <c r="B82" s="17"/>
      <c r="C82" s="23"/>
      <c r="D82" s="23"/>
      <c r="E82" s="32"/>
      <c r="F82" s="7"/>
      <c r="G82" s="23"/>
      <c r="J82" s="27"/>
      <c r="K82" s="6"/>
      <c r="L82" s="6"/>
      <c r="M82" s="6"/>
      <c r="N82" s="6"/>
      <c r="O82" s="6"/>
      <c r="P82" s="6"/>
      <c r="Q82" s="6"/>
      <c r="R82" s="6"/>
      <c r="S82" s="6"/>
      <c r="T82" s="6"/>
      <c r="U82" s="28"/>
    </row>
    <row r="83" spans="1:21" ht="15.75" thickBot="1" x14ac:dyDescent="0.3">
      <c r="A83" s="24"/>
      <c r="B83" s="25"/>
      <c r="C83" s="23"/>
      <c r="D83" s="23"/>
      <c r="E83" s="32"/>
      <c r="F83" s="7"/>
      <c r="G83" s="23"/>
      <c r="J83" s="27"/>
      <c r="K83" s="6"/>
      <c r="L83" s="6"/>
      <c r="M83" s="6"/>
      <c r="N83" s="6"/>
      <c r="O83" s="6"/>
      <c r="P83" s="6"/>
      <c r="Q83" s="6"/>
      <c r="R83" s="6"/>
      <c r="S83" s="6"/>
      <c r="T83" s="6"/>
      <c r="U83" s="28"/>
    </row>
    <row r="84" spans="1:21" ht="15.75" thickBot="1" x14ac:dyDescent="0.3">
      <c r="A84" s="23"/>
      <c r="B84" s="23"/>
      <c r="C84" s="23"/>
      <c r="D84" s="23"/>
      <c r="E84" s="32"/>
      <c r="F84" s="7"/>
      <c r="G84" s="23"/>
      <c r="J84" s="29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1"/>
    </row>
  </sheetData>
  <mergeCells count="2">
    <mergeCell ref="B1:F1"/>
    <mergeCell ref="J1:U1"/>
  </mergeCells>
  <conditionalFormatting sqref="D3:D81">
    <cfRule type="cellIs" dxfId="215" priority="1" operator="lessThan">
      <formula>11</formula>
    </cfRule>
  </conditionalFormatting>
  <dataValidations count="2">
    <dataValidation type="list" allowBlank="1" showInputMessage="1" showErrorMessage="1" sqref="C3:C81">
      <formula1>"តូច small​  小, ធំ Big 大的"</formula1>
    </dataValidation>
    <dataValidation type="list" allowBlank="1" showInputMessage="1" showErrorMessage="1" sqref="G3:G81">
      <formula1>$X$3:$X$10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84"/>
  <sheetViews>
    <sheetView topLeftCell="A21" workbookViewId="0">
      <selection activeCell="L28" sqref="L28"/>
    </sheetView>
  </sheetViews>
  <sheetFormatPr defaultRowHeight="15" x14ac:dyDescent="0.25"/>
  <cols>
    <col min="1" max="1" width="14.85546875" customWidth="1"/>
    <col min="2" max="2" width="24.140625" customWidth="1"/>
    <col min="3" max="3" width="9.85546875" customWidth="1"/>
    <col min="4" max="4" width="16.42578125" customWidth="1"/>
    <col min="5" max="5" width="15.5703125" customWidth="1"/>
    <col min="6" max="6" width="12" customWidth="1"/>
    <col min="7" max="7" width="22.28515625" customWidth="1"/>
    <col min="8" max="8" width="2.5703125" customWidth="1"/>
    <col min="9" max="9" width="5.140625" hidden="1" customWidth="1"/>
    <col min="10" max="18" width="6.140625" customWidth="1"/>
    <col min="19" max="21" width="6.42578125" customWidth="1"/>
  </cols>
  <sheetData>
    <row r="1" spans="1:24" ht="58.5" customHeight="1" thickBot="1" x14ac:dyDescent="0.3">
      <c r="A1" s="1"/>
      <c r="B1" s="35" t="s">
        <v>101</v>
      </c>
      <c r="C1" s="35"/>
      <c r="D1" s="35"/>
      <c r="E1" s="35"/>
      <c r="F1" s="35"/>
      <c r="G1" s="33">
        <v>46335</v>
      </c>
      <c r="J1" s="36" t="s">
        <v>103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8"/>
    </row>
    <row r="2" spans="1:24" ht="73.5" customHeight="1" thickBot="1" x14ac:dyDescent="0.3">
      <c r="A2" s="4" t="s">
        <v>0</v>
      </c>
      <c r="B2" s="3" t="s">
        <v>1</v>
      </c>
      <c r="C2" s="3" t="s">
        <v>77</v>
      </c>
      <c r="D2" s="3" t="s">
        <v>80</v>
      </c>
      <c r="E2" s="3" t="s">
        <v>81</v>
      </c>
      <c r="F2" s="3" t="s">
        <v>82</v>
      </c>
      <c r="G2" s="5" t="s">
        <v>83</v>
      </c>
      <c r="J2" s="26" t="s">
        <v>84</v>
      </c>
      <c r="K2" s="26" t="s">
        <v>85</v>
      </c>
      <c r="L2" s="26" t="s">
        <v>86</v>
      </c>
      <c r="M2" s="26" t="s">
        <v>87</v>
      </c>
      <c r="N2" s="26" t="s">
        <v>88</v>
      </c>
      <c r="O2" s="26" t="s">
        <v>89</v>
      </c>
      <c r="P2" s="26" t="s">
        <v>90</v>
      </c>
      <c r="Q2" s="26" t="s">
        <v>91</v>
      </c>
      <c r="R2" s="26" t="s">
        <v>92</v>
      </c>
      <c r="S2" s="26" t="s">
        <v>93</v>
      </c>
      <c r="T2" s="26" t="s">
        <v>94</v>
      </c>
      <c r="U2" s="26" t="s">
        <v>95</v>
      </c>
    </row>
    <row r="3" spans="1:24" ht="27.75" customHeight="1" x14ac:dyDescent="0.25">
      <c r="A3" s="10">
        <f>IF(B3="","",COUNTA($B$3:B3))</f>
        <v>1</v>
      </c>
      <c r="B3" s="11" t="s">
        <v>2</v>
      </c>
      <c r="C3" s="11" t="s">
        <v>78</v>
      </c>
      <c r="D3" s="12">
        <f>'9-10'!F3</f>
        <v>8</v>
      </c>
      <c r="E3" s="7">
        <f t="shared" ref="E3:E66" si="0">SUM(J3:U3)</f>
        <v>2</v>
      </c>
      <c r="F3" s="7">
        <f t="shared" ref="F3:F66" si="1">D3-E3</f>
        <v>6</v>
      </c>
      <c r="G3" s="8" t="s">
        <v>96</v>
      </c>
      <c r="J3" s="27">
        <v>1</v>
      </c>
      <c r="K3" s="6"/>
      <c r="L3" s="6">
        <v>1</v>
      </c>
      <c r="M3" s="6"/>
      <c r="N3" s="6"/>
      <c r="O3" s="6"/>
      <c r="P3" s="6"/>
      <c r="Q3" s="6"/>
      <c r="R3" s="6"/>
      <c r="S3" s="6"/>
      <c r="T3" s="6"/>
      <c r="U3" s="28"/>
      <c r="X3" t="s">
        <v>96</v>
      </c>
    </row>
    <row r="4" spans="1:24" ht="30" x14ac:dyDescent="0.25">
      <c r="A4" s="13">
        <f>IF(B4="","",COUNTA($B$3:B4))</f>
        <v>2</v>
      </c>
      <c r="B4" s="14" t="s">
        <v>3</v>
      </c>
      <c r="C4" s="14" t="s">
        <v>78</v>
      </c>
      <c r="D4" s="12">
        <f>'9-10'!F4</f>
        <v>60</v>
      </c>
      <c r="E4" s="7">
        <f t="shared" si="0"/>
        <v>0</v>
      </c>
      <c r="F4" s="7">
        <f t="shared" si="1"/>
        <v>60</v>
      </c>
      <c r="G4" s="9" t="s">
        <v>96</v>
      </c>
      <c r="J4" s="27"/>
      <c r="K4" s="6"/>
      <c r="L4" s="6"/>
      <c r="M4" s="6"/>
      <c r="N4" s="6"/>
      <c r="O4" s="6"/>
      <c r="P4" s="6"/>
      <c r="Q4" s="6"/>
      <c r="R4" s="6"/>
      <c r="S4" s="6"/>
      <c r="T4" s="6"/>
      <c r="U4" s="28"/>
      <c r="X4" t="s">
        <v>97</v>
      </c>
    </row>
    <row r="5" spans="1:24" ht="30" x14ac:dyDescent="0.25">
      <c r="A5" s="10">
        <f>IF(B5="","",COUNTA($B$3:B5))</f>
        <v>3</v>
      </c>
      <c r="B5" s="11" t="s">
        <v>4</v>
      </c>
      <c r="C5" s="11" t="s">
        <v>78</v>
      </c>
      <c r="D5" s="12">
        <f>'9-10'!F5</f>
        <v>8</v>
      </c>
      <c r="E5" s="7">
        <f t="shared" si="0"/>
        <v>0</v>
      </c>
      <c r="F5" s="7">
        <f t="shared" si="1"/>
        <v>8</v>
      </c>
      <c r="G5" s="9"/>
      <c r="J5" s="27"/>
      <c r="K5" s="6"/>
      <c r="L5" s="6"/>
      <c r="M5" s="6"/>
      <c r="N5" s="6"/>
      <c r="O5" s="6"/>
      <c r="P5" s="6"/>
      <c r="Q5" s="6"/>
      <c r="R5" s="6"/>
      <c r="S5" s="6"/>
      <c r="T5" s="6"/>
      <c r="U5" s="28"/>
      <c r="X5" t="s">
        <v>98</v>
      </c>
    </row>
    <row r="6" spans="1:24" ht="30" x14ac:dyDescent="0.25">
      <c r="A6" s="13">
        <f>IF(B6="","",COUNTA($B$3:B6))</f>
        <v>4</v>
      </c>
      <c r="B6" s="14" t="s">
        <v>5</v>
      </c>
      <c r="C6" s="14" t="s">
        <v>78</v>
      </c>
      <c r="D6" s="12">
        <f>'9-10'!F6</f>
        <v>13</v>
      </c>
      <c r="E6" s="7">
        <f t="shared" si="0"/>
        <v>1</v>
      </c>
      <c r="F6" s="7">
        <f t="shared" si="1"/>
        <v>12</v>
      </c>
      <c r="G6" s="9" t="s">
        <v>96</v>
      </c>
      <c r="J6" s="27">
        <v>1</v>
      </c>
      <c r="K6" s="6"/>
      <c r="L6" s="6"/>
      <c r="M6" s="6"/>
      <c r="N6" s="6"/>
      <c r="O6" s="6"/>
      <c r="P6" s="6"/>
      <c r="Q6" s="6"/>
      <c r="R6" s="6"/>
      <c r="S6" s="6"/>
      <c r="T6" s="6"/>
      <c r="U6" s="28"/>
      <c r="X6" t="s">
        <v>99</v>
      </c>
    </row>
    <row r="7" spans="1:24" ht="30" x14ac:dyDescent="0.25">
      <c r="A7" s="10">
        <f>IF(B7="","",COUNTA($B$3:B7))</f>
        <v>5</v>
      </c>
      <c r="B7" s="11" t="s">
        <v>6</v>
      </c>
      <c r="C7" s="11" t="s">
        <v>78</v>
      </c>
      <c r="D7" s="12">
        <f>'9-10'!F7</f>
        <v>3</v>
      </c>
      <c r="E7" s="7">
        <f t="shared" si="0"/>
        <v>0</v>
      </c>
      <c r="F7" s="7">
        <f t="shared" si="1"/>
        <v>3</v>
      </c>
      <c r="G7" s="9"/>
      <c r="J7" s="27"/>
      <c r="K7" s="6"/>
      <c r="L7" s="6"/>
      <c r="M7" s="6"/>
      <c r="N7" s="6"/>
      <c r="O7" s="6"/>
      <c r="P7" s="6"/>
      <c r="Q7" s="6"/>
      <c r="R7" s="6"/>
      <c r="S7" s="6"/>
      <c r="T7" s="6"/>
      <c r="U7" s="28"/>
      <c r="X7" t="s">
        <v>100</v>
      </c>
    </row>
    <row r="8" spans="1:24" ht="30" x14ac:dyDescent="0.25">
      <c r="A8" s="13">
        <f>IF(B8="","",COUNTA($B$3:B8))</f>
        <v>6</v>
      </c>
      <c r="B8" s="14" t="s">
        <v>7</v>
      </c>
      <c r="C8" s="14" t="s">
        <v>78</v>
      </c>
      <c r="D8" s="12">
        <f>'9-10'!F8</f>
        <v>25</v>
      </c>
      <c r="E8" s="7">
        <f t="shared" si="0"/>
        <v>2</v>
      </c>
      <c r="F8" s="7">
        <f t="shared" si="1"/>
        <v>23</v>
      </c>
      <c r="G8" s="9"/>
      <c r="J8" s="27"/>
      <c r="K8" s="6"/>
      <c r="L8" s="6"/>
      <c r="M8" s="6">
        <v>1</v>
      </c>
      <c r="N8" s="6"/>
      <c r="O8" s="6"/>
      <c r="P8" s="6">
        <v>1</v>
      </c>
      <c r="Q8" s="6"/>
      <c r="R8" s="6"/>
      <c r="S8" s="6"/>
      <c r="T8" s="6"/>
      <c r="U8" s="28"/>
    </row>
    <row r="9" spans="1:24" ht="45" x14ac:dyDescent="0.25">
      <c r="A9" s="10">
        <f>IF(B9="","",COUNTA($B$3:B9))</f>
        <v>7</v>
      </c>
      <c r="B9" s="11" t="s">
        <v>8</v>
      </c>
      <c r="C9" s="11" t="s">
        <v>78</v>
      </c>
      <c r="D9" s="12">
        <f>'9-10'!F9</f>
        <v>15</v>
      </c>
      <c r="E9" s="7">
        <f t="shared" si="0"/>
        <v>1</v>
      </c>
      <c r="F9" s="7">
        <f t="shared" si="1"/>
        <v>14</v>
      </c>
      <c r="G9" s="9"/>
      <c r="J9" s="27"/>
      <c r="K9" s="6"/>
      <c r="L9" s="6"/>
      <c r="M9" s="6"/>
      <c r="N9" s="6"/>
      <c r="O9" s="6">
        <v>1</v>
      </c>
      <c r="P9" s="6"/>
      <c r="Q9" s="6"/>
      <c r="R9" s="6"/>
      <c r="S9" s="6"/>
      <c r="T9" s="6"/>
      <c r="U9" s="28"/>
    </row>
    <row r="10" spans="1:24" ht="45" x14ac:dyDescent="0.25">
      <c r="A10" s="13">
        <f>IF(B10="","",COUNTA($B$3:B10))</f>
        <v>8</v>
      </c>
      <c r="B10" s="14" t="s">
        <v>9</v>
      </c>
      <c r="C10" s="14" t="s">
        <v>78</v>
      </c>
      <c r="D10" s="12">
        <f>'9-10'!F10</f>
        <v>2</v>
      </c>
      <c r="E10" s="7">
        <f t="shared" si="0"/>
        <v>0</v>
      </c>
      <c r="F10" s="7">
        <f t="shared" si="1"/>
        <v>2</v>
      </c>
      <c r="G10" s="9"/>
      <c r="J10" s="27"/>
      <c r="K10" s="6"/>
      <c r="L10" s="6"/>
      <c r="M10" s="6"/>
      <c r="N10" s="6"/>
      <c r="O10" s="6"/>
      <c r="P10" s="6"/>
      <c r="Q10" s="6"/>
      <c r="R10" s="6"/>
      <c r="S10" s="6"/>
      <c r="T10" s="6"/>
      <c r="U10" s="28"/>
    </row>
    <row r="11" spans="1:24" ht="60" x14ac:dyDescent="0.25">
      <c r="A11" s="10">
        <f>IF(B11="","",COUNTA($B$3:B11))</f>
        <v>9</v>
      </c>
      <c r="B11" s="11" t="s">
        <v>10</v>
      </c>
      <c r="C11" s="11" t="s">
        <v>78</v>
      </c>
      <c r="D11" s="12">
        <f>'9-10'!F11</f>
        <v>4</v>
      </c>
      <c r="E11" s="7">
        <f t="shared" si="0"/>
        <v>0</v>
      </c>
      <c r="F11" s="7">
        <f t="shared" si="1"/>
        <v>4</v>
      </c>
      <c r="G11" s="9"/>
      <c r="J11" s="27"/>
      <c r="K11" s="6"/>
      <c r="L11" s="6"/>
      <c r="M11" s="6"/>
      <c r="N11" s="6"/>
      <c r="O11" s="6"/>
      <c r="P11" s="6"/>
      <c r="Q11" s="6"/>
      <c r="R11" s="6"/>
      <c r="S11" s="6"/>
      <c r="T11" s="6"/>
      <c r="U11" s="28"/>
    </row>
    <row r="12" spans="1:24" ht="45" x14ac:dyDescent="0.25">
      <c r="A12" s="13">
        <f>IF(B12="","",COUNTA($B$3:B12))</f>
        <v>10</v>
      </c>
      <c r="B12" s="14" t="s">
        <v>11</v>
      </c>
      <c r="C12" s="14" t="s">
        <v>78</v>
      </c>
      <c r="D12" s="12">
        <f>'9-10'!F12</f>
        <v>0</v>
      </c>
      <c r="E12" s="7">
        <f t="shared" si="0"/>
        <v>0</v>
      </c>
      <c r="F12" s="7">
        <f t="shared" si="1"/>
        <v>0</v>
      </c>
      <c r="G12" s="9"/>
      <c r="J12" s="27"/>
      <c r="K12" s="6"/>
      <c r="L12" s="6"/>
      <c r="M12" s="6"/>
      <c r="N12" s="6"/>
      <c r="O12" s="6"/>
      <c r="P12" s="6"/>
      <c r="Q12" s="6"/>
      <c r="R12" s="6"/>
      <c r="S12" s="6"/>
      <c r="T12" s="6"/>
      <c r="U12" s="28"/>
    </row>
    <row r="13" spans="1:24" ht="60" x14ac:dyDescent="0.25">
      <c r="A13" s="10">
        <f>IF(B13="","",COUNTA($B$3:B13))</f>
        <v>11</v>
      </c>
      <c r="B13" s="11" t="s">
        <v>12</v>
      </c>
      <c r="C13" s="11" t="s">
        <v>78</v>
      </c>
      <c r="D13" s="12">
        <f>'9-10'!F13</f>
        <v>0</v>
      </c>
      <c r="E13" s="7">
        <f t="shared" si="0"/>
        <v>0</v>
      </c>
      <c r="F13" s="7">
        <f t="shared" si="1"/>
        <v>0</v>
      </c>
      <c r="G13" s="9"/>
      <c r="J13" s="27"/>
      <c r="K13" s="6"/>
      <c r="L13" s="6"/>
      <c r="M13" s="6"/>
      <c r="N13" s="6"/>
      <c r="O13" s="6"/>
      <c r="P13" s="6"/>
      <c r="Q13" s="6"/>
      <c r="R13" s="6"/>
      <c r="S13" s="6"/>
      <c r="T13" s="6"/>
      <c r="U13" s="28"/>
    </row>
    <row r="14" spans="1:24" ht="30" x14ac:dyDescent="0.25">
      <c r="A14" s="13">
        <f>IF(B14="","",COUNTA($B$3:B14))</f>
        <v>12</v>
      </c>
      <c r="B14" s="14" t="s">
        <v>13</v>
      </c>
      <c r="C14" s="14" t="s">
        <v>78</v>
      </c>
      <c r="D14" s="12">
        <f>'9-10'!F14</f>
        <v>7</v>
      </c>
      <c r="E14" s="7">
        <f t="shared" si="0"/>
        <v>0</v>
      </c>
      <c r="F14" s="7">
        <f t="shared" si="1"/>
        <v>7</v>
      </c>
      <c r="G14" s="9"/>
      <c r="J14" s="27"/>
      <c r="K14" s="6"/>
      <c r="L14" s="6"/>
      <c r="M14" s="6"/>
      <c r="N14" s="6"/>
      <c r="O14" s="6"/>
      <c r="P14" s="6"/>
      <c r="Q14" s="6"/>
      <c r="R14" s="6"/>
      <c r="S14" s="6"/>
      <c r="T14" s="6"/>
      <c r="U14" s="28"/>
    </row>
    <row r="15" spans="1:24" ht="60" x14ac:dyDescent="0.25">
      <c r="A15" s="10">
        <f>IF(B15="","",COUNTA($B$3:B15))</f>
        <v>13</v>
      </c>
      <c r="B15" s="16" t="s">
        <v>14</v>
      </c>
      <c r="C15" s="11" t="s">
        <v>78</v>
      </c>
      <c r="D15" s="12">
        <f>'9-10'!F15</f>
        <v>6</v>
      </c>
      <c r="E15" s="7">
        <f t="shared" si="0"/>
        <v>1</v>
      </c>
      <c r="F15" s="7">
        <f t="shared" si="1"/>
        <v>5</v>
      </c>
      <c r="G15" s="9"/>
      <c r="J15" s="27"/>
      <c r="K15" s="6"/>
      <c r="L15" s="6"/>
      <c r="M15" s="6">
        <v>1</v>
      </c>
      <c r="N15" s="6"/>
      <c r="O15" s="6"/>
      <c r="P15" s="6"/>
      <c r="Q15" s="6"/>
      <c r="R15" s="6"/>
      <c r="S15" s="6"/>
      <c r="T15" s="6"/>
      <c r="U15" s="28"/>
    </row>
    <row r="16" spans="1:24" ht="45" x14ac:dyDescent="0.25">
      <c r="A16" s="13">
        <f>IF(B16="","",COUNTA($B$3:B16))</f>
        <v>14</v>
      </c>
      <c r="B16" s="14" t="s">
        <v>15</v>
      </c>
      <c r="C16" s="14" t="s">
        <v>78</v>
      </c>
      <c r="D16" s="12">
        <f>'9-10'!F16</f>
        <v>3</v>
      </c>
      <c r="E16" s="7">
        <f t="shared" si="0"/>
        <v>0</v>
      </c>
      <c r="F16" s="7">
        <f t="shared" si="1"/>
        <v>3</v>
      </c>
      <c r="G16" s="9"/>
      <c r="J16" s="27"/>
      <c r="K16" s="6"/>
      <c r="L16" s="6"/>
      <c r="M16" s="6"/>
      <c r="N16" s="6"/>
      <c r="O16" s="6"/>
      <c r="P16" s="6"/>
      <c r="Q16" s="6"/>
      <c r="R16" s="6"/>
      <c r="S16" s="6"/>
      <c r="T16" s="6"/>
      <c r="U16" s="28"/>
    </row>
    <row r="17" spans="1:21" ht="45" x14ac:dyDescent="0.25">
      <c r="A17" s="10">
        <f>IF(B17="","",COUNTA($B$3:B17))</f>
        <v>15</v>
      </c>
      <c r="B17" s="11" t="s">
        <v>16</v>
      </c>
      <c r="C17" s="11" t="s">
        <v>78</v>
      </c>
      <c r="D17" s="12">
        <f>'9-10'!F17</f>
        <v>3</v>
      </c>
      <c r="E17" s="7">
        <f t="shared" si="0"/>
        <v>0</v>
      </c>
      <c r="F17" s="7">
        <f t="shared" si="1"/>
        <v>3</v>
      </c>
      <c r="G17" s="9"/>
      <c r="J17" s="27"/>
      <c r="K17" s="6"/>
      <c r="L17" s="6"/>
      <c r="M17" s="6"/>
      <c r="N17" s="6"/>
      <c r="O17" s="6"/>
      <c r="P17" s="6"/>
      <c r="Q17" s="6"/>
      <c r="R17" s="6"/>
      <c r="S17" s="6"/>
      <c r="T17" s="6"/>
      <c r="U17" s="28"/>
    </row>
    <row r="18" spans="1:21" ht="60" x14ac:dyDescent="0.25">
      <c r="A18" s="13">
        <f>IF(B18="","",COUNTA($B$3:B18))</f>
        <v>16</v>
      </c>
      <c r="B18" s="17" t="s">
        <v>17</v>
      </c>
      <c r="C18" s="14" t="s">
        <v>78</v>
      </c>
      <c r="D18" s="12">
        <f>'9-10'!F18</f>
        <v>2</v>
      </c>
      <c r="E18" s="7">
        <f t="shared" si="0"/>
        <v>0</v>
      </c>
      <c r="F18" s="7">
        <f t="shared" si="1"/>
        <v>2</v>
      </c>
      <c r="G18" s="9"/>
      <c r="J18" s="27"/>
      <c r="K18" s="6"/>
      <c r="L18" s="6"/>
      <c r="M18" s="6"/>
      <c r="N18" s="6"/>
      <c r="O18" s="6"/>
      <c r="P18" s="6"/>
      <c r="Q18" s="6"/>
      <c r="R18" s="6"/>
      <c r="S18" s="6"/>
      <c r="T18" s="6"/>
      <c r="U18" s="28"/>
    </row>
    <row r="19" spans="1:21" ht="45" x14ac:dyDescent="0.25">
      <c r="A19" s="10">
        <f>IF(B19="","",COUNTA($B$3:B19))</f>
        <v>17</v>
      </c>
      <c r="B19" s="11" t="s">
        <v>18</v>
      </c>
      <c r="C19" s="11" t="s">
        <v>78</v>
      </c>
      <c r="D19" s="12">
        <f>'9-10'!F19</f>
        <v>42</v>
      </c>
      <c r="E19" s="7">
        <f t="shared" si="0"/>
        <v>0</v>
      </c>
      <c r="F19" s="7">
        <f t="shared" si="1"/>
        <v>42</v>
      </c>
      <c r="G19" s="9"/>
      <c r="J19" s="27"/>
      <c r="K19" s="6"/>
      <c r="L19" s="6"/>
      <c r="M19" s="6"/>
      <c r="N19" s="6"/>
      <c r="O19" s="6"/>
      <c r="P19" s="6"/>
      <c r="Q19" s="6"/>
      <c r="R19" s="6"/>
      <c r="S19" s="6"/>
      <c r="T19" s="6"/>
      <c r="U19" s="28"/>
    </row>
    <row r="20" spans="1:21" ht="30" x14ac:dyDescent="0.25">
      <c r="A20" s="13">
        <f>IF(B20="","",COUNTA($B$3:B20))</f>
        <v>18</v>
      </c>
      <c r="B20" s="14" t="s">
        <v>19</v>
      </c>
      <c r="C20" s="14" t="s">
        <v>79</v>
      </c>
      <c r="D20" s="12">
        <f>'9-10'!F20</f>
        <v>2</v>
      </c>
      <c r="E20" s="7">
        <f t="shared" si="0"/>
        <v>0</v>
      </c>
      <c r="F20" s="7">
        <f t="shared" si="1"/>
        <v>2</v>
      </c>
      <c r="G20" s="9"/>
      <c r="J20" s="27"/>
      <c r="K20" s="6"/>
      <c r="L20" s="6"/>
      <c r="M20" s="6"/>
      <c r="N20" s="6"/>
      <c r="O20" s="6"/>
      <c r="P20" s="6"/>
      <c r="Q20" s="6"/>
      <c r="R20" s="6"/>
      <c r="S20" s="6"/>
      <c r="T20" s="6"/>
      <c r="U20" s="28"/>
    </row>
    <row r="21" spans="1:21" ht="45" x14ac:dyDescent="0.25">
      <c r="A21" s="10">
        <f>IF(B21="","",COUNTA($B$3:B21))</f>
        <v>19</v>
      </c>
      <c r="B21" s="11" t="s">
        <v>20</v>
      </c>
      <c r="C21" s="11" t="s">
        <v>78</v>
      </c>
      <c r="D21" s="12">
        <f>'9-10'!F21</f>
        <v>20</v>
      </c>
      <c r="E21" s="7">
        <f t="shared" si="0"/>
        <v>1</v>
      </c>
      <c r="F21" s="7">
        <f t="shared" si="1"/>
        <v>19</v>
      </c>
      <c r="G21" s="9"/>
      <c r="J21" s="27"/>
      <c r="K21" s="6"/>
      <c r="L21" s="6"/>
      <c r="M21" s="6"/>
      <c r="N21" s="6"/>
      <c r="O21" s="6"/>
      <c r="P21" s="6"/>
      <c r="Q21" s="6">
        <v>1</v>
      </c>
      <c r="R21" s="6"/>
      <c r="S21" s="6"/>
      <c r="T21" s="6"/>
      <c r="U21" s="28"/>
    </row>
    <row r="22" spans="1:21" ht="30" x14ac:dyDescent="0.25">
      <c r="A22" s="13">
        <f>IF(B22="","",COUNTA($B$3:B22))</f>
        <v>20</v>
      </c>
      <c r="B22" s="14" t="s">
        <v>21</v>
      </c>
      <c r="C22" s="14" t="s">
        <v>78</v>
      </c>
      <c r="D22" s="12">
        <f>'9-10'!F22</f>
        <v>5</v>
      </c>
      <c r="E22" s="7">
        <f t="shared" si="0"/>
        <v>0</v>
      </c>
      <c r="F22" s="7">
        <f t="shared" si="1"/>
        <v>5</v>
      </c>
      <c r="G22" s="9"/>
      <c r="J22" s="27"/>
      <c r="K22" s="6"/>
      <c r="L22" s="6"/>
      <c r="M22" s="6"/>
      <c r="N22" s="6"/>
      <c r="O22" s="6"/>
      <c r="P22" s="6"/>
      <c r="Q22" s="6"/>
      <c r="R22" s="6"/>
      <c r="S22" s="6"/>
      <c r="T22" s="6"/>
      <c r="U22" s="28"/>
    </row>
    <row r="23" spans="1:21" ht="60" x14ac:dyDescent="0.25">
      <c r="A23" s="10">
        <f>IF(B23="","",COUNTA($B$3:B23))</f>
        <v>21</v>
      </c>
      <c r="B23" s="11" t="s">
        <v>22</v>
      </c>
      <c r="C23" s="11" t="s">
        <v>78</v>
      </c>
      <c r="D23" s="12">
        <f>'9-10'!F23</f>
        <v>3</v>
      </c>
      <c r="E23" s="7">
        <f t="shared" si="0"/>
        <v>0</v>
      </c>
      <c r="F23" s="7">
        <f t="shared" si="1"/>
        <v>3</v>
      </c>
      <c r="G23" s="9"/>
      <c r="J23" s="27"/>
      <c r="K23" s="6"/>
      <c r="L23" s="6"/>
      <c r="M23" s="6"/>
      <c r="N23" s="6"/>
      <c r="O23" s="6"/>
      <c r="P23" s="6"/>
      <c r="Q23" s="6"/>
      <c r="R23" s="6"/>
      <c r="S23" s="6"/>
      <c r="T23" s="6"/>
      <c r="U23" s="28"/>
    </row>
    <row r="24" spans="1:21" ht="45" x14ac:dyDescent="0.25">
      <c r="A24" s="13">
        <f>IF(B24="","",COUNTA($B$3:B24))</f>
        <v>22</v>
      </c>
      <c r="B24" s="14" t="s">
        <v>23</v>
      </c>
      <c r="C24" s="14" t="s">
        <v>78</v>
      </c>
      <c r="D24" s="12">
        <f>'9-10'!F24</f>
        <v>25</v>
      </c>
      <c r="E24" s="7">
        <f t="shared" si="0"/>
        <v>0</v>
      </c>
      <c r="F24" s="7">
        <f t="shared" si="1"/>
        <v>25</v>
      </c>
      <c r="G24" s="9"/>
      <c r="J24" s="27"/>
      <c r="K24" s="6"/>
      <c r="L24" s="6"/>
      <c r="M24" s="6"/>
      <c r="N24" s="6"/>
      <c r="O24" s="6"/>
      <c r="P24" s="6"/>
      <c r="Q24" s="6"/>
      <c r="R24" s="6"/>
      <c r="S24" s="6"/>
      <c r="T24" s="6"/>
      <c r="U24" s="28"/>
    </row>
    <row r="25" spans="1:21" ht="30" x14ac:dyDescent="0.25">
      <c r="A25" s="10">
        <f>IF(B25="","",COUNTA($B$3:B25))</f>
        <v>23</v>
      </c>
      <c r="B25" s="11" t="s">
        <v>24</v>
      </c>
      <c r="C25" s="11" t="s">
        <v>78</v>
      </c>
      <c r="D25" s="12">
        <f>'9-10'!F25</f>
        <v>10</v>
      </c>
      <c r="E25" s="7">
        <f t="shared" si="0"/>
        <v>0</v>
      </c>
      <c r="F25" s="7">
        <f t="shared" si="1"/>
        <v>10</v>
      </c>
      <c r="G25" s="9"/>
      <c r="J25" s="27"/>
      <c r="K25" s="6"/>
      <c r="L25" s="6"/>
      <c r="M25" s="6"/>
      <c r="N25" s="6"/>
      <c r="O25" s="6"/>
      <c r="P25" s="6"/>
      <c r="Q25" s="6"/>
      <c r="R25" s="6"/>
      <c r="S25" s="6"/>
      <c r="T25" s="6"/>
      <c r="U25" s="28"/>
    </row>
    <row r="26" spans="1:21" ht="30" x14ac:dyDescent="0.25">
      <c r="A26" s="13">
        <f>IF(B26="","",COUNTA($B$3:B26))</f>
        <v>24</v>
      </c>
      <c r="B26" s="14" t="s">
        <v>25</v>
      </c>
      <c r="C26" s="14" t="s">
        <v>78</v>
      </c>
      <c r="D26" s="12">
        <f>'9-10'!F26</f>
        <v>0</v>
      </c>
      <c r="E26" s="7">
        <f t="shared" si="0"/>
        <v>0</v>
      </c>
      <c r="F26" s="7">
        <f t="shared" si="1"/>
        <v>0</v>
      </c>
      <c r="G26" s="9"/>
      <c r="J26" s="27"/>
      <c r="K26" s="6"/>
      <c r="L26" s="6"/>
      <c r="M26" s="6"/>
      <c r="N26" s="6"/>
      <c r="O26" s="6"/>
      <c r="P26" s="6"/>
      <c r="Q26" s="6"/>
      <c r="R26" s="6"/>
      <c r="S26" s="6"/>
      <c r="T26" s="6"/>
      <c r="U26" s="28"/>
    </row>
    <row r="27" spans="1:21" ht="30" x14ac:dyDescent="0.25">
      <c r="A27" s="10">
        <f>IF(B27="","",COUNTA($B$3:B27))</f>
        <v>25</v>
      </c>
      <c r="B27" s="11" t="s">
        <v>26</v>
      </c>
      <c r="C27" s="11" t="s">
        <v>78</v>
      </c>
      <c r="D27" s="12">
        <f>'9-10'!F27</f>
        <v>3</v>
      </c>
      <c r="E27" s="7">
        <f t="shared" si="0"/>
        <v>1</v>
      </c>
      <c r="F27" s="7">
        <f t="shared" si="1"/>
        <v>2</v>
      </c>
      <c r="G27" s="9"/>
      <c r="J27" s="27"/>
      <c r="K27" s="6"/>
      <c r="L27" s="6">
        <v>1</v>
      </c>
      <c r="M27" s="6"/>
      <c r="N27" s="6"/>
      <c r="O27" s="6"/>
      <c r="P27" s="6"/>
      <c r="Q27" s="6"/>
      <c r="R27" s="6"/>
      <c r="S27" s="6"/>
      <c r="T27" s="6"/>
      <c r="U27" s="28"/>
    </row>
    <row r="28" spans="1:21" ht="60" x14ac:dyDescent="0.25">
      <c r="A28" s="13">
        <f>IF(B28="","",COUNTA($B$3:B28))</f>
        <v>26</v>
      </c>
      <c r="B28" s="14" t="s">
        <v>27</v>
      </c>
      <c r="C28" s="14" t="s">
        <v>78</v>
      </c>
      <c r="D28" s="12">
        <f>'9-10'!F28</f>
        <v>0</v>
      </c>
      <c r="E28" s="7">
        <f t="shared" si="0"/>
        <v>0</v>
      </c>
      <c r="F28" s="7">
        <f t="shared" si="1"/>
        <v>0</v>
      </c>
      <c r="G28" s="9"/>
      <c r="J28" s="27"/>
      <c r="K28" s="6"/>
      <c r="L28" s="6"/>
      <c r="M28" s="6"/>
      <c r="N28" s="6"/>
      <c r="O28" s="6"/>
      <c r="P28" s="6"/>
      <c r="Q28" s="6"/>
      <c r="R28" s="6"/>
      <c r="S28" s="6"/>
      <c r="T28" s="6"/>
      <c r="U28" s="28"/>
    </row>
    <row r="29" spans="1:21" ht="30" x14ac:dyDescent="0.25">
      <c r="A29" s="10">
        <f>IF(B29="","",COUNTA($B$3:B29))</f>
        <v>27</v>
      </c>
      <c r="B29" s="11" t="s">
        <v>28</v>
      </c>
      <c r="C29" s="11" t="s">
        <v>78</v>
      </c>
      <c r="D29" s="12">
        <f>'9-10'!F29</f>
        <v>9</v>
      </c>
      <c r="E29" s="7">
        <f t="shared" si="0"/>
        <v>0</v>
      </c>
      <c r="F29" s="7">
        <f t="shared" si="1"/>
        <v>9</v>
      </c>
      <c r="G29" s="9"/>
      <c r="J29" s="27"/>
      <c r="K29" s="6"/>
      <c r="L29" s="6"/>
      <c r="M29" s="6"/>
      <c r="N29" s="6"/>
      <c r="O29" s="6"/>
      <c r="P29" s="6"/>
      <c r="Q29" s="6"/>
      <c r="R29" s="6"/>
      <c r="S29" s="6"/>
      <c r="T29" s="6"/>
      <c r="U29" s="28"/>
    </row>
    <row r="30" spans="1:21" ht="75" x14ac:dyDescent="0.25">
      <c r="A30" s="13">
        <f>IF(B30="","",COUNTA($B$3:B30))</f>
        <v>28</v>
      </c>
      <c r="B30" s="14" t="s">
        <v>29</v>
      </c>
      <c r="C30" s="14" t="s">
        <v>78</v>
      </c>
      <c r="D30" s="12">
        <f>'9-10'!F30</f>
        <v>4</v>
      </c>
      <c r="E30" s="7">
        <f t="shared" si="0"/>
        <v>0</v>
      </c>
      <c r="F30" s="7">
        <f t="shared" si="1"/>
        <v>4</v>
      </c>
      <c r="G30" s="9"/>
      <c r="J30" s="27"/>
      <c r="K30" s="6"/>
      <c r="L30" s="6"/>
      <c r="M30" s="6"/>
      <c r="N30" s="6"/>
      <c r="O30" s="6"/>
      <c r="P30" s="6"/>
      <c r="Q30" s="6"/>
      <c r="R30" s="6"/>
      <c r="S30" s="6"/>
      <c r="T30" s="6"/>
      <c r="U30" s="28"/>
    </row>
    <row r="31" spans="1:21" ht="30" x14ac:dyDescent="0.25">
      <c r="A31" s="10">
        <f>IF(B31="","",COUNTA($B$3:B31))</f>
        <v>29</v>
      </c>
      <c r="B31" s="11" t="s">
        <v>30</v>
      </c>
      <c r="C31" s="11" t="s">
        <v>78</v>
      </c>
      <c r="D31" s="12">
        <f>'9-10'!F31</f>
        <v>0</v>
      </c>
      <c r="E31" s="7">
        <f t="shared" si="0"/>
        <v>0</v>
      </c>
      <c r="F31" s="7">
        <f t="shared" si="1"/>
        <v>0</v>
      </c>
      <c r="G31" s="9"/>
      <c r="J31" s="27"/>
      <c r="K31" s="6"/>
      <c r="L31" s="6"/>
      <c r="M31" s="6"/>
      <c r="N31" s="6"/>
      <c r="O31" s="6"/>
      <c r="P31" s="6"/>
      <c r="Q31" s="6"/>
      <c r="R31" s="6"/>
      <c r="S31" s="6"/>
      <c r="T31" s="6"/>
      <c r="U31" s="28"/>
    </row>
    <row r="32" spans="1:21" ht="45" x14ac:dyDescent="0.25">
      <c r="A32" s="13">
        <f>IF(B32="","",COUNTA($B$3:B32))</f>
        <v>30</v>
      </c>
      <c r="B32" s="14" t="s">
        <v>31</v>
      </c>
      <c r="C32" s="14" t="s">
        <v>78</v>
      </c>
      <c r="D32" s="12">
        <f>'9-10'!F32</f>
        <v>8</v>
      </c>
      <c r="E32" s="7">
        <f t="shared" si="0"/>
        <v>0</v>
      </c>
      <c r="F32" s="7">
        <f t="shared" si="1"/>
        <v>8</v>
      </c>
      <c r="G32" s="9"/>
      <c r="J32" s="27"/>
      <c r="K32" s="6"/>
      <c r="L32" s="6"/>
      <c r="M32" s="6"/>
      <c r="N32" s="6"/>
      <c r="O32" s="6"/>
      <c r="P32" s="6"/>
      <c r="Q32" s="6"/>
      <c r="R32" s="6"/>
      <c r="S32" s="6"/>
      <c r="T32" s="6"/>
      <c r="U32" s="28"/>
    </row>
    <row r="33" spans="1:21" ht="45" x14ac:dyDescent="0.25">
      <c r="A33" s="10">
        <f>IF(B33="","",COUNTA($B$3:B33))</f>
        <v>31</v>
      </c>
      <c r="B33" s="11" t="s">
        <v>32</v>
      </c>
      <c r="C33" s="11" t="s">
        <v>78</v>
      </c>
      <c r="D33" s="12">
        <f>'9-10'!F33</f>
        <v>0</v>
      </c>
      <c r="E33" s="7">
        <f t="shared" si="0"/>
        <v>0</v>
      </c>
      <c r="F33" s="7">
        <f t="shared" si="1"/>
        <v>0</v>
      </c>
      <c r="G33" s="9"/>
      <c r="J33" s="27"/>
      <c r="K33" s="6"/>
      <c r="L33" s="6"/>
      <c r="M33" s="6"/>
      <c r="N33" s="6"/>
      <c r="O33" s="6"/>
      <c r="P33" s="6"/>
      <c r="Q33" s="6"/>
      <c r="R33" s="6"/>
      <c r="S33" s="6"/>
      <c r="T33" s="6"/>
      <c r="U33" s="28"/>
    </row>
    <row r="34" spans="1:21" ht="60" x14ac:dyDescent="0.25">
      <c r="A34" s="13">
        <f>IF(B34="","",COUNTA($B$3:B34))</f>
        <v>32</v>
      </c>
      <c r="B34" s="14" t="s">
        <v>33</v>
      </c>
      <c r="C34" s="14" t="s">
        <v>78</v>
      </c>
      <c r="D34" s="12">
        <f>'9-10'!F34</f>
        <v>7</v>
      </c>
      <c r="E34" s="7">
        <f t="shared" si="0"/>
        <v>0</v>
      </c>
      <c r="F34" s="7">
        <f t="shared" si="1"/>
        <v>7</v>
      </c>
      <c r="G34" s="9"/>
      <c r="J34" s="27"/>
      <c r="K34" s="6"/>
      <c r="L34" s="6"/>
      <c r="M34" s="6"/>
      <c r="N34" s="6"/>
      <c r="O34" s="6"/>
      <c r="P34" s="6"/>
      <c r="Q34" s="6"/>
      <c r="R34" s="6"/>
      <c r="S34" s="6"/>
      <c r="T34" s="6"/>
      <c r="U34" s="28"/>
    </row>
    <row r="35" spans="1:21" ht="75" x14ac:dyDescent="0.25">
      <c r="A35" s="10">
        <f>IF(B35="","",COUNTA($B$3:B35))</f>
        <v>33</v>
      </c>
      <c r="B35" s="11" t="s">
        <v>34</v>
      </c>
      <c r="C35" s="11" t="s">
        <v>78</v>
      </c>
      <c r="D35" s="12">
        <f>'9-10'!F35</f>
        <v>0</v>
      </c>
      <c r="E35" s="7">
        <f t="shared" si="0"/>
        <v>0</v>
      </c>
      <c r="F35" s="7">
        <f t="shared" si="1"/>
        <v>0</v>
      </c>
      <c r="G35" s="9"/>
      <c r="J35" s="27"/>
      <c r="K35" s="6"/>
      <c r="L35" s="6"/>
      <c r="M35" s="6"/>
      <c r="N35" s="6"/>
      <c r="O35" s="6"/>
      <c r="P35" s="6"/>
      <c r="Q35" s="6"/>
      <c r="R35" s="6"/>
      <c r="S35" s="6"/>
      <c r="T35" s="6"/>
      <c r="U35" s="28"/>
    </row>
    <row r="36" spans="1:21" ht="45" x14ac:dyDescent="0.25">
      <c r="A36" s="13">
        <f>IF(B36="","",COUNTA($B$3:B36))</f>
        <v>34</v>
      </c>
      <c r="B36" s="14" t="s">
        <v>35</v>
      </c>
      <c r="C36" s="14" t="s">
        <v>78</v>
      </c>
      <c r="D36" s="12">
        <f>'9-10'!F36</f>
        <v>8</v>
      </c>
      <c r="E36" s="7">
        <f t="shared" si="0"/>
        <v>0</v>
      </c>
      <c r="F36" s="7">
        <f t="shared" si="1"/>
        <v>8</v>
      </c>
      <c r="G36" s="9"/>
      <c r="J36" s="27"/>
      <c r="K36" s="6"/>
      <c r="L36" s="6"/>
      <c r="M36" s="6"/>
      <c r="N36" s="6"/>
      <c r="O36" s="6"/>
      <c r="P36" s="6"/>
      <c r="Q36" s="6"/>
      <c r="R36" s="6"/>
      <c r="S36" s="6"/>
      <c r="T36" s="6"/>
      <c r="U36" s="28"/>
    </row>
    <row r="37" spans="1:21" ht="45" x14ac:dyDescent="0.25">
      <c r="A37" s="10">
        <f>IF(B37="","",COUNTA($B$3:B37))</f>
        <v>35</v>
      </c>
      <c r="B37" s="11" t="s">
        <v>36</v>
      </c>
      <c r="C37" s="11" t="s">
        <v>78</v>
      </c>
      <c r="D37" s="12">
        <f>'9-10'!F37</f>
        <v>3</v>
      </c>
      <c r="E37" s="7">
        <f t="shared" si="0"/>
        <v>1</v>
      </c>
      <c r="F37" s="7">
        <f t="shared" si="1"/>
        <v>2</v>
      </c>
      <c r="G37" s="9"/>
      <c r="J37" s="27"/>
      <c r="K37" s="6"/>
      <c r="L37" s="6"/>
      <c r="M37" s="6"/>
      <c r="N37" s="6"/>
      <c r="O37" s="6"/>
      <c r="P37" s="6">
        <v>1</v>
      </c>
      <c r="Q37" s="6"/>
      <c r="R37" s="6"/>
      <c r="S37" s="6"/>
      <c r="T37" s="6"/>
      <c r="U37" s="28"/>
    </row>
    <row r="38" spans="1:21" ht="45" x14ac:dyDescent="0.25">
      <c r="A38" s="13">
        <f>IF(B38="","",COUNTA($B$3:B38))</f>
        <v>36</v>
      </c>
      <c r="B38" s="14" t="s">
        <v>37</v>
      </c>
      <c r="C38" s="14" t="s">
        <v>78</v>
      </c>
      <c r="D38" s="12">
        <f>'9-10'!F38</f>
        <v>1</v>
      </c>
      <c r="E38" s="7">
        <f t="shared" si="0"/>
        <v>0</v>
      </c>
      <c r="F38" s="7">
        <f t="shared" si="1"/>
        <v>1</v>
      </c>
      <c r="G38" s="9"/>
      <c r="J38" s="27"/>
      <c r="K38" s="6"/>
      <c r="L38" s="6"/>
      <c r="M38" s="6"/>
      <c r="N38" s="6"/>
      <c r="O38" s="6"/>
      <c r="P38" s="6"/>
      <c r="Q38" s="6"/>
      <c r="R38" s="6"/>
      <c r="S38" s="6"/>
      <c r="T38" s="6"/>
      <c r="U38" s="28"/>
    </row>
    <row r="39" spans="1:21" ht="45" x14ac:dyDescent="0.25">
      <c r="A39" s="10">
        <f>IF(B39="","",COUNTA($B$3:B39))</f>
        <v>37</v>
      </c>
      <c r="B39" s="11" t="s">
        <v>38</v>
      </c>
      <c r="C39" s="11" t="s">
        <v>78</v>
      </c>
      <c r="D39" s="12">
        <f>'9-10'!F39</f>
        <v>3</v>
      </c>
      <c r="E39" s="7">
        <f t="shared" si="0"/>
        <v>0</v>
      </c>
      <c r="F39" s="7">
        <f t="shared" si="1"/>
        <v>3</v>
      </c>
      <c r="G39" s="9"/>
      <c r="J39" s="27"/>
      <c r="K39" s="6"/>
      <c r="L39" s="6"/>
      <c r="M39" s="6"/>
      <c r="N39" s="6"/>
      <c r="O39" s="6"/>
      <c r="P39" s="6"/>
      <c r="Q39" s="6"/>
      <c r="R39" s="6"/>
      <c r="S39" s="6"/>
      <c r="T39" s="6"/>
      <c r="U39" s="28"/>
    </row>
    <row r="40" spans="1:21" ht="30" x14ac:dyDescent="0.25">
      <c r="A40" s="13">
        <f>IF(B40="","",COUNTA($B$3:B40))</f>
        <v>38</v>
      </c>
      <c r="B40" s="14" t="s">
        <v>2</v>
      </c>
      <c r="C40" s="14" t="s">
        <v>78</v>
      </c>
      <c r="D40" s="12">
        <f>'9-10'!F40</f>
        <v>1</v>
      </c>
      <c r="E40" s="7">
        <f t="shared" si="0"/>
        <v>1</v>
      </c>
      <c r="F40" s="7">
        <f t="shared" si="1"/>
        <v>0</v>
      </c>
      <c r="G40" s="9"/>
      <c r="J40" s="27"/>
      <c r="K40" s="6"/>
      <c r="L40" s="6"/>
      <c r="M40" s="6"/>
      <c r="N40" s="6"/>
      <c r="O40" s="6">
        <v>1</v>
      </c>
      <c r="P40" s="6"/>
      <c r="Q40" s="6"/>
      <c r="R40" s="6"/>
      <c r="S40" s="6"/>
      <c r="T40" s="6"/>
      <c r="U40" s="28"/>
    </row>
    <row r="41" spans="1:21" ht="45" x14ac:dyDescent="0.25">
      <c r="A41" s="10">
        <f>IF(B41="","",COUNTA($B$3:B41))</f>
        <v>39</v>
      </c>
      <c r="B41" s="11" t="s">
        <v>39</v>
      </c>
      <c r="C41" s="11" t="s">
        <v>78</v>
      </c>
      <c r="D41" s="12">
        <f>'9-10'!F41</f>
        <v>2</v>
      </c>
      <c r="E41" s="7">
        <f t="shared" si="0"/>
        <v>0</v>
      </c>
      <c r="F41" s="7">
        <f t="shared" si="1"/>
        <v>2</v>
      </c>
      <c r="G41" s="9"/>
      <c r="J41" s="27"/>
      <c r="K41" s="6"/>
      <c r="L41" s="6"/>
      <c r="M41" s="6"/>
      <c r="N41" s="6"/>
      <c r="O41" s="6"/>
      <c r="P41" s="6"/>
      <c r="Q41" s="6"/>
      <c r="R41" s="6"/>
      <c r="S41" s="6"/>
      <c r="T41" s="6"/>
      <c r="U41" s="28"/>
    </row>
    <row r="42" spans="1:21" ht="45" x14ac:dyDescent="0.25">
      <c r="A42" s="13">
        <f>IF(B42="","",COUNTA($B$3:B42))</f>
        <v>40</v>
      </c>
      <c r="B42" s="14" t="s">
        <v>40</v>
      </c>
      <c r="C42" s="14" t="s">
        <v>78</v>
      </c>
      <c r="D42" s="12">
        <f>'9-10'!F42</f>
        <v>5</v>
      </c>
      <c r="E42" s="7">
        <f t="shared" si="0"/>
        <v>0</v>
      </c>
      <c r="F42" s="7">
        <f t="shared" si="1"/>
        <v>5</v>
      </c>
      <c r="G42" s="9"/>
      <c r="J42" s="27"/>
      <c r="K42" s="6"/>
      <c r="L42" s="6"/>
      <c r="M42" s="6"/>
      <c r="N42" s="6"/>
      <c r="O42" s="6"/>
      <c r="P42" s="6"/>
      <c r="Q42" s="6"/>
      <c r="R42" s="6"/>
      <c r="S42" s="6"/>
      <c r="T42" s="6"/>
      <c r="U42" s="28"/>
    </row>
    <row r="43" spans="1:21" ht="30" x14ac:dyDescent="0.25">
      <c r="A43" s="10">
        <f>IF(B43="","",COUNTA($B$3:B43))</f>
        <v>41</v>
      </c>
      <c r="B43" s="11" t="s">
        <v>41</v>
      </c>
      <c r="C43" s="11" t="s">
        <v>78</v>
      </c>
      <c r="D43" s="12">
        <f>'9-10'!F43</f>
        <v>3</v>
      </c>
      <c r="E43" s="7">
        <f t="shared" si="0"/>
        <v>0</v>
      </c>
      <c r="F43" s="7">
        <f t="shared" si="1"/>
        <v>3</v>
      </c>
      <c r="G43" s="9"/>
      <c r="J43" s="27"/>
      <c r="K43" s="6"/>
      <c r="L43" s="6"/>
      <c r="M43" s="6"/>
      <c r="N43" s="6"/>
      <c r="O43" s="6"/>
      <c r="P43" s="6"/>
      <c r="Q43" s="6"/>
      <c r="R43" s="6"/>
      <c r="S43" s="6"/>
      <c r="T43" s="6"/>
      <c r="U43" s="28"/>
    </row>
    <row r="44" spans="1:21" ht="45" x14ac:dyDescent="0.25">
      <c r="A44" s="13">
        <f>IF(B44="","",COUNTA($B$3:B44))</f>
        <v>42</v>
      </c>
      <c r="B44" s="14" t="s">
        <v>42</v>
      </c>
      <c r="C44" s="14" t="s">
        <v>78</v>
      </c>
      <c r="D44" s="12">
        <f>'9-10'!F44</f>
        <v>0</v>
      </c>
      <c r="E44" s="7">
        <f t="shared" si="0"/>
        <v>0</v>
      </c>
      <c r="F44" s="7">
        <f t="shared" si="1"/>
        <v>0</v>
      </c>
      <c r="G44" s="9"/>
      <c r="J44" s="27"/>
      <c r="K44" s="6"/>
      <c r="L44" s="6"/>
      <c r="M44" s="6"/>
      <c r="N44" s="6"/>
      <c r="O44" s="6"/>
      <c r="P44" s="6"/>
      <c r="Q44" s="6"/>
      <c r="R44" s="6"/>
      <c r="S44" s="6"/>
      <c r="T44" s="6"/>
      <c r="U44" s="28"/>
    </row>
    <row r="45" spans="1:21" ht="30" x14ac:dyDescent="0.25">
      <c r="A45" s="10">
        <f>IF(B45="","",COUNTA($B$3:B45))</f>
        <v>43</v>
      </c>
      <c r="B45" s="11" t="s">
        <v>43</v>
      </c>
      <c r="C45" s="11" t="s">
        <v>78</v>
      </c>
      <c r="D45" s="12">
        <f>'9-10'!F45</f>
        <v>1</v>
      </c>
      <c r="E45" s="7">
        <f t="shared" si="0"/>
        <v>0</v>
      </c>
      <c r="F45" s="7">
        <f t="shared" si="1"/>
        <v>1</v>
      </c>
      <c r="G45" s="9"/>
      <c r="J45" s="27"/>
      <c r="K45" s="6"/>
      <c r="L45" s="6"/>
      <c r="M45" s="6"/>
      <c r="N45" s="6"/>
      <c r="O45" s="6"/>
      <c r="P45" s="6"/>
      <c r="Q45" s="6"/>
      <c r="R45" s="6"/>
      <c r="S45" s="6"/>
      <c r="T45" s="6"/>
      <c r="U45" s="28"/>
    </row>
    <row r="46" spans="1:21" ht="75" x14ac:dyDescent="0.25">
      <c r="A46" s="13">
        <f>IF(B46="","",COUNTA($B$3:B46))</f>
        <v>44</v>
      </c>
      <c r="B46" s="14" t="s">
        <v>44</v>
      </c>
      <c r="C46" s="14" t="s">
        <v>78</v>
      </c>
      <c r="D46" s="12">
        <f>'9-10'!F46</f>
        <v>0</v>
      </c>
      <c r="E46" s="7">
        <f t="shared" si="0"/>
        <v>0</v>
      </c>
      <c r="F46" s="7">
        <f t="shared" si="1"/>
        <v>0</v>
      </c>
      <c r="G46" s="9"/>
      <c r="J46" s="27"/>
      <c r="K46" s="6"/>
      <c r="L46" s="6"/>
      <c r="M46" s="6"/>
      <c r="N46" s="6"/>
      <c r="O46" s="6"/>
      <c r="P46" s="6"/>
      <c r="Q46" s="6"/>
      <c r="R46" s="6"/>
      <c r="S46" s="6"/>
      <c r="T46" s="6"/>
      <c r="U46" s="28"/>
    </row>
    <row r="47" spans="1:21" ht="30" x14ac:dyDescent="0.25">
      <c r="A47" s="10">
        <f>IF(B47="","",COUNTA($B$3:B47))</f>
        <v>45</v>
      </c>
      <c r="B47" s="11" t="s">
        <v>45</v>
      </c>
      <c r="C47" s="11" t="s">
        <v>78</v>
      </c>
      <c r="D47" s="12">
        <f>'9-10'!F47</f>
        <v>0</v>
      </c>
      <c r="E47" s="7">
        <f t="shared" si="0"/>
        <v>0</v>
      </c>
      <c r="F47" s="7">
        <f t="shared" si="1"/>
        <v>0</v>
      </c>
      <c r="G47" s="9"/>
      <c r="J47" s="27"/>
      <c r="K47" s="6"/>
      <c r="L47" s="6"/>
      <c r="M47" s="6"/>
      <c r="N47" s="6"/>
      <c r="O47" s="6"/>
      <c r="P47" s="6"/>
      <c r="Q47" s="6"/>
      <c r="R47" s="6"/>
      <c r="S47" s="6"/>
      <c r="T47" s="6"/>
      <c r="U47" s="28"/>
    </row>
    <row r="48" spans="1:21" ht="30" x14ac:dyDescent="0.25">
      <c r="A48" s="13">
        <f>IF(B48="","",COUNTA($B$3:B48))</f>
        <v>46</v>
      </c>
      <c r="B48" s="14" t="s">
        <v>46</v>
      </c>
      <c r="C48" s="14" t="s">
        <v>78</v>
      </c>
      <c r="D48" s="12">
        <f>'9-10'!F48</f>
        <v>4</v>
      </c>
      <c r="E48" s="7">
        <f t="shared" si="0"/>
        <v>0</v>
      </c>
      <c r="F48" s="7">
        <f t="shared" si="1"/>
        <v>4</v>
      </c>
      <c r="G48" s="9"/>
      <c r="J48" s="27"/>
      <c r="K48" s="6"/>
      <c r="L48" s="6"/>
      <c r="M48" s="6"/>
      <c r="N48" s="6"/>
      <c r="O48" s="6"/>
      <c r="P48" s="6"/>
      <c r="Q48" s="6"/>
      <c r="R48" s="6"/>
      <c r="S48" s="6"/>
      <c r="T48" s="6"/>
      <c r="U48" s="28"/>
    </row>
    <row r="49" spans="1:21" ht="45" x14ac:dyDescent="0.25">
      <c r="A49" s="10">
        <f>IF(B49="","",COUNTA($B$3:B49))</f>
        <v>47</v>
      </c>
      <c r="B49" s="11" t="s">
        <v>47</v>
      </c>
      <c r="C49" s="11" t="s">
        <v>78</v>
      </c>
      <c r="D49" s="12">
        <f>'9-10'!F49</f>
        <v>3</v>
      </c>
      <c r="E49" s="7">
        <f t="shared" si="0"/>
        <v>1</v>
      </c>
      <c r="F49" s="7">
        <f t="shared" si="1"/>
        <v>2</v>
      </c>
      <c r="G49" s="9"/>
      <c r="J49" s="27"/>
      <c r="K49" s="6">
        <v>1</v>
      </c>
      <c r="L49" s="6"/>
      <c r="M49" s="6"/>
      <c r="N49" s="6"/>
      <c r="O49" s="6"/>
      <c r="P49" s="6"/>
      <c r="Q49" s="6"/>
      <c r="R49" s="6"/>
      <c r="S49" s="6"/>
      <c r="T49" s="6"/>
      <c r="U49" s="28"/>
    </row>
    <row r="50" spans="1:21" ht="60" x14ac:dyDescent="0.25">
      <c r="A50" s="13">
        <f>IF(B50="","",COUNTA($B$3:B50))</f>
        <v>48</v>
      </c>
      <c r="B50" s="14" t="s">
        <v>48</v>
      </c>
      <c r="C50" s="14" t="s">
        <v>78</v>
      </c>
      <c r="D50" s="12">
        <f>'9-10'!F50</f>
        <v>3</v>
      </c>
      <c r="E50" s="7">
        <f t="shared" si="0"/>
        <v>0</v>
      </c>
      <c r="F50" s="7">
        <f t="shared" si="1"/>
        <v>3</v>
      </c>
      <c r="G50" s="9"/>
      <c r="J50" s="27"/>
      <c r="K50" s="6"/>
      <c r="L50" s="6"/>
      <c r="M50" s="6"/>
      <c r="N50" s="6"/>
      <c r="O50" s="6"/>
      <c r="P50" s="6"/>
      <c r="Q50" s="6"/>
      <c r="R50" s="6"/>
      <c r="S50" s="6"/>
      <c r="T50" s="6"/>
      <c r="U50" s="28"/>
    </row>
    <row r="51" spans="1:21" ht="30" x14ac:dyDescent="0.25">
      <c r="A51" s="10">
        <f>IF(B51="","",COUNTA($B$3:B51))</f>
        <v>49</v>
      </c>
      <c r="B51" s="11" t="s">
        <v>49</v>
      </c>
      <c r="C51" s="11" t="s">
        <v>78</v>
      </c>
      <c r="D51" s="12">
        <f>'9-10'!F51</f>
        <v>0</v>
      </c>
      <c r="E51" s="7">
        <f t="shared" si="0"/>
        <v>0</v>
      </c>
      <c r="F51" s="7">
        <f t="shared" si="1"/>
        <v>0</v>
      </c>
      <c r="G51" s="9"/>
      <c r="J51" s="27"/>
      <c r="K51" s="6"/>
      <c r="L51" s="6"/>
      <c r="M51" s="6"/>
      <c r="N51" s="6"/>
      <c r="O51" s="6"/>
      <c r="P51" s="6"/>
      <c r="Q51" s="6"/>
      <c r="R51" s="6"/>
      <c r="S51" s="6"/>
      <c r="T51" s="6"/>
      <c r="U51" s="28"/>
    </row>
    <row r="52" spans="1:21" ht="30" x14ac:dyDescent="0.25">
      <c r="A52" s="13">
        <f>IF(B52="","",COUNTA($B$3:B52))</f>
        <v>50</v>
      </c>
      <c r="B52" s="14" t="s">
        <v>2</v>
      </c>
      <c r="C52" s="14" t="s">
        <v>78</v>
      </c>
      <c r="D52" s="12">
        <f>'9-10'!F52</f>
        <v>0</v>
      </c>
      <c r="E52" s="7">
        <f t="shared" si="0"/>
        <v>0</v>
      </c>
      <c r="F52" s="7">
        <f t="shared" si="1"/>
        <v>0</v>
      </c>
      <c r="G52" s="9"/>
      <c r="J52" s="27"/>
      <c r="K52" s="6"/>
      <c r="L52" s="6"/>
      <c r="M52" s="6"/>
      <c r="N52" s="6"/>
      <c r="O52" s="6"/>
      <c r="P52" s="6"/>
      <c r="Q52" s="6"/>
      <c r="R52" s="6"/>
      <c r="S52" s="6"/>
      <c r="T52" s="6"/>
      <c r="U52" s="28"/>
    </row>
    <row r="53" spans="1:21" ht="30" x14ac:dyDescent="0.25">
      <c r="A53" s="10">
        <f>IF(B53="","",COUNTA($B$3:B53))</f>
        <v>51</v>
      </c>
      <c r="B53" s="11" t="s">
        <v>50</v>
      </c>
      <c r="C53" s="11" t="s">
        <v>79</v>
      </c>
      <c r="D53" s="12">
        <f>'9-10'!F53</f>
        <v>0</v>
      </c>
      <c r="E53" s="7">
        <f t="shared" si="0"/>
        <v>0</v>
      </c>
      <c r="F53" s="7">
        <f t="shared" si="1"/>
        <v>0</v>
      </c>
      <c r="G53" s="9"/>
      <c r="J53" s="27"/>
      <c r="K53" s="6"/>
      <c r="L53" s="6"/>
      <c r="M53" s="6"/>
      <c r="N53" s="6"/>
      <c r="O53" s="6"/>
      <c r="P53" s="6"/>
      <c r="Q53" s="6"/>
      <c r="R53" s="6"/>
      <c r="S53" s="6"/>
      <c r="T53" s="6"/>
      <c r="U53" s="28"/>
    </row>
    <row r="54" spans="1:21" ht="45" x14ac:dyDescent="0.25">
      <c r="A54" s="13">
        <f>IF(B54="","",COUNTA($B$3:B54))</f>
        <v>52</v>
      </c>
      <c r="B54" s="14" t="s">
        <v>51</v>
      </c>
      <c r="C54" s="14" t="s">
        <v>79</v>
      </c>
      <c r="D54" s="12">
        <f>'9-10'!F54</f>
        <v>0</v>
      </c>
      <c r="E54" s="7">
        <f t="shared" si="0"/>
        <v>0</v>
      </c>
      <c r="F54" s="7">
        <f t="shared" si="1"/>
        <v>0</v>
      </c>
      <c r="G54" s="9"/>
      <c r="J54" s="27"/>
      <c r="K54" s="6"/>
      <c r="L54" s="6"/>
      <c r="M54" s="6"/>
      <c r="N54" s="6"/>
      <c r="O54" s="6"/>
      <c r="P54" s="6"/>
      <c r="Q54" s="6"/>
      <c r="R54" s="6"/>
      <c r="S54" s="6"/>
      <c r="T54" s="6"/>
      <c r="U54" s="28"/>
    </row>
    <row r="55" spans="1:21" ht="30" x14ac:dyDescent="0.25">
      <c r="A55" s="10">
        <f>IF(B55="","",COUNTA($B$3:B55))</f>
        <v>53</v>
      </c>
      <c r="B55" s="11" t="s">
        <v>52</v>
      </c>
      <c r="C55" s="11" t="s">
        <v>78</v>
      </c>
      <c r="D55" s="12">
        <f>'9-10'!F55</f>
        <v>100</v>
      </c>
      <c r="E55" s="7">
        <f t="shared" si="0"/>
        <v>0</v>
      </c>
      <c r="F55" s="7">
        <f t="shared" si="1"/>
        <v>100</v>
      </c>
      <c r="G55" s="9"/>
      <c r="J55" s="27"/>
      <c r="K55" s="6"/>
      <c r="L55" s="6"/>
      <c r="M55" s="6"/>
      <c r="N55" s="6"/>
      <c r="O55" s="6"/>
      <c r="P55" s="6"/>
      <c r="Q55" s="6"/>
      <c r="R55" s="6"/>
      <c r="S55" s="6"/>
      <c r="T55" s="6"/>
      <c r="U55" s="28"/>
    </row>
    <row r="56" spans="1:21" ht="45" x14ac:dyDescent="0.25">
      <c r="A56" s="13">
        <f>IF(B56="","",COUNTA($B$3:B56))</f>
        <v>54</v>
      </c>
      <c r="B56" s="14" t="s">
        <v>53</v>
      </c>
      <c r="C56" s="14" t="s">
        <v>78</v>
      </c>
      <c r="D56" s="12">
        <f>'9-10'!F56</f>
        <v>15</v>
      </c>
      <c r="E56" s="7">
        <f t="shared" si="0"/>
        <v>0</v>
      </c>
      <c r="F56" s="7">
        <f t="shared" si="1"/>
        <v>15</v>
      </c>
      <c r="G56" s="9"/>
      <c r="J56" s="27"/>
      <c r="K56" s="6"/>
      <c r="L56" s="6"/>
      <c r="M56" s="6"/>
      <c r="N56" s="6"/>
      <c r="O56" s="6"/>
      <c r="P56" s="6"/>
      <c r="Q56" s="6"/>
      <c r="R56" s="6"/>
      <c r="S56" s="6"/>
      <c r="T56" s="6"/>
      <c r="U56" s="28"/>
    </row>
    <row r="57" spans="1:21" ht="45" x14ac:dyDescent="0.25">
      <c r="A57" s="10">
        <f>IF(B57="","",COUNTA($B$3:B57))</f>
        <v>55</v>
      </c>
      <c r="B57" s="11" t="s">
        <v>54</v>
      </c>
      <c r="C57" s="11" t="s">
        <v>78</v>
      </c>
      <c r="D57" s="12">
        <f>'9-10'!F57</f>
        <v>5</v>
      </c>
      <c r="E57" s="7">
        <f t="shared" si="0"/>
        <v>0</v>
      </c>
      <c r="F57" s="7">
        <f t="shared" si="1"/>
        <v>5</v>
      </c>
      <c r="G57" s="9"/>
      <c r="J57" s="27"/>
      <c r="K57" s="6"/>
      <c r="L57" s="6"/>
      <c r="M57" s="6"/>
      <c r="N57" s="6"/>
      <c r="O57" s="6"/>
      <c r="P57" s="6"/>
      <c r="Q57" s="6"/>
      <c r="R57" s="6"/>
      <c r="S57" s="6"/>
      <c r="T57" s="6"/>
      <c r="U57" s="28"/>
    </row>
    <row r="58" spans="1:21" ht="45" x14ac:dyDescent="0.25">
      <c r="A58" s="13">
        <f>IF(B58="","",COUNTA($B$3:B58))</f>
        <v>56</v>
      </c>
      <c r="B58" s="14" t="s">
        <v>55</v>
      </c>
      <c r="C58" s="14" t="s">
        <v>78</v>
      </c>
      <c r="D58" s="12">
        <f>'9-10'!F58</f>
        <v>10</v>
      </c>
      <c r="E58" s="7">
        <f t="shared" si="0"/>
        <v>0</v>
      </c>
      <c r="F58" s="7">
        <f t="shared" si="1"/>
        <v>10</v>
      </c>
      <c r="G58" s="9"/>
      <c r="J58" s="27"/>
      <c r="K58" s="6"/>
      <c r="L58" s="6"/>
      <c r="M58" s="6"/>
      <c r="N58" s="6"/>
      <c r="O58" s="6"/>
      <c r="P58" s="6"/>
      <c r="Q58" s="6"/>
      <c r="R58" s="6"/>
      <c r="S58" s="6"/>
      <c r="T58" s="6"/>
      <c r="U58" s="28"/>
    </row>
    <row r="59" spans="1:21" ht="75" x14ac:dyDescent="0.25">
      <c r="A59" s="10">
        <f>IF(B59="","",COUNTA($B$3:B59))</f>
        <v>57</v>
      </c>
      <c r="B59" s="11" t="s">
        <v>56</v>
      </c>
      <c r="C59" s="11" t="s">
        <v>78</v>
      </c>
      <c r="D59" s="12">
        <f>'9-10'!F59</f>
        <v>0</v>
      </c>
      <c r="E59" s="7">
        <f t="shared" si="0"/>
        <v>0</v>
      </c>
      <c r="F59" s="7">
        <f t="shared" si="1"/>
        <v>0</v>
      </c>
      <c r="G59" s="9"/>
      <c r="J59" s="27"/>
      <c r="K59" s="6"/>
      <c r="L59" s="6"/>
      <c r="M59" s="6"/>
      <c r="N59" s="6"/>
      <c r="O59" s="6"/>
      <c r="P59" s="6"/>
      <c r="Q59" s="6"/>
      <c r="R59" s="6"/>
      <c r="S59" s="6"/>
      <c r="T59" s="6"/>
      <c r="U59" s="28"/>
    </row>
    <row r="60" spans="1:21" ht="30" x14ac:dyDescent="0.25">
      <c r="A60" s="13">
        <f>IF(B60="","",COUNTA($B$3:B60))</f>
        <v>58</v>
      </c>
      <c r="B60" s="14" t="s">
        <v>57</v>
      </c>
      <c r="C60" s="14" t="s">
        <v>78</v>
      </c>
      <c r="D60" s="12">
        <f>'9-10'!F60</f>
        <v>5</v>
      </c>
      <c r="E60" s="7">
        <f t="shared" si="0"/>
        <v>0</v>
      </c>
      <c r="F60" s="7">
        <f t="shared" si="1"/>
        <v>5</v>
      </c>
      <c r="G60" s="9"/>
      <c r="J60" s="27"/>
      <c r="K60" s="6"/>
      <c r="L60" s="6"/>
      <c r="M60" s="6"/>
      <c r="N60" s="6"/>
      <c r="O60" s="6"/>
      <c r="P60" s="6"/>
      <c r="Q60" s="6"/>
      <c r="R60" s="6"/>
      <c r="S60" s="6"/>
      <c r="T60" s="6"/>
      <c r="U60" s="28"/>
    </row>
    <row r="61" spans="1:21" ht="30" x14ac:dyDescent="0.25">
      <c r="A61" s="10">
        <f>IF(B61="","",COUNTA($B$3:B61))</f>
        <v>59</v>
      </c>
      <c r="B61" s="11" t="s">
        <v>58</v>
      </c>
      <c r="C61" s="11" t="s">
        <v>78</v>
      </c>
      <c r="D61" s="12">
        <f>'9-10'!F61</f>
        <v>4</v>
      </c>
      <c r="E61" s="7">
        <f t="shared" si="0"/>
        <v>0</v>
      </c>
      <c r="F61" s="7">
        <f t="shared" si="1"/>
        <v>4</v>
      </c>
      <c r="G61" s="9"/>
      <c r="J61" s="27"/>
      <c r="K61" s="6"/>
      <c r="L61" s="6"/>
      <c r="M61" s="6"/>
      <c r="N61" s="6"/>
      <c r="O61" s="6"/>
      <c r="P61" s="6"/>
      <c r="Q61" s="6"/>
      <c r="R61" s="6"/>
      <c r="S61" s="6"/>
      <c r="T61" s="6"/>
      <c r="U61" s="28"/>
    </row>
    <row r="62" spans="1:21" ht="60" x14ac:dyDescent="0.25">
      <c r="A62" s="13">
        <f>IF(B62="","",COUNTA($B$3:B62))</f>
        <v>60</v>
      </c>
      <c r="B62" s="14" t="s">
        <v>59</v>
      </c>
      <c r="C62" s="14" t="s">
        <v>78</v>
      </c>
      <c r="D62" s="12">
        <f>'9-10'!F62</f>
        <v>1</v>
      </c>
      <c r="E62" s="7">
        <f t="shared" si="0"/>
        <v>0</v>
      </c>
      <c r="F62" s="7">
        <f t="shared" si="1"/>
        <v>1</v>
      </c>
      <c r="G62" s="9"/>
      <c r="J62" s="27"/>
      <c r="K62" s="6"/>
      <c r="L62" s="6"/>
      <c r="M62" s="6"/>
      <c r="N62" s="6"/>
      <c r="O62" s="6"/>
      <c r="P62" s="6"/>
      <c r="Q62" s="6"/>
      <c r="R62" s="6"/>
      <c r="S62" s="6"/>
      <c r="T62" s="6"/>
      <c r="U62" s="28"/>
    </row>
    <row r="63" spans="1:21" ht="60" x14ac:dyDescent="0.25">
      <c r="A63" s="10">
        <f>IF(B63="","",COUNTA($B$3:B63))</f>
        <v>61</v>
      </c>
      <c r="B63" s="11" t="s">
        <v>60</v>
      </c>
      <c r="C63" s="11" t="s">
        <v>78</v>
      </c>
      <c r="D63" s="12">
        <f>'9-10'!F63</f>
        <v>7</v>
      </c>
      <c r="E63" s="7">
        <f t="shared" si="0"/>
        <v>0</v>
      </c>
      <c r="F63" s="7">
        <f t="shared" si="1"/>
        <v>7</v>
      </c>
      <c r="G63" s="9"/>
      <c r="J63" s="27"/>
      <c r="K63" s="6"/>
      <c r="L63" s="6"/>
      <c r="M63" s="6"/>
      <c r="N63" s="6"/>
      <c r="O63" s="6"/>
      <c r="P63" s="6"/>
      <c r="Q63" s="6"/>
      <c r="R63" s="6"/>
      <c r="S63" s="6"/>
      <c r="T63" s="6"/>
      <c r="U63" s="28"/>
    </row>
    <row r="64" spans="1:21" ht="60" x14ac:dyDescent="0.25">
      <c r="A64" s="13">
        <f>IF(B64="","",COUNTA($B$3:B64))</f>
        <v>62</v>
      </c>
      <c r="B64" s="14" t="s">
        <v>61</v>
      </c>
      <c r="C64" s="14" t="s">
        <v>78</v>
      </c>
      <c r="D64" s="12">
        <f>'9-10'!F64</f>
        <v>6</v>
      </c>
      <c r="E64" s="7">
        <f t="shared" si="0"/>
        <v>0</v>
      </c>
      <c r="F64" s="7">
        <f t="shared" si="1"/>
        <v>6</v>
      </c>
      <c r="G64" s="9"/>
      <c r="J64" s="27"/>
      <c r="K64" s="6"/>
      <c r="L64" s="6"/>
      <c r="M64" s="6"/>
      <c r="N64" s="6"/>
      <c r="O64" s="6"/>
      <c r="P64" s="6"/>
      <c r="Q64" s="6"/>
      <c r="R64" s="6"/>
      <c r="S64" s="6"/>
      <c r="T64" s="6"/>
      <c r="U64" s="28"/>
    </row>
    <row r="65" spans="1:21" ht="30" x14ac:dyDescent="0.25">
      <c r="A65" s="10">
        <f>IF(B65="","",COUNTA($B$3:B65))</f>
        <v>63</v>
      </c>
      <c r="B65" s="11" t="s">
        <v>62</v>
      </c>
      <c r="C65" s="11" t="s">
        <v>78</v>
      </c>
      <c r="D65" s="12">
        <f>'9-10'!F65</f>
        <v>1</v>
      </c>
      <c r="E65" s="7">
        <f t="shared" si="0"/>
        <v>0</v>
      </c>
      <c r="F65" s="7">
        <f t="shared" si="1"/>
        <v>1</v>
      </c>
      <c r="G65" s="9"/>
      <c r="J65" s="27"/>
      <c r="K65" s="6"/>
      <c r="L65" s="6"/>
      <c r="M65" s="6"/>
      <c r="N65" s="6"/>
      <c r="O65" s="6"/>
      <c r="P65" s="6"/>
      <c r="Q65" s="6"/>
      <c r="R65" s="6"/>
      <c r="S65" s="6"/>
      <c r="T65" s="6"/>
      <c r="U65" s="28"/>
    </row>
    <row r="66" spans="1:21" ht="45" x14ac:dyDescent="0.25">
      <c r="A66" s="13">
        <f>IF(B66="","",COUNTA($B$3:B66))</f>
        <v>64</v>
      </c>
      <c r="B66" s="14" t="s">
        <v>63</v>
      </c>
      <c r="C66" s="14" t="s">
        <v>78</v>
      </c>
      <c r="D66" s="12">
        <f>'9-10'!F66</f>
        <v>1</v>
      </c>
      <c r="E66" s="7">
        <f t="shared" si="0"/>
        <v>0</v>
      </c>
      <c r="F66" s="7">
        <f t="shared" si="1"/>
        <v>1</v>
      </c>
      <c r="G66" s="9"/>
      <c r="J66" s="27"/>
      <c r="K66" s="6"/>
      <c r="L66" s="6"/>
      <c r="M66" s="6"/>
      <c r="N66" s="6"/>
      <c r="O66" s="6"/>
      <c r="P66" s="6"/>
      <c r="Q66" s="6"/>
      <c r="R66" s="6"/>
      <c r="S66" s="6"/>
      <c r="T66" s="6"/>
      <c r="U66" s="28"/>
    </row>
    <row r="67" spans="1:21" ht="75" x14ac:dyDescent="0.25">
      <c r="A67" s="10">
        <f>IF(B67="","",COUNTA($B$3:B67))</f>
        <v>65</v>
      </c>
      <c r="B67" s="11" t="s">
        <v>64</v>
      </c>
      <c r="C67" s="11" t="s">
        <v>78</v>
      </c>
      <c r="D67" s="12">
        <f>'9-10'!F67</f>
        <v>2</v>
      </c>
      <c r="E67" s="7">
        <f t="shared" ref="E67:E81" si="2">SUM(J67:U67)</f>
        <v>0</v>
      </c>
      <c r="F67" s="7">
        <f t="shared" ref="F67:F81" si="3">D67-E67</f>
        <v>2</v>
      </c>
      <c r="G67" s="9"/>
      <c r="J67" s="27"/>
      <c r="K67" s="6"/>
      <c r="L67" s="6"/>
      <c r="M67" s="6"/>
      <c r="N67" s="6"/>
      <c r="O67" s="6"/>
      <c r="P67" s="6"/>
      <c r="Q67" s="6"/>
      <c r="R67" s="6"/>
      <c r="S67" s="6"/>
      <c r="T67" s="6"/>
      <c r="U67" s="28"/>
    </row>
    <row r="68" spans="1:21" ht="45" x14ac:dyDescent="0.25">
      <c r="A68" s="13">
        <f>IF(B68="","",COUNTA($B$3:B68))</f>
        <v>66</v>
      </c>
      <c r="B68" s="14" t="s">
        <v>65</v>
      </c>
      <c r="C68" s="14" t="s">
        <v>78</v>
      </c>
      <c r="D68" s="12">
        <f>'9-10'!F68</f>
        <v>30</v>
      </c>
      <c r="E68" s="7">
        <f t="shared" si="2"/>
        <v>0</v>
      </c>
      <c r="F68" s="7">
        <f t="shared" si="3"/>
        <v>30</v>
      </c>
      <c r="G68" s="9"/>
      <c r="J68" s="27"/>
      <c r="K68" s="6"/>
      <c r="L68" s="6"/>
      <c r="M68" s="6"/>
      <c r="N68" s="6"/>
      <c r="O68" s="6"/>
      <c r="P68" s="6"/>
      <c r="Q68" s="6"/>
      <c r="R68" s="6"/>
      <c r="S68" s="6"/>
      <c r="T68" s="6"/>
      <c r="U68" s="28"/>
    </row>
    <row r="69" spans="1:21" ht="30" x14ac:dyDescent="0.25">
      <c r="A69" s="10">
        <f>IF(B69="","",COUNTA($B$3:B69))</f>
        <v>67</v>
      </c>
      <c r="B69" s="11" t="s">
        <v>66</v>
      </c>
      <c r="C69" s="11" t="s">
        <v>79</v>
      </c>
      <c r="D69" s="12">
        <f>'9-10'!F69</f>
        <v>1</v>
      </c>
      <c r="E69" s="7">
        <f t="shared" si="2"/>
        <v>0</v>
      </c>
      <c r="F69" s="7">
        <f t="shared" si="3"/>
        <v>1</v>
      </c>
      <c r="G69" s="9"/>
      <c r="J69" s="27"/>
      <c r="K69" s="6"/>
      <c r="L69" s="6"/>
      <c r="M69" s="6"/>
      <c r="N69" s="6"/>
      <c r="O69" s="6"/>
      <c r="P69" s="6"/>
      <c r="Q69" s="6"/>
      <c r="R69" s="6"/>
      <c r="S69" s="6"/>
      <c r="T69" s="6"/>
      <c r="U69" s="28"/>
    </row>
    <row r="70" spans="1:21" ht="45" x14ac:dyDescent="0.25">
      <c r="A70" s="18">
        <f>IF(B70="","",COUNTA($B$3:B70))</f>
        <v>68</v>
      </c>
      <c r="B70" s="17" t="s">
        <v>67</v>
      </c>
      <c r="C70" s="17" t="s">
        <v>78</v>
      </c>
      <c r="D70" s="12">
        <f>'9-10'!F70</f>
        <v>0</v>
      </c>
      <c r="E70" s="7">
        <f t="shared" si="2"/>
        <v>0</v>
      </c>
      <c r="F70" s="7">
        <f t="shared" si="3"/>
        <v>0</v>
      </c>
      <c r="G70" s="9"/>
      <c r="J70" s="27"/>
      <c r="K70" s="6"/>
      <c r="L70" s="6"/>
      <c r="M70" s="6"/>
      <c r="N70" s="6"/>
      <c r="O70" s="6"/>
      <c r="P70" s="6"/>
      <c r="Q70" s="6"/>
      <c r="R70" s="6"/>
      <c r="S70" s="6"/>
      <c r="T70" s="6"/>
      <c r="U70" s="28"/>
    </row>
    <row r="71" spans="1:21" ht="30" x14ac:dyDescent="0.25">
      <c r="A71" s="19">
        <f>IF(B71="","",COUNTA($B$3:B71))</f>
        <v>69</v>
      </c>
      <c r="B71" s="11" t="s">
        <v>68</v>
      </c>
      <c r="C71" s="11" t="s">
        <v>78</v>
      </c>
      <c r="D71" s="12">
        <f>'9-10'!F71</f>
        <v>0</v>
      </c>
      <c r="E71" s="7">
        <f t="shared" si="2"/>
        <v>0</v>
      </c>
      <c r="F71" s="7">
        <f t="shared" si="3"/>
        <v>0</v>
      </c>
      <c r="G71" s="9"/>
      <c r="J71" s="27"/>
      <c r="K71" s="6"/>
      <c r="L71" s="6"/>
      <c r="M71" s="6"/>
      <c r="N71" s="6"/>
      <c r="O71" s="6"/>
      <c r="P71" s="6"/>
      <c r="Q71" s="6"/>
      <c r="R71" s="6"/>
      <c r="S71" s="6"/>
      <c r="T71" s="6"/>
      <c r="U71" s="28"/>
    </row>
    <row r="72" spans="1:21" ht="30" x14ac:dyDescent="0.25">
      <c r="A72" s="18">
        <f>IF(B72="","",COUNTA($B$3:B72))</f>
        <v>70</v>
      </c>
      <c r="B72" s="14" t="s">
        <v>69</v>
      </c>
      <c r="C72" s="14" t="s">
        <v>78</v>
      </c>
      <c r="D72" s="12">
        <f>'9-10'!F72</f>
        <v>14</v>
      </c>
      <c r="E72" s="7">
        <f t="shared" si="2"/>
        <v>0</v>
      </c>
      <c r="F72" s="7">
        <f t="shared" si="3"/>
        <v>14</v>
      </c>
      <c r="G72" s="9"/>
      <c r="J72" s="27"/>
      <c r="K72" s="6"/>
      <c r="L72" s="6"/>
      <c r="M72" s="6"/>
      <c r="N72" s="6"/>
      <c r="O72" s="6"/>
      <c r="P72" s="6"/>
      <c r="Q72" s="6"/>
      <c r="R72" s="6"/>
      <c r="S72" s="6"/>
      <c r="T72" s="6"/>
      <c r="U72" s="28"/>
    </row>
    <row r="73" spans="1:21" ht="30" x14ac:dyDescent="0.25">
      <c r="A73" s="19">
        <f>IF(B73="","",COUNTA($B$3:B73))</f>
        <v>71</v>
      </c>
      <c r="B73" s="11" t="s">
        <v>70</v>
      </c>
      <c r="C73" s="11" t="s">
        <v>78</v>
      </c>
      <c r="D73" s="12">
        <f>'9-10'!F73</f>
        <v>38</v>
      </c>
      <c r="E73" s="7">
        <f t="shared" si="2"/>
        <v>0</v>
      </c>
      <c r="F73" s="7">
        <f t="shared" si="3"/>
        <v>38</v>
      </c>
      <c r="G73" s="9"/>
      <c r="J73" s="27"/>
      <c r="K73" s="6"/>
      <c r="L73" s="6"/>
      <c r="M73" s="6"/>
      <c r="N73" s="6"/>
      <c r="O73" s="6"/>
      <c r="P73" s="6"/>
      <c r="Q73" s="6"/>
      <c r="R73" s="6"/>
      <c r="S73" s="6"/>
      <c r="T73" s="6"/>
      <c r="U73" s="28"/>
    </row>
    <row r="74" spans="1:21" ht="30" x14ac:dyDescent="0.25">
      <c r="A74" s="18">
        <f>IF(B74="","",COUNTA($B$3:B74))</f>
        <v>72</v>
      </c>
      <c r="B74" s="14" t="s">
        <v>71</v>
      </c>
      <c r="C74" s="14" t="s">
        <v>78</v>
      </c>
      <c r="D74" s="12">
        <f>'9-10'!F74</f>
        <v>5</v>
      </c>
      <c r="E74" s="7">
        <f t="shared" si="2"/>
        <v>0</v>
      </c>
      <c r="F74" s="7">
        <f t="shared" si="3"/>
        <v>5</v>
      </c>
      <c r="G74" s="9"/>
      <c r="J74" s="27"/>
      <c r="K74" s="6"/>
      <c r="L74" s="6"/>
      <c r="M74" s="6"/>
      <c r="N74" s="6"/>
      <c r="O74" s="6"/>
      <c r="P74" s="6"/>
      <c r="Q74" s="6"/>
      <c r="R74" s="6"/>
      <c r="S74" s="6"/>
      <c r="T74" s="6"/>
      <c r="U74" s="28"/>
    </row>
    <row r="75" spans="1:21" ht="60" x14ac:dyDescent="0.25">
      <c r="A75" s="19">
        <f>IF(B75="","",COUNTA($B$3:B75))</f>
        <v>73</v>
      </c>
      <c r="B75" s="11" t="s">
        <v>72</v>
      </c>
      <c r="C75" s="11" t="s">
        <v>78</v>
      </c>
      <c r="D75" s="12">
        <f>'9-10'!F75</f>
        <v>185</v>
      </c>
      <c r="E75" s="7">
        <f t="shared" si="2"/>
        <v>0</v>
      </c>
      <c r="F75" s="7">
        <f t="shared" si="3"/>
        <v>185</v>
      </c>
      <c r="G75" s="9"/>
      <c r="J75" s="27"/>
      <c r="K75" s="6"/>
      <c r="L75" s="6"/>
      <c r="M75" s="6"/>
      <c r="N75" s="6"/>
      <c r="O75" s="6"/>
      <c r="P75" s="6"/>
      <c r="Q75" s="6"/>
      <c r="R75" s="6"/>
      <c r="S75" s="6"/>
      <c r="T75" s="6"/>
      <c r="U75" s="28"/>
    </row>
    <row r="76" spans="1:21" ht="30" x14ac:dyDescent="0.25">
      <c r="A76" s="18">
        <f>IF(B76="","",COUNTA($B$3:B76))</f>
        <v>74</v>
      </c>
      <c r="B76" s="14" t="s">
        <v>73</v>
      </c>
      <c r="C76" s="14" t="s">
        <v>78</v>
      </c>
      <c r="D76" s="12">
        <f>'9-10'!F76</f>
        <v>4</v>
      </c>
      <c r="E76" s="7">
        <f t="shared" si="2"/>
        <v>0</v>
      </c>
      <c r="F76" s="7">
        <f t="shared" si="3"/>
        <v>4</v>
      </c>
      <c r="G76" s="9"/>
      <c r="J76" s="27"/>
      <c r="K76" s="6"/>
      <c r="L76" s="6"/>
      <c r="M76" s="6"/>
      <c r="N76" s="6"/>
      <c r="O76" s="6"/>
      <c r="P76" s="6"/>
      <c r="Q76" s="6"/>
      <c r="R76" s="6"/>
      <c r="S76" s="6"/>
      <c r="T76" s="6"/>
      <c r="U76" s="28"/>
    </row>
    <row r="77" spans="1:21" ht="45" x14ac:dyDescent="0.25">
      <c r="A77" s="19">
        <f>IF(B77="","",COUNTA($B$3:B77))</f>
        <v>75</v>
      </c>
      <c r="B77" s="11" t="s">
        <v>74</v>
      </c>
      <c r="C77" s="11" t="s">
        <v>78</v>
      </c>
      <c r="D77" s="12">
        <f>'9-10'!F77</f>
        <v>8</v>
      </c>
      <c r="E77" s="7">
        <f t="shared" si="2"/>
        <v>0</v>
      </c>
      <c r="F77" s="7">
        <f t="shared" si="3"/>
        <v>8</v>
      </c>
      <c r="G77" s="9"/>
      <c r="J77" s="27"/>
      <c r="K77" s="6"/>
      <c r="L77" s="6"/>
      <c r="M77" s="6"/>
      <c r="N77" s="6"/>
      <c r="O77" s="6"/>
      <c r="P77" s="6"/>
      <c r="Q77" s="6"/>
      <c r="R77" s="6"/>
      <c r="S77" s="6"/>
      <c r="T77" s="6"/>
      <c r="U77" s="28"/>
    </row>
    <row r="78" spans="1:21" ht="45" x14ac:dyDescent="0.25">
      <c r="A78" s="18">
        <f>IF(B78="","",COUNTA($B$3:B78))</f>
        <v>76</v>
      </c>
      <c r="B78" s="17" t="s">
        <v>75</v>
      </c>
      <c r="C78" s="17" t="s">
        <v>78</v>
      </c>
      <c r="D78" s="12">
        <f>'9-10'!F78</f>
        <v>19</v>
      </c>
      <c r="E78" s="7">
        <f t="shared" si="2"/>
        <v>0</v>
      </c>
      <c r="F78" s="7">
        <f t="shared" si="3"/>
        <v>19</v>
      </c>
      <c r="G78" s="9"/>
      <c r="J78" s="27"/>
      <c r="K78" s="6"/>
      <c r="L78" s="6"/>
      <c r="M78" s="6"/>
      <c r="N78" s="6"/>
      <c r="O78" s="6"/>
      <c r="P78" s="6"/>
      <c r="Q78" s="6"/>
      <c r="R78" s="6"/>
      <c r="S78" s="6"/>
      <c r="T78" s="6"/>
      <c r="U78" s="28"/>
    </row>
    <row r="79" spans="1:21" ht="30" x14ac:dyDescent="0.25">
      <c r="A79" s="19">
        <f>IF(B79="","",COUNTA($B$3:B79))</f>
        <v>77</v>
      </c>
      <c r="B79" s="21" t="s">
        <v>76</v>
      </c>
      <c r="C79" s="21" t="s">
        <v>78</v>
      </c>
      <c r="D79" s="12">
        <f>'9-10'!F79</f>
        <v>8</v>
      </c>
      <c r="E79" s="7">
        <f t="shared" si="2"/>
        <v>0</v>
      </c>
      <c r="F79" s="7">
        <f t="shared" si="3"/>
        <v>8</v>
      </c>
      <c r="G79" s="9"/>
      <c r="J79" s="27"/>
      <c r="K79" s="6"/>
      <c r="L79" s="6"/>
      <c r="M79" s="6"/>
      <c r="N79" s="6"/>
      <c r="O79" s="6"/>
      <c r="P79" s="6"/>
      <c r="Q79" s="6"/>
      <c r="R79" s="6"/>
      <c r="S79" s="6"/>
      <c r="T79" s="6"/>
      <c r="U79" s="28"/>
    </row>
    <row r="80" spans="1:21" ht="30" x14ac:dyDescent="0.25">
      <c r="A80" s="18">
        <f>IF(B80="","",COUNTA($B$3:B80))</f>
        <v>78</v>
      </c>
      <c r="B80" s="14" t="s">
        <v>41</v>
      </c>
      <c r="C80" s="17" t="s">
        <v>78</v>
      </c>
      <c r="D80" s="12">
        <f>'9-10'!F80</f>
        <v>1</v>
      </c>
      <c r="E80" s="7">
        <f t="shared" si="2"/>
        <v>0</v>
      </c>
      <c r="F80" s="7">
        <f t="shared" si="3"/>
        <v>1</v>
      </c>
      <c r="G80" s="9"/>
      <c r="J80" s="27"/>
      <c r="K80" s="6"/>
      <c r="L80" s="6"/>
      <c r="M80" s="6"/>
      <c r="N80" s="6"/>
      <c r="O80" s="6"/>
      <c r="P80" s="6"/>
      <c r="Q80" s="6"/>
      <c r="R80" s="6"/>
      <c r="S80" s="6"/>
      <c r="T80" s="6"/>
      <c r="U80" s="28"/>
    </row>
    <row r="81" spans="1:21" ht="45" x14ac:dyDescent="0.25">
      <c r="A81" s="19">
        <f>IF(B81="","",COUNTA($B$3:B81))</f>
        <v>79</v>
      </c>
      <c r="B81" s="11" t="s">
        <v>42</v>
      </c>
      <c r="C81" s="21" t="s">
        <v>78</v>
      </c>
      <c r="D81" s="12">
        <f>'9-10'!F81</f>
        <v>0</v>
      </c>
      <c r="E81" s="7">
        <f t="shared" si="2"/>
        <v>0</v>
      </c>
      <c r="F81" s="7">
        <f t="shared" si="3"/>
        <v>0</v>
      </c>
      <c r="G81" s="9"/>
      <c r="J81" s="27"/>
      <c r="K81" s="6"/>
      <c r="L81" s="6"/>
      <c r="M81" s="6"/>
      <c r="N81" s="6"/>
      <c r="O81" s="6"/>
      <c r="P81" s="6"/>
      <c r="Q81" s="6"/>
      <c r="R81" s="6"/>
      <c r="S81" s="6"/>
      <c r="T81" s="6"/>
      <c r="U81" s="28"/>
    </row>
    <row r="82" spans="1:21" x14ac:dyDescent="0.25">
      <c r="A82" s="13" t="str">
        <f>IF(B82="","",COUNTA($B$3:B82))</f>
        <v/>
      </c>
      <c r="B82" s="17"/>
      <c r="C82" s="23"/>
      <c r="D82" s="23"/>
      <c r="E82" s="32"/>
      <c r="F82" s="7"/>
      <c r="G82" s="23"/>
      <c r="J82" s="27"/>
      <c r="K82" s="6"/>
      <c r="L82" s="6"/>
      <c r="M82" s="6"/>
      <c r="N82" s="6"/>
      <c r="O82" s="6"/>
      <c r="P82" s="6"/>
      <c r="Q82" s="6"/>
      <c r="R82" s="6"/>
      <c r="S82" s="6"/>
      <c r="T82" s="6"/>
      <c r="U82" s="28"/>
    </row>
    <row r="83" spans="1:21" ht="15.75" thickBot="1" x14ac:dyDescent="0.3">
      <c r="A83" s="24"/>
      <c r="B83" s="25"/>
      <c r="C83" s="23"/>
      <c r="D83" s="23"/>
      <c r="E83" s="32"/>
      <c r="F83" s="7"/>
      <c r="G83" s="23"/>
      <c r="J83" s="27"/>
      <c r="K83" s="6"/>
      <c r="L83" s="6"/>
      <c r="M83" s="6"/>
      <c r="N83" s="6"/>
      <c r="O83" s="6"/>
      <c r="P83" s="6"/>
      <c r="Q83" s="6"/>
      <c r="R83" s="6"/>
      <c r="S83" s="6"/>
      <c r="T83" s="6"/>
      <c r="U83" s="28"/>
    </row>
    <row r="84" spans="1:21" ht="15.75" thickBot="1" x14ac:dyDescent="0.3">
      <c r="A84" s="23"/>
      <c r="B84" s="23"/>
      <c r="C84" s="23"/>
      <c r="D84" s="23"/>
      <c r="E84" s="32"/>
      <c r="F84" s="7"/>
      <c r="G84" s="23"/>
      <c r="J84" s="29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1"/>
    </row>
  </sheetData>
  <mergeCells count="2">
    <mergeCell ref="B1:F1"/>
    <mergeCell ref="J1:U1"/>
  </mergeCells>
  <conditionalFormatting sqref="D3:D81">
    <cfRule type="cellIs" dxfId="188" priority="1" operator="lessThan">
      <formula>11</formula>
    </cfRule>
  </conditionalFormatting>
  <dataValidations count="2">
    <dataValidation type="list" allowBlank="1" showInputMessage="1" showErrorMessage="1" sqref="G3:G81">
      <formula1>$X$3:$X$10</formula1>
    </dataValidation>
    <dataValidation type="list" allowBlank="1" showInputMessage="1" showErrorMessage="1" sqref="C3:C81">
      <formula1>"តូច small​  小, ធំ Big 大的"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84"/>
  <sheetViews>
    <sheetView workbookViewId="0">
      <selection activeCell="N49" sqref="N49"/>
    </sheetView>
  </sheetViews>
  <sheetFormatPr defaultRowHeight="15" x14ac:dyDescent="0.25"/>
  <cols>
    <col min="1" max="1" width="14.85546875" customWidth="1"/>
    <col min="2" max="2" width="24.140625" customWidth="1"/>
    <col min="3" max="3" width="9.85546875" customWidth="1"/>
    <col min="4" max="4" width="16.42578125" customWidth="1"/>
    <col min="5" max="5" width="19.42578125" customWidth="1"/>
    <col min="6" max="6" width="12" customWidth="1"/>
    <col min="7" max="7" width="22.28515625" customWidth="1"/>
    <col min="8" max="8" width="2.5703125" customWidth="1"/>
    <col min="9" max="9" width="5.140625" hidden="1" customWidth="1"/>
    <col min="10" max="18" width="6.140625" customWidth="1"/>
    <col min="19" max="21" width="6.42578125" customWidth="1"/>
  </cols>
  <sheetData>
    <row r="1" spans="1:24" ht="58.5" customHeight="1" thickBot="1" x14ac:dyDescent="0.3">
      <c r="A1" s="1"/>
      <c r="B1" s="35" t="s">
        <v>101</v>
      </c>
      <c r="C1" s="35"/>
      <c r="D1" s="35"/>
      <c r="E1" s="35"/>
      <c r="F1" s="35"/>
      <c r="G1" s="33">
        <v>46365</v>
      </c>
      <c r="J1" s="36" t="s">
        <v>103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8"/>
    </row>
    <row r="2" spans="1:24" ht="73.5" customHeight="1" thickBot="1" x14ac:dyDescent="0.3">
      <c r="A2" s="4" t="s">
        <v>0</v>
      </c>
      <c r="B2" s="3" t="s">
        <v>1</v>
      </c>
      <c r="C2" s="3" t="s">
        <v>77</v>
      </c>
      <c r="D2" s="3" t="s">
        <v>80</v>
      </c>
      <c r="E2" s="3" t="s">
        <v>81</v>
      </c>
      <c r="F2" s="3" t="s">
        <v>82</v>
      </c>
      <c r="G2" s="5" t="s">
        <v>83</v>
      </c>
      <c r="J2" s="26" t="s">
        <v>84</v>
      </c>
      <c r="K2" s="26" t="s">
        <v>85</v>
      </c>
      <c r="L2" s="26" t="s">
        <v>86</v>
      </c>
      <c r="M2" s="26" t="s">
        <v>87</v>
      </c>
      <c r="N2" s="26" t="s">
        <v>88</v>
      </c>
      <c r="O2" s="26" t="s">
        <v>89</v>
      </c>
      <c r="P2" s="26" t="s">
        <v>90</v>
      </c>
      <c r="Q2" s="26" t="s">
        <v>91</v>
      </c>
      <c r="R2" s="26" t="s">
        <v>92</v>
      </c>
      <c r="S2" s="26" t="s">
        <v>93</v>
      </c>
      <c r="T2" s="26" t="s">
        <v>94</v>
      </c>
      <c r="U2" s="26" t="s">
        <v>95</v>
      </c>
    </row>
    <row r="3" spans="1:24" ht="27.75" customHeight="1" x14ac:dyDescent="0.25">
      <c r="A3" s="10">
        <f>IF(B3="","",COUNTA($B$3:B3))</f>
        <v>1</v>
      </c>
      <c r="B3" s="11" t="s">
        <v>2</v>
      </c>
      <c r="C3" s="11" t="s">
        <v>78</v>
      </c>
      <c r="D3" s="12">
        <f>'9-11'!F3</f>
        <v>6</v>
      </c>
      <c r="E3" s="7">
        <f t="shared" ref="E3:E66" si="0">SUM(J3:U3)</f>
        <v>1</v>
      </c>
      <c r="F3" s="7">
        <f t="shared" ref="F3:F66" si="1">D3-E3</f>
        <v>5</v>
      </c>
      <c r="G3" s="8"/>
      <c r="J3" s="27"/>
      <c r="K3" s="6"/>
      <c r="L3" s="6"/>
      <c r="M3" s="6"/>
      <c r="N3" s="6"/>
      <c r="O3" s="6">
        <v>1</v>
      </c>
      <c r="P3" s="6"/>
      <c r="Q3" s="6"/>
      <c r="R3" s="6"/>
      <c r="S3" s="6"/>
      <c r="T3" s="6"/>
      <c r="U3" s="28"/>
      <c r="X3" t="s">
        <v>96</v>
      </c>
    </row>
    <row r="4" spans="1:24" ht="30" x14ac:dyDescent="0.25">
      <c r="A4" s="13">
        <f>IF(B4="","",COUNTA($B$3:B4))</f>
        <v>2</v>
      </c>
      <c r="B4" s="14" t="s">
        <v>3</v>
      </c>
      <c r="C4" s="14" t="s">
        <v>78</v>
      </c>
      <c r="D4" s="12">
        <f>'9-11'!F4</f>
        <v>60</v>
      </c>
      <c r="E4" s="7">
        <f t="shared" si="0"/>
        <v>0</v>
      </c>
      <c r="F4" s="7">
        <f t="shared" si="1"/>
        <v>60</v>
      </c>
      <c r="G4" s="9"/>
      <c r="J4" s="27"/>
      <c r="K4" s="6"/>
      <c r="L4" s="6"/>
      <c r="M4" s="6"/>
      <c r="N4" s="6"/>
      <c r="O4" s="6"/>
      <c r="P4" s="6"/>
      <c r="Q4" s="6"/>
      <c r="R4" s="6"/>
      <c r="S4" s="6"/>
      <c r="T4" s="6"/>
      <c r="U4" s="28"/>
      <c r="X4" t="s">
        <v>97</v>
      </c>
    </row>
    <row r="5" spans="1:24" ht="30" x14ac:dyDescent="0.25">
      <c r="A5" s="10">
        <f>IF(B5="","",COUNTA($B$3:B5))</f>
        <v>3</v>
      </c>
      <c r="B5" s="11" t="s">
        <v>4</v>
      </c>
      <c r="C5" s="11" t="s">
        <v>78</v>
      </c>
      <c r="D5" s="12">
        <f>'9-11'!F5</f>
        <v>8</v>
      </c>
      <c r="E5" s="7">
        <f t="shared" si="0"/>
        <v>0</v>
      </c>
      <c r="F5" s="7">
        <f t="shared" si="1"/>
        <v>8</v>
      </c>
      <c r="G5" s="9"/>
      <c r="J5" s="27"/>
      <c r="K5" s="6"/>
      <c r="L5" s="6"/>
      <c r="M5" s="6"/>
      <c r="N5" s="6"/>
      <c r="O5" s="6"/>
      <c r="P5" s="6"/>
      <c r="Q5" s="6"/>
      <c r="R5" s="6"/>
      <c r="S5" s="6"/>
      <c r="T5" s="6"/>
      <c r="U5" s="28"/>
      <c r="X5" t="s">
        <v>98</v>
      </c>
    </row>
    <row r="6" spans="1:24" ht="30" x14ac:dyDescent="0.25">
      <c r="A6" s="13">
        <f>IF(B6="","",COUNTA($B$3:B6))</f>
        <v>4</v>
      </c>
      <c r="B6" s="14" t="s">
        <v>5</v>
      </c>
      <c r="C6" s="14" t="s">
        <v>78</v>
      </c>
      <c r="D6" s="12">
        <f>'9-11'!F6</f>
        <v>12</v>
      </c>
      <c r="E6" s="7">
        <f t="shared" si="0"/>
        <v>0</v>
      </c>
      <c r="F6" s="7">
        <f t="shared" si="1"/>
        <v>12</v>
      </c>
      <c r="G6" s="9"/>
      <c r="J6" s="27"/>
      <c r="K6" s="6"/>
      <c r="L6" s="6"/>
      <c r="M6" s="6"/>
      <c r="N6" s="6"/>
      <c r="O6" s="6"/>
      <c r="P6" s="6"/>
      <c r="Q6" s="6"/>
      <c r="R6" s="6"/>
      <c r="S6" s="6"/>
      <c r="T6" s="6"/>
      <c r="U6" s="28"/>
      <c r="X6" t="s">
        <v>99</v>
      </c>
    </row>
    <row r="7" spans="1:24" ht="30" x14ac:dyDescent="0.25">
      <c r="A7" s="10">
        <f>IF(B7="","",COUNTA($B$3:B7))</f>
        <v>5</v>
      </c>
      <c r="B7" s="11" t="s">
        <v>6</v>
      </c>
      <c r="C7" s="11" t="s">
        <v>78</v>
      </c>
      <c r="D7" s="12">
        <f>'9-11'!F7</f>
        <v>3</v>
      </c>
      <c r="E7" s="7">
        <f t="shared" si="0"/>
        <v>0</v>
      </c>
      <c r="F7" s="7">
        <f t="shared" si="1"/>
        <v>3</v>
      </c>
      <c r="G7" s="9"/>
      <c r="J7" s="27"/>
      <c r="K7" s="6"/>
      <c r="L7" s="6"/>
      <c r="M7" s="6"/>
      <c r="N7" s="6"/>
      <c r="O7" s="6"/>
      <c r="P7" s="6"/>
      <c r="Q7" s="6"/>
      <c r="R7" s="6"/>
      <c r="S7" s="6"/>
      <c r="T7" s="6"/>
      <c r="U7" s="28"/>
      <c r="X7" t="s">
        <v>100</v>
      </c>
    </row>
    <row r="8" spans="1:24" ht="30" x14ac:dyDescent="0.25">
      <c r="A8" s="13">
        <f>IF(B8="","",COUNTA($B$3:B8))</f>
        <v>6</v>
      </c>
      <c r="B8" s="14" t="s">
        <v>7</v>
      </c>
      <c r="C8" s="14" t="s">
        <v>78</v>
      </c>
      <c r="D8" s="12">
        <f>'9-11'!F8</f>
        <v>23</v>
      </c>
      <c r="E8" s="7">
        <f t="shared" si="0"/>
        <v>1</v>
      </c>
      <c r="F8" s="7">
        <f t="shared" si="1"/>
        <v>22</v>
      </c>
      <c r="G8" s="9"/>
      <c r="J8" s="27"/>
      <c r="K8" s="6"/>
      <c r="L8" s="6"/>
      <c r="M8" s="6"/>
      <c r="N8" s="6">
        <v>1</v>
      </c>
      <c r="O8" s="6"/>
      <c r="P8" s="6"/>
      <c r="Q8" s="6"/>
      <c r="R8" s="6"/>
      <c r="S8" s="6"/>
      <c r="T8" s="6"/>
      <c r="U8" s="28"/>
    </row>
    <row r="9" spans="1:24" ht="45" x14ac:dyDescent="0.25">
      <c r="A9" s="10">
        <f>IF(B9="","",COUNTA($B$3:B9))</f>
        <v>7</v>
      </c>
      <c r="B9" s="11" t="s">
        <v>8</v>
      </c>
      <c r="C9" s="11" t="s">
        <v>78</v>
      </c>
      <c r="D9" s="12">
        <f>'9-11'!F9</f>
        <v>14</v>
      </c>
      <c r="E9" s="7">
        <f t="shared" si="0"/>
        <v>1</v>
      </c>
      <c r="F9" s="7">
        <f t="shared" si="1"/>
        <v>13</v>
      </c>
      <c r="G9" s="9"/>
      <c r="J9" s="27"/>
      <c r="K9" s="6"/>
      <c r="L9" s="6"/>
      <c r="M9" s="6"/>
      <c r="N9" s="6"/>
      <c r="O9" s="6"/>
      <c r="P9" s="6"/>
      <c r="Q9" s="6">
        <v>1</v>
      </c>
      <c r="R9" s="6"/>
      <c r="S9" s="6"/>
      <c r="T9" s="6"/>
      <c r="U9" s="28"/>
    </row>
    <row r="10" spans="1:24" ht="45" x14ac:dyDescent="0.25">
      <c r="A10" s="13">
        <f>IF(B10="","",COUNTA($B$3:B10))</f>
        <v>8</v>
      </c>
      <c r="B10" s="14" t="s">
        <v>9</v>
      </c>
      <c r="C10" s="14" t="s">
        <v>78</v>
      </c>
      <c r="D10" s="12">
        <f>'9-11'!F10</f>
        <v>2</v>
      </c>
      <c r="E10" s="7">
        <f t="shared" si="0"/>
        <v>0</v>
      </c>
      <c r="F10" s="7">
        <f t="shared" si="1"/>
        <v>2</v>
      </c>
      <c r="G10" s="9"/>
      <c r="J10" s="27"/>
      <c r="K10" s="6"/>
      <c r="L10" s="6"/>
      <c r="M10" s="6"/>
      <c r="N10" s="6"/>
      <c r="O10" s="6"/>
      <c r="P10" s="6"/>
      <c r="Q10" s="6"/>
      <c r="R10" s="6"/>
      <c r="S10" s="6"/>
      <c r="T10" s="6"/>
      <c r="U10" s="28"/>
    </row>
    <row r="11" spans="1:24" ht="60" x14ac:dyDescent="0.25">
      <c r="A11" s="10">
        <f>IF(B11="","",COUNTA($B$3:B11))</f>
        <v>9</v>
      </c>
      <c r="B11" s="11" t="s">
        <v>10</v>
      </c>
      <c r="C11" s="11" t="s">
        <v>78</v>
      </c>
      <c r="D11" s="12">
        <f>'9-11'!F11</f>
        <v>4</v>
      </c>
      <c r="E11" s="7">
        <f t="shared" si="0"/>
        <v>0</v>
      </c>
      <c r="F11" s="7">
        <f t="shared" si="1"/>
        <v>4</v>
      </c>
      <c r="G11" s="9"/>
      <c r="J11" s="27"/>
      <c r="K11" s="6"/>
      <c r="L11" s="6"/>
      <c r="M11" s="6"/>
      <c r="N11" s="6"/>
      <c r="O11" s="6"/>
      <c r="P11" s="6"/>
      <c r="Q11" s="6"/>
      <c r="R11" s="6"/>
      <c r="S11" s="6"/>
      <c r="T11" s="6"/>
      <c r="U11" s="28"/>
    </row>
    <row r="12" spans="1:24" ht="45" x14ac:dyDescent="0.25">
      <c r="A12" s="13">
        <f>IF(B12="","",COUNTA($B$3:B12))</f>
        <v>10</v>
      </c>
      <c r="B12" s="14" t="s">
        <v>11</v>
      </c>
      <c r="C12" s="14" t="s">
        <v>78</v>
      </c>
      <c r="D12" s="12">
        <f>'9-11'!F12</f>
        <v>0</v>
      </c>
      <c r="E12" s="7">
        <f t="shared" si="0"/>
        <v>0</v>
      </c>
      <c r="F12" s="7">
        <f t="shared" si="1"/>
        <v>0</v>
      </c>
      <c r="G12" s="9"/>
      <c r="J12" s="27"/>
      <c r="K12" s="6"/>
      <c r="L12" s="6"/>
      <c r="M12" s="6"/>
      <c r="N12" s="6"/>
      <c r="O12" s="6"/>
      <c r="P12" s="6"/>
      <c r="Q12" s="6"/>
      <c r="R12" s="6"/>
      <c r="S12" s="6"/>
      <c r="T12" s="6"/>
      <c r="U12" s="28"/>
    </row>
    <row r="13" spans="1:24" ht="60" x14ac:dyDescent="0.25">
      <c r="A13" s="10">
        <f>IF(B13="","",COUNTA($B$3:B13))</f>
        <v>11</v>
      </c>
      <c r="B13" s="11" t="s">
        <v>12</v>
      </c>
      <c r="C13" s="11" t="s">
        <v>78</v>
      </c>
      <c r="D13" s="12">
        <f>'9-11'!F13</f>
        <v>0</v>
      </c>
      <c r="E13" s="7">
        <f t="shared" si="0"/>
        <v>0</v>
      </c>
      <c r="F13" s="7">
        <f t="shared" si="1"/>
        <v>0</v>
      </c>
      <c r="G13" s="9"/>
      <c r="J13" s="27"/>
      <c r="K13" s="6"/>
      <c r="L13" s="6"/>
      <c r="M13" s="6"/>
      <c r="N13" s="6"/>
      <c r="O13" s="6"/>
      <c r="P13" s="6"/>
      <c r="Q13" s="6"/>
      <c r="R13" s="6"/>
      <c r="S13" s="6"/>
      <c r="T13" s="6"/>
      <c r="U13" s="28"/>
    </row>
    <row r="14" spans="1:24" ht="30" x14ac:dyDescent="0.25">
      <c r="A14" s="13">
        <f>IF(B14="","",COUNTA($B$3:B14))</f>
        <v>12</v>
      </c>
      <c r="B14" s="14" t="s">
        <v>13</v>
      </c>
      <c r="C14" s="14" t="s">
        <v>78</v>
      </c>
      <c r="D14" s="12">
        <f>'9-11'!F14</f>
        <v>7</v>
      </c>
      <c r="E14" s="7">
        <f t="shared" si="0"/>
        <v>0</v>
      </c>
      <c r="F14" s="7">
        <f t="shared" si="1"/>
        <v>7</v>
      </c>
      <c r="G14" s="9"/>
      <c r="J14" s="27"/>
      <c r="K14" s="6"/>
      <c r="L14" s="6"/>
      <c r="M14" s="6"/>
      <c r="N14" s="6"/>
      <c r="O14" s="6"/>
      <c r="P14" s="6"/>
      <c r="Q14" s="6"/>
      <c r="R14" s="6"/>
      <c r="S14" s="6"/>
      <c r="T14" s="6"/>
      <c r="U14" s="28"/>
    </row>
    <row r="15" spans="1:24" ht="60" x14ac:dyDescent="0.25">
      <c r="A15" s="10">
        <f>IF(B15="","",COUNTA($B$3:B15))</f>
        <v>13</v>
      </c>
      <c r="B15" s="16" t="s">
        <v>14</v>
      </c>
      <c r="C15" s="11" t="s">
        <v>78</v>
      </c>
      <c r="D15" s="12">
        <f>'9-11'!F15</f>
        <v>5</v>
      </c>
      <c r="E15" s="7">
        <f t="shared" si="0"/>
        <v>0</v>
      </c>
      <c r="F15" s="7">
        <f t="shared" si="1"/>
        <v>5</v>
      </c>
      <c r="G15" s="9"/>
      <c r="J15" s="27"/>
      <c r="K15" s="6"/>
      <c r="L15" s="6"/>
      <c r="M15" s="6"/>
      <c r="N15" s="6"/>
      <c r="O15" s="6"/>
      <c r="P15" s="6"/>
      <c r="Q15" s="6"/>
      <c r="R15" s="6"/>
      <c r="S15" s="6"/>
      <c r="T15" s="6"/>
      <c r="U15" s="28"/>
    </row>
    <row r="16" spans="1:24" ht="45" x14ac:dyDescent="0.25">
      <c r="A16" s="13">
        <f>IF(B16="","",COUNTA($B$3:B16))</f>
        <v>14</v>
      </c>
      <c r="B16" s="14" t="s">
        <v>15</v>
      </c>
      <c r="C16" s="14" t="s">
        <v>78</v>
      </c>
      <c r="D16" s="12">
        <f>'9-11'!F16</f>
        <v>3</v>
      </c>
      <c r="E16" s="7">
        <f t="shared" si="0"/>
        <v>0</v>
      </c>
      <c r="F16" s="7">
        <f t="shared" si="1"/>
        <v>3</v>
      </c>
      <c r="G16" s="9"/>
      <c r="J16" s="27"/>
      <c r="K16" s="6"/>
      <c r="L16" s="6"/>
      <c r="M16" s="6"/>
      <c r="N16" s="6"/>
      <c r="O16" s="6"/>
      <c r="P16" s="6"/>
      <c r="Q16" s="6"/>
      <c r="R16" s="6"/>
      <c r="S16" s="6"/>
      <c r="T16" s="6"/>
      <c r="U16" s="28"/>
    </row>
    <row r="17" spans="1:21" ht="45" x14ac:dyDescent="0.25">
      <c r="A17" s="10">
        <f>IF(B17="","",COUNTA($B$3:B17))</f>
        <v>15</v>
      </c>
      <c r="B17" s="11" t="s">
        <v>16</v>
      </c>
      <c r="C17" s="11" t="s">
        <v>78</v>
      </c>
      <c r="D17" s="12">
        <f>'9-11'!F17</f>
        <v>3</v>
      </c>
      <c r="E17" s="7">
        <f t="shared" si="0"/>
        <v>0</v>
      </c>
      <c r="F17" s="7">
        <f t="shared" si="1"/>
        <v>3</v>
      </c>
      <c r="G17" s="9"/>
      <c r="J17" s="27"/>
      <c r="K17" s="6"/>
      <c r="L17" s="6"/>
      <c r="M17" s="6"/>
      <c r="N17" s="6"/>
      <c r="O17" s="6"/>
      <c r="P17" s="6"/>
      <c r="Q17" s="6"/>
      <c r="R17" s="6"/>
      <c r="S17" s="6"/>
      <c r="T17" s="6"/>
      <c r="U17" s="28"/>
    </row>
    <row r="18" spans="1:21" ht="60" x14ac:dyDescent="0.25">
      <c r="A18" s="13">
        <f>IF(B18="","",COUNTA($B$3:B18))</f>
        <v>16</v>
      </c>
      <c r="B18" s="17" t="s">
        <v>17</v>
      </c>
      <c r="C18" s="14" t="s">
        <v>78</v>
      </c>
      <c r="D18" s="12">
        <f>'9-11'!F18</f>
        <v>2</v>
      </c>
      <c r="E18" s="7">
        <f t="shared" si="0"/>
        <v>0</v>
      </c>
      <c r="F18" s="7">
        <f t="shared" si="1"/>
        <v>2</v>
      </c>
      <c r="G18" s="9"/>
      <c r="J18" s="27"/>
      <c r="K18" s="6"/>
      <c r="L18" s="6"/>
      <c r="M18" s="6"/>
      <c r="N18" s="6"/>
      <c r="O18" s="6"/>
      <c r="P18" s="6"/>
      <c r="Q18" s="6"/>
      <c r="R18" s="6"/>
      <c r="S18" s="6"/>
      <c r="T18" s="6"/>
      <c r="U18" s="28"/>
    </row>
    <row r="19" spans="1:21" ht="45" x14ac:dyDescent="0.25">
      <c r="A19" s="10">
        <f>IF(B19="","",COUNTA($B$3:B19))</f>
        <v>17</v>
      </c>
      <c r="B19" s="11" t="s">
        <v>18</v>
      </c>
      <c r="C19" s="11" t="s">
        <v>78</v>
      </c>
      <c r="D19" s="12">
        <f>'9-11'!F19</f>
        <v>42</v>
      </c>
      <c r="E19" s="7">
        <f t="shared" si="0"/>
        <v>0</v>
      </c>
      <c r="F19" s="7">
        <f t="shared" si="1"/>
        <v>42</v>
      </c>
      <c r="G19" s="9"/>
      <c r="J19" s="27"/>
      <c r="K19" s="6"/>
      <c r="L19" s="6"/>
      <c r="M19" s="6"/>
      <c r="N19" s="6"/>
      <c r="O19" s="6"/>
      <c r="P19" s="6"/>
      <c r="Q19" s="6"/>
      <c r="R19" s="6"/>
      <c r="S19" s="6"/>
      <c r="T19" s="6"/>
      <c r="U19" s="28"/>
    </row>
    <row r="20" spans="1:21" ht="30" x14ac:dyDescent="0.25">
      <c r="A20" s="13">
        <f>IF(B20="","",COUNTA($B$3:B20))</f>
        <v>18</v>
      </c>
      <c r="B20" s="14" t="s">
        <v>19</v>
      </c>
      <c r="C20" s="14" t="s">
        <v>79</v>
      </c>
      <c r="D20" s="12">
        <f>'9-11'!F20</f>
        <v>2</v>
      </c>
      <c r="E20" s="7">
        <f t="shared" si="0"/>
        <v>0</v>
      </c>
      <c r="F20" s="7">
        <f t="shared" si="1"/>
        <v>2</v>
      </c>
      <c r="G20" s="9"/>
      <c r="J20" s="27"/>
      <c r="K20" s="6"/>
      <c r="L20" s="6"/>
      <c r="M20" s="6"/>
      <c r="N20" s="6"/>
      <c r="O20" s="6"/>
      <c r="P20" s="6"/>
      <c r="Q20" s="6"/>
      <c r="R20" s="6"/>
      <c r="S20" s="6"/>
      <c r="T20" s="6"/>
      <c r="U20" s="28"/>
    </row>
    <row r="21" spans="1:21" ht="45" x14ac:dyDescent="0.25">
      <c r="A21" s="10">
        <f>IF(B21="","",COUNTA($B$3:B21))</f>
        <v>19</v>
      </c>
      <c r="B21" s="11" t="s">
        <v>20</v>
      </c>
      <c r="C21" s="11" t="s">
        <v>78</v>
      </c>
      <c r="D21" s="12">
        <f>'9-11'!F21</f>
        <v>19</v>
      </c>
      <c r="E21" s="7">
        <f t="shared" si="0"/>
        <v>0</v>
      </c>
      <c r="F21" s="7">
        <f t="shared" si="1"/>
        <v>19</v>
      </c>
      <c r="G21" s="9"/>
      <c r="J21" s="27"/>
      <c r="K21" s="6"/>
      <c r="L21" s="6"/>
      <c r="M21" s="6"/>
      <c r="N21" s="6"/>
      <c r="O21" s="6"/>
      <c r="P21" s="6"/>
      <c r="Q21" s="6"/>
      <c r="R21" s="6"/>
      <c r="S21" s="6"/>
      <c r="T21" s="6"/>
      <c r="U21" s="28"/>
    </row>
    <row r="22" spans="1:21" ht="30" x14ac:dyDescent="0.25">
      <c r="A22" s="13">
        <f>IF(B22="","",COUNTA($B$3:B22))</f>
        <v>20</v>
      </c>
      <c r="B22" s="14" t="s">
        <v>21</v>
      </c>
      <c r="C22" s="14" t="s">
        <v>78</v>
      </c>
      <c r="D22" s="12">
        <f>'9-11'!F22</f>
        <v>5</v>
      </c>
      <c r="E22" s="7">
        <f t="shared" si="0"/>
        <v>0</v>
      </c>
      <c r="F22" s="7">
        <f t="shared" si="1"/>
        <v>5</v>
      </c>
      <c r="G22" s="9"/>
      <c r="J22" s="27"/>
      <c r="K22" s="6"/>
      <c r="L22" s="6"/>
      <c r="M22" s="6"/>
      <c r="N22" s="6"/>
      <c r="O22" s="6"/>
      <c r="P22" s="6"/>
      <c r="Q22" s="6"/>
      <c r="R22" s="6"/>
      <c r="S22" s="6"/>
      <c r="T22" s="6"/>
      <c r="U22" s="28"/>
    </row>
    <row r="23" spans="1:21" ht="60" x14ac:dyDescent="0.25">
      <c r="A23" s="10">
        <f>IF(B23="","",COUNTA($B$3:B23))</f>
        <v>21</v>
      </c>
      <c r="B23" s="11" t="s">
        <v>22</v>
      </c>
      <c r="C23" s="11" t="s">
        <v>78</v>
      </c>
      <c r="D23" s="12">
        <f>'9-11'!F23</f>
        <v>3</v>
      </c>
      <c r="E23" s="7">
        <f t="shared" si="0"/>
        <v>0</v>
      </c>
      <c r="F23" s="7">
        <f t="shared" si="1"/>
        <v>3</v>
      </c>
      <c r="G23" s="9"/>
      <c r="J23" s="27"/>
      <c r="K23" s="6"/>
      <c r="L23" s="6"/>
      <c r="M23" s="6"/>
      <c r="N23" s="6"/>
      <c r="O23" s="6"/>
      <c r="P23" s="6"/>
      <c r="Q23" s="6"/>
      <c r="R23" s="6"/>
      <c r="S23" s="6"/>
      <c r="T23" s="6"/>
      <c r="U23" s="28"/>
    </row>
    <row r="24" spans="1:21" ht="45" x14ac:dyDescent="0.25">
      <c r="A24" s="13">
        <f>IF(B24="","",COUNTA($B$3:B24))</f>
        <v>22</v>
      </c>
      <c r="B24" s="14" t="s">
        <v>23</v>
      </c>
      <c r="C24" s="14" t="s">
        <v>78</v>
      </c>
      <c r="D24" s="12">
        <f>'9-11'!F24</f>
        <v>25</v>
      </c>
      <c r="E24" s="7">
        <f t="shared" si="0"/>
        <v>2</v>
      </c>
      <c r="F24" s="7">
        <f t="shared" si="1"/>
        <v>23</v>
      </c>
      <c r="G24" s="9"/>
      <c r="J24" s="27"/>
      <c r="K24" s="6"/>
      <c r="L24" s="6">
        <v>2</v>
      </c>
      <c r="M24" s="6"/>
      <c r="N24" s="6"/>
      <c r="O24" s="6"/>
      <c r="P24" s="6"/>
      <c r="Q24" s="6"/>
      <c r="R24" s="6"/>
      <c r="S24" s="6"/>
      <c r="T24" s="6"/>
      <c r="U24" s="28"/>
    </row>
    <row r="25" spans="1:21" ht="30" x14ac:dyDescent="0.25">
      <c r="A25" s="10">
        <f>IF(B25="","",COUNTA($B$3:B25))</f>
        <v>23</v>
      </c>
      <c r="B25" s="11" t="s">
        <v>24</v>
      </c>
      <c r="C25" s="11" t="s">
        <v>78</v>
      </c>
      <c r="D25" s="12">
        <f>'9-11'!F25</f>
        <v>10</v>
      </c>
      <c r="E25" s="7">
        <f t="shared" si="0"/>
        <v>0</v>
      </c>
      <c r="F25" s="7">
        <f t="shared" si="1"/>
        <v>10</v>
      </c>
      <c r="G25" s="9"/>
      <c r="J25" s="27"/>
      <c r="K25" s="6"/>
      <c r="L25" s="6"/>
      <c r="M25" s="6"/>
      <c r="N25" s="6"/>
      <c r="O25" s="6"/>
      <c r="P25" s="6"/>
      <c r="Q25" s="6"/>
      <c r="R25" s="6"/>
      <c r="S25" s="6"/>
      <c r="T25" s="6"/>
      <c r="U25" s="28"/>
    </row>
    <row r="26" spans="1:21" ht="30" x14ac:dyDescent="0.25">
      <c r="A26" s="13">
        <f>IF(B26="","",COUNTA($B$3:B26))</f>
        <v>24</v>
      </c>
      <c r="B26" s="14" t="s">
        <v>25</v>
      </c>
      <c r="C26" s="14" t="s">
        <v>78</v>
      </c>
      <c r="D26" s="12">
        <f>'9-11'!F26</f>
        <v>0</v>
      </c>
      <c r="E26" s="7">
        <f t="shared" si="0"/>
        <v>0</v>
      </c>
      <c r="F26" s="7">
        <f t="shared" si="1"/>
        <v>0</v>
      </c>
      <c r="G26" s="9"/>
      <c r="J26" s="27"/>
      <c r="K26" s="6"/>
      <c r="L26" s="6"/>
      <c r="M26" s="6"/>
      <c r="N26" s="6"/>
      <c r="O26" s="6"/>
      <c r="P26" s="6"/>
      <c r="Q26" s="6"/>
      <c r="R26" s="6"/>
      <c r="S26" s="6"/>
      <c r="T26" s="6"/>
      <c r="U26" s="28"/>
    </row>
    <row r="27" spans="1:21" ht="30" x14ac:dyDescent="0.25">
      <c r="A27" s="10">
        <f>IF(B27="","",COUNTA($B$3:B27))</f>
        <v>25</v>
      </c>
      <c r="B27" s="11" t="s">
        <v>26</v>
      </c>
      <c r="C27" s="11" t="s">
        <v>78</v>
      </c>
      <c r="D27" s="12">
        <f>'9-11'!F27</f>
        <v>2</v>
      </c>
      <c r="E27" s="7">
        <f t="shared" si="0"/>
        <v>0</v>
      </c>
      <c r="F27" s="7">
        <f t="shared" si="1"/>
        <v>2</v>
      </c>
      <c r="G27" s="9"/>
      <c r="J27" s="27"/>
      <c r="K27" s="6"/>
      <c r="L27" s="6"/>
      <c r="M27" s="6"/>
      <c r="N27" s="6"/>
      <c r="O27" s="6"/>
      <c r="P27" s="6"/>
      <c r="Q27" s="6"/>
      <c r="R27" s="6"/>
      <c r="S27" s="6"/>
      <c r="T27" s="6"/>
      <c r="U27" s="28"/>
    </row>
    <row r="28" spans="1:21" ht="60" x14ac:dyDescent="0.25">
      <c r="A28" s="13">
        <f>IF(B28="","",COUNTA($B$3:B28))</f>
        <v>26</v>
      </c>
      <c r="B28" s="14" t="s">
        <v>27</v>
      </c>
      <c r="C28" s="14" t="s">
        <v>78</v>
      </c>
      <c r="D28" s="12">
        <f>'9-11'!F28</f>
        <v>0</v>
      </c>
      <c r="E28" s="7">
        <f t="shared" si="0"/>
        <v>0</v>
      </c>
      <c r="F28" s="7">
        <f t="shared" si="1"/>
        <v>0</v>
      </c>
      <c r="G28" s="9"/>
      <c r="J28" s="27"/>
      <c r="K28" s="6"/>
      <c r="L28" s="6"/>
      <c r="M28" s="6"/>
      <c r="N28" s="6"/>
      <c r="O28" s="6"/>
      <c r="P28" s="6"/>
      <c r="Q28" s="6"/>
      <c r="R28" s="6"/>
      <c r="S28" s="6"/>
      <c r="T28" s="6"/>
      <c r="U28" s="28"/>
    </row>
    <row r="29" spans="1:21" ht="30" x14ac:dyDescent="0.25">
      <c r="A29" s="10">
        <f>IF(B29="","",COUNTA($B$3:B29))</f>
        <v>27</v>
      </c>
      <c r="B29" s="11" t="s">
        <v>28</v>
      </c>
      <c r="C29" s="11" t="s">
        <v>78</v>
      </c>
      <c r="D29" s="12">
        <f>'9-11'!F29</f>
        <v>9</v>
      </c>
      <c r="E29" s="7">
        <f t="shared" si="0"/>
        <v>0</v>
      </c>
      <c r="F29" s="7">
        <f t="shared" si="1"/>
        <v>9</v>
      </c>
      <c r="G29" s="9"/>
      <c r="J29" s="27"/>
      <c r="K29" s="6"/>
      <c r="L29" s="6"/>
      <c r="M29" s="6"/>
      <c r="N29" s="6"/>
      <c r="O29" s="6"/>
      <c r="P29" s="6"/>
      <c r="Q29" s="6"/>
      <c r="R29" s="6"/>
      <c r="S29" s="6"/>
      <c r="T29" s="6"/>
      <c r="U29" s="28"/>
    </row>
    <row r="30" spans="1:21" ht="75" x14ac:dyDescent="0.25">
      <c r="A30" s="13">
        <f>IF(B30="","",COUNTA($B$3:B30))</f>
        <v>28</v>
      </c>
      <c r="B30" s="14" t="s">
        <v>29</v>
      </c>
      <c r="C30" s="14" t="s">
        <v>78</v>
      </c>
      <c r="D30" s="12">
        <f>'9-11'!F30</f>
        <v>4</v>
      </c>
      <c r="E30" s="7">
        <f t="shared" si="0"/>
        <v>0</v>
      </c>
      <c r="F30" s="7">
        <f t="shared" si="1"/>
        <v>4</v>
      </c>
      <c r="G30" s="9"/>
      <c r="J30" s="27"/>
      <c r="K30" s="6"/>
      <c r="L30" s="6"/>
      <c r="M30" s="6"/>
      <c r="N30" s="6"/>
      <c r="O30" s="6"/>
      <c r="P30" s="6"/>
      <c r="Q30" s="6"/>
      <c r="R30" s="6"/>
      <c r="S30" s="6"/>
      <c r="T30" s="6"/>
      <c r="U30" s="28"/>
    </row>
    <row r="31" spans="1:21" ht="30" x14ac:dyDescent="0.25">
      <c r="A31" s="10">
        <f>IF(B31="","",COUNTA($B$3:B31))</f>
        <v>29</v>
      </c>
      <c r="B31" s="11" t="s">
        <v>30</v>
      </c>
      <c r="C31" s="11" t="s">
        <v>78</v>
      </c>
      <c r="D31" s="12">
        <f>'9-11'!F31</f>
        <v>0</v>
      </c>
      <c r="E31" s="7">
        <f t="shared" si="0"/>
        <v>0</v>
      </c>
      <c r="F31" s="7">
        <f t="shared" si="1"/>
        <v>0</v>
      </c>
      <c r="G31" s="9"/>
      <c r="J31" s="27"/>
      <c r="K31" s="6"/>
      <c r="L31" s="6"/>
      <c r="M31" s="6"/>
      <c r="N31" s="6"/>
      <c r="O31" s="6"/>
      <c r="P31" s="6"/>
      <c r="Q31" s="6"/>
      <c r="R31" s="6"/>
      <c r="S31" s="6"/>
      <c r="T31" s="6"/>
      <c r="U31" s="28"/>
    </row>
    <row r="32" spans="1:21" ht="45" x14ac:dyDescent="0.25">
      <c r="A32" s="13">
        <f>IF(B32="","",COUNTA($B$3:B32))</f>
        <v>30</v>
      </c>
      <c r="B32" s="14" t="s">
        <v>31</v>
      </c>
      <c r="C32" s="14" t="s">
        <v>78</v>
      </c>
      <c r="D32" s="12">
        <f>'9-11'!F32</f>
        <v>8</v>
      </c>
      <c r="E32" s="7">
        <f t="shared" si="0"/>
        <v>0</v>
      </c>
      <c r="F32" s="7">
        <f t="shared" si="1"/>
        <v>8</v>
      </c>
      <c r="G32" s="9"/>
      <c r="J32" s="27"/>
      <c r="K32" s="6"/>
      <c r="L32" s="6"/>
      <c r="M32" s="6"/>
      <c r="N32" s="6"/>
      <c r="O32" s="6"/>
      <c r="P32" s="6"/>
      <c r="Q32" s="6"/>
      <c r="R32" s="6"/>
      <c r="S32" s="6"/>
      <c r="T32" s="6"/>
      <c r="U32" s="28"/>
    </row>
    <row r="33" spans="1:21" ht="45" x14ac:dyDescent="0.25">
      <c r="A33" s="10">
        <f>IF(B33="","",COUNTA($B$3:B33))</f>
        <v>31</v>
      </c>
      <c r="B33" s="11" t="s">
        <v>32</v>
      </c>
      <c r="C33" s="11" t="s">
        <v>78</v>
      </c>
      <c r="D33" s="12">
        <f>'9-11'!F33</f>
        <v>0</v>
      </c>
      <c r="E33" s="7">
        <f t="shared" si="0"/>
        <v>0</v>
      </c>
      <c r="F33" s="7">
        <f t="shared" si="1"/>
        <v>0</v>
      </c>
      <c r="G33" s="9"/>
      <c r="J33" s="27"/>
      <c r="K33" s="6"/>
      <c r="L33" s="6"/>
      <c r="M33" s="6"/>
      <c r="N33" s="6"/>
      <c r="O33" s="6"/>
      <c r="P33" s="6"/>
      <c r="Q33" s="6"/>
      <c r="R33" s="6"/>
      <c r="S33" s="6"/>
      <c r="T33" s="6"/>
      <c r="U33" s="28"/>
    </row>
    <row r="34" spans="1:21" ht="60" x14ac:dyDescent="0.25">
      <c r="A34" s="13">
        <f>IF(B34="","",COUNTA($B$3:B34))</f>
        <v>32</v>
      </c>
      <c r="B34" s="14" t="s">
        <v>33</v>
      </c>
      <c r="C34" s="14" t="s">
        <v>78</v>
      </c>
      <c r="D34" s="12">
        <f>'9-11'!F34</f>
        <v>7</v>
      </c>
      <c r="E34" s="7">
        <f t="shared" si="0"/>
        <v>0</v>
      </c>
      <c r="F34" s="7">
        <f t="shared" si="1"/>
        <v>7</v>
      </c>
      <c r="G34" s="9"/>
      <c r="J34" s="27"/>
      <c r="K34" s="6"/>
      <c r="L34" s="6"/>
      <c r="M34" s="6"/>
      <c r="N34" s="6"/>
      <c r="O34" s="6"/>
      <c r="P34" s="6"/>
      <c r="Q34" s="6"/>
      <c r="R34" s="6"/>
      <c r="S34" s="6"/>
      <c r="T34" s="6"/>
      <c r="U34" s="28"/>
    </row>
    <row r="35" spans="1:21" ht="75" x14ac:dyDescent="0.25">
      <c r="A35" s="10">
        <f>IF(B35="","",COUNTA($B$3:B35))</f>
        <v>33</v>
      </c>
      <c r="B35" s="11" t="s">
        <v>34</v>
      </c>
      <c r="C35" s="11" t="s">
        <v>78</v>
      </c>
      <c r="D35" s="12">
        <f>'9-11'!F35</f>
        <v>0</v>
      </c>
      <c r="E35" s="7">
        <f t="shared" si="0"/>
        <v>0</v>
      </c>
      <c r="F35" s="7">
        <f t="shared" si="1"/>
        <v>0</v>
      </c>
      <c r="G35" s="9"/>
      <c r="J35" s="27"/>
      <c r="K35" s="6"/>
      <c r="L35" s="6"/>
      <c r="M35" s="6"/>
      <c r="N35" s="6"/>
      <c r="O35" s="6"/>
      <c r="P35" s="6"/>
      <c r="Q35" s="6"/>
      <c r="R35" s="6"/>
      <c r="S35" s="6"/>
      <c r="T35" s="6"/>
      <c r="U35" s="28"/>
    </row>
    <row r="36" spans="1:21" ht="45" x14ac:dyDescent="0.25">
      <c r="A36" s="13">
        <f>IF(B36="","",COUNTA($B$3:B36))</f>
        <v>34</v>
      </c>
      <c r="B36" s="14" t="s">
        <v>35</v>
      </c>
      <c r="C36" s="14" t="s">
        <v>78</v>
      </c>
      <c r="D36" s="12">
        <f>'9-11'!F36</f>
        <v>8</v>
      </c>
      <c r="E36" s="7">
        <f t="shared" si="0"/>
        <v>0</v>
      </c>
      <c r="F36" s="7">
        <f t="shared" si="1"/>
        <v>8</v>
      </c>
      <c r="G36" s="9"/>
      <c r="J36" s="27"/>
      <c r="K36" s="6"/>
      <c r="L36" s="6"/>
      <c r="M36" s="6"/>
      <c r="N36" s="6"/>
      <c r="O36" s="6"/>
      <c r="P36" s="6"/>
      <c r="Q36" s="6"/>
      <c r="R36" s="6"/>
      <c r="S36" s="6"/>
      <c r="T36" s="6"/>
      <c r="U36" s="28"/>
    </row>
    <row r="37" spans="1:21" ht="45" x14ac:dyDescent="0.25">
      <c r="A37" s="10">
        <f>IF(B37="","",COUNTA($B$3:B37))</f>
        <v>35</v>
      </c>
      <c r="B37" s="11" t="s">
        <v>36</v>
      </c>
      <c r="C37" s="11" t="s">
        <v>78</v>
      </c>
      <c r="D37" s="12">
        <f>'9-11'!F37</f>
        <v>2</v>
      </c>
      <c r="E37" s="7">
        <f t="shared" si="0"/>
        <v>0</v>
      </c>
      <c r="F37" s="7">
        <f t="shared" si="1"/>
        <v>2</v>
      </c>
      <c r="G37" s="9"/>
      <c r="J37" s="27"/>
      <c r="K37" s="6"/>
      <c r="L37" s="6"/>
      <c r="M37" s="6"/>
      <c r="N37" s="6"/>
      <c r="O37" s="6"/>
      <c r="P37" s="6"/>
      <c r="Q37" s="6"/>
      <c r="R37" s="6"/>
      <c r="S37" s="6"/>
      <c r="T37" s="6"/>
      <c r="U37" s="28"/>
    </row>
    <row r="38" spans="1:21" ht="45" x14ac:dyDescent="0.25">
      <c r="A38" s="13">
        <f>IF(B38="","",COUNTA($B$3:B38))</f>
        <v>36</v>
      </c>
      <c r="B38" s="14" t="s">
        <v>37</v>
      </c>
      <c r="C38" s="14" t="s">
        <v>78</v>
      </c>
      <c r="D38" s="12">
        <f>'9-11'!F38</f>
        <v>1</v>
      </c>
      <c r="E38" s="7">
        <f t="shared" si="0"/>
        <v>0</v>
      </c>
      <c r="F38" s="7">
        <f t="shared" si="1"/>
        <v>1</v>
      </c>
      <c r="G38" s="9"/>
      <c r="J38" s="27"/>
      <c r="K38" s="6"/>
      <c r="L38" s="6"/>
      <c r="M38" s="6"/>
      <c r="N38" s="6"/>
      <c r="O38" s="6"/>
      <c r="P38" s="6"/>
      <c r="Q38" s="6"/>
      <c r="R38" s="6"/>
      <c r="S38" s="6"/>
      <c r="T38" s="6"/>
      <c r="U38" s="28"/>
    </row>
    <row r="39" spans="1:21" ht="45" x14ac:dyDescent="0.25">
      <c r="A39" s="10">
        <f>IF(B39="","",COUNTA($B$3:B39))</f>
        <v>37</v>
      </c>
      <c r="B39" s="11" t="s">
        <v>38</v>
      </c>
      <c r="C39" s="11" t="s">
        <v>78</v>
      </c>
      <c r="D39" s="12">
        <f>'9-11'!F39</f>
        <v>3</v>
      </c>
      <c r="E39" s="7">
        <f t="shared" si="0"/>
        <v>0</v>
      </c>
      <c r="F39" s="7">
        <f t="shared" si="1"/>
        <v>3</v>
      </c>
      <c r="G39" s="9"/>
      <c r="J39" s="27"/>
      <c r="K39" s="6"/>
      <c r="L39" s="6"/>
      <c r="M39" s="6"/>
      <c r="N39" s="6"/>
      <c r="O39" s="6"/>
      <c r="P39" s="6"/>
      <c r="Q39" s="6"/>
      <c r="R39" s="6"/>
      <c r="S39" s="6"/>
      <c r="T39" s="6"/>
      <c r="U39" s="28"/>
    </row>
    <row r="40" spans="1:21" ht="30" x14ac:dyDescent="0.25">
      <c r="A40" s="13">
        <f>IF(B40="","",COUNTA($B$3:B40))</f>
        <v>38</v>
      </c>
      <c r="B40" s="14" t="s">
        <v>2</v>
      </c>
      <c r="C40" s="14" t="s">
        <v>78</v>
      </c>
      <c r="D40" s="12">
        <f>'9-11'!F40</f>
        <v>0</v>
      </c>
      <c r="E40" s="7">
        <f t="shared" si="0"/>
        <v>0</v>
      </c>
      <c r="F40" s="7">
        <f t="shared" si="1"/>
        <v>0</v>
      </c>
      <c r="G40" s="9"/>
      <c r="J40" s="27"/>
      <c r="K40" s="6"/>
      <c r="L40" s="6"/>
      <c r="M40" s="6"/>
      <c r="N40" s="6"/>
      <c r="O40" s="6"/>
      <c r="P40" s="6"/>
      <c r="Q40" s="6"/>
      <c r="R40" s="6"/>
      <c r="S40" s="6"/>
      <c r="T40" s="6"/>
      <c r="U40" s="28"/>
    </row>
    <row r="41" spans="1:21" ht="45" x14ac:dyDescent="0.25">
      <c r="A41" s="10">
        <f>IF(B41="","",COUNTA($B$3:B41))</f>
        <v>39</v>
      </c>
      <c r="B41" s="11" t="s">
        <v>39</v>
      </c>
      <c r="C41" s="11" t="s">
        <v>78</v>
      </c>
      <c r="D41" s="12">
        <f>'9-11'!F41</f>
        <v>2</v>
      </c>
      <c r="E41" s="7">
        <f t="shared" si="0"/>
        <v>0</v>
      </c>
      <c r="F41" s="7">
        <f t="shared" si="1"/>
        <v>2</v>
      </c>
      <c r="G41" s="9"/>
      <c r="J41" s="27"/>
      <c r="K41" s="6"/>
      <c r="L41" s="6"/>
      <c r="M41" s="6"/>
      <c r="N41" s="6"/>
      <c r="O41" s="6"/>
      <c r="P41" s="6"/>
      <c r="Q41" s="6"/>
      <c r="R41" s="6"/>
      <c r="S41" s="6"/>
      <c r="T41" s="6"/>
      <c r="U41" s="28"/>
    </row>
    <row r="42" spans="1:21" ht="45" x14ac:dyDescent="0.25">
      <c r="A42" s="13">
        <f>IF(B42="","",COUNTA($B$3:B42))</f>
        <v>40</v>
      </c>
      <c r="B42" s="14" t="s">
        <v>40</v>
      </c>
      <c r="C42" s="14" t="s">
        <v>78</v>
      </c>
      <c r="D42" s="12">
        <f>'9-11'!F42</f>
        <v>5</v>
      </c>
      <c r="E42" s="7">
        <f t="shared" si="0"/>
        <v>0</v>
      </c>
      <c r="F42" s="7">
        <f t="shared" si="1"/>
        <v>5</v>
      </c>
      <c r="G42" s="9"/>
      <c r="J42" s="27"/>
      <c r="K42" s="6"/>
      <c r="L42" s="6"/>
      <c r="M42" s="6"/>
      <c r="N42" s="6"/>
      <c r="O42" s="6"/>
      <c r="P42" s="6"/>
      <c r="Q42" s="6"/>
      <c r="R42" s="6"/>
      <c r="S42" s="6"/>
      <c r="T42" s="6"/>
      <c r="U42" s="28"/>
    </row>
    <row r="43" spans="1:21" ht="30" x14ac:dyDescent="0.25">
      <c r="A43" s="10">
        <f>IF(B43="","",COUNTA($B$3:B43))</f>
        <v>41</v>
      </c>
      <c r="B43" s="11" t="s">
        <v>41</v>
      </c>
      <c r="C43" s="11" t="s">
        <v>78</v>
      </c>
      <c r="D43" s="12">
        <f>'9-11'!F43</f>
        <v>3</v>
      </c>
      <c r="E43" s="7">
        <f t="shared" si="0"/>
        <v>0</v>
      </c>
      <c r="F43" s="7">
        <f t="shared" si="1"/>
        <v>3</v>
      </c>
      <c r="G43" s="9"/>
      <c r="J43" s="27"/>
      <c r="K43" s="6"/>
      <c r="L43" s="6"/>
      <c r="M43" s="6"/>
      <c r="N43" s="6"/>
      <c r="O43" s="6"/>
      <c r="P43" s="6"/>
      <c r="Q43" s="6"/>
      <c r="R43" s="6"/>
      <c r="S43" s="6"/>
      <c r="T43" s="6"/>
      <c r="U43" s="28"/>
    </row>
    <row r="44" spans="1:21" ht="45" x14ac:dyDescent="0.25">
      <c r="A44" s="13">
        <f>IF(B44="","",COUNTA($B$3:B44))</f>
        <v>42</v>
      </c>
      <c r="B44" s="14" t="s">
        <v>42</v>
      </c>
      <c r="C44" s="14" t="s">
        <v>78</v>
      </c>
      <c r="D44" s="12">
        <f>'9-11'!F44</f>
        <v>0</v>
      </c>
      <c r="E44" s="7">
        <f t="shared" si="0"/>
        <v>0</v>
      </c>
      <c r="F44" s="7">
        <f t="shared" si="1"/>
        <v>0</v>
      </c>
      <c r="G44" s="9"/>
      <c r="J44" s="27"/>
      <c r="K44" s="6"/>
      <c r="L44" s="6"/>
      <c r="M44" s="6"/>
      <c r="N44" s="6"/>
      <c r="O44" s="6"/>
      <c r="P44" s="6"/>
      <c r="Q44" s="6"/>
      <c r="R44" s="6"/>
      <c r="S44" s="6"/>
      <c r="T44" s="6"/>
      <c r="U44" s="28"/>
    </row>
    <row r="45" spans="1:21" ht="30" x14ac:dyDescent="0.25">
      <c r="A45" s="10">
        <f>IF(B45="","",COUNTA($B$3:B45))</f>
        <v>43</v>
      </c>
      <c r="B45" s="11" t="s">
        <v>43</v>
      </c>
      <c r="C45" s="11" t="s">
        <v>78</v>
      </c>
      <c r="D45" s="12">
        <f>'9-11'!F45</f>
        <v>1</v>
      </c>
      <c r="E45" s="7">
        <f t="shared" si="0"/>
        <v>0</v>
      </c>
      <c r="F45" s="7">
        <f t="shared" si="1"/>
        <v>1</v>
      </c>
      <c r="G45" s="9"/>
      <c r="J45" s="27"/>
      <c r="K45" s="6"/>
      <c r="L45" s="6"/>
      <c r="M45" s="6"/>
      <c r="N45" s="6"/>
      <c r="O45" s="6"/>
      <c r="P45" s="6"/>
      <c r="Q45" s="6"/>
      <c r="R45" s="6"/>
      <c r="S45" s="6"/>
      <c r="T45" s="6"/>
      <c r="U45" s="28"/>
    </row>
    <row r="46" spans="1:21" ht="75" x14ac:dyDescent="0.25">
      <c r="A46" s="13">
        <f>IF(B46="","",COUNTA($B$3:B46))</f>
        <v>44</v>
      </c>
      <c r="B46" s="14" t="s">
        <v>44</v>
      </c>
      <c r="C46" s="14" t="s">
        <v>78</v>
      </c>
      <c r="D46" s="12">
        <f>'9-11'!F46</f>
        <v>0</v>
      </c>
      <c r="E46" s="7">
        <f t="shared" si="0"/>
        <v>0</v>
      </c>
      <c r="F46" s="7">
        <f t="shared" si="1"/>
        <v>0</v>
      </c>
      <c r="G46" s="9"/>
      <c r="J46" s="27"/>
      <c r="K46" s="6"/>
      <c r="L46" s="6"/>
      <c r="M46" s="6"/>
      <c r="N46" s="6"/>
      <c r="O46" s="6"/>
      <c r="P46" s="6"/>
      <c r="Q46" s="6"/>
      <c r="R46" s="6"/>
      <c r="S46" s="6"/>
      <c r="T46" s="6"/>
      <c r="U46" s="28"/>
    </row>
    <row r="47" spans="1:21" ht="30" x14ac:dyDescent="0.25">
      <c r="A47" s="10">
        <f>IF(B47="","",COUNTA($B$3:B47))</f>
        <v>45</v>
      </c>
      <c r="B47" s="11" t="s">
        <v>45</v>
      </c>
      <c r="C47" s="11" t="s">
        <v>78</v>
      </c>
      <c r="D47" s="12">
        <f>'9-11'!F47</f>
        <v>0</v>
      </c>
      <c r="E47" s="7">
        <f t="shared" si="0"/>
        <v>0</v>
      </c>
      <c r="F47" s="7">
        <f t="shared" si="1"/>
        <v>0</v>
      </c>
      <c r="G47" s="9"/>
      <c r="J47" s="27"/>
      <c r="K47" s="6"/>
      <c r="L47" s="6"/>
      <c r="M47" s="6"/>
      <c r="N47" s="6"/>
      <c r="O47" s="6"/>
      <c r="P47" s="6"/>
      <c r="Q47" s="6"/>
      <c r="R47" s="6"/>
      <c r="S47" s="6"/>
      <c r="T47" s="6"/>
      <c r="U47" s="28"/>
    </row>
    <row r="48" spans="1:21" ht="30" x14ac:dyDescent="0.25">
      <c r="A48" s="13">
        <f>IF(B48="","",COUNTA($B$3:B48))</f>
        <v>46</v>
      </c>
      <c r="B48" s="14" t="s">
        <v>46</v>
      </c>
      <c r="C48" s="14" t="s">
        <v>78</v>
      </c>
      <c r="D48" s="12">
        <f>'9-11'!F48</f>
        <v>4</v>
      </c>
      <c r="E48" s="7">
        <f t="shared" si="0"/>
        <v>1</v>
      </c>
      <c r="F48" s="7">
        <f t="shared" si="1"/>
        <v>3</v>
      </c>
      <c r="G48" s="9"/>
      <c r="J48" s="27"/>
      <c r="K48" s="6"/>
      <c r="L48" s="6"/>
      <c r="M48" s="6"/>
      <c r="N48" s="6">
        <v>1</v>
      </c>
      <c r="O48" s="6"/>
      <c r="P48" s="6"/>
      <c r="Q48" s="6"/>
      <c r="R48" s="6"/>
      <c r="S48" s="6"/>
      <c r="T48" s="6"/>
      <c r="U48" s="28"/>
    </row>
    <row r="49" spans="1:21" ht="45" x14ac:dyDescent="0.25">
      <c r="A49" s="10">
        <f>IF(B49="","",COUNTA($B$3:B49))</f>
        <v>47</v>
      </c>
      <c r="B49" s="11" t="s">
        <v>47</v>
      </c>
      <c r="C49" s="11" t="s">
        <v>78</v>
      </c>
      <c r="D49" s="12">
        <f>'9-11'!F49</f>
        <v>2</v>
      </c>
      <c r="E49" s="7">
        <f t="shared" si="0"/>
        <v>0</v>
      </c>
      <c r="F49" s="7">
        <f t="shared" si="1"/>
        <v>2</v>
      </c>
      <c r="G49" s="9"/>
      <c r="J49" s="27"/>
      <c r="K49" s="6"/>
      <c r="L49" s="6"/>
      <c r="M49" s="6"/>
      <c r="N49" s="6"/>
      <c r="O49" s="6"/>
      <c r="P49" s="6"/>
      <c r="Q49" s="6"/>
      <c r="R49" s="6"/>
      <c r="S49" s="6"/>
      <c r="T49" s="6"/>
      <c r="U49" s="28"/>
    </row>
    <row r="50" spans="1:21" ht="60" x14ac:dyDescent="0.25">
      <c r="A50" s="13">
        <f>IF(B50="","",COUNTA($B$3:B50))</f>
        <v>48</v>
      </c>
      <c r="B50" s="14" t="s">
        <v>48</v>
      </c>
      <c r="C50" s="14" t="s">
        <v>78</v>
      </c>
      <c r="D50" s="12">
        <f>'9-11'!F50</f>
        <v>3</v>
      </c>
      <c r="E50" s="7">
        <f t="shared" si="0"/>
        <v>0</v>
      </c>
      <c r="F50" s="7">
        <f t="shared" si="1"/>
        <v>3</v>
      </c>
      <c r="G50" s="9"/>
      <c r="J50" s="27"/>
      <c r="K50" s="6"/>
      <c r="L50" s="6"/>
      <c r="M50" s="6"/>
      <c r="N50" s="6"/>
      <c r="O50" s="6"/>
      <c r="P50" s="6"/>
      <c r="Q50" s="6"/>
      <c r="R50" s="6"/>
      <c r="S50" s="6"/>
      <c r="T50" s="6"/>
      <c r="U50" s="28"/>
    </row>
    <row r="51" spans="1:21" ht="30" x14ac:dyDescent="0.25">
      <c r="A51" s="10">
        <f>IF(B51="","",COUNTA($B$3:B51))</f>
        <v>49</v>
      </c>
      <c r="B51" s="11" t="s">
        <v>49</v>
      </c>
      <c r="C51" s="11" t="s">
        <v>78</v>
      </c>
      <c r="D51" s="12">
        <f>'9-11'!F51</f>
        <v>0</v>
      </c>
      <c r="E51" s="7">
        <f t="shared" si="0"/>
        <v>0</v>
      </c>
      <c r="F51" s="7">
        <f t="shared" si="1"/>
        <v>0</v>
      </c>
      <c r="G51" s="9"/>
      <c r="J51" s="27"/>
      <c r="K51" s="6"/>
      <c r="L51" s="6"/>
      <c r="M51" s="6"/>
      <c r="N51" s="6"/>
      <c r="O51" s="6"/>
      <c r="P51" s="6"/>
      <c r="Q51" s="6"/>
      <c r="R51" s="6"/>
      <c r="S51" s="6"/>
      <c r="T51" s="6"/>
      <c r="U51" s="28"/>
    </row>
    <row r="52" spans="1:21" ht="30" x14ac:dyDescent="0.25">
      <c r="A52" s="13">
        <f>IF(B52="","",COUNTA($B$3:B52))</f>
        <v>50</v>
      </c>
      <c r="B52" s="14" t="s">
        <v>2</v>
      </c>
      <c r="C52" s="14" t="s">
        <v>78</v>
      </c>
      <c r="D52" s="12">
        <f>'9-11'!F52</f>
        <v>0</v>
      </c>
      <c r="E52" s="7">
        <f t="shared" si="0"/>
        <v>0</v>
      </c>
      <c r="F52" s="7">
        <f t="shared" si="1"/>
        <v>0</v>
      </c>
      <c r="G52" s="9"/>
      <c r="J52" s="27"/>
      <c r="K52" s="6"/>
      <c r="L52" s="6"/>
      <c r="M52" s="6"/>
      <c r="N52" s="6"/>
      <c r="O52" s="6"/>
      <c r="P52" s="6"/>
      <c r="Q52" s="6"/>
      <c r="R52" s="6"/>
      <c r="S52" s="6"/>
      <c r="T52" s="6"/>
      <c r="U52" s="28"/>
    </row>
    <row r="53" spans="1:21" ht="30" x14ac:dyDescent="0.25">
      <c r="A53" s="10">
        <f>IF(B53="","",COUNTA($B$3:B53))</f>
        <v>51</v>
      </c>
      <c r="B53" s="11" t="s">
        <v>50</v>
      </c>
      <c r="C53" s="11" t="s">
        <v>79</v>
      </c>
      <c r="D53" s="12">
        <f>'9-11'!F53</f>
        <v>0</v>
      </c>
      <c r="E53" s="7">
        <f t="shared" si="0"/>
        <v>0</v>
      </c>
      <c r="F53" s="7">
        <f t="shared" si="1"/>
        <v>0</v>
      </c>
      <c r="G53" s="9"/>
      <c r="J53" s="27"/>
      <c r="K53" s="6"/>
      <c r="L53" s="6"/>
      <c r="M53" s="6"/>
      <c r="N53" s="6"/>
      <c r="O53" s="6"/>
      <c r="P53" s="6"/>
      <c r="Q53" s="6"/>
      <c r="R53" s="6"/>
      <c r="S53" s="6"/>
      <c r="T53" s="6"/>
      <c r="U53" s="28"/>
    </row>
    <row r="54" spans="1:21" ht="45" x14ac:dyDescent="0.25">
      <c r="A54" s="13">
        <f>IF(B54="","",COUNTA($B$3:B54))</f>
        <v>52</v>
      </c>
      <c r="B54" s="14" t="s">
        <v>51</v>
      </c>
      <c r="C54" s="14" t="s">
        <v>79</v>
      </c>
      <c r="D54" s="12">
        <f>'9-11'!F54</f>
        <v>0</v>
      </c>
      <c r="E54" s="7">
        <f t="shared" si="0"/>
        <v>0</v>
      </c>
      <c r="F54" s="7">
        <f t="shared" si="1"/>
        <v>0</v>
      </c>
      <c r="G54" s="9"/>
      <c r="J54" s="27"/>
      <c r="K54" s="6"/>
      <c r="L54" s="6"/>
      <c r="M54" s="6"/>
      <c r="N54" s="6"/>
      <c r="O54" s="6"/>
      <c r="P54" s="6"/>
      <c r="Q54" s="6"/>
      <c r="R54" s="6"/>
      <c r="S54" s="6"/>
      <c r="T54" s="6"/>
      <c r="U54" s="28"/>
    </row>
    <row r="55" spans="1:21" ht="30" x14ac:dyDescent="0.25">
      <c r="A55" s="10">
        <f>IF(B55="","",COUNTA($B$3:B55))</f>
        <v>53</v>
      </c>
      <c r="B55" s="11" t="s">
        <v>52</v>
      </c>
      <c r="C55" s="11" t="s">
        <v>78</v>
      </c>
      <c r="D55" s="12">
        <f>'9-11'!F55</f>
        <v>100</v>
      </c>
      <c r="E55" s="7">
        <f t="shared" si="0"/>
        <v>0</v>
      </c>
      <c r="F55" s="7">
        <f t="shared" si="1"/>
        <v>100</v>
      </c>
      <c r="G55" s="9"/>
      <c r="J55" s="27"/>
      <c r="K55" s="6"/>
      <c r="L55" s="6"/>
      <c r="M55" s="6"/>
      <c r="N55" s="6"/>
      <c r="O55" s="6"/>
      <c r="P55" s="6"/>
      <c r="Q55" s="6"/>
      <c r="R55" s="6"/>
      <c r="S55" s="6"/>
      <c r="T55" s="6"/>
      <c r="U55" s="28"/>
    </row>
    <row r="56" spans="1:21" ht="45" x14ac:dyDescent="0.25">
      <c r="A56" s="13">
        <f>IF(B56="","",COUNTA($B$3:B56))</f>
        <v>54</v>
      </c>
      <c r="B56" s="14" t="s">
        <v>53</v>
      </c>
      <c r="C56" s="14" t="s">
        <v>78</v>
      </c>
      <c r="D56" s="12">
        <f>'9-11'!F56</f>
        <v>15</v>
      </c>
      <c r="E56" s="7">
        <f t="shared" si="0"/>
        <v>0</v>
      </c>
      <c r="F56" s="7">
        <f t="shared" si="1"/>
        <v>15</v>
      </c>
      <c r="G56" s="9"/>
      <c r="J56" s="27"/>
      <c r="K56" s="6"/>
      <c r="L56" s="6"/>
      <c r="M56" s="6"/>
      <c r="N56" s="6"/>
      <c r="O56" s="6"/>
      <c r="P56" s="6"/>
      <c r="Q56" s="6"/>
      <c r="R56" s="6"/>
      <c r="S56" s="6"/>
      <c r="T56" s="6"/>
      <c r="U56" s="28"/>
    </row>
    <row r="57" spans="1:21" ht="45" x14ac:dyDescent="0.25">
      <c r="A57" s="10">
        <f>IF(B57="","",COUNTA($B$3:B57))</f>
        <v>55</v>
      </c>
      <c r="B57" s="11" t="s">
        <v>54</v>
      </c>
      <c r="C57" s="11" t="s">
        <v>78</v>
      </c>
      <c r="D57" s="12">
        <f>'9-11'!F57</f>
        <v>5</v>
      </c>
      <c r="E57" s="7">
        <f t="shared" si="0"/>
        <v>0</v>
      </c>
      <c r="F57" s="7">
        <f t="shared" si="1"/>
        <v>5</v>
      </c>
      <c r="G57" s="9"/>
      <c r="J57" s="27"/>
      <c r="K57" s="6"/>
      <c r="L57" s="6"/>
      <c r="M57" s="6"/>
      <c r="N57" s="6"/>
      <c r="O57" s="6"/>
      <c r="P57" s="6"/>
      <c r="Q57" s="6"/>
      <c r="R57" s="6"/>
      <c r="S57" s="6"/>
      <c r="T57" s="6"/>
      <c r="U57" s="28"/>
    </row>
    <row r="58" spans="1:21" ht="45" x14ac:dyDescent="0.25">
      <c r="A58" s="13">
        <f>IF(B58="","",COUNTA($B$3:B58))</f>
        <v>56</v>
      </c>
      <c r="B58" s="14" t="s">
        <v>55</v>
      </c>
      <c r="C58" s="14" t="s">
        <v>78</v>
      </c>
      <c r="D58" s="12">
        <f>'9-11'!F58</f>
        <v>10</v>
      </c>
      <c r="E58" s="7">
        <f t="shared" si="0"/>
        <v>0</v>
      </c>
      <c r="F58" s="7">
        <f t="shared" si="1"/>
        <v>10</v>
      </c>
      <c r="G58" s="9"/>
      <c r="J58" s="27"/>
      <c r="K58" s="6"/>
      <c r="L58" s="6"/>
      <c r="M58" s="6"/>
      <c r="N58" s="6"/>
      <c r="O58" s="6"/>
      <c r="P58" s="6"/>
      <c r="Q58" s="6"/>
      <c r="R58" s="6"/>
      <c r="S58" s="6"/>
      <c r="T58" s="6"/>
      <c r="U58" s="28"/>
    </row>
    <row r="59" spans="1:21" ht="75" x14ac:dyDescent="0.25">
      <c r="A59" s="10">
        <f>IF(B59="","",COUNTA($B$3:B59))</f>
        <v>57</v>
      </c>
      <c r="B59" s="11" t="s">
        <v>56</v>
      </c>
      <c r="C59" s="11" t="s">
        <v>78</v>
      </c>
      <c r="D59" s="12">
        <f>'9-11'!F59</f>
        <v>0</v>
      </c>
      <c r="E59" s="7">
        <f t="shared" si="0"/>
        <v>0</v>
      </c>
      <c r="F59" s="7">
        <f t="shared" si="1"/>
        <v>0</v>
      </c>
      <c r="G59" s="9"/>
      <c r="J59" s="27"/>
      <c r="K59" s="6"/>
      <c r="L59" s="6"/>
      <c r="M59" s="6"/>
      <c r="N59" s="6"/>
      <c r="O59" s="6"/>
      <c r="P59" s="6"/>
      <c r="Q59" s="6"/>
      <c r="R59" s="6"/>
      <c r="S59" s="6"/>
      <c r="T59" s="6"/>
      <c r="U59" s="28"/>
    </row>
    <row r="60" spans="1:21" ht="30" x14ac:dyDescent="0.25">
      <c r="A60" s="13">
        <f>IF(B60="","",COUNTA($B$3:B60))</f>
        <v>58</v>
      </c>
      <c r="B60" s="14" t="s">
        <v>57</v>
      </c>
      <c r="C60" s="14" t="s">
        <v>78</v>
      </c>
      <c r="D60" s="12">
        <f>'9-11'!F60</f>
        <v>5</v>
      </c>
      <c r="E60" s="7">
        <f t="shared" si="0"/>
        <v>0</v>
      </c>
      <c r="F60" s="7">
        <f t="shared" si="1"/>
        <v>5</v>
      </c>
      <c r="G60" s="9"/>
      <c r="J60" s="27"/>
      <c r="K60" s="6"/>
      <c r="L60" s="6"/>
      <c r="M60" s="6"/>
      <c r="N60" s="6"/>
      <c r="O60" s="6"/>
      <c r="P60" s="6"/>
      <c r="Q60" s="6"/>
      <c r="R60" s="6"/>
      <c r="S60" s="6"/>
      <c r="T60" s="6"/>
      <c r="U60" s="28"/>
    </row>
    <row r="61" spans="1:21" ht="30" x14ac:dyDescent="0.25">
      <c r="A61" s="10">
        <f>IF(B61="","",COUNTA($B$3:B61))</f>
        <v>59</v>
      </c>
      <c r="B61" s="11" t="s">
        <v>58</v>
      </c>
      <c r="C61" s="11" t="s">
        <v>78</v>
      </c>
      <c r="D61" s="12">
        <f>'9-11'!F61</f>
        <v>4</v>
      </c>
      <c r="E61" s="7">
        <f t="shared" si="0"/>
        <v>0</v>
      </c>
      <c r="F61" s="7">
        <f t="shared" si="1"/>
        <v>4</v>
      </c>
      <c r="G61" s="9"/>
      <c r="J61" s="27"/>
      <c r="K61" s="6"/>
      <c r="L61" s="6"/>
      <c r="M61" s="6"/>
      <c r="N61" s="6"/>
      <c r="O61" s="6"/>
      <c r="P61" s="6"/>
      <c r="Q61" s="6"/>
      <c r="R61" s="6"/>
      <c r="S61" s="6"/>
      <c r="T61" s="6"/>
      <c r="U61" s="28"/>
    </row>
    <row r="62" spans="1:21" ht="60" x14ac:dyDescent="0.25">
      <c r="A62" s="13">
        <f>IF(B62="","",COUNTA($B$3:B62))</f>
        <v>60</v>
      </c>
      <c r="B62" s="14" t="s">
        <v>59</v>
      </c>
      <c r="C62" s="14" t="s">
        <v>78</v>
      </c>
      <c r="D62" s="12">
        <f>'9-11'!F62</f>
        <v>1</v>
      </c>
      <c r="E62" s="7">
        <f t="shared" si="0"/>
        <v>0</v>
      </c>
      <c r="F62" s="7">
        <f t="shared" si="1"/>
        <v>1</v>
      </c>
      <c r="G62" s="9"/>
      <c r="J62" s="27"/>
      <c r="K62" s="6"/>
      <c r="L62" s="6"/>
      <c r="M62" s="6"/>
      <c r="N62" s="6"/>
      <c r="O62" s="6"/>
      <c r="P62" s="6"/>
      <c r="Q62" s="6"/>
      <c r="R62" s="6"/>
      <c r="S62" s="6"/>
      <c r="T62" s="6"/>
      <c r="U62" s="28"/>
    </row>
    <row r="63" spans="1:21" ht="60" x14ac:dyDescent="0.25">
      <c r="A63" s="10">
        <f>IF(B63="","",COUNTA($B$3:B63))</f>
        <v>61</v>
      </c>
      <c r="B63" s="11" t="s">
        <v>60</v>
      </c>
      <c r="C63" s="11" t="s">
        <v>78</v>
      </c>
      <c r="D63" s="12">
        <f>'9-11'!F63</f>
        <v>7</v>
      </c>
      <c r="E63" s="7">
        <f t="shared" si="0"/>
        <v>0</v>
      </c>
      <c r="F63" s="7">
        <f t="shared" si="1"/>
        <v>7</v>
      </c>
      <c r="G63" s="9"/>
      <c r="J63" s="27"/>
      <c r="K63" s="6"/>
      <c r="L63" s="6"/>
      <c r="M63" s="6"/>
      <c r="N63" s="6"/>
      <c r="O63" s="6"/>
      <c r="P63" s="6"/>
      <c r="Q63" s="6"/>
      <c r="R63" s="6"/>
      <c r="S63" s="6"/>
      <c r="T63" s="6"/>
      <c r="U63" s="28"/>
    </row>
    <row r="64" spans="1:21" ht="60" x14ac:dyDescent="0.25">
      <c r="A64" s="13">
        <f>IF(B64="","",COUNTA($B$3:B64))</f>
        <v>62</v>
      </c>
      <c r="B64" s="14" t="s">
        <v>61</v>
      </c>
      <c r="C64" s="14" t="s">
        <v>78</v>
      </c>
      <c r="D64" s="12">
        <f>'9-11'!F64</f>
        <v>6</v>
      </c>
      <c r="E64" s="7">
        <f t="shared" si="0"/>
        <v>0</v>
      </c>
      <c r="F64" s="7">
        <f t="shared" si="1"/>
        <v>6</v>
      </c>
      <c r="G64" s="9"/>
      <c r="J64" s="27"/>
      <c r="K64" s="6"/>
      <c r="L64" s="6"/>
      <c r="M64" s="6"/>
      <c r="N64" s="6"/>
      <c r="O64" s="6"/>
      <c r="P64" s="6"/>
      <c r="Q64" s="6"/>
      <c r="R64" s="6"/>
      <c r="S64" s="6"/>
      <c r="T64" s="6"/>
      <c r="U64" s="28"/>
    </row>
    <row r="65" spans="1:21" ht="30" x14ac:dyDescent="0.25">
      <c r="A65" s="10">
        <f>IF(B65="","",COUNTA($B$3:B65))</f>
        <v>63</v>
      </c>
      <c r="B65" s="11" t="s">
        <v>62</v>
      </c>
      <c r="C65" s="11" t="s">
        <v>78</v>
      </c>
      <c r="D65" s="12">
        <f>'9-11'!F65</f>
        <v>1</v>
      </c>
      <c r="E65" s="7">
        <f t="shared" si="0"/>
        <v>0</v>
      </c>
      <c r="F65" s="7">
        <f t="shared" si="1"/>
        <v>1</v>
      </c>
      <c r="G65" s="9"/>
      <c r="J65" s="27"/>
      <c r="K65" s="6"/>
      <c r="L65" s="6"/>
      <c r="M65" s="6"/>
      <c r="N65" s="6"/>
      <c r="O65" s="6"/>
      <c r="P65" s="6"/>
      <c r="Q65" s="6"/>
      <c r="R65" s="6"/>
      <c r="S65" s="6"/>
      <c r="T65" s="6"/>
      <c r="U65" s="28"/>
    </row>
    <row r="66" spans="1:21" ht="45" x14ac:dyDescent="0.25">
      <c r="A66" s="13">
        <f>IF(B66="","",COUNTA($B$3:B66))</f>
        <v>64</v>
      </c>
      <c r="B66" s="14" t="s">
        <v>63</v>
      </c>
      <c r="C66" s="14" t="s">
        <v>78</v>
      </c>
      <c r="D66" s="12">
        <f>'9-11'!F66</f>
        <v>1</v>
      </c>
      <c r="E66" s="7">
        <f t="shared" si="0"/>
        <v>0</v>
      </c>
      <c r="F66" s="7">
        <f t="shared" si="1"/>
        <v>1</v>
      </c>
      <c r="G66" s="9"/>
      <c r="J66" s="27"/>
      <c r="K66" s="6"/>
      <c r="L66" s="6"/>
      <c r="M66" s="6"/>
      <c r="N66" s="6"/>
      <c r="O66" s="6"/>
      <c r="P66" s="6"/>
      <c r="Q66" s="6"/>
      <c r="R66" s="6"/>
      <c r="S66" s="6"/>
      <c r="T66" s="6"/>
      <c r="U66" s="28"/>
    </row>
    <row r="67" spans="1:21" ht="75" x14ac:dyDescent="0.25">
      <c r="A67" s="10">
        <f>IF(B67="","",COUNTA($B$3:B67))</f>
        <v>65</v>
      </c>
      <c r="B67" s="11" t="s">
        <v>64</v>
      </c>
      <c r="C67" s="11" t="s">
        <v>78</v>
      </c>
      <c r="D67" s="12">
        <f>'9-11'!F67</f>
        <v>2</v>
      </c>
      <c r="E67" s="7">
        <f t="shared" ref="E67:E81" si="2">SUM(J67:U67)</f>
        <v>0</v>
      </c>
      <c r="F67" s="7">
        <f t="shared" ref="F67:F81" si="3">D67-E67</f>
        <v>2</v>
      </c>
      <c r="G67" s="9"/>
      <c r="J67" s="27"/>
      <c r="K67" s="6"/>
      <c r="L67" s="6"/>
      <c r="M67" s="6"/>
      <c r="N67" s="6"/>
      <c r="O67" s="6"/>
      <c r="P67" s="6"/>
      <c r="Q67" s="6"/>
      <c r="R67" s="6"/>
      <c r="S67" s="6"/>
      <c r="T67" s="6"/>
      <c r="U67" s="28"/>
    </row>
    <row r="68" spans="1:21" ht="45" x14ac:dyDescent="0.25">
      <c r="A68" s="13">
        <f>IF(B68="","",COUNTA($B$3:B68))</f>
        <v>66</v>
      </c>
      <c r="B68" s="14" t="s">
        <v>65</v>
      </c>
      <c r="C68" s="14" t="s">
        <v>78</v>
      </c>
      <c r="D68" s="12">
        <f>'9-11'!F68</f>
        <v>30</v>
      </c>
      <c r="E68" s="7">
        <f t="shared" si="2"/>
        <v>0</v>
      </c>
      <c r="F68" s="7">
        <f t="shared" si="3"/>
        <v>30</v>
      </c>
      <c r="G68" s="9"/>
      <c r="J68" s="27"/>
      <c r="K68" s="6"/>
      <c r="L68" s="6"/>
      <c r="M68" s="6"/>
      <c r="N68" s="6"/>
      <c r="O68" s="6"/>
      <c r="P68" s="6"/>
      <c r="Q68" s="6"/>
      <c r="R68" s="6"/>
      <c r="S68" s="6"/>
      <c r="T68" s="6"/>
      <c r="U68" s="28"/>
    </row>
    <row r="69" spans="1:21" ht="30" x14ac:dyDescent="0.25">
      <c r="A69" s="10">
        <f>IF(B69="","",COUNTA($B$3:B69))</f>
        <v>67</v>
      </c>
      <c r="B69" s="11" t="s">
        <v>66</v>
      </c>
      <c r="C69" s="11" t="s">
        <v>79</v>
      </c>
      <c r="D69" s="12">
        <f>'9-11'!F69</f>
        <v>1</v>
      </c>
      <c r="E69" s="7">
        <f t="shared" si="2"/>
        <v>0</v>
      </c>
      <c r="F69" s="7">
        <f t="shared" si="3"/>
        <v>1</v>
      </c>
      <c r="G69" s="9"/>
      <c r="J69" s="27"/>
      <c r="K69" s="6"/>
      <c r="L69" s="6"/>
      <c r="M69" s="6"/>
      <c r="N69" s="6"/>
      <c r="O69" s="6"/>
      <c r="P69" s="6"/>
      <c r="Q69" s="6"/>
      <c r="R69" s="6"/>
      <c r="S69" s="6"/>
      <c r="T69" s="6"/>
      <c r="U69" s="28"/>
    </row>
    <row r="70" spans="1:21" ht="45" x14ac:dyDescent="0.25">
      <c r="A70" s="18">
        <f>IF(B70="","",COUNTA($B$3:B70))</f>
        <v>68</v>
      </c>
      <c r="B70" s="17" t="s">
        <v>67</v>
      </c>
      <c r="C70" s="17" t="s">
        <v>78</v>
      </c>
      <c r="D70" s="12">
        <f>'9-11'!F70</f>
        <v>0</v>
      </c>
      <c r="E70" s="7">
        <f t="shared" si="2"/>
        <v>0</v>
      </c>
      <c r="F70" s="7">
        <f t="shared" si="3"/>
        <v>0</v>
      </c>
      <c r="G70" s="9"/>
      <c r="J70" s="27"/>
      <c r="K70" s="6"/>
      <c r="L70" s="6"/>
      <c r="M70" s="6"/>
      <c r="N70" s="6"/>
      <c r="O70" s="6"/>
      <c r="P70" s="6"/>
      <c r="Q70" s="6"/>
      <c r="R70" s="6"/>
      <c r="S70" s="6"/>
      <c r="T70" s="6"/>
      <c r="U70" s="28"/>
    </row>
    <row r="71" spans="1:21" ht="30" x14ac:dyDescent="0.25">
      <c r="A71" s="19">
        <f>IF(B71="","",COUNTA($B$3:B71))</f>
        <v>69</v>
      </c>
      <c r="B71" s="11" t="s">
        <v>68</v>
      </c>
      <c r="C71" s="11" t="s">
        <v>78</v>
      </c>
      <c r="D71" s="12">
        <f>'9-11'!F71</f>
        <v>0</v>
      </c>
      <c r="E71" s="7">
        <f t="shared" si="2"/>
        <v>0</v>
      </c>
      <c r="F71" s="7">
        <f t="shared" si="3"/>
        <v>0</v>
      </c>
      <c r="G71" s="9"/>
      <c r="J71" s="27"/>
      <c r="K71" s="6"/>
      <c r="L71" s="6"/>
      <c r="M71" s="6"/>
      <c r="N71" s="6"/>
      <c r="O71" s="6"/>
      <c r="P71" s="6"/>
      <c r="Q71" s="6"/>
      <c r="R71" s="6"/>
      <c r="S71" s="6"/>
      <c r="T71" s="6"/>
      <c r="U71" s="28"/>
    </row>
    <row r="72" spans="1:21" ht="30" x14ac:dyDescent="0.25">
      <c r="A72" s="18">
        <f>IF(B72="","",COUNTA($B$3:B72))</f>
        <v>70</v>
      </c>
      <c r="B72" s="14" t="s">
        <v>69</v>
      </c>
      <c r="C72" s="14" t="s">
        <v>78</v>
      </c>
      <c r="D72" s="12">
        <f>'9-11'!F72</f>
        <v>14</v>
      </c>
      <c r="E72" s="7">
        <f t="shared" si="2"/>
        <v>0</v>
      </c>
      <c r="F72" s="7">
        <f t="shared" si="3"/>
        <v>14</v>
      </c>
      <c r="G72" s="9"/>
      <c r="J72" s="27"/>
      <c r="K72" s="6"/>
      <c r="L72" s="6"/>
      <c r="M72" s="6"/>
      <c r="N72" s="6"/>
      <c r="O72" s="6"/>
      <c r="P72" s="6"/>
      <c r="Q72" s="6"/>
      <c r="R72" s="6"/>
      <c r="S72" s="6"/>
      <c r="T72" s="6"/>
      <c r="U72" s="28"/>
    </row>
    <row r="73" spans="1:21" ht="30" x14ac:dyDescent="0.25">
      <c r="A73" s="19">
        <f>IF(B73="","",COUNTA($B$3:B73))</f>
        <v>71</v>
      </c>
      <c r="B73" s="11" t="s">
        <v>70</v>
      </c>
      <c r="C73" s="11" t="s">
        <v>78</v>
      </c>
      <c r="D73" s="12">
        <f>'9-11'!F73</f>
        <v>38</v>
      </c>
      <c r="E73" s="7">
        <f t="shared" si="2"/>
        <v>0</v>
      </c>
      <c r="F73" s="7">
        <f t="shared" si="3"/>
        <v>38</v>
      </c>
      <c r="G73" s="9"/>
      <c r="J73" s="27"/>
      <c r="K73" s="6"/>
      <c r="L73" s="6"/>
      <c r="M73" s="6"/>
      <c r="N73" s="6"/>
      <c r="O73" s="6"/>
      <c r="P73" s="6"/>
      <c r="Q73" s="6"/>
      <c r="R73" s="6"/>
      <c r="S73" s="6"/>
      <c r="T73" s="6"/>
      <c r="U73" s="28"/>
    </row>
    <row r="74" spans="1:21" ht="30" x14ac:dyDescent="0.25">
      <c r="A74" s="18">
        <f>IF(B74="","",COUNTA($B$3:B74))</f>
        <v>72</v>
      </c>
      <c r="B74" s="14" t="s">
        <v>71</v>
      </c>
      <c r="C74" s="14" t="s">
        <v>78</v>
      </c>
      <c r="D74" s="12">
        <f>'9-11'!F74</f>
        <v>5</v>
      </c>
      <c r="E74" s="7">
        <f t="shared" si="2"/>
        <v>0</v>
      </c>
      <c r="F74" s="7">
        <f t="shared" si="3"/>
        <v>5</v>
      </c>
      <c r="G74" s="9"/>
      <c r="J74" s="27"/>
      <c r="K74" s="6"/>
      <c r="L74" s="6"/>
      <c r="M74" s="6"/>
      <c r="N74" s="6"/>
      <c r="O74" s="6"/>
      <c r="P74" s="6"/>
      <c r="Q74" s="6"/>
      <c r="R74" s="6"/>
      <c r="S74" s="6"/>
      <c r="T74" s="6"/>
      <c r="U74" s="28"/>
    </row>
    <row r="75" spans="1:21" ht="60" x14ac:dyDescent="0.25">
      <c r="A75" s="19">
        <f>IF(B75="","",COUNTA($B$3:B75))</f>
        <v>73</v>
      </c>
      <c r="B75" s="11" t="s">
        <v>72</v>
      </c>
      <c r="C75" s="11" t="s">
        <v>78</v>
      </c>
      <c r="D75" s="12">
        <f>'9-11'!F75</f>
        <v>185</v>
      </c>
      <c r="E75" s="7">
        <f t="shared" si="2"/>
        <v>0</v>
      </c>
      <c r="F75" s="7">
        <f t="shared" si="3"/>
        <v>185</v>
      </c>
      <c r="G75" s="9"/>
      <c r="J75" s="27"/>
      <c r="K75" s="6"/>
      <c r="L75" s="6"/>
      <c r="M75" s="6"/>
      <c r="N75" s="6"/>
      <c r="O75" s="6"/>
      <c r="P75" s="6"/>
      <c r="Q75" s="6"/>
      <c r="R75" s="6"/>
      <c r="S75" s="6"/>
      <c r="T75" s="6"/>
      <c r="U75" s="28"/>
    </row>
    <row r="76" spans="1:21" ht="30" x14ac:dyDescent="0.25">
      <c r="A76" s="18">
        <f>IF(B76="","",COUNTA($B$3:B76))</f>
        <v>74</v>
      </c>
      <c r="B76" s="14" t="s">
        <v>73</v>
      </c>
      <c r="C76" s="14" t="s">
        <v>78</v>
      </c>
      <c r="D76" s="12">
        <f>'9-11'!F76</f>
        <v>4</v>
      </c>
      <c r="E76" s="7">
        <f t="shared" si="2"/>
        <v>0</v>
      </c>
      <c r="F76" s="7">
        <f t="shared" si="3"/>
        <v>4</v>
      </c>
      <c r="G76" s="9"/>
      <c r="J76" s="27"/>
      <c r="K76" s="6"/>
      <c r="L76" s="6"/>
      <c r="M76" s="6"/>
      <c r="N76" s="6"/>
      <c r="O76" s="6"/>
      <c r="P76" s="6"/>
      <c r="Q76" s="6"/>
      <c r="R76" s="6"/>
      <c r="S76" s="6"/>
      <c r="T76" s="6"/>
      <c r="U76" s="28"/>
    </row>
    <row r="77" spans="1:21" ht="45" x14ac:dyDescent="0.25">
      <c r="A77" s="19">
        <f>IF(B77="","",COUNTA($B$3:B77))</f>
        <v>75</v>
      </c>
      <c r="B77" s="11" t="s">
        <v>74</v>
      </c>
      <c r="C77" s="11" t="s">
        <v>78</v>
      </c>
      <c r="D77" s="12">
        <f>'9-11'!F77</f>
        <v>8</v>
      </c>
      <c r="E77" s="7">
        <f t="shared" si="2"/>
        <v>0</v>
      </c>
      <c r="F77" s="7">
        <f t="shared" si="3"/>
        <v>8</v>
      </c>
      <c r="G77" s="9"/>
      <c r="J77" s="27"/>
      <c r="K77" s="6"/>
      <c r="L77" s="6"/>
      <c r="M77" s="6"/>
      <c r="N77" s="6"/>
      <c r="O77" s="6"/>
      <c r="P77" s="6"/>
      <c r="Q77" s="6"/>
      <c r="R77" s="6"/>
      <c r="S77" s="6"/>
      <c r="T77" s="6"/>
      <c r="U77" s="28"/>
    </row>
    <row r="78" spans="1:21" ht="45" x14ac:dyDescent="0.25">
      <c r="A78" s="18">
        <f>IF(B78="","",COUNTA($B$3:B78))</f>
        <v>76</v>
      </c>
      <c r="B78" s="17" t="s">
        <v>75</v>
      </c>
      <c r="C78" s="17" t="s">
        <v>78</v>
      </c>
      <c r="D78" s="12">
        <f>'9-11'!F78</f>
        <v>19</v>
      </c>
      <c r="E78" s="7">
        <f t="shared" si="2"/>
        <v>0</v>
      </c>
      <c r="F78" s="7">
        <f t="shared" si="3"/>
        <v>19</v>
      </c>
      <c r="G78" s="9"/>
      <c r="J78" s="27"/>
      <c r="K78" s="6"/>
      <c r="L78" s="6"/>
      <c r="M78" s="6"/>
      <c r="N78" s="6"/>
      <c r="O78" s="6"/>
      <c r="P78" s="6"/>
      <c r="Q78" s="6"/>
      <c r="R78" s="6"/>
      <c r="S78" s="6"/>
      <c r="T78" s="6"/>
      <c r="U78" s="28"/>
    </row>
    <row r="79" spans="1:21" ht="30" x14ac:dyDescent="0.25">
      <c r="A79" s="19">
        <f>IF(B79="","",COUNTA($B$3:B79))</f>
        <v>77</v>
      </c>
      <c r="B79" s="21" t="s">
        <v>76</v>
      </c>
      <c r="C79" s="21" t="s">
        <v>78</v>
      </c>
      <c r="D79" s="12">
        <f>'9-11'!F79</f>
        <v>8</v>
      </c>
      <c r="E79" s="7">
        <f t="shared" si="2"/>
        <v>0</v>
      </c>
      <c r="F79" s="7">
        <f t="shared" si="3"/>
        <v>8</v>
      </c>
      <c r="G79" s="9"/>
      <c r="J79" s="27"/>
      <c r="K79" s="6"/>
      <c r="L79" s="6"/>
      <c r="M79" s="6"/>
      <c r="N79" s="6"/>
      <c r="O79" s="6"/>
      <c r="P79" s="6"/>
      <c r="Q79" s="6"/>
      <c r="R79" s="6"/>
      <c r="S79" s="6"/>
      <c r="T79" s="6"/>
      <c r="U79" s="28"/>
    </row>
    <row r="80" spans="1:21" ht="30" x14ac:dyDescent="0.25">
      <c r="A80" s="18">
        <f>IF(B80="","",COUNTA($B$3:B80))</f>
        <v>78</v>
      </c>
      <c r="B80" s="14" t="s">
        <v>41</v>
      </c>
      <c r="C80" s="17" t="s">
        <v>78</v>
      </c>
      <c r="D80" s="12">
        <f>'9-11'!F80</f>
        <v>1</v>
      </c>
      <c r="E80" s="7">
        <f t="shared" si="2"/>
        <v>0</v>
      </c>
      <c r="F80" s="7">
        <f t="shared" si="3"/>
        <v>1</v>
      </c>
      <c r="G80" s="9"/>
      <c r="J80" s="27"/>
      <c r="K80" s="6"/>
      <c r="L80" s="6"/>
      <c r="M80" s="6"/>
      <c r="N80" s="6"/>
      <c r="O80" s="6"/>
      <c r="P80" s="6"/>
      <c r="Q80" s="6"/>
      <c r="R80" s="6"/>
      <c r="S80" s="6"/>
      <c r="T80" s="6"/>
      <c r="U80" s="28"/>
    </row>
    <row r="81" spans="1:21" ht="45" x14ac:dyDescent="0.25">
      <c r="A81" s="19">
        <f>IF(B81="","",COUNTA($B$3:B81))</f>
        <v>79</v>
      </c>
      <c r="B81" s="11" t="s">
        <v>42</v>
      </c>
      <c r="C81" s="21" t="s">
        <v>78</v>
      </c>
      <c r="D81" s="12">
        <f>'9-11'!F81</f>
        <v>0</v>
      </c>
      <c r="E81" s="7">
        <f t="shared" si="2"/>
        <v>0</v>
      </c>
      <c r="F81" s="7">
        <f t="shared" si="3"/>
        <v>0</v>
      </c>
      <c r="G81" s="9"/>
      <c r="J81" s="27"/>
      <c r="K81" s="6"/>
      <c r="L81" s="6"/>
      <c r="M81" s="6"/>
      <c r="N81" s="6"/>
      <c r="O81" s="6"/>
      <c r="P81" s="6"/>
      <c r="Q81" s="6"/>
      <c r="R81" s="6"/>
      <c r="S81" s="6"/>
      <c r="T81" s="6"/>
      <c r="U81" s="28"/>
    </row>
    <row r="82" spans="1:21" x14ac:dyDescent="0.25">
      <c r="A82" s="13" t="str">
        <f>IF(B82="","",COUNTA($B$3:B82))</f>
        <v/>
      </c>
      <c r="B82" s="17"/>
      <c r="C82" s="23"/>
      <c r="D82" s="23"/>
      <c r="E82" s="32"/>
      <c r="F82" s="7"/>
      <c r="G82" s="23"/>
      <c r="J82" s="27"/>
      <c r="K82" s="6"/>
      <c r="L82" s="6"/>
      <c r="M82" s="6"/>
      <c r="N82" s="6"/>
      <c r="O82" s="6"/>
      <c r="P82" s="6"/>
      <c r="Q82" s="6"/>
      <c r="R82" s="6"/>
      <c r="S82" s="6"/>
      <c r="T82" s="6"/>
      <c r="U82" s="28"/>
    </row>
    <row r="83" spans="1:21" ht="15.75" thickBot="1" x14ac:dyDescent="0.3">
      <c r="A83" s="24"/>
      <c r="B83" s="25"/>
      <c r="C83" s="23"/>
      <c r="D83" s="23"/>
      <c r="E83" s="32"/>
      <c r="F83" s="7"/>
      <c r="G83" s="23"/>
      <c r="J83" s="27"/>
      <c r="K83" s="6"/>
      <c r="L83" s="6"/>
      <c r="M83" s="6"/>
      <c r="N83" s="6"/>
      <c r="O83" s="6"/>
      <c r="P83" s="6"/>
      <c r="Q83" s="6"/>
      <c r="R83" s="6"/>
      <c r="S83" s="6"/>
      <c r="T83" s="6"/>
      <c r="U83" s="28"/>
    </row>
    <row r="84" spans="1:21" ht="15.75" thickBot="1" x14ac:dyDescent="0.3">
      <c r="A84" s="23"/>
      <c r="B84" s="23"/>
      <c r="C84" s="23"/>
      <c r="D84" s="23"/>
      <c r="E84" s="32"/>
      <c r="F84" s="7"/>
      <c r="G84" s="23"/>
      <c r="J84" s="29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1"/>
    </row>
  </sheetData>
  <mergeCells count="2">
    <mergeCell ref="B1:F1"/>
    <mergeCell ref="J1:U1"/>
  </mergeCells>
  <conditionalFormatting sqref="D3:D81">
    <cfRule type="cellIs" dxfId="161" priority="1" operator="lessThan">
      <formula>11</formula>
    </cfRule>
  </conditionalFormatting>
  <dataValidations count="2">
    <dataValidation type="list" allowBlank="1" showInputMessage="1" showErrorMessage="1" sqref="C3:C81">
      <formula1>"តូច small​  小, ធំ Big 大的"</formula1>
    </dataValidation>
    <dataValidation type="list" allowBlank="1" showInputMessage="1" showErrorMessage="1" sqref="G3:G81">
      <formula1>$X$3:$X$10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84"/>
  <sheetViews>
    <sheetView workbookViewId="0">
      <selection activeCell="M7" sqref="M7"/>
    </sheetView>
  </sheetViews>
  <sheetFormatPr defaultRowHeight="15" x14ac:dyDescent="0.25"/>
  <cols>
    <col min="1" max="1" width="14.85546875" customWidth="1"/>
    <col min="2" max="2" width="24.140625" customWidth="1"/>
    <col min="3" max="3" width="9.85546875" customWidth="1"/>
    <col min="4" max="4" width="16.42578125" customWidth="1"/>
    <col min="5" max="5" width="19.42578125" customWidth="1"/>
    <col min="6" max="6" width="12" customWidth="1"/>
    <col min="7" max="7" width="22.28515625" customWidth="1"/>
    <col min="8" max="8" width="2.5703125" customWidth="1"/>
    <col min="9" max="9" width="5.140625" hidden="1" customWidth="1"/>
    <col min="10" max="18" width="6.140625" customWidth="1"/>
    <col min="19" max="21" width="6.42578125" customWidth="1"/>
  </cols>
  <sheetData>
    <row r="1" spans="1:24" ht="58.5" customHeight="1" thickBot="1" x14ac:dyDescent="0.3">
      <c r="A1" s="1"/>
      <c r="B1" s="35" t="s">
        <v>101</v>
      </c>
      <c r="C1" s="35"/>
      <c r="D1" s="35"/>
      <c r="E1" s="35"/>
      <c r="F1" s="35"/>
      <c r="G1" s="2" t="s">
        <v>104</v>
      </c>
      <c r="J1" s="36" t="s">
        <v>103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8"/>
    </row>
    <row r="2" spans="1:24" ht="73.5" customHeight="1" thickBot="1" x14ac:dyDescent="0.3">
      <c r="A2" s="4" t="s">
        <v>0</v>
      </c>
      <c r="B2" s="3" t="s">
        <v>1</v>
      </c>
      <c r="C2" s="3" t="s">
        <v>77</v>
      </c>
      <c r="D2" s="3" t="s">
        <v>80</v>
      </c>
      <c r="E2" s="3" t="s">
        <v>81</v>
      </c>
      <c r="F2" s="3" t="s">
        <v>82</v>
      </c>
      <c r="G2" s="5" t="s">
        <v>83</v>
      </c>
      <c r="J2" s="26" t="s">
        <v>84</v>
      </c>
      <c r="K2" s="26" t="s">
        <v>85</v>
      </c>
      <c r="L2" s="26" t="s">
        <v>86</v>
      </c>
      <c r="M2" s="26" t="s">
        <v>87</v>
      </c>
      <c r="N2" s="26" t="s">
        <v>88</v>
      </c>
      <c r="O2" s="26" t="s">
        <v>89</v>
      </c>
      <c r="P2" s="26" t="s">
        <v>90</v>
      </c>
      <c r="Q2" s="26" t="s">
        <v>91</v>
      </c>
      <c r="R2" s="26" t="s">
        <v>92</v>
      </c>
      <c r="S2" s="26" t="s">
        <v>93</v>
      </c>
      <c r="T2" s="26" t="s">
        <v>94</v>
      </c>
      <c r="U2" s="26" t="s">
        <v>95</v>
      </c>
    </row>
    <row r="3" spans="1:24" ht="27.75" customHeight="1" x14ac:dyDescent="0.25">
      <c r="A3" s="10">
        <f>IF(B3="","",COUNTA($B$3:B3))</f>
        <v>1</v>
      </c>
      <c r="B3" s="11" t="s">
        <v>2</v>
      </c>
      <c r="C3" s="11" t="s">
        <v>78</v>
      </c>
      <c r="D3" s="12">
        <f>'9-12'!F3</f>
        <v>5</v>
      </c>
      <c r="E3" s="7">
        <f t="shared" ref="E3:E66" si="0">SUM(J3:U3)</f>
        <v>0</v>
      </c>
      <c r="F3" s="7">
        <f t="shared" ref="F3:F66" si="1">D3-E3</f>
        <v>5</v>
      </c>
      <c r="G3" s="8"/>
      <c r="J3" s="27"/>
      <c r="K3" s="6"/>
      <c r="L3" s="6"/>
      <c r="M3" s="6"/>
      <c r="N3" s="6"/>
      <c r="O3" s="6"/>
      <c r="P3" s="6"/>
      <c r="Q3" s="6"/>
      <c r="R3" s="6"/>
      <c r="S3" s="6"/>
      <c r="T3" s="6"/>
      <c r="U3" s="28"/>
      <c r="X3" t="s">
        <v>96</v>
      </c>
    </row>
    <row r="4" spans="1:24" ht="30" x14ac:dyDescent="0.25">
      <c r="A4" s="13">
        <f>IF(B4="","",COUNTA($B$3:B4))</f>
        <v>2</v>
      </c>
      <c r="B4" s="14" t="s">
        <v>3</v>
      </c>
      <c r="C4" s="14" t="s">
        <v>78</v>
      </c>
      <c r="D4" s="12">
        <f>'9-12'!F4</f>
        <v>60</v>
      </c>
      <c r="E4" s="7">
        <f t="shared" si="0"/>
        <v>0</v>
      </c>
      <c r="F4" s="7">
        <f t="shared" si="1"/>
        <v>60</v>
      </c>
      <c r="G4" s="9"/>
      <c r="J4" s="27"/>
      <c r="K4" s="6"/>
      <c r="L4" s="6"/>
      <c r="M4" s="6"/>
      <c r="N4" s="6"/>
      <c r="O4" s="6"/>
      <c r="P4" s="6"/>
      <c r="Q4" s="6"/>
      <c r="R4" s="6"/>
      <c r="S4" s="6"/>
      <c r="T4" s="6"/>
      <c r="U4" s="28"/>
      <c r="X4" t="s">
        <v>97</v>
      </c>
    </row>
    <row r="5" spans="1:24" ht="30" x14ac:dyDescent="0.25">
      <c r="A5" s="10">
        <f>IF(B5="","",COUNTA($B$3:B5))</f>
        <v>3</v>
      </c>
      <c r="B5" s="11" t="s">
        <v>4</v>
      </c>
      <c r="C5" s="11" t="s">
        <v>78</v>
      </c>
      <c r="D5" s="12">
        <f>'9-12'!F5</f>
        <v>8</v>
      </c>
      <c r="E5" s="7">
        <f t="shared" si="0"/>
        <v>0</v>
      </c>
      <c r="F5" s="7">
        <f t="shared" si="1"/>
        <v>8</v>
      </c>
      <c r="G5" s="9"/>
      <c r="J5" s="27"/>
      <c r="K5" s="6"/>
      <c r="L5" s="6"/>
      <c r="M5" s="6"/>
      <c r="N5" s="6"/>
      <c r="O5" s="6"/>
      <c r="P5" s="6"/>
      <c r="Q5" s="6"/>
      <c r="R5" s="6"/>
      <c r="S5" s="6"/>
      <c r="T5" s="6"/>
      <c r="U5" s="28"/>
      <c r="X5" t="s">
        <v>98</v>
      </c>
    </row>
    <row r="6" spans="1:24" ht="30" x14ac:dyDescent="0.25">
      <c r="A6" s="13">
        <f>IF(B6="","",COUNTA($B$3:B6))</f>
        <v>4</v>
      </c>
      <c r="B6" s="14" t="s">
        <v>5</v>
      </c>
      <c r="C6" s="14" t="s">
        <v>78</v>
      </c>
      <c r="D6" s="12">
        <f>'9-12'!F6</f>
        <v>12</v>
      </c>
      <c r="E6" s="7">
        <f t="shared" si="0"/>
        <v>1</v>
      </c>
      <c r="F6" s="7">
        <f t="shared" si="1"/>
        <v>11</v>
      </c>
      <c r="G6" s="9"/>
      <c r="J6" s="27"/>
      <c r="K6" s="6"/>
      <c r="L6" s="6"/>
      <c r="M6" s="6">
        <v>1</v>
      </c>
      <c r="N6" s="6"/>
      <c r="O6" s="6"/>
      <c r="P6" s="6"/>
      <c r="Q6" s="6"/>
      <c r="R6" s="6"/>
      <c r="S6" s="6"/>
      <c r="T6" s="6"/>
      <c r="U6" s="28"/>
      <c r="X6" t="s">
        <v>99</v>
      </c>
    </row>
    <row r="7" spans="1:24" ht="30" x14ac:dyDescent="0.25">
      <c r="A7" s="10">
        <f>IF(B7="","",COUNTA($B$3:B7))</f>
        <v>5</v>
      </c>
      <c r="B7" s="11" t="s">
        <v>6</v>
      </c>
      <c r="C7" s="11" t="s">
        <v>78</v>
      </c>
      <c r="D7" s="12">
        <f>'9-12'!F7</f>
        <v>3</v>
      </c>
      <c r="E7" s="7">
        <f t="shared" si="0"/>
        <v>0</v>
      </c>
      <c r="F7" s="7">
        <f t="shared" si="1"/>
        <v>3</v>
      </c>
      <c r="G7" s="9"/>
      <c r="J7" s="27"/>
      <c r="K7" s="6"/>
      <c r="L7" s="6"/>
      <c r="M7" s="6"/>
      <c r="N7" s="6"/>
      <c r="O7" s="6"/>
      <c r="P7" s="6"/>
      <c r="Q7" s="6"/>
      <c r="R7" s="6"/>
      <c r="S7" s="6"/>
      <c r="T7" s="6"/>
      <c r="U7" s="28"/>
      <c r="X7" t="s">
        <v>100</v>
      </c>
    </row>
    <row r="8" spans="1:24" ht="30" x14ac:dyDescent="0.25">
      <c r="A8" s="13">
        <f>IF(B8="","",COUNTA($B$3:B8))</f>
        <v>6</v>
      </c>
      <c r="B8" s="14" t="s">
        <v>7</v>
      </c>
      <c r="C8" s="14" t="s">
        <v>78</v>
      </c>
      <c r="D8" s="12">
        <f>'9-12'!F8</f>
        <v>22</v>
      </c>
      <c r="E8" s="7">
        <f t="shared" si="0"/>
        <v>0</v>
      </c>
      <c r="F8" s="7">
        <f t="shared" si="1"/>
        <v>22</v>
      </c>
      <c r="G8" s="9"/>
      <c r="J8" s="27"/>
      <c r="K8" s="6"/>
      <c r="L8" s="6"/>
      <c r="M8" s="6"/>
      <c r="N8" s="6"/>
      <c r="O8" s="6"/>
      <c r="P8" s="6"/>
      <c r="Q8" s="6"/>
      <c r="R8" s="6"/>
      <c r="S8" s="6"/>
      <c r="T8" s="6"/>
      <c r="U8" s="28"/>
    </row>
    <row r="9" spans="1:24" ht="45" x14ac:dyDescent="0.25">
      <c r="A9" s="10">
        <f>IF(B9="","",COUNTA($B$3:B9))</f>
        <v>7</v>
      </c>
      <c r="B9" s="11" t="s">
        <v>8</v>
      </c>
      <c r="C9" s="11" t="s">
        <v>78</v>
      </c>
      <c r="D9" s="12">
        <f>'9-12'!F9</f>
        <v>13</v>
      </c>
      <c r="E9" s="7">
        <f t="shared" si="0"/>
        <v>0</v>
      </c>
      <c r="F9" s="7">
        <f t="shared" si="1"/>
        <v>13</v>
      </c>
      <c r="G9" s="9"/>
      <c r="J9" s="27"/>
      <c r="K9" s="6"/>
      <c r="L9" s="6"/>
      <c r="M9" s="6"/>
      <c r="N9" s="6"/>
      <c r="O9" s="6"/>
      <c r="P9" s="6"/>
      <c r="Q9" s="6"/>
      <c r="R9" s="6"/>
      <c r="S9" s="6"/>
      <c r="T9" s="6"/>
      <c r="U9" s="28"/>
    </row>
    <row r="10" spans="1:24" ht="45" x14ac:dyDescent="0.25">
      <c r="A10" s="13">
        <f>IF(B10="","",COUNTA($B$3:B10))</f>
        <v>8</v>
      </c>
      <c r="B10" s="14" t="s">
        <v>9</v>
      </c>
      <c r="C10" s="14" t="s">
        <v>78</v>
      </c>
      <c r="D10" s="12">
        <f>'9-12'!F10</f>
        <v>2</v>
      </c>
      <c r="E10" s="7">
        <f t="shared" si="0"/>
        <v>0</v>
      </c>
      <c r="F10" s="7">
        <f t="shared" si="1"/>
        <v>2</v>
      </c>
      <c r="G10" s="9"/>
      <c r="J10" s="27"/>
      <c r="K10" s="6"/>
      <c r="L10" s="6"/>
      <c r="M10" s="6"/>
      <c r="N10" s="6"/>
      <c r="O10" s="6"/>
      <c r="P10" s="6"/>
      <c r="Q10" s="6"/>
      <c r="R10" s="6"/>
      <c r="S10" s="6"/>
      <c r="T10" s="6"/>
      <c r="U10" s="28"/>
    </row>
    <row r="11" spans="1:24" ht="60" x14ac:dyDescent="0.25">
      <c r="A11" s="10">
        <f>IF(B11="","",COUNTA($B$3:B11))</f>
        <v>9</v>
      </c>
      <c r="B11" s="11" t="s">
        <v>10</v>
      </c>
      <c r="C11" s="11" t="s">
        <v>78</v>
      </c>
      <c r="D11" s="12">
        <f>'9-12'!F11</f>
        <v>4</v>
      </c>
      <c r="E11" s="7">
        <f t="shared" si="0"/>
        <v>0</v>
      </c>
      <c r="F11" s="7">
        <f t="shared" si="1"/>
        <v>4</v>
      </c>
      <c r="G11" s="9"/>
      <c r="J11" s="27"/>
      <c r="K11" s="6"/>
      <c r="L11" s="6"/>
      <c r="M11" s="6"/>
      <c r="N11" s="6"/>
      <c r="O11" s="6"/>
      <c r="P11" s="6"/>
      <c r="Q11" s="6"/>
      <c r="R11" s="6"/>
      <c r="S11" s="6"/>
      <c r="T11" s="6"/>
      <c r="U11" s="28"/>
    </row>
    <row r="12" spans="1:24" ht="45" x14ac:dyDescent="0.25">
      <c r="A12" s="13">
        <f>IF(B12="","",COUNTA($B$3:B12))</f>
        <v>10</v>
      </c>
      <c r="B12" s="14" t="s">
        <v>11</v>
      </c>
      <c r="C12" s="14" t="s">
        <v>78</v>
      </c>
      <c r="D12" s="12">
        <f>'9-12'!F12</f>
        <v>0</v>
      </c>
      <c r="E12" s="7">
        <f t="shared" si="0"/>
        <v>0</v>
      </c>
      <c r="F12" s="7">
        <f t="shared" si="1"/>
        <v>0</v>
      </c>
      <c r="G12" s="9"/>
      <c r="J12" s="27"/>
      <c r="K12" s="6"/>
      <c r="L12" s="6"/>
      <c r="M12" s="6"/>
      <c r="N12" s="6"/>
      <c r="O12" s="6"/>
      <c r="P12" s="6"/>
      <c r="Q12" s="6"/>
      <c r="R12" s="6"/>
      <c r="S12" s="6"/>
      <c r="T12" s="6"/>
      <c r="U12" s="28"/>
    </row>
    <row r="13" spans="1:24" ht="60" x14ac:dyDescent="0.25">
      <c r="A13" s="10">
        <f>IF(B13="","",COUNTA($B$3:B13))</f>
        <v>11</v>
      </c>
      <c r="B13" s="11" t="s">
        <v>12</v>
      </c>
      <c r="C13" s="11" t="s">
        <v>78</v>
      </c>
      <c r="D13" s="12">
        <f>'9-12'!F13</f>
        <v>0</v>
      </c>
      <c r="E13" s="7">
        <f t="shared" si="0"/>
        <v>0</v>
      </c>
      <c r="F13" s="7">
        <f t="shared" si="1"/>
        <v>0</v>
      </c>
      <c r="G13" s="9"/>
      <c r="J13" s="27"/>
      <c r="K13" s="6"/>
      <c r="L13" s="6"/>
      <c r="M13" s="6"/>
      <c r="N13" s="6"/>
      <c r="O13" s="6"/>
      <c r="P13" s="6"/>
      <c r="Q13" s="6"/>
      <c r="R13" s="6"/>
      <c r="S13" s="6"/>
      <c r="T13" s="6"/>
      <c r="U13" s="28"/>
    </row>
    <row r="14" spans="1:24" ht="30" x14ac:dyDescent="0.25">
      <c r="A14" s="13">
        <f>IF(B14="","",COUNTA($B$3:B14))</f>
        <v>12</v>
      </c>
      <c r="B14" s="14" t="s">
        <v>13</v>
      </c>
      <c r="C14" s="14" t="s">
        <v>78</v>
      </c>
      <c r="D14" s="12">
        <f>'9-12'!F14</f>
        <v>7</v>
      </c>
      <c r="E14" s="7">
        <f t="shared" si="0"/>
        <v>0</v>
      </c>
      <c r="F14" s="7">
        <f t="shared" si="1"/>
        <v>7</v>
      </c>
      <c r="G14" s="9"/>
      <c r="J14" s="27"/>
      <c r="K14" s="6"/>
      <c r="L14" s="6"/>
      <c r="M14" s="6"/>
      <c r="N14" s="6"/>
      <c r="O14" s="6"/>
      <c r="P14" s="6"/>
      <c r="Q14" s="6"/>
      <c r="R14" s="6"/>
      <c r="S14" s="6"/>
      <c r="T14" s="6"/>
      <c r="U14" s="28"/>
    </row>
    <row r="15" spans="1:24" ht="60" x14ac:dyDescent="0.25">
      <c r="A15" s="10">
        <f>IF(B15="","",COUNTA($B$3:B15))</f>
        <v>13</v>
      </c>
      <c r="B15" s="16" t="s">
        <v>14</v>
      </c>
      <c r="C15" s="11" t="s">
        <v>78</v>
      </c>
      <c r="D15" s="12">
        <f>'9-12'!F15</f>
        <v>5</v>
      </c>
      <c r="E15" s="7">
        <f t="shared" si="0"/>
        <v>0</v>
      </c>
      <c r="F15" s="7">
        <f t="shared" si="1"/>
        <v>5</v>
      </c>
      <c r="G15" s="9"/>
      <c r="J15" s="27"/>
      <c r="K15" s="6"/>
      <c r="L15" s="6"/>
      <c r="M15" s="6"/>
      <c r="N15" s="6"/>
      <c r="O15" s="6"/>
      <c r="P15" s="6"/>
      <c r="Q15" s="6"/>
      <c r="R15" s="6"/>
      <c r="S15" s="6"/>
      <c r="T15" s="6"/>
      <c r="U15" s="28"/>
    </row>
    <row r="16" spans="1:24" ht="45" x14ac:dyDescent="0.25">
      <c r="A16" s="13">
        <f>IF(B16="","",COUNTA($B$3:B16))</f>
        <v>14</v>
      </c>
      <c r="B16" s="14" t="s">
        <v>15</v>
      </c>
      <c r="C16" s="14" t="s">
        <v>78</v>
      </c>
      <c r="D16" s="12">
        <f>'9-12'!F16</f>
        <v>3</v>
      </c>
      <c r="E16" s="7">
        <f t="shared" si="0"/>
        <v>0</v>
      </c>
      <c r="F16" s="7">
        <f t="shared" si="1"/>
        <v>3</v>
      </c>
      <c r="G16" s="9"/>
      <c r="J16" s="27"/>
      <c r="K16" s="6"/>
      <c r="L16" s="6"/>
      <c r="M16" s="6"/>
      <c r="N16" s="6"/>
      <c r="O16" s="6"/>
      <c r="P16" s="6"/>
      <c r="Q16" s="6"/>
      <c r="R16" s="6"/>
      <c r="S16" s="6"/>
      <c r="T16" s="6"/>
      <c r="U16" s="28"/>
    </row>
    <row r="17" spans="1:21" ht="45" x14ac:dyDescent="0.25">
      <c r="A17" s="10">
        <f>IF(B17="","",COUNTA($B$3:B17))</f>
        <v>15</v>
      </c>
      <c r="B17" s="11" t="s">
        <v>16</v>
      </c>
      <c r="C17" s="11" t="s">
        <v>78</v>
      </c>
      <c r="D17" s="12">
        <f>'9-12'!F17</f>
        <v>3</v>
      </c>
      <c r="E17" s="7">
        <f t="shared" si="0"/>
        <v>0</v>
      </c>
      <c r="F17" s="7">
        <f t="shared" si="1"/>
        <v>3</v>
      </c>
      <c r="G17" s="9"/>
      <c r="J17" s="27"/>
      <c r="K17" s="6"/>
      <c r="L17" s="6"/>
      <c r="M17" s="6"/>
      <c r="N17" s="6"/>
      <c r="O17" s="6"/>
      <c r="P17" s="6"/>
      <c r="Q17" s="6"/>
      <c r="R17" s="6"/>
      <c r="S17" s="6"/>
      <c r="T17" s="6"/>
      <c r="U17" s="28"/>
    </row>
    <row r="18" spans="1:21" ht="60" x14ac:dyDescent="0.25">
      <c r="A18" s="13">
        <f>IF(B18="","",COUNTA($B$3:B18))</f>
        <v>16</v>
      </c>
      <c r="B18" s="17" t="s">
        <v>17</v>
      </c>
      <c r="C18" s="14" t="s">
        <v>78</v>
      </c>
      <c r="D18" s="12">
        <f>'9-12'!F18</f>
        <v>2</v>
      </c>
      <c r="E18" s="7">
        <f t="shared" si="0"/>
        <v>0</v>
      </c>
      <c r="F18" s="7">
        <f t="shared" si="1"/>
        <v>2</v>
      </c>
      <c r="G18" s="9"/>
      <c r="J18" s="27"/>
      <c r="K18" s="6"/>
      <c r="L18" s="6"/>
      <c r="M18" s="6"/>
      <c r="N18" s="6"/>
      <c r="O18" s="6"/>
      <c r="P18" s="6"/>
      <c r="Q18" s="6"/>
      <c r="R18" s="6"/>
      <c r="S18" s="6"/>
      <c r="T18" s="6"/>
      <c r="U18" s="28"/>
    </row>
    <row r="19" spans="1:21" ht="45" x14ac:dyDescent="0.25">
      <c r="A19" s="10">
        <f>IF(B19="","",COUNTA($B$3:B19))</f>
        <v>17</v>
      </c>
      <c r="B19" s="11" t="s">
        <v>18</v>
      </c>
      <c r="C19" s="11" t="s">
        <v>78</v>
      </c>
      <c r="D19" s="12">
        <f>'9-12'!F19</f>
        <v>42</v>
      </c>
      <c r="E19" s="7">
        <f t="shared" si="0"/>
        <v>0</v>
      </c>
      <c r="F19" s="7">
        <f t="shared" si="1"/>
        <v>42</v>
      </c>
      <c r="G19" s="9"/>
      <c r="J19" s="27"/>
      <c r="K19" s="6"/>
      <c r="L19" s="6"/>
      <c r="M19" s="6"/>
      <c r="N19" s="6"/>
      <c r="O19" s="6"/>
      <c r="P19" s="6"/>
      <c r="Q19" s="6"/>
      <c r="R19" s="6"/>
      <c r="S19" s="6"/>
      <c r="T19" s="6"/>
      <c r="U19" s="28"/>
    </row>
    <row r="20" spans="1:21" ht="30" x14ac:dyDescent="0.25">
      <c r="A20" s="13">
        <f>IF(B20="","",COUNTA($B$3:B20))</f>
        <v>18</v>
      </c>
      <c r="B20" s="14" t="s">
        <v>19</v>
      </c>
      <c r="C20" s="14" t="s">
        <v>79</v>
      </c>
      <c r="D20" s="12">
        <f>'9-12'!F20</f>
        <v>2</v>
      </c>
      <c r="E20" s="7">
        <f t="shared" si="0"/>
        <v>0</v>
      </c>
      <c r="F20" s="7">
        <f t="shared" si="1"/>
        <v>2</v>
      </c>
      <c r="G20" s="9"/>
      <c r="J20" s="27"/>
      <c r="K20" s="6"/>
      <c r="L20" s="6"/>
      <c r="M20" s="6"/>
      <c r="N20" s="6"/>
      <c r="O20" s="6"/>
      <c r="P20" s="6"/>
      <c r="Q20" s="6"/>
      <c r="R20" s="6"/>
      <c r="S20" s="6"/>
      <c r="T20" s="6"/>
      <c r="U20" s="28"/>
    </row>
    <row r="21" spans="1:21" ht="45" x14ac:dyDescent="0.25">
      <c r="A21" s="10">
        <f>IF(B21="","",COUNTA($B$3:B21))</f>
        <v>19</v>
      </c>
      <c r="B21" s="11" t="s">
        <v>20</v>
      </c>
      <c r="C21" s="11" t="s">
        <v>78</v>
      </c>
      <c r="D21" s="12">
        <f>'9-12'!F21</f>
        <v>19</v>
      </c>
      <c r="E21" s="7">
        <f t="shared" si="0"/>
        <v>0</v>
      </c>
      <c r="F21" s="7">
        <f t="shared" si="1"/>
        <v>19</v>
      </c>
      <c r="G21" s="9"/>
      <c r="J21" s="27"/>
      <c r="K21" s="6"/>
      <c r="L21" s="6"/>
      <c r="M21" s="6"/>
      <c r="N21" s="6"/>
      <c r="O21" s="6"/>
      <c r="P21" s="6"/>
      <c r="Q21" s="6"/>
      <c r="R21" s="6"/>
      <c r="S21" s="6"/>
      <c r="T21" s="6"/>
      <c r="U21" s="28"/>
    </row>
    <row r="22" spans="1:21" ht="30" x14ac:dyDescent="0.25">
      <c r="A22" s="13">
        <f>IF(B22="","",COUNTA($B$3:B22))</f>
        <v>20</v>
      </c>
      <c r="B22" s="14" t="s">
        <v>21</v>
      </c>
      <c r="C22" s="14" t="s">
        <v>78</v>
      </c>
      <c r="D22" s="12">
        <f>'9-12'!F22</f>
        <v>5</v>
      </c>
      <c r="E22" s="7">
        <f t="shared" si="0"/>
        <v>0</v>
      </c>
      <c r="F22" s="7">
        <f t="shared" si="1"/>
        <v>5</v>
      </c>
      <c r="G22" s="9"/>
      <c r="J22" s="27"/>
      <c r="K22" s="6"/>
      <c r="L22" s="6"/>
      <c r="M22" s="6"/>
      <c r="N22" s="6"/>
      <c r="O22" s="6"/>
      <c r="P22" s="6"/>
      <c r="Q22" s="6"/>
      <c r="R22" s="6"/>
      <c r="S22" s="6"/>
      <c r="T22" s="6"/>
      <c r="U22" s="28"/>
    </row>
    <row r="23" spans="1:21" ht="60" x14ac:dyDescent="0.25">
      <c r="A23" s="10">
        <f>IF(B23="","",COUNTA($B$3:B23))</f>
        <v>21</v>
      </c>
      <c r="B23" s="11" t="s">
        <v>22</v>
      </c>
      <c r="C23" s="11" t="s">
        <v>78</v>
      </c>
      <c r="D23" s="12">
        <f>'9-12'!F23</f>
        <v>3</v>
      </c>
      <c r="E23" s="7">
        <f t="shared" si="0"/>
        <v>0</v>
      </c>
      <c r="F23" s="7">
        <f t="shared" si="1"/>
        <v>3</v>
      </c>
      <c r="G23" s="9"/>
      <c r="J23" s="27"/>
      <c r="K23" s="6"/>
      <c r="L23" s="6"/>
      <c r="M23" s="6"/>
      <c r="N23" s="6"/>
      <c r="O23" s="6"/>
      <c r="P23" s="6"/>
      <c r="Q23" s="6"/>
      <c r="R23" s="6"/>
      <c r="S23" s="6"/>
      <c r="T23" s="6"/>
      <c r="U23" s="28"/>
    </row>
    <row r="24" spans="1:21" ht="45" x14ac:dyDescent="0.25">
      <c r="A24" s="13">
        <f>IF(B24="","",COUNTA($B$3:B24))</f>
        <v>22</v>
      </c>
      <c r="B24" s="14" t="s">
        <v>23</v>
      </c>
      <c r="C24" s="14" t="s">
        <v>78</v>
      </c>
      <c r="D24" s="12">
        <f>'9-12'!F24</f>
        <v>23</v>
      </c>
      <c r="E24" s="7">
        <f t="shared" si="0"/>
        <v>0</v>
      </c>
      <c r="F24" s="7">
        <f t="shared" si="1"/>
        <v>23</v>
      </c>
      <c r="G24" s="9"/>
      <c r="J24" s="27"/>
      <c r="K24" s="6"/>
      <c r="L24" s="6"/>
      <c r="M24" s="6"/>
      <c r="N24" s="6"/>
      <c r="O24" s="6"/>
      <c r="P24" s="6"/>
      <c r="Q24" s="6"/>
      <c r="R24" s="6"/>
      <c r="S24" s="6"/>
      <c r="T24" s="6"/>
      <c r="U24" s="28"/>
    </row>
    <row r="25" spans="1:21" ht="30" x14ac:dyDescent="0.25">
      <c r="A25" s="10">
        <f>IF(B25="","",COUNTA($B$3:B25))</f>
        <v>23</v>
      </c>
      <c r="B25" s="11" t="s">
        <v>24</v>
      </c>
      <c r="C25" s="11" t="s">
        <v>78</v>
      </c>
      <c r="D25" s="12">
        <f>'9-12'!F25</f>
        <v>10</v>
      </c>
      <c r="E25" s="7">
        <f t="shared" si="0"/>
        <v>0</v>
      </c>
      <c r="F25" s="7">
        <f t="shared" si="1"/>
        <v>10</v>
      </c>
      <c r="G25" s="9"/>
      <c r="J25" s="27"/>
      <c r="K25" s="6"/>
      <c r="L25" s="6"/>
      <c r="M25" s="6"/>
      <c r="N25" s="6"/>
      <c r="O25" s="6"/>
      <c r="P25" s="6"/>
      <c r="Q25" s="6"/>
      <c r="R25" s="6"/>
      <c r="S25" s="6"/>
      <c r="T25" s="6"/>
      <c r="U25" s="28"/>
    </row>
    <row r="26" spans="1:21" ht="30" x14ac:dyDescent="0.25">
      <c r="A26" s="13">
        <f>IF(B26="","",COUNTA($B$3:B26))</f>
        <v>24</v>
      </c>
      <c r="B26" s="14" t="s">
        <v>25</v>
      </c>
      <c r="C26" s="14" t="s">
        <v>78</v>
      </c>
      <c r="D26" s="12">
        <f>'9-12'!F26</f>
        <v>0</v>
      </c>
      <c r="E26" s="7">
        <f t="shared" si="0"/>
        <v>0</v>
      </c>
      <c r="F26" s="7">
        <f t="shared" si="1"/>
        <v>0</v>
      </c>
      <c r="G26" s="9"/>
      <c r="J26" s="27"/>
      <c r="K26" s="6"/>
      <c r="L26" s="6"/>
      <c r="M26" s="6"/>
      <c r="N26" s="6"/>
      <c r="O26" s="6"/>
      <c r="P26" s="6"/>
      <c r="Q26" s="6"/>
      <c r="R26" s="6"/>
      <c r="S26" s="6"/>
      <c r="T26" s="6"/>
      <c r="U26" s="28"/>
    </row>
    <row r="27" spans="1:21" ht="30" x14ac:dyDescent="0.25">
      <c r="A27" s="10">
        <f>IF(B27="","",COUNTA($B$3:B27))</f>
        <v>25</v>
      </c>
      <c r="B27" s="11" t="s">
        <v>26</v>
      </c>
      <c r="C27" s="11" t="s">
        <v>78</v>
      </c>
      <c r="D27" s="12">
        <f>'9-12'!F27</f>
        <v>2</v>
      </c>
      <c r="E27" s="7">
        <f t="shared" si="0"/>
        <v>0</v>
      </c>
      <c r="F27" s="7">
        <f t="shared" si="1"/>
        <v>2</v>
      </c>
      <c r="G27" s="9"/>
      <c r="J27" s="27"/>
      <c r="K27" s="6"/>
      <c r="L27" s="6"/>
      <c r="M27" s="6"/>
      <c r="N27" s="6"/>
      <c r="O27" s="6"/>
      <c r="P27" s="6"/>
      <c r="Q27" s="6"/>
      <c r="R27" s="6"/>
      <c r="S27" s="6"/>
      <c r="T27" s="6"/>
      <c r="U27" s="28"/>
    </row>
    <row r="28" spans="1:21" ht="60" x14ac:dyDescent="0.25">
      <c r="A28" s="13">
        <f>IF(B28="","",COUNTA($B$3:B28))</f>
        <v>26</v>
      </c>
      <c r="B28" s="14" t="s">
        <v>27</v>
      </c>
      <c r="C28" s="14" t="s">
        <v>78</v>
      </c>
      <c r="D28" s="12">
        <f>'9-12'!F28</f>
        <v>0</v>
      </c>
      <c r="E28" s="7">
        <f t="shared" si="0"/>
        <v>0</v>
      </c>
      <c r="F28" s="7">
        <f t="shared" si="1"/>
        <v>0</v>
      </c>
      <c r="G28" s="9"/>
      <c r="J28" s="27"/>
      <c r="K28" s="6"/>
      <c r="L28" s="6"/>
      <c r="M28" s="6"/>
      <c r="N28" s="6"/>
      <c r="O28" s="6"/>
      <c r="P28" s="6"/>
      <c r="Q28" s="6"/>
      <c r="R28" s="6"/>
      <c r="S28" s="6"/>
      <c r="T28" s="6"/>
      <c r="U28" s="28"/>
    </row>
    <row r="29" spans="1:21" ht="30" x14ac:dyDescent="0.25">
      <c r="A29" s="10">
        <f>IF(B29="","",COUNTA($B$3:B29))</f>
        <v>27</v>
      </c>
      <c r="B29" s="11" t="s">
        <v>28</v>
      </c>
      <c r="C29" s="11" t="s">
        <v>78</v>
      </c>
      <c r="D29" s="12">
        <f>'9-12'!F29</f>
        <v>9</v>
      </c>
      <c r="E29" s="7">
        <f t="shared" si="0"/>
        <v>0</v>
      </c>
      <c r="F29" s="7">
        <f t="shared" si="1"/>
        <v>9</v>
      </c>
      <c r="G29" s="9"/>
      <c r="J29" s="27"/>
      <c r="K29" s="6"/>
      <c r="L29" s="6"/>
      <c r="M29" s="6"/>
      <c r="N29" s="6"/>
      <c r="O29" s="6"/>
      <c r="P29" s="6"/>
      <c r="Q29" s="6"/>
      <c r="R29" s="6"/>
      <c r="S29" s="6"/>
      <c r="T29" s="6"/>
      <c r="U29" s="28"/>
    </row>
    <row r="30" spans="1:21" ht="75" x14ac:dyDescent="0.25">
      <c r="A30" s="13">
        <f>IF(B30="","",COUNTA($B$3:B30))</f>
        <v>28</v>
      </c>
      <c r="B30" s="14" t="s">
        <v>29</v>
      </c>
      <c r="C30" s="14" t="s">
        <v>78</v>
      </c>
      <c r="D30" s="12">
        <f>'9-12'!F30</f>
        <v>4</v>
      </c>
      <c r="E30" s="7">
        <f t="shared" si="0"/>
        <v>0</v>
      </c>
      <c r="F30" s="7">
        <f t="shared" si="1"/>
        <v>4</v>
      </c>
      <c r="G30" s="9"/>
      <c r="J30" s="27"/>
      <c r="K30" s="6"/>
      <c r="L30" s="6"/>
      <c r="M30" s="6"/>
      <c r="N30" s="6"/>
      <c r="O30" s="6"/>
      <c r="P30" s="6"/>
      <c r="Q30" s="6"/>
      <c r="R30" s="6"/>
      <c r="S30" s="6"/>
      <c r="T30" s="6"/>
      <c r="U30" s="28"/>
    </row>
    <row r="31" spans="1:21" ht="30" x14ac:dyDescent="0.25">
      <c r="A31" s="10">
        <f>IF(B31="","",COUNTA($B$3:B31))</f>
        <v>29</v>
      </c>
      <c r="B31" s="11" t="s">
        <v>30</v>
      </c>
      <c r="C31" s="11" t="s">
        <v>78</v>
      </c>
      <c r="D31" s="12">
        <f>'9-12'!F31</f>
        <v>0</v>
      </c>
      <c r="E31" s="7">
        <f t="shared" si="0"/>
        <v>0</v>
      </c>
      <c r="F31" s="7">
        <f t="shared" si="1"/>
        <v>0</v>
      </c>
      <c r="G31" s="9"/>
      <c r="J31" s="27"/>
      <c r="K31" s="6"/>
      <c r="L31" s="6"/>
      <c r="M31" s="6"/>
      <c r="N31" s="6"/>
      <c r="O31" s="6"/>
      <c r="P31" s="6"/>
      <c r="Q31" s="6"/>
      <c r="R31" s="6"/>
      <c r="S31" s="6"/>
      <c r="T31" s="6"/>
      <c r="U31" s="28"/>
    </row>
    <row r="32" spans="1:21" ht="45" x14ac:dyDescent="0.25">
      <c r="A32" s="13">
        <f>IF(B32="","",COUNTA($B$3:B32))</f>
        <v>30</v>
      </c>
      <c r="B32" s="14" t="s">
        <v>31</v>
      </c>
      <c r="C32" s="14" t="s">
        <v>78</v>
      </c>
      <c r="D32" s="12">
        <f>'9-12'!F32</f>
        <v>8</v>
      </c>
      <c r="E32" s="7">
        <f t="shared" si="0"/>
        <v>0</v>
      </c>
      <c r="F32" s="7">
        <f t="shared" si="1"/>
        <v>8</v>
      </c>
      <c r="G32" s="9"/>
      <c r="J32" s="27"/>
      <c r="K32" s="6"/>
      <c r="L32" s="6"/>
      <c r="M32" s="6"/>
      <c r="N32" s="6"/>
      <c r="O32" s="6"/>
      <c r="P32" s="6"/>
      <c r="Q32" s="6"/>
      <c r="R32" s="6"/>
      <c r="S32" s="6"/>
      <c r="T32" s="6"/>
      <c r="U32" s="28"/>
    </row>
    <row r="33" spans="1:21" ht="45" x14ac:dyDescent="0.25">
      <c r="A33" s="10">
        <f>IF(B33="","",COUNTA($B$3:B33))</f>
        <v>31</v>
      </c>
      <c r="B33" s="11" t="s">
        <v>32</v>
      </c>
      <c r="C33" s="11" t="s">
        <v>78</v>
      </c>
      <c r="D33" s="12">
        <f>'9-12'!F33</f>
        <v>0</v>
      </c>
      <c r="E33" s="7">
        <f t="shared" si="0"/>
        <v>0</v>
      </c>
      <c r="F33" s="7">
        <f t="shared" si="1"/>
        <v>0</v>
      </c>
      <c r="G33" s="9"/>
      <c r="J33" s="27"/>
      <c r="K33" s="6"/>
      <c r="L33" s="6"/>
      <c r="M33" s="6"/>
      <c r="N33" s="6"/>
      <c r="O33" s="6"/>
      <c r="P33" s="6"/>
      <c r="Q33" s="6"/>
      <c r="R33" s="6"/>
      <c r="S33" s="6"/>
      <c r="T33" s="6"/>
      <c r="U33" s="28"/>
    </row>
    <row r="34" spans="1:21" ht="60" x14ac:dyDescent="0.25">
      <c r="A34" s="13">
        <f>IF(B34="","",COUNTA($B$3:B34))</f>
        <v>32</v>
      </c>
      <c r="B34" s="14" t="s">
        <v>33</v>
      </c>
      <c r="C34" s="14" t="s">
        <v>78</v>
      </c>
      <c r="D34" s="12">
        <f>'9-12'!F34</f>
        <v>7</v>
      </c>
      <c r="E34" s="7">
        <f t="shared" si="0"/>
        <v>0</v>
      </c>
      <c r="F34" s="7">
        <f t="shared" si="1"/>
        <v>7</v>
      </c>
      <c r="G34" s="9"/>
      <c r="J34" s="27"/>
      <c r="K34" s="6"/>
      <c r="L34" s="6"/>
      <c r="M34" s="6"/>
      <c r="N34" s="6"/>
      <c r="O34" s="6"/>
      <c r="P34" s="6"/>
      <c r="Q34" s="6"/>
      <c r="R34" s="6"/>
      <c r="S34" s="6"/>
      <c r="T34" s="6"/>
      <c r="U34" s="28"/>
    </row>
    <row r="35" spans="1:21" ht="75" x14ac:dyDescent="0.25">
      <c r="A35" s="10">
        <f>IF(B35="","",COUNTA($B$3:B35))</f>
        <v>33</v>
      </c>
      <c r="B35" s="11" t="s">
        <v>34</v>
      </c>
      <c r="C35" s="11" t="s">
        <v>78</v>
      </c>
      <c r="D35" s="12">
        <f>'9-12'!F35</f>
        <v>0</v>
      </c>
      <c r="E35" s="7">
        <f t="shared" si="0"/>
        <v>0</v>
      </c>
      <c r="F35" s="7">
        <f t="shared" si="1"/>
        <v>0</v>
      </c>
      <c r="G35" s="9"/>
      <c r="J35" s="27"/>
      <c r="K35" s="6"/>
      <c r="L35" s="6"/>
      <c r="M35" s="6"/>
      <c r="N35" s="6"/>
      <c r="O35" s="6"/>
      <c r="P35" s="6"/>
      <c r="Q35" s="6"/>
      <c r="R35" s="6"/>
      <c r="S35" s="6"/>
      <c r="T35" s="6"/>
      <c r="U35" s="28"/>
    </row>
    <row r="36" spans="1:21" ht="45" x14ac:dyDescent="0.25">
      <c r="A36" s="13">
        <f>IF(B36="","",COUNTA($B$3:B36))</f>
        <v>34</v>
      </c>
      <c r="B36" s="14" t="s">
        <v>35</v>
      </c>
      <c r="C36" s="14" t="s">
        <v>78</v>
      </c>
      <c r="D36" s="12">
        <f>'9-12'!F36</f>
        <v>8</v>
      </c>
      <c r="E36" s="7">
        <f t="shared" si="0"/>
        <v>0</v>
      </c>
      <c r="F36" s="7">
        <f t="shared" si="1"/>
        <v>8</v>
      </c>
      <c r="G36" s="9"/>
      <c r="J36" s="27"/>
      <c r="K36" s="6"/>
      <c r="L36" s="6"/>
      <c r="M36" s="6"/>
      <c r="N36" s="6"/>
      <c r="O36" s="6"/>
      <c r="P36" s="6"/>
      <c r="Q36" s="6"/>
      <c r="R36" s="6"/>
      <c r="S36" s="6"/>
      <c r="T36" s="6"/>
      <c r="U36" s="28"/>
    </row>
    <row r="37" spans="1:21" ht="45" x14ac:dyDescent="0.25">
      <c r="A37" s="10">
        <f>IF(B37="","",COUNTA($B$3:B37))</f>
        <v>35</v>
      </c>
      <c r="B37" s="11" t="s">
        <v>36</v>
      </c>
      <c r="C37" s="11" t="s">
        <v>78</v>
      </c>
      <c r="D37" s="12">
        <f>'9-12'!F37</f>
        <v>2</v>
      </c>
      <c r="E37" s="7">
        <f t="shared" si="0"/>
        <v>0</v>
      </c>
      <c r="F37" s="7">
        <f t="shared" si="1"/>
        <v>2</v>
      </c>
      <c r="G37" s="9"/>
      <c r="J37" s="27"/>
      <c r="K37" s="6"/>
      <c r="L37" s="6"/>
      <c r="M37" s="6"/>
      <c r="N37" s="6"/>
      <c r="O37" s="6"/>
      <c r="P37" s="6"/>
      <c r="Q37" s="6"/>
      <c r="R37" s="6"/>
      <c r="S37" s="6"/>
      <c r="T37" s="6"/>
      <c r="U37" s="28"/>
    </row>
    <row r="38" spans="1:21" ht="45" x14ac:dyDescent="0.25">
      <c r="A38" s="13">
        <f>IF(B38="","",COUNTA($B$3:B38))</f>
        <v>36</v>
      </c>
      <c r="B38" s="14" t="s">
        <v>37</v>
      </c>
      <c r="C38" s="14" t="s">
        <v>78</v>
      </c>
      <c r="D38" s="12">
        <f>'9-12'!F38</f>
        <v>1</v>
      </c>
      <c r="E38" s="7">
        <f t="shared" si="0"/>
        <v>0</v>
      </c>
      <c r="F38" s="7">
        <f t="shared" si="1"/>
        <v>1</v>
      </c>
      <c r="G38" s="9"/>
      <c r="J38" s="27"/>
      <c r="K38" s="6"/>
      <c r="L38" s="6"/>
      <c r="M38" s="6"/>
      <c r="N38" s="6"/>
      <c r="O38" s="6"/>
      <c r="P38" s="6"/>
      <c r="Q38" s="6"/>
      <c r="R38" s="6"/>
      <c r="S38" s="6"/>
      <c r="T38" s="6"/>
      <c r="U38" s="28"/>
    </row>
    <row r="39" spans="1:21" ht="45" x14ac:dyDescent="0.25">
      <c r="A39" s="10">
        <f>IF(B39="","",COUNTA($B$3:B39))</f>
        <v>37</v>
      </c>
      <c r="B39" s="11" t="s">
        <v>38</v>
      </c>
      <c r="C39" s="11" t="s">
        <v>78</v>
      </c>
      <c r="D39" s="12">
        <f>'9-12'!F39</f>
        <v>3</v>
      </c>
      <c r="E39" s="7">
        <f t="shared" si="0"/>
        <v>0</v>
      </c>
      <c r="F39" s="7">
        <f t="shared" si="1"/>
        <v>3</v>
      </c>
      <c r="G39" s="9"/>
      <c r="J39" s="27"/>
      <c r="K39" s="6"/>
      <c r="L39" s="6"/>
      <c r="M39" s="6"/>
      <c r="N39" s="6"/>
      <c r="O39" s="6"/>
      <c r="P39" s="6"/>
      <c r="Q39" s="6"/>
      <c r="R39" s="6"/>
      <c r="S39" s="6"/>
      <c r="T39" s="6"/>
      <c r="U39" s="28"/>
    </row>
    <row r="40" spans="1:21" ht="30" x14ac:dyDescent="0.25">
      <c r="A40" s="13">
        <f>IF(B40="","",COUNTA($B$3:B40))</f>
        <v>38</v>
      </c>
      <c r="B40" s="14" t="s">
        <v>2</v>
      </c>
      <c r="C40" s="14" t="s">
        <v>78</v>
      </c>
      <c r="D40" s="12">
        <f>'9-12'!F40</f>
        <v>0</v>
      </c>
      <c r="E40" s="7">
        <f t="shared" si="0"/>
        <v>0</v>
      </c>
      <c r="F40" s="7">
        <f t="shared" si="1"/>
        <v>0</v>
      </c>
      <c r="G40" s="9"/>
      <c r="J40" s="27"/>
      <c r="K40" s="6"/>
      <c r="L40" s="6"/>
      <c r="M40" s="6"/>
      <c r="N40" s="6"/>
      <c r="O40" s="6"/>
      <c r="P40" s="6"/>
      <c r="Q40" s="6"/>
      <c r="R40" s="6"/>
      <c r="S40" s="6"/>
      <c r="T40" s="6"/>
      <c r="U40" s="28"/>
    </row>
    <row r="41" spans="1:21" ht="45" x14ac:dyDescent="0.25">
      <c r="A41" s="10">
        <f>IF(B41="","",COUNTA($B$3:B41))</f>
        <v>39</v>
      </c>
      <c r="B41" s="11" t="s">
        <v>39</v>
      </c>
      <c r="C41" s="11" t="s">
        <v>78</v>
      </c>
      <c r="D41" s="12">
        <f>'9-12'!F41</f>
        <v>2</v>
      </c>
      <c r="E41" s="7">
        <f t="shared" si="0"/>
        <v>0</v>
      </c>
      <c r="F41" s="7">
        <f t="shared" si="1"/>
        <v>2</v>
      </c>
      <c r="G41" s="9"/>
      <c r="J41" s="27"/>
      <c r="K41" s="6"/>
      <c r="L41" s="6"/>
      <c r="M41" s="6"/>
      <c r="N41" s="6"/>
      <c r="O41" s="6"/>
      <c r="P41" s="6"/>
      <c r="Q41" s="6"/>
      <c r="R41" s="6"/>
      <c r="S41" s="6"/>
      <c r="T41" s="6"/>
      <c r="U41" s="28"/>
    </row>
    <row r="42" spans="1:21" ht="45" x14ac:dyDescent="0.25">
      <c r="A42" s="13">
        <f>IF(B42="","",COUNTA($B$3:B42))</f>
        <v>40</v>
      </c>
      <c r="B42" s="14" t="s">
        <v>40</v>
      </c>
      <c r="C42" s="14" t="s">
        <v>78</v>
      </c>
      <c r="D42" s="12">
        <f>'9-12'!F42</f>
        <v>5</v>
      </c>
      <c r="E42" s="7">
        <f t="shared" si="0"/>
        <v>0</v>
      </c>
      <c r="F42" s="7">
        <f t="shared" si="1"/>
        <v>5</v>
      </c>
      <c r="G42" s="9"/>
      <c r="J42" s="27"/>
      <c r="K42" s="6"/>
      <c r="L42" s="6"/>
      <c r="M42" s="6"/>
      <c r="N42" s="6"/>
      <c r="O42" s="6"/>
      <c r="P42" s="6"/>
      <c r="Q42" s="6"/>
      <c r="R42" s="6"/>
      <c r="S42" s="6"/>
      <c r="T42" s="6"/>
      <c r="U42" s="28"/>
    </row>
    <row r="43" spans="1:21" ht="30" x14ac:dyDescent="0.25">
      <c r="A43" s="10">
        <f>IF(B43="","",COUNTA($B$3:B43))</f>
        <v>41</v>
      </c>
      <c r="B43" s="11" t="s">
        <v>41</v>
      </c>
      <c r="C43" s="11" t="s">
        <v>78</v>
      </c>
      <c r="D43" s="12">
        <f>'9-12'!F43</f>
        <v>3</v>
      </c>
      <c r="E43" s="7">
        <f t="shared" si="0"/>
        <v>0</v>
      </c>
      <c r="F43" s="7">
        <f t="shared" si="1"/>
        <v>3</v>
      </c>
      <c r="G43" s="9"/>
      <c r="J43" s="27"/>
      <c r="K43" s="6"/>
      <c r="L43" s="6"/>
      <c r="M43" s="6"/>
      <c r="N43" s="6"/>
      <c r="O43" s="6"/>
      <c r="P43" s="6"/>
      <c r="Q43" s="6"/>
      <c r="R43" s="6"/>
      <c r="S43" s="6"/>
      <c r="T43" s="6"/>
      <c r="U43" s="28"/>
    </row>
    <row r="44" spans="1:21" ht="45" x14ac:dyDescent="0.25">
      <c r="A44" s="13">
        <f>IF(B44="","",COUNTA($B$3:B44))</f>
        <v>42</v>
      </c>
      <c r="B44" s="14" t="s">
        <v>42</v>
      </c>
      <c r="C44" s="14" t="s">
        <v>78</v>
      </c>
      <c r="D44" s="12">
        <f>'9-12'!F44</f>
        <v>0</v>
      </c>
      <c r="E44" s="7">
        <f t="shared" si="0"/>
        <v>0</v>
      </c>
      <c r="F44" s="7">
        <f t="shared" si="1"/>
        <v>0</v>
      </c>
      <c r="G44" s="9"/>
      <c r="J44" s="27"/>
      <c r="K44" s="6"/>
      <c r="L44" s="6"/>
      <c r="M44" s="6"/>
      <c r="N44" s="6"/>
      <c r="O44" s="6"/>
      <c r="P44" s="6"/>
      <c r="Q44" s="6"/>
      <c r="R44" s="6"/>
      <c r="S44" s="6"/>
      <c r="T44" s="6"/>
      <c r="U44" s="28"/>
    </row>
    <row r="45" spans="1:21" ht="30" x14ac:dyDescent="0.25">
      <c r="A45" s="10">
        <f>IF(B45="","",COUNTA($B$3:B45))</f>
        <v>43</v>
      </c>
      <c r="B45" s="11" t="s">
        <v>43</v>
      </c>
      <c r="C45" s="11" t="s">
        <v>78</v>
      </c>
      <c r="D45" s="12">
        <f>'9-12'!F45</f>
        <v>1</v>
      </c>
      <c r="E45" s="7">
        <f t="shared" si="0"/>
        <v>0</v>
      </c>
      <c r="F45" s="7">
        <f t="shared" si="1"/>
        <v>1</v>
      </c>
      <c r="G45" s="9"/>
      <c r="J45" s="27"/>
      <c r="K45" s="6"/>
      <c r="L45" s="6"/>
      <c r="M45" s="6"/>
      <c r="N45" s="6"/>
      <c r="O45" s="6"/>
      <c r="P45" s="6"/>
      <c r="Q45" s="6"/>
      <c r="R45" s="6"/>
      <c r="S45" s="6"/>
      <c r="T45" s="6"/>
      <c r="U45" s="28"/>
    </row>
    <row r="46" spans="1:21" ht="75" x14ac:dyDescent="0.25">
      <c r="A46" s="13">
        <f>IF(B46="","",COUNTA($B$3:B46))</f>
        <v>44</v>
      </c>
      <c r="B46" s="14" t="s">
        <v>44</v>
      </c>
      <c r="C46" s="14" t="s">
        <v>78</v>
      </c>
      <c r="D46" s="12">
        <f>'9-12'!F46</f>
        <v>0</v>
      </c>
      <c r="E46" s="7">
        <f t="shared" si="0"/>
        <v>0</v>
      </c>
      <c r="F46" s="7">
        <f t="shared" si="1"/>
        <v>0</v>
      </c>
      <c r="G46" s="9"/>
      <c r="J46" s="27"/>
      <c r="K46" s="6"/>
      <c r="L46" s="6"/>
      <c r="M46" s="6"/>
      <c r="N46" s="6"/>
      <c r="O46" s="6"/>
      <c r="P46" s="6"/>
      <c r="Q46" s="6"/>
      <c r="R46" s="6"/>
      <c r="S46" s="6"/>
      <c r="T46" s="6"/>
      <c r="U46" s="28"/>
    </row>
    <row r="47" spans="1:21" ht="30" x14ac:dyDescent="0.25">
      <c r="A47" s="10">
        <f>IF(B47="","",COUNTA($B$3:B47))</f>
        <v>45</v>
      </c>
      <c r="B47" s="11" t="s">
        <v>45</v>
      </c>
      <c r="C47" s="11" t="s">
        <v>78</v>
      </c>
      <c r="D47" s="12">
        <f>'9-12'!F47</f>
        <v>0</v>
      </c>
      <c r="E47" s="7">
        <f t="shared" si="0"/>
        <v>0</v>
      </c>
      <c r="F47" s="7">
        <f t="shared" si="1"/>
        <v>0</v>
      </c>
      <c r="G47" s="9"/>
      <c r="J47" s="27"/>
      <c r="K47" s="6"/>
      <c r="L47" s="6"/>
      <c r="M47" s="6"/>
      <c r="N47" s="6"/>
      <c r="O47" s="6"/>
      <c r="P47" s="6"/>
      <c r="Q47" s="6"/>
      <c r="R47" s="6"/>
      <c r="S47" s="6"/>
      <c r="T47" s="6"/>
      <c r="U47" s="28"/>
    </row>
    <row r="48" spans="1:21" ht="30" x14ac:dyDescent="0.25">
      <c r="A48" s="13">
        <f>IF(B48="","",COUNTA($B$3:B48))</f>
        <v>46</v>
      </c>
      <c r="B48" s="14" t="s">
        <v>46</v>
      </c>
      <c r="C48" s="14" t="s">
        <v>78</v>
      </c>
      <c r="D48" s="12">
        <f>'9-12'!F48</f>
        <v>3</v>
      </c>
      <c r="E48" s="7">
        <f t="shared" si="0"/>
        <v>0</v>
      </c>
      <c r="F48" s="7">
        <f t="shared" si="1"/>
        <v>3</v>
      </c>
      <c r="G48" s="9"/>
      <c r="J48" s="27"/>
      <c r="K48" s="6"/>
      <c r="L48" s="6"/>
      <c r="M48" s="6"/>
      <c r="N48" s="6"/>
      <c r="O48" s="6"/>
      <c r="P48" s="6"/>
      <c r="Q48" s="6"/>
      <c r="R48" s="6"/>
      <c r="S48" s="6"/>
      <c r="T48" s="6"/>
      <c r="U48" s="28"/>
    </row>
    <row r="49" spans="1:21" ht="45" x14ac:dyDescent="0.25">
      <c r="A49" s="10">
        <f>IF(B49="","",COUNTA($B$3:B49))</f>
        <v>47</v>
      </c>
      <c r="B49" s="11" t="s">
        <v>47</v>
      </c>
      <c r="C49" s="11" t="s">
        <v>78</v>
      </c>
      <c r="D49" s="12">
        <f>'9-12'!F49</f>
        <v>2</v>
      </c>
      <c r="E49" s="7">
        <f t="shared" si="0"/>
        <v>0</v>
      </c>
      <c r="F49" s="7">
        <f t="shared" si="1"/>
        <v>2</v>
      </c>
      <c r="G49" s="9"/>
      <c r="J49" s="27"/>
      <c r="K49" s="6"/>
      <c r="L49" s="6"/>
      <c r="M49" s="6"/>
      <c r="N49" s="6"/>
      <c r="O49" s="6"/>
      <c r="P49" s="6"/>
      <c r="Q49" s="6"/>
      <c r="R49" s="6"/>
      <c r="S49" s="6"/>
      <c r="T49" s="6"/>
      <c r="U49" s="28"/>
    </row>
    <row r="50" spans="1:21" ht="60" x14ac:dyDescent="0.25">
      <c r="A50" s="13">
        <f>IF(B50="","",COUNTA($B$3:B50))</f>
        <v>48</v>
      </c>
      <c r="B50" s="14" t="s">
        <v>48</v>
      </c>
      <c r="C50" s="14" t="s">
        <v>78</v>
      </c>
      <c r="D50" s="12">
        <f>'9-12'!F50</f>
        <v>3</v>
      </c>
      <c r="E50" s="7">
        <f t="shared" si="0"/>
        <v>0</v>
      </c>
      <c r="F50" s="7">
        <f t="shared" si="1"/>
        <v>3</v>
      </c>
      <c r="G50" s="9"/>
      <c r="J50" s="27"/>
      <c r="K50" s="6"/>
      <c r="L50" s="6"/>
      <c r="M50" s="6"/>
      <c r="N50" s="6"/>
      <c r="O50" s="6"/>
      <c r="P50" s="6"/>
      <c r="Q50" s="6"/>
      <c r="R50" s="6"/>
      <c r="S50" s="6"/>
      <c r="T50" s="6"/>
      <c r="U50" s="28"/>
    </row>
    <row r="51" spans="1:21" ht="30" x14ac:dyDescent="0.25">
      <c r="A51" s="10">
        <f>IF(B51="","",COUNTA($B$3:B51))</f>
        <v>49</v>
      </c>
      <c r="B51" s="11" t="s">
        <v>49</v>
      </c>
      <c r="C51" s="11" t="s">
        <v>78</v>
      </c>
      <c r="D51" s="12">
        <f>'9-12'!F51</f>
        <v>0</v>
      </c>
      <c r="E51" s="7">
        <f t="shared" si="0"/>
        <v>0</v>
      </c>
      <c r="F51" s="7">
        <f t="shared" si="1"/>
        <v>0</v>
      </c>
      <c r="G51" s="9"/>
      <c r="J51" s="27"/>
      <c r="K51" s="6"/>
      <c r="L51" s="6"/>
      <c r="M51" s="6"/>
      <c r="N51" s="6"/>
      <c r="O51" s="6"/>
      <c r="P51" s="6"/>
      <c r="Q51" s="6"/>
      <c r="R51" s="6"/>
      <c r="S51" s="6"/>
      <c r="T51" s="6"/>
      <c r="U51" s="28"/>
    </row>
    <row r="52" spans="1:21" ht="30" x14ac:dyDescent="0.25">
      <c r="A52" s="13">
        <f>IF(B52="","",COUNTA($B$3:B52))</f>
        <v>50</v>
      </c>
      <c r="B52" s="14" t="s">
        <v>2</v>
      </c>
      <c r="C52" s="14" t="s">
        <v>78</v>
      </c>
      <c r="D52" s="12">
        <f>'9-12'!F52</f>
        <v>0</v>
      </c>
      <c r="E52" s="7">
        <f t="shared" si="0"/>
        <v>0</v>
      </c>
      <c r="F52" s="7">
        <f t="shared" si="1"/>
        <v>0</v>
      </c>
      <c r="G52" s="9"/>
      <c r="J52" s="27"/>
      <c r="K52" s="6"/>
      <c r="L52" s="6"/>
      <c r="M52" s="6"/>
      <c r="N52" s="6"/>
      <c r="O52" s="6"/>
      <c r="P52" s="6"/>
      <c r="Q52" s="6"/>
      <c r="R52" s="6"/>
      <c r="S52" s="6"/>
      <c r="T52" s="6"/>
      <c r="U52" s="28"/>
    </row>
    <row r="53" spans="1:21" ht="30" x14ac:dyDescent="0.25">
      <c r="A53" s="10">
        <f>IF(B53="","",COUNTA($B$3:B53))</f>
        <v>51</v>
      </c>
      <c r="B53" s="11" t="s">
        <v>50</v>
      </c>
      <c r="C53" s="11" t="s">
        <v>79</v>
      </c>
      <c r="D53" s="12">
        <f>'9-12'!F53</f>
        <v>0</v>
      </c>
      <c r="E53" s="7">
        <f t="shared" si="0"/>
        <v>0</v>
      </c>
      <c r="F53" s="7">
        <f t="shared" si="1"/>
        <v>0</v>
      </c>
      <c r="G53" s="9"/>
      <c r="J53" s="27"/>
      <c r="K53" s="6"/>
      <c r="L53" s="6"/>
      <c r="M53" s="6"/>
      <c r="N53" s="6"/>
      <c r="O53" s="6"/>
      <c r="P53" s="6"/>
      <c r="Q53" s="6"/>
      <c r="R53" s="6"/>
      <c r="S53" s="6"/>
      <c r="T53" s="6"/>
      <c r="U53" s="28"/>
    </row>
    <row r="54" spans="1:21" ht="45" x14ac:dyDescent="0.25">
      <c r="A54" s="13">
        <f>IF(B54="","",COUNTA($B$3:B54))</f>
        <v>52</v>
      </c>
      <c r="B54" s="14" t="s">
        <v>51</v>
      </c>
      <c r="C54" s="14" t="s">
        <v>79</v>
      </c>
      <c r="D54" s="12">
        <f>'9-12'!F54</f>
        <v>0</v>
      </c>
      <c r="E54" s="7">
        <f t="shared" si="0"/>
        <v>0</v>
      </c>
      <c r="F54" s="7">
        <f t="shared" si="1"/>
        <v>0</v>
      </c>
      <c r="G54" s="9"/>
      <c r="J54" s="27"/>
      <c r="K54" s="6"/>
      <c r="L54" s="6"/>
      <c r="M54" s="6"/>
      <c r="N54" s="6"/>
      <c r="O54" s="6"/>
      <c r="P54" s="6"/>
      <c r="Q54" s="6"/>
      <c r="R54" s="6"/>
      <c r="S54" s="6"/>
      <c r="T54" s="6"/>
      <c r="U54" s="28"/>
    </row>
    <row r="55" spans="1:21" ht="30" x14ac:dyDescent="0.25">
      <c r="A55" s="10">
        <f>IF(B55="","",COUNTA($B$3:B55))</f>
        <v>53</v>
      </c>
      <c r="B55" s="11" t="s">
        <v>52</v>
      </c>
      <c r="C55" s="11" t="s">
        <v>78</v>
      </c>
      <c r="D55" s="12">
        <f>'9-12'!F55</f>
        <v>100</v>
      </c>
      <c r="E55" s="7">
        <f t="shared" si="0"/>
        <v>0</v>
      </c>
      <c r="F55" s="7">
        <f t="shared" si="1"/>
        <v>100</v>
      </c>
      <c r="G55" s="9"/>
      <c r="J55" s="27"/>
      <c r="K55" s="6"/>
      <c r="L55" s="6"/>
      <c r="M55" s="6"/>
      <c r="N55" s="6"/>
      <c r="O55" s="6"/>
      <c r="P55" s="6"/>
      <c r="Q55" s="6"/>
      <c r="R55" s="6"/>
      <c r="S55" s="6"/>
      <c r="T55" s="6"/>
      <c r="U55" s="28"/>
    </row>
    <row r="56" spans="1:21" ht="45" x14ac:dyDescent="0.25">
      <c r="A56" s="13">
        <f>IF(B56="","",COUNTA($B$3:B56))</f>
        <v>54</v>
      </c>
      <c r="B56" s="14" t="s">
        <v>53</v>
      </c>
      <c r="C56" s="14" t="s">
        <v>78</v>
      </c>
      <c r="D56" s="12">
        <f>'9-12'!F56</f>
        <v>15</v>
      </c>
      <c r="E56" s="7">
        <f t="shared" si="0"/>
        <v>0</v>
      </c>
      <c r="F56" s="7">
        <f t="shared" si="1"/>
        <v>15</v>
      </c>
      <c r="G56" s="9"/>
      <c r="J56" s="27"/>
      <c r="K56" s="6"/>
      <c r="L56" s="6"/>
      <c r="M56" s="6"/>
      <c r="N56" s="6"/>
      <c r="O56" s="6"/>
      <c r="P56" s="6"/>
      <c r="Q56" s="6"/>
      <c r="R56" s="6"/>
      <c r="S56" s="6"/>
      <c r="T56" s="6"/>
      <c r="U56" s="28"/>
    </row>
    <row r="57" spans="1:21" ht="45" x14ac:dyDescent="0.25">
      <c r="A57" s="10">
        <f>IF(B57="","",COUNTA($B$3:B57))</f>
        <v>55</v>
      </c>
      <c r="B57" s="11" t="s">
        <v>54</v>
      </c>
      <c r="C57" s="11" t="s">
        <v>78</v>
      </c>
      <c r="D57" s="12">
        <f>'9-12'!F57</f>
        <v>5</v>
      </c>
      <c r="E57" s="7">
        <f t="shared" si="0"/>
        <v>0</v>
      </c>
      <c r="F57" s="7">
        <f t="shared" si="1"/>
        <v>5</v>
      </c>
      <c r="G57" s="9"/>
      <c r="J57" s="27"/>
      <c r="K57" s="6"/>
      <c r="L57" s="6"/>
      <c r="M57" s="6"/>
      <c r="N57" s="6"/>
      <c r="O57" s="6"/>
      <c r="P57" s="6"/>
      <c r="Q57" s="6"/>
      <c r="R57" s="6"/>
      <c r="S57" s="6"/>
      <c r="T57" s="6"/>
      <c r="U57" s="28"/>
    </row>
    <row r="58" spans="1:21" ht="45" x14ac:dyDescent="0.25">
      <c r="A58" s="13">
        <f>IF(B58="","",COUNTA($B$3:B58))</f>
        <v>56</v>
      </c>
      <c r="B58" s="14" t="s">
        <v>55</v>
      </c>
      <c r="C58" s="14" t="s">
        <v>78</v>
      </c>
      <c r="D58" s="12">
        <f>'9-12'!F58</f>
        <v>10</v>
      </c>
      <c r="E58" s="7">
        <f t="shared" si="0"/>
        <v>0</v>
      </c>
      <c r="F58" s="7">
        <f t="shared" si="1"/>
        <v>10</v>
      </c>
      <c r="G58" s="9"/>
      <c r="J58" s="27"/>
      <c r="K58" s="6"/>
      <c r="L58" s="6"/>
      <c r="M58" s="6"/>
      <c r="N58" s="6"/>
      <c r="O58" s="6"/>
      <c r="P58" s="6"/>
      <c r="Q58" s="6"/>
      <c r="R58" s="6"/>
      <c r="S58" s="6"/>
      <c r="T58" s="6"/>
      <c r="U58" s="28"/>
    </row>
    <row r="59" spans="1:21" ht="75" x14ac:dyDescent="0.25">
      <c r="A59" s="10">
        <f>IF(B59="","",COUNTA($B$3:B59))</f>
        <v>57</v>
      </c>
      <c r="B59" s="11" t="s">
        <v>56</v>
      </c>
      <c r="C59" s="11" t="s">
        <v>78</v>
      </c>
      <c r="D59" s="12">
        <f>'9-12'!F59</f>
        <v>0</v>
      </c>
      <c r="E59" s="7">
        <f t="shared" si="0"/>
        <v>0</v>
      </c>
      <c r="F59" s="7">
        <f t="shared" si="1"/>
        <v>0</v>
      </c>
      <c r="G59" s="9"/>
      <c r="J59" s="27"/>
      <c r="K59" s="6"/>
      <c r="L59" s="6"/>
      <c r="M59" s="6"/>
      <c r="N59" s="6"/>
      <c r="O59" s="6"/>
      <c r="P59" s="6"/>
      <c r="Q59" s="6"/>
      <c r="R59" s="6"/>
      <c r="S59" s="6"/>
      <c r="T59" s="6"/>
      <c r="U59" s="28"/>
    </row>
    <row r="60" spans="1:21" ht="30" x14ac:dyDescent="0.25">
      <c r="A60" s="13">
        <f>IF(B60="","",COUNTA($B$3:B60))</f>
        <v>58</v>
      </c>
      <c r="B60" s="14" t="s">
        <v>57</v>
      </c>
      <c r="C60" s="14" t="s">
        <v>78</v>
      </c>
      <c r="D60" s="12">
        <f>'9-12'!F60</f>
        <v>5</v>
      </c>
      <c r="E60" s="7">
        <f t="shared" si="0"/>
        <v>0</v>
      </c>
      <c r="F60" s="7">
        <f t="shared" si="1"/>
        <v>5</v>
      </c>
      <c r="G60" s="9"/>
      <c r="J60" s="27"/>
      <c r="K60" s="6"/>
      <c r="L60" s="6"/>
      <c r="M60" s="6"/>
      <c r="N60" s="6"/>
      <c r="O60" s="6"/>
      <c r="P60" s="6"/>
      <c r="Q60" s="6"/>
      <c r="R60" s="6"/>
      <c r="S60" s="6"/>
      <c r="T60" s="6"/>
      <c r="U60" s="28"/>
    </row>
    <row r="61" spans="1:21" ht="30" x14ac:dyDescent="0.25">
      <c r="A61" s="10">
        <f>IF(B61="","",COUNTA($B$3:B61))</f>
        <v>59</v>
      </c>
      <c r="B61" s="11" t="s">
        <v>58</v>
      </c>
      <c r="C61" s="11" t="s">
        <v>78</v>
      </c>
      <c r="D61" s="12">
        <f>'9-12'!F61</f>
        <v>4</v>
      </c>
      <c r="E61" s="7">
        <f t="shared" si="0"/>
        <v>0</v>
      </c>
      <c r="F61" s="7">
        <f t="shared" si="1"/>
        <v>4</v>
      </c>
      <c r="G61" s="9"/>
      <c r="J61" s="27"/>
      <c r="K61" s="6"/>
      <c r="L61" s="6"/>
      <c r="M61" s="6"/>
      <c r="N61" s="6"/>
      <c r="O61" s="6"/>
      <c r="P61" s="6"/>
      <c r="Q61" s="6"/>
      <c r="R61" s="6"/>
      <c r="S61" s="6"/>
      <c r="T61" s="6"/>
      <c r="U61" s="28"/>
    </row>
    <row r="62" spans="1:21" ht="60" x14ac:dyDescent="0.25">
      <c r="A62" s="13">
        <f>IF(B62="","",COUNTA($B$3:B62))</f>
        <v>60</v>
      </c>
      <c r="B62" s="14" t="s">
        <v>59</v>
      </c>
      <c r="C62" s="14" t="s">
        <v>78</v>
      </c>
      <c r="D62" s="12">
        <f>'9-12'!F62</f>
        <v>1</v>
      </c>
      <c r="E62" s="7">
        <f t="shared" si="0"/>
        <v>0</v>
      </c>
      <c r="F62" s="7">
        <f t="shared" si="1"/>
        <v>1</v>
      </c>
      <c r="G62" s="9"/>
      <c r="J62" s="27"/>
      <c r="K62" s="6"/>
      <c r="L62" s="6"/>
      <c r="M62" s="6"/>
      <c r="N62" s="6"/>
      <c r="O62" s="6"/>
      <c r="P62" s="6"/>
      <c r="Q62" s="6"/>
      <c r="R62" s="6"/>
      <c r="S62" s="6"/>
      <c r="T62" s="6"/>
      <c r="U62" s="28"/>
    </row>
    <row r="63" spans="1:21" ht="60" x14ac:dyDescent="0.25">
      <c r="A63" s="10">
        <f>IF(B63="","",COUNTA($B$3:B63))</f>
        <v>61</v>
      </c>
      <c r="B63" s="11" t="s">
        <v>60</v>
      </c>
      <c r="C63" s="11" t="s">
        <v>78</v>
      </c>
      <c r="D63" s="12">
        <f>'9-12'!F63</f>
        <v>7</v>
      </c>
      <c r="E63" s="7">
        <f t="shared" si="0"/>
        <v>0</v>
      </c>
      <c r="F63" s="7">
        <f t="shared" si="1"/>
        <v>7</v>
      </c>
      <c r="G63" s="9"/>
      <c r="J63" s="27"/>
      <c r="K63" s="6"/>
      <c r="L63" s="6"/>
      <c r="M63" s="6"/>
      <c r="N63" s="6"/>
      <c r="O63" s="6"/>
      <c r="P63" s="6"/>
      <c r="Q63" s="6"/>
      <c r="R63" s="6"/>
      <c r="S63" s="6"/>
      <c r="T63" s="6"/>
      <c r="U63" s="28"/>
    </row>
    <row r="64" spans="1:21" ht="60" x14ac:dyDescent="0.25">
      <c r="A64" s="13">
        <f>IF(B64="","",COUNTA($B$3:B64))</f>
        <v>62</v>
      </c>
      <c r="B64" s="14" t="s">
        <v>61</v>
      </c>
      <c r="C64" s="14" t="s">
        <v>78</v>
      </c>
      <c r="D64" s="12">
        <f>'9-12'!F64</f>
        <v>6</v>
      </c>
      <c r="E64" s="7">
        <f t="shared" si="0"/>
        <v>0</v>
      </c>
      <c r="F64" s="7">
        <f t="shared" si="1"/>
        <v>6</v>
      </c>
      <c r="G64" s="9"/>
      <c r="J64" s="27"/>
      <c r="K64" s="6"/>
      <c r="L64" s="6"/>
      <c r="M64" s="6"/>
      <c r="N64" s="6"/>
      <c r="O64" s="6"/>
      <c r="P64" s="6"/>
      <c r="Q64" s="6"/>
      <c r="R64" s="6"/>
      <c r="S64" s="6"/>
      <c r="T64" s="6"/>
      <c r="U64" s="28"/>
    </row>
    <row r="65" spans="1:21" ht="30" x14ac:dyDescent="0.25">
      <c r="A65" s="10">
        <f>IF(B65="","",COUNTA($B$3:B65))</f>
        <v>63</v>
      </c>
      <c r="B65" s="11" t="s">
        <v>62</v>
      </c>
      <c r="C65" s="11" t="s">
        <v>78</v>
      </c>
      <c r="D65" s="12">
        <f>'9-12'!F65</f>
        <v>1</v>
      </c>
      <c r="E65" s="7">
        <f t="shared" si="0"/>
        <v>0</v>
      </c>
      <c r="F65" s="7">
        <f t="shared" si="1"/>
        <v>1</v>
      </c>
      <c r="G65" s="9"/>
      <c r="J65" s="27"/>
      <c r="K65" s="6"/>
      <c r="L65" s="6"/>
      <c r="M65" s="6"/>
      <c r="N65" s="6"/>
      <c r="O65" s="6"/>
      <c r="P65" s="6"/>
      <c r="Q65" s="6"/>
      <c r="R65" s="6"/>
      <c r="S65" s="6"/>
      <c r="T65" s="6"/>
      <c r="U65" s="28"/>
    </row>
    <row r="66" spans="1:21" ht="45" x14ac:dyDescent="0.25">
      <c r="A66" s="13">
        <f>IF(B66="","",COUNTA($B$3:B66))</f>
        <v>64</v>
      </c>
      <c r="B66" s="14" t="s">
        <v>63</v>
      </c>
      <c r="C66" s="14" t="s">
        <v>78</v>
      </c>
      <c r="D66" s="12">
        <f>'9-12'!F66</f>
        <v>1</v>
      </c>
      <c r="E66" s="7">
        <f t="shared" si="0"/>
        <v>0</v>
      </c>
      <c r="F66" s="7">
        <f t="shared" si="1"/>
        <v>1</v>
      </c>
      <c r="G66" s="9"/>
      <c r="J66" s="27"/>
      <c r="K66" s="6"/>
      <c r="L66" s="6"/>
      <c r="M66" s="6"/>
      <c r="N66" s="6"/>
      <c r="O66" s="6"/>
      <c r="P66" s="6"/>
      <c r="Q66" s="6"/>
      <c r="R66" s="6"/>
      <c r="S66" s="6"/>
      <c r="T66" s="6"/>
      <c r="U66" s="28"/>
    </row>
    <row r="67" spans="1:21" ht="75" x14ac:dyDescent="0.25">
      <c r="A67" s="10">
        <f>IF(B67="","",COUNTA($B$3:B67))</f>
        <v>65</v>
      </c>
      <c r="B67" s="11" t="s">
        <v>64</v>
      </c>
      <c r="C67" s="11" t="s">
        <v>78</v>
      </c>
      <c r="D67" s="12">
        <f>'9-12'!F67</f>
        <v>2</v>
      </c>
      <c r="E67" s="7">
        <f t="shared" ref="E67:E81" si="2">SUM(J67:U67)</f>
        <v>0</v>
      </c>
      <c r="F67" s="7">
        <f t="shared" ref="F67:F81" si="3">D67-E67</f>
        <v>2</v>
      </c>
      <c r="G67" s="9"/>
      <c r="J67" s="27"/>
      <c r="K67" s="6"/>
      <c r="L67" s="6"/>
      <c r="M67" s="6"/>
      <c r="N67" s="6"/>
      <c r="O67" s="6"/>
      <c r="P67" s="6"/>
      <c r="Q67" s="6"/>
      <c r="R67" s="6"/>
      <c r="S67" s="6"/>
      <c r="T67" s="6"/>
      <c r="U67" s="28"/>
    </row>
    <row r="68" spans="1:21" ht="45" x14ac:dyDescent="0.25">
      <c r="A68" s="13">
        <f>IF(B68="","",COUNTA($B$3:B68))</f>
        <v>66</v>
      </c>
      <c r="B68" s="14" t="s">
        <v>65</v>
      </c>
      <c r="C68" s="14" t="s">
        <v>78</v>
      </c>
      <c r="D68" s="12">
        <f>'9-12'!F68</f>
        <v>30</v>
      </c>
      <c r="E68" s="7">
        <f t="shared" si="2"/>
        <v>0</v>
      </c>
      <c r="F68" s="7">
        <f t="shared" si="3"/>
        <v>30</v>
      </c>
      <c r="G68" s="9"/>
      <c r="J68" s="27"/>
      <c r="K68" s="6"/>
      <c r="L68" s="6"/>
      <c r="M68" s="6"/>
      <c r="N68" s="6"/>
      <c r="O68" s="6"/>
      <c r="P68" s="6"/>
      <c r="Q68" s="6"/>
      <c r="R68" s="6"/>
      <c r="S68" s="6"/>
      <c r="T68" s="6"/>
      <c r="U68" s="28"/>
    </row>
    <row r="69" spans="1:21" ht="30" x14ac:dyDescent="0.25">
      <c r="A69" s="10">
        <f>IF(B69="","",COUNTA($B$3:B69))</f>
        <v>67</v>
      </c>
      <c r="B69" s="11" t="s">
        <v>66</v>
      </c>
      <c r="C69" s="11" t="s">
        <v>79</v>
      </c>
      <c r="D69" s="12">
        <f>'9-12'!F69</f>
        <v>1</v>
      </c>
      <c r="E69" s="7">
        <f t="shared" si="2"/>
        <v>0</v>
      </c>
      <c r="F69" s="7">
        <f t="shared" si="3"/>
        <v>1</v>
      </c>
      <c r="G69" s="9"/>
      <c r="J69" s="27"/>
      <c r="K69" s="6"/>
      <c r="L69" s="6"/>
      <c r="M69" s="6"/>
      <c r="N69" s="6"/>
      <c r="O69" s="6"/>
      <c r="P69" s="6"/>
      <c r="Q69" s="6"/>
      <c r="R69" s="6"/>
      <c r="S69" s="6"/>
      <c r="T69" s="6"/>
      <c r="U69" s="28"/>
    </row>
    <row r="70" spans="1:21" ht="45" x14ac:dyDescent="0.25">
      <c r="A70" s="18">
        <f>IF(B70="","",COUNTA($B$3:B70))</f>
        <v>68</v>
      </c>
      <c r="B70" s="17" t="s">
        <v>67</v>
      </c>
      <c r="C70" s="17" t="s">
        <v>78</v>
      </c>
      <c r="D70" s="12">
        <f>'9-12'!F70</f>
        <v>0</v>
      </c>
      <c r="E70" s="7">
        <f t="shared" si="2"/>
        <v>0</v>
      </c>
      <c r="F70" s="7">
        <f t="shared" si="3"/>
        <v>0</v>
      </c>
      <c r="G70" s="9"/>
      <c r="J70" s="27"/>
      <c r="K70" s="6"/>
      <c r="L70" s="6"/>
      <c r="M70" s="6"/>
      <c r="N70" s="6"/>
      <c r="O70" s="6"/>
      <c r="P70" s="6"/>
      <c r="Q70" s="6"/>
      <c r="R70" s="6"/>
      <c r="S70" s="6"/>
      <c r="T70" s="6"/>
      <c r="U70" s="28"/>
    </row>
    <row r="71" spans="1:21" ht="30" x14ac:dyDescent="0.25">
      <c r="A71" s="19">
        <f>IF(B71="","",COUNTA($B$3:B71))</f>
        <v>69</v>
      </c>
      <c r="B71" s="11" t="s">
        <v>68</v>
      </c>
      <c r="C71" s="11" t="s">
        <v>78</v>
      </c>
      <c r="D71" s="12">
        <f>'9-12'!F71</f>
        <v>0</v>
      </c>
      <c r="E71" s="7">
        <f t="shared" si="2"/>
        <v>0</v>
      </c>
      <c r="F71" s="7">
        <f t="shared" si="3"/>
        <v>0</v>
      </c>
      <c r="G71" s="9"/>
      <c r="J71" s="27"/>
      <c r="K71" s="6"/>
      <c r="L71" s="6"/>
      <c r="M71" s="6"/>
      <c r="N71" s="6"/>
      <c r="O71" s="6"/>
      <c r="P71" s="6"/>
      <c r="Q71" s="6"/>
      <c r="R71" s="6"/>
      <c r="S71" s="6"/>
      <c r="T71" s="6"/>
      <c r="U71" s="28"/>
    </row>
    <row r="72" spans="1:21" ht="30" x14ac:dyDescent="0.25">
      <c r="A72" s="18">
        <f>IF(B72="","",COUNTA($B$3:B72))</f>
        <v>70</v>
      </c>
      <c r="B72" s="14" t="s">
        <v>69</v>
      </c>
      <c r="C72" s="14" t="s">
        <v>78</v>
      </c>
      <c r="D72" s="12">
        <f>'9-12'!F72</f>
        <v>14</v>
      </c>
      <c r="E72" s="7">
        <f t="shared" si="2"/>
        <v>0</v>
      </c>
      <c r="F72" s="7">
        <f t="shared" si="3"/>
        <v>14</v>
      </c>
      <c r="G72" s="9"/>
      <c r="J72" s="27"/>
      <c r="K72" s="6"/>
      <c r="L72" s="6"/>
      <c r="M72" s="6"/>
      <c r="N72" s="6"/>
      <c r="O72" s="6"/>
      <c r="P72" s="6"/>
      <c r="Q72" s="6"/>
      <c r="R72" s="6"/>
      <c r="S72" s="6"/>
      <c r="T72" s="6"/>
      <c r="U72" s="28"/>
    </row>
    <row r="73" spans="1:21" ht="30" x14ac:dyDescent="0.25">
      <c r="A73" s="19">
        <f>IF(B73="","",COUNTA($B$3:B73))</f>
        <v>71</v>
      </c>
      <c r="B73" s="11" t="s">
        <v>70</v>
      </c>
      <c r="C73" s="11" t="s">
        <v>78</v>
      </c>
      <c r="D73" s="12">
        <f>'9-12'!F73</f>
        <v>38</v>
      </c>
      <c r="E73" s="7">
        <f t="shared" si="2"/>
        <v>0</v>
      </c>
      <c r="F73" s="7">
        <f t="shared" si="3"/>
        <v>38</v>
      </c>
      <c r="G73" s="9"/>
      <c r="J73" s="27"/>
      <c r="K73" s="6"/>
      <c r="L73" s="6"/>
      <c r="M73" s="6"/>
      <c r="N73" s="6"/>
      <c r="O73" s="6"/>
      <c r="P73" s="6"/>
      <c r="Q73" s="6"/>
      <c r="R73" s="6"/>
      <c r="S73" s="6"/>
      <c r="T73" s="6"/>
      <c r="U73" s="28"/>
    </row>
    <row r="74" spans="1:21" ht="30" x14ac:dyDescent="0.25">
      <c r="A74" s="18">
        <f>IF(B74="","",COUNTA($B$3:B74))</f>
        <v>72</v>
      </c>
      <c r="B74" s="14" t="s">
        <v>71</v>
      </c>
      <c r="C74" s="14" t="s">
        <v>78</v>
      </c>
      <c r="D74" s="12">
        <f>'9-12'!F74</f>
        <v>5</v>
      </c>
      <c r="E74" s="7">
        <f t="shared" si="2"/>
        <v>0</v>
      </c>
      <c r="F74" s="7">
        <f t="shared" si="3"/>
        <v>5</v>
      </c>
      <c r="G74" s="9"/>
      <c r="J74" s="27"/>
      <c r="K74" s="6"/>
      <c r="L74" s="6"/>
      <c r="M74" s="6"/>
      <c r="N74" s="6"/>
      <c r="O74" s="6"/>
      <c r="P74" s="6"/>
      <c r="Q74" s="6"/>
      <c r="R74" s="6"/>
      <c r="S74" s="6"/>
      <c r="T74" s="6"/>
      <c r="U74" s="28"/>
    </row>
    <row r="75" spans="1:21" ht="60" x14ac:dyDescent="0.25">
      <c r="A75" s="19">
        <f>IF(B75="","",COUNTA($B$3:B75))</f>
        <v>73</v>
      </c>
      <c r="B75" s="11" t="s">
        <v>72</v>
      </c>
      <c r="C75" s="11" t="s">
        <v>78</v>
      </c>
      <c r="D75" s="12">
        <f>'9-12'!F75</f>
        <v>185</v>
      </c>
      <c r="E75" s="7">
        <f t="shared" si="2"/>
        <v>0</v>
      </c>
      <c r="F75" s="7">
        <f t="shared" si="3"/>
        <v>185</v>
      </c>
      <c r="G75" s="9"/>
      <c r="J75" s="27"/>
      <c r="K75" s="6"/>
      <c r="L75" s="6"/>
      <c r="M75" s="6"/>
      <c r="N75" s="6"/>
      <c r="O75" s="6"/>
      <c r="P75" s="6"/>
      <c r="Q75" s="6"/>
      <c r="R75" s="6"/>
      <c r="S75" s="6"/>
      <c r="T75" s="6"/>
      <c r="U75" s="28"/>
    </row>
    <row r="76" spans="1:21" ht="30" x14ac:dyDescent="0.25">
      <c r="A76" s="18">
        <f>IF(B76="","",COUNTA($B$3:B76))</f>
        <v>74</v>
      </c>
      <c r="B76" s="14" t="s">
        <v>73</v>
      </c>
      <c r="C76" s="14" t="s">
        <v>78</v>
      </c>
      <c r="D76" s="12">
        <f>'9-12'!F76</f>
        <v>4</v>
      </c>
      <c r="E76" s="7">
        <f t="shared" si="2"/>
        <v>0</v>
      </c>
      <c r="F76" s="7">
        <f t="shared" si="3"/>
        <v>4</v>
      </c>
      <c r="G76" s="9"/>
      <c r="J76" s="27"/>
      <c r="K76" s="6"/>
      <c r="L76" s="6"/>
      <c r="M76" s="6"/>
      <c r="N76" s="6"/>
      <c r="O76" s="6"/>
      <c r="P76" s="6"/>
      <c r="Q76" s="6"/>
      <c r="R76" s="6"/>
      <c r="S76" s="6"/>
      <c r="T76" s="6"/>
      <c r="U76" s="28"/>
    </row>
    <row r="77" spans="1:21" ht="45" x14ac:dyDescent="0.25">
      <c r="A77" s="19">
        <f>IF(B77="","",COUNTA($B$3:B77))</f>
        <v>75</v>
      </c>
      <c r="B77" s="11" t="s">
        <v>74</v>
      </c>
      <c r="C77" s="11" t="s">
        <v>78</v>
      </c>
      <c r="D77" s="12">
        <f>'9-12'!F77</f>
        <v>8</v>
      </c>
      <c r="E77" s="7">
        <f t="shared" si="2"/>
        <v>0</v>
      </c>
      <c r="F77" s="7">
        <f t="shared" si="3"/>
        <v>8</v>
      </c>
      <c r="G77" s="9"/>
      <c r="J77" s="27"/>
      <c r="K77" s="6"/>
      <c r="L77" s="6"/>
      <c r="M77" s="6"/>
      <c r="N77" s="6"/>
      <c r="O77" s="6"/>
      <c r="P77" s="6"/>
      <c r="Q77" s="6"/>
      <c r="R77" s="6"/>
      <c r="S77" s="6"/>
      <c r="T77" s="6"/>
      <c r="U77" s="28"/>
    </row>
    <row r="78" spans="1:21" ht="45" x14ac:dyDescent="0.25">
      <c r="A78" s="18">
        <f>IF(B78="","",COUNTA($B$3:B78))</f>
        <v>76</v>
      </c>
      <c r="B78" s="17" t="s">
        <v>75</v>
      </c>
      <c r="C78" s="17" t="s">
        <v>78</v>
      </c>
      <c r="D78" s="12">
        <f>'9-12'!F78</f>
        <v>19</v>
      </c>
      <c r="E78" s="7">
        <f t="shared" si="2"/>
        <v>0</v>
      </c>
      <c r="F78" s="7">
        <f t="shared" si="3"/>
        <v>19</v>
      </c>
      <c r="G78" s="9"/>
      <c r="J78" s="27"/>
      <c r="K78" s="6"/>
      <c r="L78" s="6"/>
      <c r="M78" s="6"/>
      <c r="N78" s="6"/>
      <c r="O78" s="6"/>
      <c r="P78" s="6"/>
      <c r="Q78" s="6"/>
      <c r="R78" s="6"/>
      <c r="S78" s="6"/>
      <c r="T78" s="6"/>
      <c r="U78" s="28"/>
    </row>
    <row r="79" spans="1:21" ht="30" x14ac:dyDescent="0.25">
      <c r="A79" s="19">
        <f>IF(B79="","",COUNTA($B$3:B79))</f>
        <v>77</v>
      </c>
      <c r="B79" s="21" t="s">
        <v>76</v>
      </c>
      <c r="C79" s="21" t="s">
        <v>78</v>
      </c>
      <c r="D79" s="12">
        <f>'9-12'!F79</f>
        <v>8</v>
      </c>
      <c r="E79" s="7">
        <f t="shared" si="2"/>
        <v>0</v>
      </c>
      <c r="F79" s="7">
        <f t="shared" si="3"/>
        <v>8</v>
      </c>
      <c r="G79" s="9"/>
      <c r="J79" s="27"/>
      <c r="K79" s="6"/>
      <c r="L79" s="6"/>
      <c r="M79" s="6"/>
      <c r="N79" s="6"/>
      <c r="O79" s="6"/>
      <c r="P79" s="6"/>
      <c r="Q79" s="6"/>
      <c r="R79" s="6"/>
      <c r="S79" s="6"/>
      <c r="T79" s="6"/>
      <c r="U79" s="28"/>
    </row>
    <row r="80" spans="1:21" ht="30" x14ac:dyDescent="0.25">
      <c r="A80" s="18">
        <f>IF(B80="","",COUNTA($B$3:B80))</f>
        <v>78</v>
      </c>
      <c r="B80" s="14" t="s">
        <v>41</v>
      </c>
      <c r="C80" s="17" t="s">
        <v>78</v>
      </c>
      <c r="D80" s="12">
        <f>'9-12'!F80</f>
        <v>1</v>
      </c>
      <c r="E80" s="7">
        <f t="shared" si="2"/>
        <v>0</v>
      </c>
      <c r="F80" s="7">
        <f t="shared" si="3"/>
        <v>1</v>
      </c>
      <c r="G80" s="9"/>
      <c r="J80" s="27"/>
      <c r="K80" s="6"/>
      <c r="L80" s="6"/>
      <c r="M80" s="6"/>
      <c r="N80" s="6"/>
      <c r="O80" s="6"/>
      <c r="P80" s="6"/>
      <c r="Q80" s="6"/>
      <c r="R80" s="6"/>
      <c r="S80" s="6"/>
      <c r="T80" s="6"/>
      <c r="U80" s="28"/>
    </row>
    <row r="81" spans="1:21" ht="45" x14ac:dyDescent="0.25">
      <c r="A81" s="19">
        <f>IF(B81="","",COUNTA($B$3:B81))</f>
        <v>79</v>
      </c>
      <c r="B81" s="11" t="s">
        <v>42</v>
      </c>
      <c r="C81" s="21" t="s">
        <v>78</v>
      </c>
      <c r="D81" s="12">
        <f>'9-12'!F81</f>
        <v>0</v>
      </c>
      <c r="E81" s="7">
        <f t="shared" si="2"/>
        <v>0</v>
      </c>
      <c r="F81" s="7">
        <f t="shared" si="3"/>
        <v>0</v>
      </c>
      <c r="G81" s="9"/>
      <c r="J81" s="27"/>
      <c r="K81" s="6"/>
      <c r="L81" s="6"/>
      <c r="M81" s="6"/>
      <c r="N81" s="6"/>
      <c r="O81" s="6"/>
      <c r="P81" s="6"/>
      <c r="Q81" s="6"/>
      <c r="R81" s="6"/>
      <c r="S81" s="6"/>
      <c r="T81" s="6"/>
      <c r="U81" s="28"/>
    </row>
    <row r="82" spans="1:21" x14ac:dyDescent="0.25">
      <c r="A82" s="13" t="str">
        <f>IF(B82="","",COUNTA($B$3:B82))</f>
        <v/>
      </c>
      <c r="B82" s="17"/>
      <c r="C82" s="23"/>
      <c r="D82" s="23"/>
      <c r="E82" s="32"/>
      <c r="F82" s="7"/>
      <c r="G82" s="23"/>
      <c r="J82" s="27"/>
      <c r="K82" s="6"/>
      <c r="L82" s="6"/>
      <c r="M82" s="6"/>
      <c r="N82" s="6"/>
      <c r="O82" s="6"/>
      <c r="P82" s="6"/>
      <c r="Q82" s="6"/>
      <c r="R82" s="6"/>
      <c r="S82" s="6"/>
      <c r="T82" s="6"/>
      <c r="U82" s="28"/>
    </row>
    <row r="83" spans="1:21" ht="15.75" thickBot="1" x14ac:dyDescent="0.3">
      <c r="A83" s="24"/>
      <c r="B83" s="25"/>
      <c r="C83" s="23"/>
      <c r="D83" s="23"/>
      <c r="E83" s="32"/>
      <c r="F83" s="7"/>
      <c r="G83" s="23"/>
      <c r="J83" s="27"/>
      <c r="K83" s="6"/>
      <c r="L83" s="6"/>
      <c r="M83" s="6"/>
      <c r="N83" s="6"/>
      <c r="O83" s="6"/>
      <c r="P83" s="6"/>
      <c r="Q83" s="6"/>
      <c r="R83" s="6"/>
      <c r="S83" s="6"/>
      <c r="T83" s="6"/>
      <c r="U83" s="28"/>
    </row>
    <row r="84" spans="1:21" ht="15.75" thickBot="1" x14ac:dyDescent="0.3">
      <c r="A84" s="23"/>
      <c r="B84" s="23"/>
      <c r="C84" s="23"/>
      <c r="D84" s="23"/>
      <c r="E84" s="32"/>
      <c r="F84" s="7"/>
      <c r="G84" s="23"/>
      <c r="J84" s="29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1"/>
    </row>
  </sheetData>
  <mergeCells count="2">
    <mergeCell ref="B1:F1"/>
    <mergeCell ref="J1:U1"/>
  </mergeCells>
  <conditionalFormatting sqref="D3:D81">
    <cfRule type="cellIs" dxfId="134" priority="1" operator="lessThan">
      <formula>11</formula>
    </cfRule>
  </conditionalFormatting>
  <dataValidations count="2">
    <dataValidation type="list" allowBlank="1" showInputMessage="1" showErrorMessage="1" sqref="G3:G81">
      <formula1>$X$3:$X$10</formula1>
    </dataValidation>
    <dataValidation type="list" allowBlank="1" showInputMessage="1" showErrorMessage="1" sqref="C3:C81">
      <formula1>"តូច small​  小, ធំ Big 大的"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84"/>
  <sheetViews>
    <sheetView topLeftCell="A11" workbookViewId="0">
      <selection activeCell="R28" sqref="R28"/>
    </sheetView>
  </sheetViews>
  <sheetFormatPr defaultRowHeight="15" x14ac:dyDescent="0.25"/>
  <cols>
    <col min="1" max="1" width="14.85546875" customWidth="1"/>
    <col min="2" max="2" width="24.140625" customWidth="1"/>
    <col min="3" max="3" width="9.85546875" customWidth="1"/>
    <col min="4" max="4" width="16.42578125" customWidth="1"/>
    <col min="5" max="5" width="19.42578125" customWidth="1"/>
    <col min="6" max="6" width="12" customWidth="1"/>
    <col min="7" max="7" width="22.28515625" customWidth="1"/>
    <col min="8" max="8" width="2.5703125" customWidth="1"/>
    <col min="9" max="9" width="5.140625" hidden="1" customWidth="1"/>
    <col min="10" max="18" width="6.140625" customWidth="1"/>
    <col min="19" max="21" width="6.42578125" customWidth="1"/>
  </cols>
  <sheetData>
    <row r="1" spans="1:24" ht="58.5" customHeight="1" thickBot="1" x14ac:dyDescent="0.3">
      <c r="A1" s="1"/>
      <c r="B1" s="35" t="s">
        <v>101</v>
      </c>
      <c r="C1" s="35"/>
      <c r="D1" s="35"/>
      <c r="E1" s="35"/>
      <c r="F1" s="35"/>
      <c r="G1" s="34" t="s">
        <v>105</v>
      </c>
      <c r="J1" s="36" t="s">
        <v>103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8"/>
    </row>
    <row r="2" spans="1:24" ht="73.5" customHeight="1" thickBot="1" x14ac:dyDescent="0.3">
      <c r="A2" s="4" t="s">
        <v>0</v>
      </c>
      <c r="B2" s="3" t="s">
        <v>1</v>
      </c>
      <c r="C2" s="3" t="s">
        <v>77</v>
      </c>
      <c r="D2" s="3" t="s">
        <v>80</v>
      </c>
      <c r="E2" s="3" t="s">
        <v>81</v>
      </c>
      <c r="F2" s="3" t="s">
        <v>82</v>
      </c>
      <c r="G2" s="5" t="s">
        <v>83</v>
      </c>
      <c r="J2" s="26" t="s">
        <v>84</v>
      </c>
      <c r="K2" s="26" t="s">
        <v>85</v>
      </c>
      <c r="L2" s="26" t="s">
        <v>86</v>
      </c>
      <c r="M2" s="26" t="s">
        <v>87</v>
      </c>
      <c r="N2" s="26" t="s">
        <v>88</v>
      </c>
      <c r="O2" s="26" t="s">
        <v>89</v>
      </c>
      <c r="P2" s="26" t="s">
        <v>90</v>
      </c>
      <c r="Q2" s="26" t="s">
        <v>91</v>
      </c>
      <c r="R2" s="26" t="s">
        <v>92</v>
      </c>
      <c r="S2" s="26" t="s">
        <v>93</v>
      </c>
      <c r="T2" s="26" t="s">
        <v>94</v>
      </c>
      <c r="U2" s="26" t="s">
        <v>95</v>
      </c>
    </row>
    <row r="3" spans="1:24" ht="27.75" customHeight="1" x14ac:dyDescent="0.25">
      <c r="A3" s="10">
        <f>IF(B3="","",COUNTA($B$3:B3))</f>
        <v>1</v>
      </c>
      <c r="B3" s="11" t="s">
        <v>2</v>
      </c>
      <c r="C3" s="11" t="s">
        <v>78</v>
      </c>
      <c r="D3" s="12">
        <f>'9-14'!F3</f>
        <v>5</v>
      </c>
      <c r="E3" s="7">
        <f t="shared" ref="E3:E66" si="0">SUM(J3:U3)</f>
        <v>2</v>
      </c>
      <c r="F3" s="7">
        <f t="shared" ref="F3:F66" si="1">D3-E3</f>
        <v>3</v>
      </c>
      <c r="G3" s="8"/>
      <c r="J3" s="27"/>
      <c r="K3" s="6"/>
      <c r="L3" s="6"/>
      <c r="M3" s="6">
        <v>1</v>
      </c>
      <c r="N3" s="6"/>
      <c r="O3" s="6"/>
      <c r="P3" s="6"/>
      <c r="Q3" s="6">
        <v>1</v>
      </c>
      <c r="R3" s="6"/>
      <c r="S3" s="6"/>
      <c r="T3" s="6"/>
      <c r="U3" s="28"/>
      <c r="X3" t="s">
        <v>96</v>
      </c>
    </row>
    <row r="4" spans="1:24" ht="30" x14ac:dyDescent="0.25">
      <c r="A4" s="13">
        <f>IF(B4="","",COUNTA($B$3:B4))</f>
        <v>2</v>
      </c>
      <c r="B4" s="14" t="s">
        <v>3</v>
      </c>
      <c r="C4" s="14" t="s">
        <v>78</v>
      </c>
      <c r="D4" s="12">
        <f>'9-14'!F4</f>
        <v>60</v>
      </c>
      <c r="E4" s="7">
        <f t="shared" si="0"/>
        <v>2</v>
      </c>
      <c r="F4" s="7">
        <f t="shared" si="1"/>
        <v>58</v>
      </c>
      <c r="G4" s="9"/>
      <c r="J4" s="27"/>
      <c r="K4" s="6">
        <v>1</v>
      </c>
      <c r="L4" s="6"/>
      <c r="M4" s="6"/>
      <c r="N4" s="6"/>
      <c r="O4" s="6">
        <v>1</v>
      </c>
      <c r="P4" s="6"/>
      <c r="Q4" s="6"/>
      <c r="R4" s="6"/>
      <c r="S4" s="6"/>
      <c r="T4" s="6"/>
      <c r="U4" s="28"/>
      <c r="X4" t="s">
        <v>97</v>
      </c>
    </row>
    <row r="5" spans="1:24" ht="30" x14ac:dyDescent="0.25">
      <c r="A5" s="10">
        <f>IF(B5="","",COUNTA($B$3:B5))</f>
        <v>3</v>
      </c>
      <c r="B5" s="11" t="s">
        <v>4</v>
      </c>
      <c r="C5" s="11" t="s">
        <v>78</v>
      </c>
      <c r="D5" s="12">
        <f>'9-14'!F5</f>
        <v>8</v>
      </c>
      <c r="E5" s="7">
        <f t="shared" si="0"/>
        <v>0</v>
      </c>
      <c r="F5" s="7">
        <f t="shared" si="1"/>
        <v>8</v>
      </c>
      <c r="G5" s="9"/>
      <c r="J5" s="27"/>
      <c r="K5" s="6"/>
      <c r="L5" s="6"/>
      <c r="M5" s="6"/>
      <c r="N5" s="6"/>
      <c r="O5" s="6"/>
      <c r="P5" s="6"/>
      <c r="Q5" s="6"/>
      <c r="R5" s="6"/>
      <c r="S5" s="6"/>
      <c r="T5" s="6"/>
      <c r="U5" s="28"/>
      <c r="X5" t="s">
        <v>98</v>
      </c>
    </row>
    <row r="6" spans="1:24" ht="30" x14ac:dyDescent="0.25">
      <c r="A6" s="13">
        <f>IF(B6="","",COUNTA($B$3:B6))</f>
        <v>4</v>
      </c>
      <c r="B6" s="14" t="s">
        <v>5</v>
      </c>
      <c r="C6" s="14" t="s">
        <v>78</v>
      </c>
      <c r="D6" s="12">
        <f>'9-14'!F6</f>
        <v>11</v>
      </c>
      <c r="E6" s="7">
        <f t="shared" si="0"/>
        <v>0</v>
      </c>
      <c r="F6" s="7">
        <f t="shared" si="1"/>
        <v>11</v>
      </c>
      <c r="G6" s="9"/>
      <c r="J6" s="27"/>
      <c r="K6" s="6"/>
      <c r="L6" s="6"/>
      <c r="M6" s="6"/>
      <c r="N6" s="6"/>
      <c r="O6" s="6"/>
      <c r="P6" s="6"/>
      <c r="Q6" s="6"/>
      <c r="R6" s="6"/>
      <c r="S6" s="6"/>
      <c r="T6" s="6"/>
      <c r="U6" s="28"/>
      <c r="X6" t="s">
        <v>99</v>
      </c>
    </row>
    <row r="7" spans="1:24" ht="30" x14ac:dyDescent="0.25">
      <c r="A7" s="10">
        <f>IF(B7="","",COUNTA($B$3:B7))</f>
        <v>5</v>
      </c>
      <c r="B7" s="11" t="s">
        <v>6</v>
      </c>
      <c r="C7" s="11" t="s">
        <v>78</v>
      </c>
      <c r="D7" s="12">
        <f>'9-14'!F7</f>
        <v>3</v>
      </c>
      <c r="E7" s="7">
        <f t="shared" si="0"/>
        <v>0</v>
      </c>
      <c r="F7" s="7">
        <f t="shared" si="1"/>
        <v>3</v>
      </c>
      <c r="G7" s="9"/>
      <c r="J7" s="27"/>
      <c r="K7" s="6"/>
      <c r="L7" s="6"/>
      <c r="M7" s="6"/>
      <c r="N7" s="6"/>
      <c r="O7" s="6"/>
      <c r="P7" s="6"/>
      <c r="Q7" s="6"/>
      <c r="R7" s="6"/>
      <c r="S7" s="6"/>
      <c r="T7" s="6"/>
      <c r="U7" s="28"/>
      <c r="X7" t="s">
        <v>100</v>
      </c>
    </row>
    <row r="8" spans="1:24" ht="30" x14ac:dyDescent="0.25">
      <c r="A8" s="13">
        <f>IF(B8="","",COUNTA($B$3:B8))</f>
        <v>6</v>
      </c>
      <c r="B8" s="14" t="s">
        <v>7</v>
      </c>
      <c r="C8" s="14" t="s">
        <v>78</v>
      </c>
      <c r="D8" s="12">
        <f>'9-14'!F8</f>
        <v>22</v>
      </c>
      <c r="E8" s="7">
        <f t="shared" si="0"/>
        <v>2</v>
      </c>
      <c r="F8" s="7">
        <f t="shared" si="1"/>
        <v>20</v>
      </c>
      <c r="G8" s="9"/>
      <c r="J8" s="27"/>
      <c r="K8" s="6"/>
      <c r="L8" s="6">
        <v>1</v>
      </c>
      <c r="M8" s="6"/>
      <c r="N8" s="6"/>
      <c r="O8" s="6"/>
      <c r="P8" s="6">
        <v>1</v>
      </c>
      <c r="Q8" s="6"/>
      <c r="R8" s="6"/>
      <c r="S8" s="6"/>
      <c r="T8" s="6"/>
      <c r="U8" s="28"/>
    </row>
    <row r="9" spans="1:24" ht="45" x14ac:dyDescent="0.25">
      <c r="A9" s="10">
        <f>IF(B9="","",COUNTA($B$3:B9))</f>
        <v>7</v>
      </c>
      <c r="B9" s="11" t="s">
        <v>8</v>
      </c>
      <c r="C9" s="11" t="s">
        <v>78</v>
      </c>
      <c r="D9" s="12">
        <f>'9-14'!F9</f>
        <v>13</v>
      </c>
      <c r="E9" s="7">
        <f t="shared" si="0"/>
        <v>0</v>
      </c>
      <c r="F9" s="7">
        <f t="shared" si="1"/>
        <v>13</v>
      </c>
      <c r="G9" s="9"/>
      <c r="J9" s="27"/>
      <c r="K9" s="6"/>
      <c r="L9" s="6"/>
      <c r="M9" s="6"/>
      <c r="N9" s="6"/>
      <c r="O9" s="6"/>
      <c r="P9" s="6"/>
      <c r="Q9" s="6"/>
      <c r="R9" s="6"/>
      <c r="S9" s="6"/>
      <c r="T9" s="6"/>
      <c r="U9" s="28"/>
    </row>
    <row r="10" spans="1:24" ht="45" x14ac:dyDescent="0.25">
      <c r="A10" s="13">
        <f>IF(B10="","",COUNTA($B$3:B10))</f>
        <v>8</v>
      </c>
      <c r="B10" s="14" t="s">
        <v>9</v>
      </c>
      <c r="C10" s="14" t="s">
        <v>78</v>
      </c>
      <c r="D10" s="12">
        <f>'9-14'!F10</f>
        <v>2</v>
      </c>
      <c r="E10" s="7">
        <f t="shared" si="0"/>
        <v>0</v>
      </c>
      <c r="F10" s="7">
        <f t="shared" si="1"/>
        <v>2</v>
      </c>
      <c r="G10" s="9"/>
      <c r="J10" s="27"/>
      <c r="K10" s="6"/>
      <c r="L10" s="6"/>
      <c r="M10" s="6"/>
      <c r="N10" s="6"/>
      <c r="O10" s="6"/>
      <c r="P10" s="6"/>
      <c r="Q10" s="6"/>
      <c r="R10" s="6"/>
      <c r="S10" s="6"/>
      <c r="T10" s="6"/>
      <c r="U10" s="28"/>
    </row>
    <row r="11" spans="1:24" ht="60" x14ac:dyDescent="0.25">
      <c r="A11" s="10">
        <f>IF(B11="","",COUNTA($B$3:B11))</f>
        <v>9</v>
      </c>
      <c r="B11" s="11" t="s">
        <v>10</v>
      </c>
      <c r="C11" s="11" t="s">
        <v>78</v>
      </c>
      <c r="D11" s="12">
        <f>'9-14'!F11</f>
        <v>4</v>
      </c>
      <c r="E11" s="7">
        <f t="shared" si="0"/>
        <v>0</v>
      </c>
      <c r="F11" s="7">
        <f t="shared" si="1"/>
        <v>4</v>
      </c>
      <c r="G11" s="9"/>
      <c r="J11" s="27"/>
      <c r="K11" s="6"/>
      <c r="L11" s="6"/>
      <c r="M11" s="6"/>
      <c r="N11" s="6"/>
      <c r="O11" s="6"/>
      <c r="P11" s="6"/>
      <c r="Q11" s="6"/>
      <c r="R11" s="6"/>
      <c r="S11" s="6"/>
      <c r="T11" s="6"/>
      <c r="U11" s="28"/>
    </row>
    <row r="12" spans="1:24" ht="45" x14ac:dyDescent="0.25">
      <c r="A12" s="13">
        <f>IF(B12="","",COUNTA($B$3:B12))</f>
        <v>10</v>
      </c>
      <c r="B12" s="14" t="s">
        <v>11</v>
      </c>
      <c r="C12" s="14" t="s">
        <v>78</v>
      </c>
      <c r="D12" s="12">
        <f>'9-14'!F12</f>
        <v>0</v>
      </c>
      <c r="E12" s="7">
        <f t="shared" si="0"/>
        <v>0</v>
      </c>
      <c r="F12" s="7">
        <f t="shared" si="1"/>
        <v>0</v>
      </c>
      <c r="G12" s="9"/>
      <c r="J12" s="27"/>
      <c r="K12" s="6"/>
      <c r="L12" s="6"/>
      <c r="M12" s="6"/>
      <c r="N12" s="6"/>
      <c r="O12" s="6"/>
      <c r="P12" s="6"/>
      <c r="Q12" s="6"/>
      <c r="R12" s="6"/>
      <c r="S12" s="6"/>
      <c r="T12" s="6"/>
      <c r="U12" s="28"/>
    </row>
    <row r="13" spans="1:24" ht="60" x14ac:dyDescent="0.25">
      <c r="A13" s="10">
        <f>IF(B13="","",COUNTA($B$3:B13))</f>
        <v>11</v>
      </c>
      <c r="B13" s="11" t="s">
        <v>12</v>
      </c>
      <c r="C13" s="11" t="s">
        <v>78</v>
      </c>
      <c r="D13" s="12">
        <f>'9-14'!F13</f>
        <v>0</v>
      </c>
      <c r="E13" s="7">
        <f t="shared" si="0"/>
        <v>0</v>
      </c>
      <c r="F13" s="7">
        <f t="shared" si="1"/>
        <v>0</v>
      </c>
      <c r="G13" s="9"/>
      <c r="J13" s="27"/>
      <c r="K13" s="6"/>
      <c r="L13" s="6"/>
      <c r="M13" s="6"/>
      <c r="N13" s="6"/>
      <c r="O13" s="6"/>
      <c r="P13" s="6"/>
      <c r="Q13" s="6"/>
      <c r="R13" s="6"/>
      <c r="S13" s="6"/>
      <c r="T13" s="6"/>
      <c r="U13" s="28"/>
    </row>
    <row r="14" spans="1:24" ht="30" x14ac:dyDescent="0.25">
      <c r="A14" s="13">
        <f>IF(B14="","",COUNTA($B$3:B14))</f>
        <v>12</v>
      </c>
      <c r="B14" s="14" t="s">
        <v>13</v>
      </c>
      <c r="C14" s="14" t="s">
        <v>78</v>
      </c>
      <c r="D14" s="12">
        <f>'9-14'!F14</f>
        <v>7</v>
      </c>
      <c r="E14" s="7">
        <f t="shared" si="0"/>
        <v>0</v>
      </c>
      <c r="F14" s="7">
        <f t="shared" si="1"/>
        <v>7</v>
      </c>
      <c r="G14" s="9"/>
      <c r="J14" s="27"/>
      <c r="K14" s="6"/>
      <c r="L14" s="6"/>
      <c r="M14" s="6"/>
      <c r="N14" s="6"/>
      <c r="O14" s="6"/>
      <c r="P14" s="6"/>
      <c r="Q14" s="6"/>
      <c r="R14" s="6"/>
      <c r="S14" s="6"/>
      <c r="T14" s="6"/>
      <c r="U14" s="28"/>
    </row>
    <row r="15" spans="1:24" ht="60" x14ac:dyDescent="0.25">
      <c r="A15" s="10">
        <f>IF(B15="","",COUNTA($B$3:B15))</f>
        <v>13</v>
      </c>
      <c r="B15" s="16" t="s">
        <v>14</v>
      </c>
      <c r="C15" s="11" t="s">
        <v>78</v>
      </c>
      <c r="D15" s="12">
        <f>'9-14'!F15</f>
        <v>5</v>
      </c>
      <c r="E15" s="7">
        <f t="shared" si="0"/>
        <v>0</v>
      </c>
      <c r="F15" s="7">
        <f t="shared" si="1"/>
        <v>5</v>
      </c>
      <c r="G15" s="9"/>
      <c r="J15" s="27"/>
      <c r="K15" s="6"/>
      <c r="L15" s="6"/>
      <c r="M15" s="6"/>
      <c r="N15" s="6"/>
      <c r="O15" s="6"/>
      <c r="P15" s="6"/>
      <c r="Q15" s="6"/>
      <c r="R15" s="6"/>
      <c r="S15" s="6"/>
      <c r="T15" s="6"/>
      <c r="U15" s="28"/>
    </row>
    <row r="16" spans="1:24" ht="45" x14ac:dyDescent="0.25">
      <c r="A16" s="13">
        <f>IF(B16="","",COUNTA($B$3:B16))</f>
        <v>14</v>
      </c>
      <c r="B16" s="14" t="s">
        <v>15</v>
      </c>
      <c r="C16" s="14" t="s">
        <v>78</v>
      </c>
      <c r="D16" s="12">
        <f>'9-14'!F16</f>
        <v>3</v>
      </c>
      <c r="E16" s="7">
        <f t="shared" si="0"/>
        <v>0</v>
      </c>
      <c r="F16" s="7">
        <f t="shared" si="1"/>
        <v>3</v>
      </c>
      <c r="G16" s="9"/>
      <c r="J16" s="27"/>
      <c r="K16" s="6"/>
      <c r="L16" s="6"/>
      <c r="M16" s="6"/>
      <c r="N16" s="6"/>
      <c r="O16" s="6"/>
      <c r="P16" s="6"/>
      <c r="Q16" s="6"/>
      <c r="R16" s="6"/>
      <c r="S16" s="6"/>
      <c r="T16" s="6"/>
      <c r="U16" s="28"/>
    </row>
    <row r="17" spans="1:21" ht="45" x14ac:dyDescent="0.25">
      <c r="A17" s="10">
        <f>IF(B17="","",COUNTA($B$3:B17))</f>
        <v>15</v>
      </c>
      <c r="B17" s="11" t="s">
        <v>16</v>
      </c>
      <c r="C17" s="11" t="s">
        <v>78</v>
      </c>
      <c r="D17" s="12">
        <f>'9-14'!F17</f>
        <v>3</v>
      </c>
      <c r="E17" s="7">
        <f t="shared" si="0"/>
        <v>0</v>
      </c>
      <c r="F17" s="7">
        <f t="shared" si="1"/>
        <v>3</v>
      </c>
      <c r="G17" s="9"/>
      <c r="J17" s="27"/>
      <c r="K17" s="6"/>
      <c r="L17" s="6"/>
      <c r="M17" s="6"/>
      <c r="N17" s="6"/>
      <c r="O17" s="6"/>
      <c r="P17" s="6"/>
      <c r="Q17" s="6"/>
      <c r="R17" s="6"/>
      <c r="S17" s="6"/>
      <c r="T17" s="6"/>
      <c r="U17" s="28"/>
    </row>
    <row r="18" spans="1:21" ht="60" x14ac:dyDescent="0.25">
      <c r="A18" s="13">
        <f>IF(B18="","",COUNTA($B$3:B18))</f>
        <v>16</v>
      </c>
      <c r="B18" s="17" t="s">
        <v>17</v>
      </c>
      <c r="C18" s="14" t="s">
        <v>78</v>
      </c>
      <c r="D18" s="12">
        <f>'9-14'!F18</f>
        <v>2</v>
      </c>
      <c r="E18" s="7">
        <f t="shared" si="0"/>
        <v>0</v>
      </c>
      <c r="F18" s="7">
        <f t="shared" si="1"/>
        <v>2</v>
      </c>
      <c r="G18" s="9"/>
      <c r="J18" s="27"/>
      <c r="K18" s="6"/>
      <c r="L18" s="6"/>
      <c r="M18" s="6"/>
      <c r="N18" s="6"/>
      <c r="O18" s="6"/>
      <c r="P18" s="6"/>
      <c r="Q18" s="6"/>
      <c r="R18" s="6"/>
      <c r="S18" s="6"/>
      <c r="T18" s="6"/>
      <c r="U18" s="28"/>
    </row>
    <row r="19" spans="1:21" ht="45" x14ac:dyDescent="0.25">
      <c r="A19" s="10">
        <f>IF(B19="","",COUNTA($B$3:B19))</f>
        <v>17</v>
      </c>
      <c r="B19" s="11" t="s">
        <v>18</v>
      </c>
      <c r="C19" s="11" t="s">
        <v>78</v>
      </c>
      <c r="D19" s="12">
        <f>'9-14'!F19</f>
        <v>42</v>
      </c>
      <c r="E19" s="7">
        <f t="shared" si="0"/>
        <v>0</v>
      </c>
      <c r="F19" s="7">
        <f t="shared" si="1"/>
        <v>42</v>
      </c>
      <c r="G19" s="9"/>
      <c r="J19" s="27"/>
      <c r="K19" s="6"/>
      <c r="L19" s="6"/>
      <c r="M19" s="6"/>
      <c r="N19" s="6"/>
      <c r="O19" s="6"/>
      <c r="P19" s="6"/>
      <c r="Q19" s="6"/>
      <c r="R19" s="6"/>
      <c r="S19" s="6"/>
      <c r="T19" s="6"/>
      <c r="U19" s="28"/>
    </row>
    <row r="20" spans="1:21" ht="30" x14ac:dyDescent="0.25">
      <c r="A20" s="13">
        <f>IF(B20="","",COUNTA($B$3:B20))</f>
        <v>18</v>
      </c>
      <c r="B20" s="14" t="s">
        <v>19</v>
      </c>
      <c r="C20" s="14" t="s">
        <v>79</v>
      </c>
      <c r="D20" s="12">
        <f>'9-14'!F20</f>
        <v>2</v>
      </c>
      <c r="E20" s="7">
        <f t="shared" si="0"/>
        <v>0</v>
      </c>
      <c r="F20" s="7">
        <f t="shared" si="1"/>
        <v>2</v>
      </c>
      <c r="G20" s="9"/>
      <c r="J20" s="27"/>
      <c r="K20" s="6"/>
      <c r="L20" s="6"/>
      <c r="M20" s="6"/>
      <c r="N20" s="6"/>
      <c r="O20" s="6"/>
      <c r="P20" s="6"/>
      <c r="Q20" s="6"/>
      <c r="R20" s="6"/>
      <c r="S20" s="6"/>
      <c r="T20" s="6"/>
      <c r="U20" s="28"/>
    </row>
    <row r="21" spans="1:21" ht="45" x14ac:dyDescent="0.25">
      <c r="A21" s="10">
        <f>IF(B21="","",COUNTA($B$3:B21))</f>
        <v>19</v>
      </c>
      <c r="B21" s="11" t="s">
        <v>20</v>
      </c>
      <c r="C21" s="11" t="s">
        <v>78</v>
      </c>
      <c r="D21" s="12">
        <f>'9-14'!F21</f>
        <v>19</v>
      </c>
      <c r="E21" s="7">
        <f t="shared" si="0"/>
        <v>0</v>
      </c>
      <c r="F21" s="7">
        <f t="shared" si="1"/>
        <v>19</v>
      </c>
      <c r="G21" s="9"/>
      <c r="J21" s="27"/>
      <c r="K21" s="6"/>
      <c r="L21" s="6"/>
      <c r="M21" s="6"/>
      <c r="N21" s="6"/>
      <c r="O21" s="6"/>
      <c r="P21" s="6"/>
      <c r="Q21" s="6"/>
      <c r="R21" s="6"/>
      <c r="S21" s="6"/>
      <c r="T21" s="6"/>
      <c r="U21" s="28"/>
    </row>
    <row r="22" spans="1:21" ht="30" x14ac:dyDescent="0.25">
      <c r="A22" s="13">
        <f>IF(B22="","",COUNTA($B$3:B22))</f>
        <v>20</v>
      </c>
      <c r="B22" s="14" t="s">
        <v>21</v>
      </c>
      <c r="C22" s="14" t="s">
        <v>78</v>
      </c>
      <c r="D22" s="12">
        <f>'9-14'!F22</f>
        <v>5</v>
      </c>
      <c r="E22" s="7">
        <f t="shared" si="0"/>
        <v>0</v>
      </c>
      <c r="F22" s="7">
        <f t="shared" si="1"/>
        <v>5</v>
      </c>
      <c r="G22" s="9"/>
      <c r="J22" s="27"/>
      <c r="K22" s="6"/>
      <c r="L22" s="6"/>
      <c r="M22" s="6"/>
      <c r="N22" s="6"/>
      <c r="O22" s="6"/>
      <c r="P22" s="6"/>
      <c r="Q22" s="6"/>
      <c r="R22" s="6"/>
      <c r="S22" s="6"/>
      <c r="T22" s="6"/>
      <c r="U22" s="28"/>
    </row>
    <row r="23" spans="1:21" ht="60" x14ac:dyDescent="0.25">
      <c r="A23" s="10">
        <f>IF(B23="","",COUNTA($B$3:B23))</f>
        <v>21</v>
      </c>
      <c r="B23" s="11" t="s">
        <v>22</v>
      </c>
      <c r="C23" s="11" t="s">
        <v>78</v>
      </c>
      <c r="D23" s="12">
        <f>'9-14'!F23</f>
        <v>3</v>
      </c>
      <c r="E23" s="7">
        <f t="shared" si="0"/>
        <v>0</v>
      </c>
      <c r="F23" s="7">
        <f t="shared" si="1"/>
        <v>3</v>
      </c>
      <c r="G23" s="9"/>
      <c r="J23" s="27"/>
      <c r="K23" s="6"/>
      <c r="L23" s="6"/>
      <c r="M23" s="6"/>
      <c r="N23" s="6"/>
      <c r="O23" s="6"/>
      <c r="P23" s="6"/>
      <c r="Q23" s="6"/>
      <c r="R23" s="6"/>
      <c r="S23" s="6"/>
      <c r="T23" s="6"/>
      <c r="U23" s="28"/>
    </row>
    <row r="24" spans="1:21" ht="45" x14ac:dyDescent="0.25">
      <c r="A24" s="13">
        <f>IF(B24="","",COUNTA($B$3:B24))</f>
        <v>22</v>
      </c>
      <c r="B24" s="14" t="s">
        <v>23</v>
      </c>
      <c r="C24" s="14" t="s">
        <v>78</v>
      </c>
      <c r="D24" s="12">
        <f>'9-14'!F24</f>
        <v>23</v>
      </c>
      <c r="E24" s="7">
        <f t="shared" si="0"/>
        <v>0</v>
      </c>
      <c r="F24" s="7">
        <f t="shared" si="1"/>
        <v>23</v>
      </c>
      <c r="G24" s="9"/>
      <c r="J24" s="27"/>
      <c r="K24" s="6"/>
      <c r="L24" s="6"/>
      <c r="M24" s="6"/>
      <c r="N24" s="6"/>
      <c r="O24" s="6"/>
      <c r="P24" s="6"/>
      <c r="Q24" s="6"/>
      <c r="R24" s="6"/>
      <c r="S24" s="6"/>
      <c r="T24" s="6"/>
      <c r="U24" s="28"/>
    </row>
    <row r="25" spans="1:21" ht="30" x14ac:dyDescent="0.25">
      <c r="A25" s="10">
        <f>IF(B25="","",COUNTA($B$3:B25))</f>
        <v>23</v>
      </c>
      <c r="B25" s="11" t="s">
        <v>24</v>
      </c>
      <c r="C25" s="11" t="s">
        <v>78</v>
      </c>
      <c r="D25" s="12">
        <f>'9-14'!F25</f>
        <v>10</v>
      </c>
      <c r="E25" s="7">
        <f t="shared" si="0"/>
        <v>0</v>
      </c>
      <c r="F25" s="7">
        <f t="shared" si="1"/>
        <v>10</v>
      </c>
      <c r="G25" s="9"/>
      <c r="J25" s="27"/>
      <c r="K25" s="6"/>
      <c r="L25" s="6"/>
      <c r="M25" s="6"/>
      <c r="N25" s="6"/>
      <c r="O25" s="6"/>
      <c r="P25" s="6"/>
      <c r="Q25" s="6"/>
      <c r="R25" s="6"/>
      <c r="S25" s="6"/>
      <c r="T25" s="6"/>
      <c r="U25" s="28"/>
    </row>
    <row r="26" spans="1:21" ht="30" x14ac:dyDescent="0.25">
      <c r="A26" s="13">
        <f>IF(B26="","",COUNTA($B$3:B26))</f>
        <v>24</v>
      </c>
      <c r="B26" s="14" t="s">
        <v>25</v>
      </c>
      <c r="C26" s="14" t="s">
        <v>78</v>
      </c>
      <c r="D26" s="12">
        <f>'9-14'!F26</f>
        <v>0</v>
      </c>
      <c r="E26" s="7">
        <f t="shared" si="0"/>
        <v>0</v>
      </c>
      <c r="F26" s="7">
        <f t="shared" si="1"/>
        <v>0</v>
      </c>
      <c r="G26" s="9"/>
      <c r="J26" s="27"/>
      <c r="K26" s="6"/>
      <c r="L26" s="6"/>
      <c r="M26" s="6"/>
      <c r="N26" s="6"/>
      <c r="O26" s="6"/>
      <c r="P26" s="6"/>
      <c r="Q26" s="6"/>
      <c r="R26" s="6"/>
      <c r="S26" s="6"/>
      <c r="T26" s="6"/>
      <c r="U26" s="28"/>
    </row>
    <row r="27" spans="1:21" ht="30" x14ac:dyDescent="0.25">
      <c r="A27" s="10">
        <f>IF(B27="","",COUNTA($B$3:B27))</f>
        <v>25</v>
      </c>
      <c r="B27" s="11" t="s">
        <v>26</v>
      </c>
      <c r="C27" s="11" t="s">
        <v>78</v>
      </c>
      <c r="D27" s="12">
        <f>'9-14'!F27</f>
        <v>2</v>
      </c>
      <c r="E27" s="7">
        <f t="shared" si="0"/>
        <v>1</v>
      </c>
      <c r="F27" s="7">
        <f t="shared" si="1"/>
        <v>1</v>
      </c>
      <c r="G27" s="9"/>
      <c r="J27" s="27"/>
      <c r="K27" s="6"/>
      <c r="L27" s="6"/>
      <c r="M27" s="6"/>
      <c r="N27" s="6"/>
      <c r="O27" s="6"/>
      <c r="P27" s="6"/>
      <c r="Q27" s="6"/>
      <c r="R27" s="6">
        <v>1</v>
      </c>
      <c r="S27" s="6"/>
      <c r="T27" s="6"/>
      <c r="U27" s="28"/>
    </row>
    <row r="28" spans="1:21" ht="60" x14ac:dyDescent="0.25">
      <c r="A28" s="13">
        <f>IF(B28="","",COUNTA($B$3:B28))</f>
        <v>26</v>
      </c>
      <c r="B28" s="14" t="s">
        <v>27</v>
      </c>
      <c r="C28" s="14" t="s">
        <v>78</v>
      </c>
      <c r="D28" s="12">
        <f>'9-14'!F28</f>
        <v>0</v>
      </c>
      <c r="E28" s="7">
        <f t="shared" si="0"/>
        <v>0</v>
      </c>
      <c r="F28" s="7">
        <f t="shared" si="1"/>
        <v>0</v>
      </c>
      <c r="G28" s="9"/>
      <c r="J28" s="27"/>
      <c r="K28" s="6"/>
      <c r="L28" s="6"/>
      <c r="M28" s="6"/>
      <c r="N28" s="6"/>
      <c r="O28" s="6"/>
      <c r="P28" s="6"/>
      <c r="Q28" s="6"/>
      <c r="R28" s="6"/>
      <c r="S28" s="6"/>
      <c r="T28" s="6"/>
      <c r="U28" s="28"/>
    </row>
    <row r="29" spans="1:21" ht="30" x14ac:dyDescent="0.25">
      <c r="A29" s="10">
        <f>IF(B29="","",COUNTA($B$3:B29))</f>
        <v>27</v>
      </c>
      <c r="B29" s="11" t="s">
        <v>28</v>
      </c>
      <c r="C29" s="11" t="s">
        <v>78</v>
      </c>
      <c r="D29" s="12">
        <f>'9-14'!F29</f>
        <v>9</v>
      </c>
      <c r="E29" s="7">
        <f t="shared" si="0"/>
        <v>0</v>
      </c>
      <c r="F29" s="7">
        <f t="shared" si="1"/>
        <v>9</v>
      </c>
      <c r="G29" s="9"/>
      <c r="J29" s="27"/>
      <c r="K29" s="6"/>
      <c r="L29" s="6"/>
      <c r="M29" s="6"/>
      <c r="N29" s="6"/>
      <c r="O29" s="6"/>
      <c r="P29" s="6"/>
      <c r="Q29" s="6"/>
      <c r="R29" s="6"/>
      <c r="S29" s="6"/>
      <c r="T29" s="6"/>
      <c r="U29" s="28"/>
    </row>
    <row r="30" spans="1:21" ht="75" x14ac:dyDescent="0.25">
      <c r="A30" s="13">
        <f>IF(B30="","",COUNTA($B$3:B30))</f>
        <v>28</v>
      </c>
      <c r="B30" s="14" t="s">
        <v>29</v>
      </c>
      <c r="C30" s="14" t="s">
        <v>78</v>
      </c>
      <c r="D30" s="12">
        <f>'9-14'!F30</f>
        <v>4</v>
      </c>
      <c r="E30" s="7">
        <f t="shared" si="0"/>
        <v>0</v>
      </c>
      <c r="F30" s="7">
        <f t="shared" si="1"/>
        <v>4</v>
      </c>
      <c r="G30" s="9"/>
      <c r="J30" s="27"/>
      <c r="K30" s="6"/>
      <c r="L30" s="6"/>
      <c r="M30" s="6"/>
      <c r="N30" s="6"/>
      <c r="O30" s="6"/>
      <c r="P30" s="6"/>
      <c r="Q30" s="6"/>
      <c r="R30" s="6"/>
      <c r="S30" s="6"/>
      <c r="T30" s="6"/>
      <c r="U30" s="28"/>
    </row>
    <row r="31" spans="1:21" ht="30" x14ac:dyDescent="0.25">
      <c r="A31" s="10">
        <f>IF(B31="","",COUNTA($B$3:B31))</f>
        <v>29</v>
      </c>
      <c r="B31" s="11" t="s">
        <v>30</v>
      </c>
      <c r="C31" s="11" t="s">
        <v>78</v>
      </c>
      <c r="D31" s="12">
        <f>'9-14'!F31</f>
        <v>0</v>
      </c>
      <c r="E31" s="7">
        <f t="shared" si="0"/>
        <v>0</v>
      </c>
      <c r="F31" s="7">
        <f t="shared" si="1"/>
        <v>0</v>
      </c>
      <c r="G31" s="9"/>
      <c r="J31" s="27"/>
      <c r="K31" s="6"/>
      <c r="L31" s="6"/>
      <c r="M31" s="6"/>
      <c r="N31" s="6"/>
      <c r="O31" s="6"/>
      <c r="P31" s="6"/>
      <c r="Q31" s="6"/>
      <c r="R31" s="6"/>
      <c r="S31" s="6"/>
      <c r="T31" s="6"/>
      <c r="U31" s="28"/>
    </row>
    <row r="32" spans="1:21" ht="45" x14ac:dyDescent="0.25">
      <c r="A32" s="13">
        <f>IF(B32="","",COUNTA($B$3:B32))</f>
        <v>30</v>
      </c>
      <c r="B32" s="14" t="s">
        <v>31</v>
      </c>
      <c r="C32" s="14" t="s">
        <v>78</v>
      </c>
      <c r="D32" s="12">
        <f>'9-14'!F32</f>
        <v>8</v>
      </c>
      <c r="E32" s="7">
        <f t="shared" si="0"/>
        <v>0</v>
      </c>
      <c r="F32" s="7">
        <f t="shared" si="1"/>
        <v>8</v>
      </c>
      <c r="G32" s="9"/>
      <c r="J32" s="27"/>
      <c r="K32" s="6"/>
      <c r="L32" s="6"/>
      <c r="M32" s="6"/>
      <c r="N32" s="6"/>
      <c r="O32" s="6"/>
      <c r="P32" s="6"/>
      <c r="Q32" s="6"/>
      <c r="R32" s="6"/>
      <c r="S32" s="6"/>
      <c r="T32" s="6"/>
      <c r="U32" s="28"/>
    </row>
    <row r="33" spans="1:21" ht="45" x14ac:dyDescent="0.25">
      <c r="A33" s="10">
        <f>IF(B33="","",COUNTA($B$3:B33))</f>
        <v>31</v>
      </c>
      <c r="B33" s="11" t="s">
        <v>32</v>
      </c>
      <c r="C33" s="11" t="s">
        <v>78</v>
      </c>
      <c r="D33" s="12">
        <f>'9-14'!F33</f>
        <v>0</v>
      </c>
      <c r="E33" s="7">
        <f t="shared" si="0"/>
        <v>0</v>
      </c>
      <c r="F33" s="7">
        <f t="shared" si="1"/>
        <v>0</v>
      </c>
      <c r="G33" s="9"/>
      <c r="J33" s="27"/>
      <c r="K33" s="6"/>
      <c r="L33" s="6"/>
      <c r="M33" s="6"/>
      <c r="N33" s="6"/>
      <c r="O33" s="6"/>
      <c r="P33" s="6"/>
      <c r="Q33" s="6"/>
      <c r="R33" s="6"/>
      <c r="S33" s="6"/>
      <c r="T33" s="6"/>
      <c r="U33" s="28"/>
    </row>
    <row r="34" spans="1:21" ht="60" x14ac:dyDescent="0.25">
      <c r="A34" s="13">
        <f>IF(B34="","",COUNTA($B$3:B34))</f>
        <v>32</v>
      </c>
      <c r="B34" s="14" t="s">
        <v>33</v>
      </c>
      <c r="C34" s="14" t="s">
        <v>78</v>
      </c>
      <c r="D34" s="12">
        <f>'9-14'!F34</f>
        <v>7</v>
      </c>
      <c r="E34" s="7">
        <f t="shared" si="0"/>
        <v>0</v>
      </c>
      <c r="F34" s="7">
        <f t="shared" si="1"/>
        <v>7</v>
      </c>
      <c r="G34" s="9"/>
      <c r="J34" s="27"/>
      <c r="K34" s="6"/>
      <c r="L34" s="6"/>
      <c r="M34" s="6"/>
      <c r="N34" s="6"/>
      <c r="O34" s="6"/>
      <c r="P34" s="6"/>
      <c r="Q34" s="6"/>
      <c r="R34" s="6"/>
      <c r="S34" s="6"/>
      <c r="T34" s="6"/>
      <c r="U34" s="28"/>
    </row>
    <row r="35" spans="1:21" ht="75" x14ac:dyDescent="0.25">
      <c r="A35" s="10">
        <f>IF(B35="","",COUNTA($B$3:B35))</f>
        <v>33</v>
      </c>
      <c r="B35" s="11" t="s">
        <v>34</v>
      </c>
      <c r="C35" s="11" t="s">
        <v>78</v>
      </c>
      <c r="D35" s="12">
        <f>'9-14'!F35</f>
        <v>0</v>
      </c>
      <c r="E35" s="7">
        <f t="shared" si="0"/>
        <v>0</v>
      </c>
      <c r="F35" s="7">
        <f t="shared" si="1"/>
        <v>0</v>
      </c>
      <c r="G35" s="9"/>
      <c r="J35" s="27"/>
      <c r="K35" s="6"/>
      <c r="L35" s="6"/>
      <c r="M35" s="6"/>
      <c r="N35" s="6"/>
      <c r="O35" s="6"/>
      <c r="P35" s="6"/>
      <c r="Q35" s="6"/>
      <c r="R35" s="6"/>
      <c r="S35" s="6"/>
      <c r="T35" s="6"/>
      <c r="U35" s="28"/>
    </row>
    <row r="36" spans="1:21" ht="45" x14ac:dyDescent="0.25">
      <c r="A36" s="13">
        <f>IF(B36="","",COUNTA($B$3:B36))</f>
        <v>34</v>
      </c>
      <c r="B36" s="14" t="s">
        <v>35</v>
      </c>
      <c r="C36" s="14" t="s">
        <v>78</v>
      </c>
      <c r="D36" s="12">
        <f>'9-14'!F36</f>
        <v>8</v>
      </c>
      <c r="E36" s="7">
        <f t="shared" si="0"/>
        <v>0</v>
      </c>
      <c r="F36" s="7">
        <f t="shared" si="1"/>
        <v>8</v>
      </c>
      <c r="G36" s="9"/>
      <c r="J36" s="27"/>
      <c r="K36" s="6"/>
      <c r="L36" s="6"/>
      <c r="M36" s="6"/>
      <c r="N36" s="6"/>
      <c r="O36" s="6"/>
      <c r="P36" s="6"/>
      <c r="Q36" s="6"/>
      <c r="R36" s="6"/>
      <c r="S36" s="6"/>
      <c r="T36" s="6"/>
      <c r="U36" s="28"/>
    </row>
    <row r="37" spans="1:21" ht="45" x14ac:dyDescent="0.25">
      <c r="A37" s="10">
        <f>IF(B37="","",COUNTA($B$3:B37))</f>
        <v>35</v>
      </c>
      <c r="B37" s="11" t="s">
        <v>36</v>
      </c>
      <c r="C37" s="11" t="s">
        <v>78</v>
      </c>
      <c r="D37" s="12">
        <f>'9-14'!F37</f>
        <v>2</v>
      </c>
      <c r="E37" s="7">
        <f t="shared" si="0"/>
        <v>0</v>
      </c>
      <c r="F37" s="7">
        <f t="shared" si="1"/>
        <v>2</v>
      </c>
      <c r="G37" s="9"/>
      <c r="J37" s="27"/>
      <c r="K37" s="6"/>
      <c r="L37" s="6"/>
      <c r="M37" s="6"/>
      <c r="N37" s="6"/>
      <c r="O37" s="6"/>
      <c r="P37" s="6"/>
      <c r="Q37" s="6"/>
      <c r="R37" s="6"/>
      <c r="S37" s="6"/>
      <c r="T37" s="6"/>
      <c r="U37" s="28"/>
    </row>
    <row r="38" spans="1:21" ht="45" x14ac:dyDescent="0.25">
      <c r="A38" s="13">
        <f>IF(B38="","",COUNTA($B$3:B38))</f>
        <v>36</v>
      </c>
      <c r="B38" s="14" t="s">
        <v>37</v>
      </c>
      <c r="C38" s="14" t="s">
        <v>78</v>
      </c>
      <c r="D38" s="12">
        <f>'9-14'!F38</f>
        <v>1</v>
      </c>
      <c r="E38" s="7">
        <f t="shared" si="0"/>
        <v>0</v>
      </c>
      <c r="F38" s="7">
        <f t="shared" si="1"/>
        <v>1</v>
      </c>
      <c r="G38" s="9"/>
      <c r="J38" s="27"/>
      <c r="K38" s="6"/>
      <c r="L38" s="6"/>
      <c r="M38" s="6"/>
      <c r="N38" s="6"/>
      <c r="O38" s="6"/>
      <c r="P38" s="6"/>
      <c r="Q38" s="6"/>
      <c r="R38" s="6"/>
      <c r="S38" s="6"/>
      <c r="T38" s="6"/>
      <c r="U38" s="28"/>
    </row>
    <row r="39" spans="1:21" ht="45" x14ac:dyDescent="0.25">
      <c r="A39" s="10">
        <f>IF(B39="","",COUNTA($B$3:B39))</f>
        <v>37</v>
      </c>
      <c r="B39" s="11" t="s">
        <v>38</v>
      </c>
      <c r="C39" s="11" t="s">
        <v>78</v>
      </c>
      <c r="D39" s="12">
        <f>'9-14'!F39</f>
        <v>3</v>
      </c>
      <c r="E39" s="7">
        <f t="shared" si="0"/>
        <v>0</v>
      </c>
      <c r="F39" s="7">
        <f t="shared" si="1"/>
        <v>3</v>
      </c>
      <c r="G39" s="9"/>
      <c r="J39" s="27"/>
      <c r="K39" s="6"/>
      <c r="L39" s="6"/>
      <c r="M39" s="6"/>
      <c r="N39" s="6"/>
      <c r="O39" s="6"/>
      <c r="P39" s="6"/>
      <c r="Q39" s="6"/>
      <c r="R39" s="6"/>
      <c r="S39" s="6"/>
      <c r="T39" s="6"/>
      <c r="U39" s="28"/>
    </row>
    <row r="40" spans="1:21" ht="30" x14ac:dyDescent="0.25">
      <c r="A40" s="13">
        <f>IF(B40="","",COUNTA($B$3:B40))</f>
        <v>38</v>
      </c>
      <c r="B40" s="14" t="s">
        <v>2</v>
      </c>
      <c r="C40" s="14" t="s">
        <v>78</v>
      </c>
      <c r="D40" s="12">
        <f>'9-14'!F40</f>
        <v>0</v>
      </c>
      <c r="E40" s="7">
        <f t="shared" si="0"/>
        <v>0</v>
      </c>
      <c r="F40" s="7">
        <f t="shared" si="1"/>
        <v>0</v>
      </c>
      <c r="G40" s="9"/>
      <c r="J40" s="27"/>
      <c r="K40" s="6"/>
      <c r="L40" s="6"/>
      <c r="M40" s="6"/>
      <c r="N40" s="6"/>
      <c r="O40" s="6"/>
      <c r="P40" s="6"/>
      <c r="Q40" s="6"/>
      <c r="R40" s="6"/>
      <c r="S40" s="6"/>
      <c r="T40" s="6"/>
      <c r="U40" s="28"/>
    </row>
    <row r="41" spans="1:21" ht="45" x14ac:dyDescent="0.25">
      <c r="A41" s="10">
        <f>IF(B41="","",COUNTA($B$3:B41))</f>
        <v>39</v>
      </c>
      <c r="B41" s="11" t="s">
        <v>39</v>
      </c>
      <c r="C41" s="11" t="s">
        <v>78</v>
      </c>
      <c r="D41" s="12">
        <f>'9-14'!F41</f>
        <v>2</v>
      </c>
      <c r="E41" s="7">
        <f t="shared" si="0"/>
        <v>0</v>
      </c>
      <c r="F41" s="7">
        <f t="shared" si="1"/>
        <v>2</v>
      </c>
      <c r="G41" s="9"/>
      <c r="J41" s="27"/>
      <c r="K41" s="6"/>
      <c r="L41" s="6"/>
      <c r="M41" s="6"/>
      <c r="N41" s="6"/>
      <c r="O41" s="6"/>
      <c r="P41" s="6"/>
      <c r="Q41" s="6"/>
      <c r="R41" s="6"/>
      <c r="S41" s="6"/>
      <c r="T41" s="6"/>
      <c r="U41" s="28"/>
    </row>
    <row r="42" spans="1:21" ht="45" x14ac:dyDescent="0.25">
      <c r="A42" s="13">
        <f>IF(B42="","",COUNTA($B$3:B42))</f>
        <v>40</v>
      </c>
      <c r="B42" s="14" t="s">
        <v>40</v>
      </c>
      <c r="C42" s="14" t="s">
        <v>78</v>
      </c>
      <c r="D42" s="12">
        <f>'9-14'!F42</f>
        <v>5</v>
      </c>
      <c r="E42" s="7">
        <f t="shared" si="0"/>
        <v>0</v>
      </c>
      <c r="F42" s="7">
        <f t="shared" si="1"/>
        <v>5</v>
      </c>
      <c r="G42" s="9"/>
      <c r="J42" s="27"/>
      <c r="K42" s="6"/>
      <c r="L42" s="6"/>
      <c r="M42" s="6"/>
      <c r="N42" s="6"/>
      <c r="O42" s="6"/>
      <c r="P42" s="6"/>
      <c r="Q42" s="6"/>
      <c r="R42" s="6"/>
      <c r="S42" s="6"/>
      <c r="T42" s="6"/>
      <c r="U42" s="28"/>
    </row>
    <row r="43" spans="1:21" ht="30" x14ac:dyDescent="0.25">
      <c r="A43" s="10">
        <f>IF(B43="","",COUNTA($B$3:B43))</f>
        <v>41</v>
      </c>
      <c r="B43" s="11" t="s">
        <v>41</v>
      </c>
      <c r="C43" s="11" t="s">
        <v>78</v>
      </c>
      <c r="D43" s="12">
        <f>'9-14'!F43</f>
        <v>3</v>
      </c>
      <c r="E43" s="7">
        <f t="shared" si="0"/>
        <v>0</v>
      </c>
      <c r="F43" s="7">
        <f t="shared" si="1"/>
        <v>3</v>
      </c>
      <c r="G43" s="9"/>
      <c r="J43" s="27"/>
      <c r="K43" s="6"/>
      <c r="L43" s="6"/>
      <c r="M43" s="6"/>
      <c r="N43" s="6"/>
      <c r="O43" s="6"/>
      <c r="P43" s="6"/>
      <c r="Q43" s="6"/>
      <c r="R43" s="6"/>
      <c r="S43" s="6"/>
      <c r="T43" s="6"/>
      <c r="U43" s="28"/>
    </row>
    <row r="44" spans="1:21" ht="45" x14ac:dyDescent="0.25">
      <c r="A44" s="13">
        <f>IF(B44="","",COUNTA($B$3:B44))</f>
        <v>42</v>
      </c>
      <c r="B44" s="14" t="s">
        <v>42</v>
      </c>
      <c r="C44" s="14" t="s">
        <v>78</v>
      </c>
      <c r="D44" s="12">
        <f>'9-14'!F44</f>
        <v>0</v>
      </c>
      <c r="E44" s="7">
        <f t="shared" si="0"/>
        <v>0</v>
      </c>
      <c r="F44" s="7">
        <f t="shared" si="1"/>
        <v>0</v>
      </c>
      <c r="G44" s="9"/>
      <c r="J44" s="27"/>
      <c r="K44" s="6"/>
      <c r="L44" s="6"/>
      <c r="M44" s="6"/>
      <c r="N44" s="6"/>
      <c r="O44" s="6"/>
      <c r="P44" s="6"/>
      <c r="Q44" s="6"/>
      <c r="R44" s="6"/>
      <c r="S44" s="6"/>
      <c r="T44" s="6"/>
      <c r="U44" s="28"/>
    </row>
    <row r="45" spans="1:21" ht="30" x14ac:dyDescent="0.25">
      <c r="A45" s="10">
        <f>IF(B45="","",COUNTA($B$3:B45))</f>
        <v>43</v>
      </c>
      <c r="B45" s="11" t="s">
        <v>43</v>
      </c>
      <c r="C45" s="11" t="s">
        <v>78</v>
      </c>
      <c r="D45" s="12">
        <f>'9-14'!F45</f>
        <v>1</v>
      </c>
      <c r="E45" s="7">
        <f t="shared" si="0"/>
        <v>0</v>
      </c>
      <c r="F45" s="7">
        <f t="shared" si="1"/>
        <v>1</v>
      </c>
      <c r="G45" s="9"/>
      <c r="J45" s="27"/>
      <c r="K45" s="6"/>
      <c r="L45" s="6"/>
      <c r="M45" s="6"/>
      <c r="N45" s="6"/>
      <c r="O45" s="6"/>
      <c r="P45" s="6"/>
      <c r="Q45" s="6"/>
      <c r="R45" s="6"/>
      <c r="S45" s="6"/>
      <c r="T45" s="6"/>
      <c r="U45" s="28"/>
    </row>
    <row r="46" spans="1:21" ht="75" x14ac:dyDescent="0.25">
      <c r="A46" s="13">
        <f>IF(B46="","",COUNTA($B$3:B46))</f>
        <v>44</v>
      </c>
      <c r="B46" s="14" t="s">
        <v>44</v>
      </c>
      <c r="C46" s="14" t="s">
        <v>78</v>
      </c>
      <c r="D46" s="12">
        <f>'9-14'!F46</f>
        <v>0</v>
      </c>
      <c r="E46" s="7">
        <f t="shared" si="0"/>
        <v>0</v>
      </c>
      <c r="F46" s="7">
        <f t="shared" si="1"/>
        <v>0</v>
      </c>
      <c r="G46" s="9"/>
      <c r="J46" s="27"/>
      <c r="K46" s="6"/>
      <c r="L46" s="6"/>
      <c r="M46" s="6"/>
      <c r="N46" s="6"/>
      <c r="O46" s="6"/>
      <c r="P46" s="6"/>
      <c r="Q46" s="6"/>
      <c r="R46" s="6"/>
      <c r="S46" s="6"/>
      <c r="T46" s="6"/>
      <c r="U46" s="28"/>
    </row>
    <row r="47" spans="1:21" ht="30" x14ac:dyDescent="0.25">
      <c r="A47" s="10">
        <f>IF(B47="","",COUNTA($B$3:B47))</f>
        <v>45</v>
      </c>
      <c r="B47" s="11" t="s">
        <v>45</v>
      </c>
      <c r="C47" s="11" t="s">
        <v>78</v>
      </c>
      <c r="D47" s="12">
        <f>'9-14'!F47</f>
        <v>0</v>
      </c>
      <c r="E47" s="7">
        <f t="shared" si="0"/>
        <v>0</v>
      </c>
      <c r="F47" s="7">
        <f t="shared" si="1"/>
        <v>0</v>
      </c>
      <c r="G47" s="9"/>
      <c r="J47" s="27"/>
      <c r="K47" s="6"/>
      <c r="L47" s="6"/>
      <c r="M47" s="6"/>
      <c r="N47" s="6"/>
      <c r="O47" s="6"/>
      <c r="P47" s="6"/>
      <c r="Q47" s="6"/>
      <c r="R47" s="6"/>
      <c r="S47" s="6"/>
      <c r="T47" s="6"/>
      <c r="U47" s="28"/>
    </row>
    <row r="48" spans="1:21" ht="30" x14ac:dyDescent="0.25">
      <c r="A48" s="13">
        <f>IF(B48="","",COUNTA($B$3:B48))</f>
        <v>46</v>
      </c>
      <c r="B48" s="14" t="s">
        <v>46</v>
      </c>
      <c r="C48" s="14" t="s">
        <v>78</v>
      </c>
      <c r="D48" s="12">
        <f>'9-14'!F48</f>
        <v>3</v>
      </c>
      <c r="E48" s="7">
        <f t="shared" si="0"/>
        <v>0</v>
      </c>
      <c r="F48" s="7">
        <f t="shared" si="1"/>
        <v>3</v>
      </c>
      <c r="G48" s="9"/>
      <c r="J48" s="27"/>
      <c r="K48" s="6"/>
      <c r="L48" s="6"/>
      <c r="M48" s="6"/>
      <c r="N48" s="6"/>
      <c r="O48" s="6"/>
      <c r="P48" s="6"/>
      <c r="Q48" s="6"/>
      <c r="R48" s="6"/>
      <c r="S48" s="6"/>
      <c r="T48" s="6"/>
      <c r="U48" s="28"/>
    </row>
    <row r="49" spans="1:21" ht="45" x14ac:dyDescent="0.25">
      <c r="A49" s="10">
        <f>IF(B49="","",COUNTA($B$3:B49))</f>
        <v>47</v>
      </c>
      <c r="B49" s="11" t="s">
        <v>47</v>
      </c>
      <c r="C49" s="11" t="s">
        <v>78</v>
      </c>
      <c r="D49" s="12">
        <f>'9-14'!F49</f>
        <v>2</v>
      </c>
      <c r="E49" s="7">
        <f t="shared" si="0"/>
        <v>0</v>
      </c>
      <c r="F49" s="7">
        <f t="shared" si="1"/>
        <v>2</v>
      </c>
      <c r="G49" s="9"/>
      <c r="J49" s="27"/>
      <c r="K49" s="6"/>
      <c r="L49" s="6"/>
      <c r="M49" s="6"/>
      <c r="N49" s="6"/>
      <c r="O49" s="6"/>
      <c r="P49" s="6"/>
      <c r="Q49" s="6"/>
      <c r="R49" s="6"/>
      <c r="S49" s="6"/>
      <c r="T49" s="6"/>
      <c r="U49" s="28"/>
    </row>
    <row r="50" spans="1:21" ht="60" x14ac:dyDescent="0.25">
      <c r="A50" s="13">
        <f>IF(B50="","",COUNTA($B$3:B50))</f>
        <v>48</v>
      </c>
      <c r="B50" s="14" t="s">
        <v>48</v>
      </c>
      <c r="C50" s="14" t="s">
        <v>78</v>
      </c>
      <c r="D50" s="12">
        <f>'9-14'!F50</f>
        <v>3</v>
      </c>
      <c r="E50" s="7">
        <f t="shared" si="0"/>
        <v>0</v>
      </c>
      <c r="F50" s="7">
        <f t="shared" si="1"/>
        <v>3</v>
      </c>
      <c r="G50" s="9"/>
      <c r="J50" s="27"/>
      <c r="K50" s="6"/>
      <c r="L50" s="6"/>
      <c r="M50" s="6"/>
      <c r="N50" s="6"/>
      <c r="O50" s="6"/>
      <c r="P50" s="6"/>
      <c r="Q50" s="6"/>
      <c r="R50" s="6"/>
      <c r="S50" s="6"/>
      <c r="T50" s="6"/>
      <c r="U50" s="28"/>
    </row>
    <row r="51" spans="1:21" ht="30" x14ac:dyDescent="0.25">
      <c r="A51" s="10">
        <f>IF(B51="","",COUNTA($B$3:B51))</f>
        <v>49</v>
      </c>
      <c r="B51" s="11" t="s">
        <v>49</v>
      </c>
      <c r="C51" s="11" t="s">
        <v>78</v>
      </c>
      <c r="D51" s="12">
        <f>'9-14'!F51</f>
        <v>0</v>
      </c>
      <c r="E51" s="7">
        <f t="shared" si="0"/>
        <v>0</v>
      </c>
      <c r="F51" s="7">
        <f t="shared" si="1"/>
        <v>0</v>
      </c>
      <c r="G51" s="9"/>
      <c r="J51" s="27"/>
      <c r="K51" s="6"/>
      <c r="L51" s="6"/>
      <c r="M51" s="6"/>
      <c r="N51" s="6"/>
      <c r="O51" s="6"/>
      <c r="P51" s="6"/>
      <c r="Q51" s="6"/>
      <c r="R51" s="6"/>
      <c r="S51" s="6"/>
      <c r="T51" s="6"/>
      <c r="U51" s="28"/>
    </row>
    <row r="52" spans="1:21" ht="30" x14ac:dyDescent="0.25">
      <c r="A52" s="13">
        <f>IF(B52="","",COUNTA($B$3:B52))</f>
        <v>50</v>
      </c>
      <c r="B52" s="14" t="s">
        <v>2</v>
      </c>
      <c r="C52" s="14" t="s">
        <v>78</v>
      </c>
      <c r="D52" s="12">
        <f>'9-14'!F52</f>
        <v>0</v>
      </c>
      <c r="E52" s="7">
        <f t="shared" si="0"/>
        <v>0</v>
      </c>
      <c r="F52" s="7">
        <f t="shared" si="1"/>
        <v>0</v>
      </c>
      <c r="G52" s="9"/>
      <c r="J52" s="27"/>
      <c r="K52" s="6"/>
      <c r="L52" s="6"/>
      <c r="M52" s="6"/>
      <c r="N52" s="6"/>
      <c r="O52" s="6"/>
      <c r="P52" s="6"/>
      <c r="Q52" s="6"/>
      <c r="R52" s="6"/>
      <c r="S52" s="6"/>
      <c r="T52" s="6"/>
      <c r="U52" s="28"/>
    </row>
    <row r="53" spans="1:21" ht="30" x14ac:dyDescent="0.25">
      <c r="A53" s="10">
        <f>IF(B53="","",COUNTA($B$3:B53))</f>
        <v>51</v>
      </c>
      <c r="B53" s="11" t="s">
        <v>50</v>
      </c>
      <c r="C53" s="11" t="s">
        <v>79</v>
      </c>
      <c r="D53" s="12">
        <f>'9-14'!F53</f>
        <v>0</v>
      </c>
      <c r="E53" s="7">
        <f t="shared" si="0"/>
        <v>0</v>
      </c>
      <c r="F53" s="7">
        <f t="shared" si="1"/>
        <v>0</v>
      </c>
      <c r="G53" s="9"/>
      <c r="J53" s="27"/>
      <c r="K53" s="6"/>
      <c r="L53" s="6"/>
      <c r="M53" s="6"/>
      <c r="N53" s="6"/>
      <c r="O53" s="6"/>
      <c r="P53" s="6"/>
      <c r="Q53" s="6"/>
      <c r="R53" s="6"/>
      <c r="S53" s="6"/>
      <c r="T53" s="6"/>
      <c r="U53" s="28"/>
    </row>
    <row r="54" spans="1:21" ht="45" x14ac:dyDescent="0.25">
      <c r="A54" s="13">
        <f>IF(B54="","",COUNTA($B$3:B54))</f>
        <v>52</v>
      </c>
      <c r="B54" s="14" t="s">
        <v>51</v>
      </c>
      <c r="C54" s="14" t="s">
        <v>79</v>
      </c>
      <c r="D54" s="12">
        <f>'9-14'!F54</f>
        <v>0</v>
      </c>
      <c r="E54" s="7">
        <f t="shared" si="0"/>
        <v>0</v>
      </c>
      <c r="F54" s="7">
        <f t="shared" si="1"/>
        <v>0</v>
      </c>
      <c r="G54" s="9"/>
      <c r="J54" s="27"/>
      <c r="K54" s="6"/>
      <c r="L54" s="6"/>
      <c r="M54" s="6"/>
      <c r="N54" s="6"/>
      <c r="O54" s="6"/>
      <c r="P54" s="6"/>
      <c r="Q54" s="6"/>
      <c r="R54" s="6"/>
      <c r="S54" s="6"/>
      <c r="T54" s="6"/>
      <c r="U54" s="28"/>
    </row>
    <row r="55" spans="1:21" ht="30" x14ac:dyDescent="0.25">
      <c r="A55" s="10">
        <f>IF(B55="","",COUNTA($B$3:B55))</f>
        <v>53</v>
      </c>
      <c r="B55" s="11" t="s">
        <v>52</v>
      </c>
      <c r="C55" s="11" t="s">
        <v>78</v>
      </c>
      <c r="D55" s="12">
        <f>'9-14'!F55</f>
        <v>100</v>
      </c>
      <c r="E55" s="7">
        <f t="shared" si="0"/>
        <v>0</v>
      </c>
      <c r="F55" s="7">
        <f t="shared" si="1"/>
        <v>100</v>
      </c>
      <c r="G55" s="9"/>
      <c r="J55" s="27"/>
      <c r="K55" s="6"/>
      <c r="L55" s="6"/>
      <c r="M55" s="6"/>
      <c r="N55" s="6"/>
      <c r="O55" s="6"/>
      <c r="P55" s="6"/>
      <c r="Q55" s="6"/>
      <c r="R55" s="6"/>
      <c r="S55" s="6"/>
      <c r="T55" s="6"/>
      <c r="U55" s="28"/>
    </row>
    <row r="56" spans="1:21" ht="45" x14ac:dyDescent="0.25">
      <c r="A56" s="13">
        <f>IF(B56="","",COUNTA($B$3:B56))</f>
        <v>54</v>
      </c>
      <c r="B56" s="14" t="s">
        <v>53</v>
      </c>
      <c r="C56" s="14" t="s">
        <v>78</v>
      </c>
      <c r="D56" s="12">
        <f>'9-14'!F56</f>
        <v>15</v>
      </c>
      <c r="E56" s="7">
        <f t="shared" si="0"/>
        <v>0</v>
      </c>
      <c r="F56" s="7">
        <f t="shared" si="1"/>
        <v>15</v>
      </c>
      <c r="G56" s="9"/>
      <c r="J56" s="27"/>
      <c r="K56" s="6"/>
      <c r="L56" s="6"/>
      <c r="M56" s="6"/>
      <c r="N56" s="6"/>
      <c r="O56" s="6"/>
      <c r="P56" s="6"/>
      <c r="Q56" s="6"/>
      <c r="R56" s="6"/>
      <c r="S56" s="6"/>
      <c r="T56" s="6"/>
      <c r="U56" s="28"/>
    </row>
    <row r="57" spans="1:21" ht="45" x14ac:dyDescent="0.25">
      <c r="A57" s="10">
        <f>IF(B57="","",COUNTA($B$3:B57))</f>
        <v>55</v>
      </c>
      <c r="B57" s="11" t="s">
        <v>54</v>
      </c>
      <c r="C57" s="11" t="s">
        <v>78</v>
      </c>
      <c r="D57" s="12">
        <f>'9-14'!F57</f>
        <v>5</v>
      </c>
      <c r="E57" s="7">
        <f t="shared" si="0"/>
        <v>0</v>
      </c>
      <c r="F57" s="7">
        <f t="shared" si="1"/>
        <v>5</v>
      </c>
      <c r="G57" s="9"/>
      <c r="J57" s="27"/>
      <c r="K57" s="6"/>
      <c r="L57" s="6"/>
      <c r="M57" s="6"/>
      <c r="N57" s="6"/>
      <c r="O57" s="6"/>
      <c r="P57" s="6"/>
      <c r="Q57" s="6"/>
      <c r="R57" s="6"/>
      <c r="S57" s="6"/>
      <c r="T57" s="6"/>
      <c r="U57" s="28"/>
    </row>
    <row r="58" spans="1:21" ht="45" x14ac:dyDescent="0.25">
      <c r="A58" s="13">
        <f>IF(B58="","",COUNTA($B$3:B58))</f>
        <v>56</v>
      </c>
      <c r="B58" s="14" t="s">
        <v>55</v>
      </c>
      <c r="C58" s="14" t="s">
        <v>78</v>
      </c>
      <c r="D58" s="12">
        <f>'9-14'!F58</f>
        <v>10</v>
      </c>
      <c r="E58" s="7">
        <f t="shared" si="0"/>
        <v>0</v>
      </c>
      <c r="F58" s="7">
        <f t="shared" si="1"/>
        <v>10</v>
      </c>
      <c r="G58" s="9"/>
      <c r="J58" s="27"/>
      <c r="K58" s="6"/>
      <c r="L58" s="6"/>
      <c r="M58" s="6"/>
      <c r="N58" s="6"/>
      <c r="O58" s="6"/>
      <c r="P58" s="6"/>
      <c r="Q58" s="6"/>
      <c r="R58" s="6"/>
      <c r="S58" s="6"/>
      <c r="T58" s="6"/>
      <c r="U58" s="28"/>
    </row>
    <row r="59" spans="1:21" ht="75" x14ac:dyDescent="0.25">
      <c r="A59" s="10">
        <f>IF(B59="","",COUNTA($B$3:B59))</f>
        <v>57</v>
      </c>
      <c r="B59" s="11" t="s">
        <v>56</v>
      </c>
      <c r="C59" s="11" t="s">
        <v>78</v>
      </c>
      <c r="D59" s="12">
        <f>'9-14'!F59</f>
        <v>0</v>
      </c>
      <c r="E59" s="7">
        <f t="shared" si="0"/>
        <v>0</v>
      </c>
      <c r="F59" s="7">
        <f t="shared" si="1"/>
        <v>0</v>
      </c>
      <c r="G59" s="9"/>
      <c r="J59" s="27"/>
      <c r="K59" s="6"/>
      <c r="L59" s="6"/>
      <c r="M59" s="6"/>
      <c r="N59" s="6"/>
      <c r="O59" s="6"/>
      <c r="P59" s="6"/>
      <c r="Q59" s="6"/>
      <c r="R59" s="6"/>
      <c r="S59" s="6"/>
      <c r="T59" s="6"/>
      <c r="U59" s="28"/>
    </row>
    <row r="60" spans="1:21" ht="30" x14ac:dyDescent="0.25">
      <c r="A60" s="13">
        <f>IF(B60="","",COUNTA($B$3:B60))</f>
        <v>58</v>
      </c>
      <c r="B60" s="14" t="s">
        <v>57</v>
      </c>
      <c r="C60" s="14" t="s">
        <v>78</v>
      </c>
      <c r="D60" s="12">
        <f>'9-14'!F60</f>
        <v>5</v>
      </c>
      <c r="E60" s="7">
        <f t="shared" si="0"/>
        <v>0</v>
      </c>
      <c r="F60" s="7">
        <f t="shared" si="1"/>
        <v>5</v>
      </c>
      <c r="G60" s="9"/>
      <c r="J60" s="27"/>
      <c r="K60" s="6"/>
      <c r="L60" s="6"/>
      <c r="M60" s="6"/>
      <c r="N60" s="6"/>
      <c r="O60" s="6"/>
      <c r="P60" s="6"/>
      <c r="Q60" s="6"/>
      <c r="R60" s="6"/>
      <c r="S60" s="6"/>
      <c r="T60" s="6"/>
      <c r="U60" s="28"/>
    </row>
    <row r="61" spans="1:21" ht="30" x14ac:dyDescent="0.25">
      <c r="A61" s="10">
        <f>IF(B61="","",COUNTA($B$3:B61))</f>
        <v>59</v>
      </c>
      <c r="B61" s="11" t="s">
        <v>58</v>
      </c>
      <c r="C61" s="11" t="s">
        <v>78</v>
      </c>
      <c r="D61" s="12">
        <f>'9-14'!F61</f>
        <v>4</v>
      </c>
      <c r="E61" s="7">
        <f t="shared" si="0"/>
        <v>0</v>
      </c>
      <c r="F61" s="7">
        <f t="shared" si="1"/>
        <v>4</v>
      </c>
      <c r="G61" s="9"/>
      <c r="J61" s="27"/>
      <c r="K61" s="6"/>
      <c r="L61" s="6"/>
      <c r="M61" s="6"/>
      <c r="N61" s="6"/>
      <c r="O61" s="6"/>
      <c r="P61" s="6"/>
      <c r="Q61" s="6"/>
      <c r="R61" s="6"/>
      <c r="S61" s="6"/>
      <c r="T61" s="6"/>
      <c r="U61" s="28"/>
    </row>
    <row r="62" spans="1:21" ht="60" x14ac:dyDescent="0.25">
      <c r="A62" s="13">
        <f>IF(B62="","",COUNTA($B$3:B62))</f>
        <v>60</v>
      </c>
      <c r="B62" s="14" t="s">
        <v>59</v>
      </c>
      <c r="C62" s="14" t="s">
        <v>78</v>
      </c>
      <c r="D62" s="12">
        <f>'9-14'!F62</f>
        <v>1</v>
      </c>
      <c r="E62" s="7">
        <f t="shared" si="0"/>
        <v>0</v>
      </c>
      <c r="F62" s="7">
        <f t="shared" si="1"/>
        <v>1</v>
      </c>
      <c r="G62" s="9"/>
      <c r="J62" s="27"/>
      <c r="K62" s="6"/>
      <c r="L62" s="6"/>
      <c r="M62" s="6"/>
      <c r="N62" s="6"/>
      <c r="O62" s="6"/>
      <c r="P62" s="6"/>
      <c r="Q62" s="6"/>
      <c r="R62" s="6"/>
      <c r="S62" s="6"/>
      <c r="T62" s="6"/>
      <c r="U62" s="28"/>
    </row>
    <row r="63" spans="1:21" ht="60" x14ac:dyDescent="0.25">
      <c r="A63" s="10">
        <f>IF(B63="","",COUNTA($B$3:B63))</f>
        <v>61</v>
      </c>
      <c r="B63" s="11" t="s">
        <v>60</v>
      </c>
      <c r="C63" s="11" t="s">
        <v>78</v>
      </c>
      <c r="D63" s="12">
        <f>'9-14'!F63</f>
        <v>7</v>
      </c>
      <c r="E63" s="7">
        <f t="shared" si="0"/>
        <v>0</v>
      </c>
      <c r="F63" s="7">
        <f t="shared" si="1"/>
        <v>7</v>
      </c>
      <c r="G63" s="9"/>
      <c r="J63" s="27"/>
      <c r="K63" s="6"/>
      <c r="L63" s="6"/>
      <c r="M63" s="6"/>
      <c r="N63" s="6"/>
      <c r="O63" s="6"/>
      <c r="P63" s="6"/>
      <c r="Q63" s="6"/>
      <c r="R63" s="6"/>
      <c r="S63" s="6"/>
      <c r="T63" s="6"/>
      <c r="U63" s="28"/>
    </row>
    <row r="64" spans="1:21" ht="60" x14ac:dyDescent="0.25">
      <c r="A64" s="13">
        <f>IF(B64="","",COUNTA($B$3:B64))</f>
        <v>62</v>
      </c>
      <c r="B64" s="14" t="s">
        <v>61</v>
      </c>
      <c r="C64" s="14" t="s">
        <v>78</v>
      </c>
      <c r="D64" s="12">
        <f>'9-14'!F64</f>
        <v>6</v>
      </c>
      <c r="E64" s="7">
        <f t="shared" si="0"/>
        <v>0</v>
      </c>
      <c r="F64" s="7">
        <f t="shared" si="1"/>
        <v>6</v>
      </c>
      <c r="G64" s="9"/>
      <c r="J64" s="27"/>
      <c r="K64" s="6"/>
      <c r="L64" s="6"/>
      <c r="M64" s="6"/>
      <c r="N64" s="6"/>
      <c r="O64" s="6"/>
      <c r="P64" s="6"/>
      <c r="Q64" s="6"/>
      <c r="R64" s="6"/>
      <c r="S64" s="6"/>
      <c r="T64" s="6"/>
      <c r="U64" s="28"/>
    </row>
    <row r="65" spans="1:21" ht="30" x14ac:dyDescent="0.25">
      <c r="A65" s="10">
        <f>IF(B65="","",COUNTA($B$3:B65))</f>
        <v>63</v>
      </c>
      <c r="B65" s="11" t="s">
        <v>62</v>
      </c>
      <c r="C65" s="11" t="s">
        <v>78</v>
      </c>
      <c r="D65" s="12">
        <f>'9-14'!F65</f>
        <v>1</v>
      </c>
      <c r="E65" s="7">
        <f t="shared" si="0"/>
        <v>0</v>
      </c>
      <c r="F65" s="7">
        <f t="shared" si="1"/>
        <v>1</v>
      </c>
      <c r="G65" s="9"/>
      <c r="J65" s="27"/>
      <c r="K65" s="6"/>
      <c r="L65" s="6"/>
      <c r="M65" s="6"/>
      <c r="N65" s="6"/>
      <c r="O65" s="6"/>
      <c r="P65" s="6"/>
      <c r="Q65" s="6"/>
      <c r="R65" s="6"/>
      <c r="S65" s="6"/>
      <c r="T65" s="6"/>
      <c r="U65" s="28"/>
    </row>
    <row r="66" spans="1:21" ht="45" x14ac:dyDescent="0.25">
      <c r="A66" s="13">
        <f>IF(B66="","",COUNTA($B$3:B66))</f>
        <v>64</v>
      </c>
      <c r="B66" s="14" t="s">
        <v>63</v>
      </c>
      <c r="C66" s="14" t="s">
        <v>78</v>
      </c>
      <c r="D66" s="12">
        <f>'9-14'!F66</f>
        <v>1</v>
      </c>
      <c r="E66" s="7">
        <f t="shared" si="0"/>
        <v>0</v>
      </c>
      <c r="F66" s="7">
        <f t="shared" si="1"/>
        <v>1</v>
      </c>
      <c r="G66" s="9"/>
      <c r="J66" s="27"/>
      <c r="K66" s="6"/>
      <c r="L66" s="6"/>
      <c r="M66" s="6"/>
      <c r="N66" s="6"/>
      <c r="O66" s="6"/>
      <c r="P66" s="6"/>
      <c r="Q66" s="6"/>
      <c r="R66" s="6"/>
      <c r="S66" s="6"/>
      <c r="T66" s="6"/>
      <c r="U66" s="28"/>
    </row>
    <row r="67" spans="1:21" ht="75" x14ac:dyDescent="0.25">
      <c r="A67" s="10">
        <f>IF(B67="","",COUNTA($B$3:B67))</f>
        <v>65</v>
      </c>
      <c r="B67" s="11" t="s">
        <v>64</v>
      </c>
      <c r="C67" s="11" t="s">
        <v>78</v>
      </c>
      <c r="D67" s="12">
        <f>'9-14'!F67</f>
        <v>2</v>
      </c>
      <c r="E67" s="7">
        <f t="shared" ref="E67:E81" si="2">SUM(J67:U67)</f>
        <v>0</v>
      </c>
      <c r="F67" s="7">
        <f t="shared" ref="F67:F81" si="3">D67-E67</f>
        <v>2</v>
      </c>
      <c r="G67" s="9"/>
      <c r="J67" s="27"/>
      <c r="K67" s="6"/>
      <c r="L67" s="6"/>
      <c r="M67" s="6"/>
      <c r="N67" s="6"/>
      <c r="O67" s="6"/>
      <c r="P67" s="6"/>
      <c r="Q67" s="6"/>
      <c r="R67" s="6"/>
      <c r="S67" s="6"/>
      <c r="T67" s="6"/>
      <c r="U67" s="28"/>
    </row>
    <row r="68" spans="1:21" ht="45" x14ac:dyDescent="0.25">
      <c r="A68" s="13">
        <f>IF(B68="","",COUNTA($B$3:B68))</f>
        <v>66</v>
      </c>
      <c r="B68" s="14" t="s">
        <v>65</v>
      </c>
      <c r="C68" s="14" t="s">
        <v>78</v>
      </c>
      <c r="D68" s="12">
        <f>'9-14'!F68</f>
        <v>30</v>
      </c>
      <c r="E68" s="7">
        <f t="shared" si="2"/>
        <v>0</v>
      </c>
      <c r="F68" s="7">
        <f t="shared" si="3"/>
        <v>30</v>
      </c>
      <c r="G68" s="9"/>
      <c r="J68" s="27"/>
      <c r="K68" s="6"/>
      <c r="L68" s="6"/>
      <c r="M68" s="6"/>
      <c r="N68" s="6"/>
      <c r="O68" s="6"/>
      <c r="P68" s="6"/>
      <c r="Q68" s="6"/>
      <c r="R68" s="6"/>
      <c r="S68" s="6"/>
      <c r="T68" s="6"/>
      <c r="U68" s="28"/>
    </row>
    <row r="69" spans="1:21" ht="30" x14ac:dyDescent="0.25">
      <c r="A69" s="10">
        <f>IF(B69="","",COUNTA($B$3:B69))</f>
        <v>67</v>
      </c>
      <c r="B69" s="11" t="s">
        <v>66</v>
      </c>
      <c r="C69" s="11" t="s">
        <v>79</v>
      </c>
      <c r="D69" s="12">
        <f>'9-14'!F69</f>
        <v>1</v>
      </c>
      <c r="E69" s="7">
        <f t="shared" si="2"/>
        <v>0</v>
      </c>
      <c r="F69" s="7">
        <f t="shared" si="3"/>
        <v>1</v>
      </c>
      <c r="G69" s="9"/>
      <c r="J69" s="27"/>
      <c r="K69" s="6"/>
      <c r="L69" s="6"/>
      <c r="M69" s="6"/>
      <c r="N69" s="6"/>
      <c r="O69" s="6"/>
      <c r="P69" s="6"/>
      <c r="Q69" s="6"/>
      <c r="R69" s="6"/>
      <c r="S69" s="6"/>
      <c r="T69" s="6"/>
      <c r="U69" s="28"/>
    </row>
    <row r="70" spans="1:21" ht="45" x14ac:dyDescent="0.25">
      <c r="A70" s="18">
        <f>IF(B70="","",COUNTA($B$3:B70))</f>
        <v>68</v>
      </c>
      <c r="B70" s="17" t="s">
        <v>67</v>
      </c>
      <c r="C70" s="17" t="s">
        <v>78</v>
      </c>
      <c r="D70" s="12">
        <f>'9-14'!F70</f>
        <v>0</v>
      </c>
      <c r="E70" s="7">
        <f t="shared" si="2"/>
        <v>0</v>
      </c>
      <c r="F70" s="7">
        <f t="shared" si="3"/>
        <v>0</v>
      </c>
      <c r="G70" s="9"/>
      <c r="J70" s="27"/>
      <c r="K70" s="6"/>
      <c r="L70" s="6"/>
      <c r="M70" s="6"/>
      <c r="N70" s="6"/>
      <c r="O70" s="6"/>
      <c r="P70" s="6"/>
      <c r="Q70" s="6"/>
      <c r="R70" s="6"/>
      <c r="S70" s="6"/>
      <c r="T70" s="6"/>
      <c r="U70" s="28"/>
    </row>
    <row r="71" spans="1:21" ht="30" x14ac:dyDescent="0.25">
      <c r="A71" s="19">
        <f>IF(B71="","",COUNTA($B$3:B71))</f>
        <v>69</v>
      </c>
      <c r="B71" s="11" t="s">
        <v>68</v>
      </c>
      <c r="C71" s="11" t="s">
        <v>78</v>
      </c>
      <c r="D71" s="12">
        <f>'9-14'!F71</f>
        <v>0</v>
      </c>
      <c r="E71" s="7">
        <f t="shared" si="2"/>
        <v>0</v>
      </c>
      <c r="F71" s="7">
        <f t="shared" si="3"/>
        <v>0</v>
      </c>
      <c r="G71" s="9"/>
      <c r="J71" s="27"/>
      <c r="K71" s="6"/>
      <c r="L71" s="6"/>
      <c r="M71" s="6"/>
      <c r="N71" s="6"/>
      <c r="O71" s="6"/>
      <c r="P71" s="6"/>
      <c r="Q71" s="6"/>
      <c r="R71" s="6"/>
      <c r="S71" s="6"/>
      <c r="T71" s="6"/>
      <c r="U71" s="28"/>
    </row>
    <row r="72" spans="1:21" ht="30" x14ac:dyDescent="0.25">
      <c r="A72" s="18">
        <f>IF(B72="","",COUNTA($B$3:B72))</f>
        <v>70</v>
      </c>
      <c r="B72" s="14" t="s">
        <v>69</v>
      </c>
      <c r="C72" s="14" t="s">
        <v>78</v>
      </c>
      <c r="D72" s="12">
        <f>'9-14'!F72</f>
        <v>14</v>
      </c>
      <c r="E72" s="7">
        <f t="shared" si="2"/>
        <v>0</v>
      </c>
      <c r="F72" s="7">
        <f t="shared" si="3"/>
        <v>14</v>
      </c>
      <c r="G72" s="9"/>
      <c r="J72" s="27"/>
      <c r="K72" s="6"/>
      <c r="L72" s="6"/>
      <c r="M72" s="6"/>
      <c r="N72" s="6"/>
      <c r="O72" s="6"/>
      <c r="P72" s="6"/>
      <c r="Q72" s="6"/>
      <c r="R72" s="6"/>
      <c r="S72" s="6"/>
      <c r="T72" s="6"/>
      <c r="U72" s="28"/>
    </row>
    <row r="73" spans="1:21" ht="30" x14ac:dyDescent="0.25">
      <c r="A73" s="19">
        <f>IF(B73="","",COUNTA($B$3:B73))</f>
        <v>71</v>
      </c>
      <c r="B73" s="11" t="s">
        <v>70</v>
      </c>
      <c r="C73" s="11" t="s">
        <v>78</v>
      </c>
      <c r="D73" s="12">
        <f>'9-14'!F73</f>
        <v>38</v>
      </c>
      <c r="E73" s="7">
        <f t="shared" si="2"/>
        <v>0</v>
      </c>
      <c r="F73" s="7">
        <f t="shared" si="3"/>
        <v>38</v>
      </c>
      <c r="G73" s="9"/>
      <c r="J73" s="27"/>
      <c r="K73" s="6"/>
      <c r="L73" s="6"/>
      <c r="M73" s="6"/>
      <c r="N73" s="6"/>
      <c r="O73" s="6"/>
      <c r="P73" s="6"/>
      <c r="Q73" s="6"/>
      <c r="R73" s="6"/>
      <c r="S73" s="6"/>
      <c r="T73" s="6"/>
      <c r="U73" s="28"/>
    </row>
    <row r="74" spans="1:21" ht="30" x14ac:dyDescent="0.25">
      <c r="A74" s="18">
        <f>IF(B74="","",COUNTA($B$3:B74))</f>
        <v>72</v>
      </c>
      <c r="B74" s="14" t="s">
        <v>71</v>
      </c>
      <c r="C74" s="14" t="s">
        <v>78</v>
      </c>
      <c r="D74" s="12">
        <f>'9-14'!F74</f>
        <v>5</v>
      </c>
      <c r="E74" s="7">
        <f t="shared" si="2"/>
        <v>0</v>
      </c>
      <c r="F74" s="7">
        <f t="shared" si="3"/>
        <v>5</v>
      </c>
      <c r="G74" s="9"/>
      <c r="J74" s="27"/>
      <c r="K74" s="6"/>
      <c r="L74" s="6"/>
      <c r="M74" s="6"/>
      <c r="N74" s="6"/>
      <c r="O74" s="6"/>
      <c r="P74" s="6"/>
      <c r="Q74" s="6"/>
      <c r="R74" s="6"/>
      <c r="S74" s="6"/>
      <c r="T74" s="6"/>
      <c r="U74" s="28"/>
    </row>
    <row r="75" spans="1:21" ht="60" x14ac:dyDescent="0.25">
      <c r="A75" s="19">
        <f>IF(B75="","",COUNTA($B$3:B75))</f>
        <v>73</v>
      </c>
      <c r="B75" s="11" t="s">
        <v>72</v>
      </c>
      <c r="C75" s="11" t="s">
        <v>78</v>
      </c>
      <c r="D75" s="12">
        <f>'9-14'!F75</f>
        <v>185</v>
      </c>
      <c r="E75" s="7">
        <f t="shared" si="2"/>
        <v>0</v>
      </c>
      <c r="F75" s="7">
        <f t="shared" si="3"/>
        <v>185</v>
      </c>
      <c r="G75" s="9"/>
      <c r="J75" s="27"/>
      <c r="K75" s="6"/>
      <c r="L75" s="6"/>
      <c r="M75" s="6"/>
      <c r="N75" s="6"/>
      <c r="O75" s="6"/>
      <c r="P75" s="6"/>
      <c r="Q75" s="6"/>
      <c r="R75" s="6"/>
      <c r="S75" s="6"/>
      <c r="T75" s="6"/>
      <c r="U75" s="28"/>
    </row>
    <row r="76" spans="1:21" ht="30" x14ac:dyDescent="0.25">
      <c r="A76" s="18">
        <f>IF(B76="","",COUNTA($B$3:B76))</f>
        <v>74</v>
      </c>
      <c r="B76" s="14" t="s">
        <v>73</v>
      </c>
      <c r="C76" s="14" t="s">
        <v>78</v>
      </c>
      <c r="D76" s="12">
        <f>'9-14'!F76</f>
        <v>4</v>
      </c>
      <c r="E76" s="7">
        <f t="shared" si="2"/>
        <v>0</v>
      </c>
      <c r="F76" s="7">
        <f t="shared" si="3"/>
        <v>4</v>
      </c>
      <c r="G76" s="9"/>
      <c r="J76" s="27"/>
      <c r="K76" s="6"/>
      <c r="L76" s="6"/>
      <c r="M76" s="6"/>
      <c r="N76" s="6"/>
      <c r="O76" s="6"/>
      <c r="P76" s="6"/>
      <c r="Q76" s="6"/>
      <c r="R76" s="6"/>
      <c r="S76" s="6"/>
      <c r="T76" s="6"/>
      <c r="U76" s="28"/>
    </row>
    <row r="77" spans="1:21" ht="45" x14ac:dyDescent="0.25">
      <c r="A77" s="19">
        <f>IF(B77="","",COUNTA($B$3:B77))</f>
        <v>75</v>
      </c>
      <c r="B77" s="11" t="s">
        <v>74</v>
      </c>
      <c r="C77" s="11" t="s">
        <v>78</v>
      </c>
      <c r="D77" s="12">
        <f>'9-14'!F77</f>
        <v>8</v>
      </c>
      <c r="E77" s="7">
        <f t="shared" si="2"/>
        <v>0</v>
      </c>
      <c r="F77" s="7">
        <f t="shared" si="3"/>
        <v>8</v>
      </c>
      <c r="G77" s="9"/>
      <c r="J77" s="27"/>
      <c r="K77" s="6"/>
      <c r="L77" s="6"/>
      <c r="M77" s="6"/>
      <c r="N77" s="6"/>
      <c r="O77" s="6"/>
      <c r="P77" s="6"/>
      <c r="Q77" s="6"/>
      <c r="R77" s="6"/>
      <c r="S77" s="6"/>
      <c r="T77" s="6"/>
      <c r="U77" s="28"/>
    </row>
    <row r="78" spans="1:21" ht="45" x14ac:dyDescent="0.25">
      <c r="A78" s="18">
        <f>IF(B78="","",COUNTA($B$3:B78))</f>
        <v>76</v>
      </c>
      <c r="B78" s="17" t="s">
        <v>75</v>
      </c>
      <c r="C78" s="17" t="s">
        <v>78</v>
      </c>
      <c r="D78" s="12">
        <f>'9-14'!F78</f>
        <v>19</v>
      </c>
      <c r="E78" s="7">
        <f t="shared" si="2"/>
        <v>0</v>
      </c>
      <c r="F78" s="7">
        <f t="shared" si="3"/>
        <v>19</v>
      </c>
      <c r="G78" s="9"/>
      <c r="J78" s="27"/>
      <c r="K78" s="6"/>
      <c r="L78" s="6"/>
      <c r="M78" s="6"/>
      <c r="N78" s="6"/>
      <c r="O78" s="6"/>
      <c r="P78" s="6"/>
      <c r="Q78" s="6"/>
      <c r="R78" s="6"/>
      <c r="S78" s="6"/>
      <c r="T78" s="6"/>
      <c r="U78" s="28"/>
    </row>
    <row r="79" spans="1:21" ht="30" x14ac:dyDescent="0.25">
      <c r="A79" s="19">
        <f>IF(B79="","",COUNTA($B$3:B79))</f>
        <v>77</v>
      </c>
      <c r="B79" s="21" t="s">
        <v>76</v>
      </c>
      <c r="C79" s="21" t="s">
        <v>78</v>
      </c>
      <c r="D79" s="12">
        <f>'9-14'!F79</f>
        <v>8</v>
      </c>
      <c r="E79" s="7">
        <f t="shared" si="2"/>
        <v>0</v>
      </c>
      <c r="F79" s="7">
        <f t="shared" si="3"/>
        <v>8</v>
      </c>
      <c r="G79" s="9"/>
      <c r="J79" s="27"/>
      <c r="K79" s="6"/>
      <c r="L79" s="6"/>
      <c r="M79" s="6"/>
      <c r="N79" s="6"/>
      <c r="O79" s="6"/>
      <c r="P79" s="6"/>
      <c r="Q79" s="6"/>
      <c r="R79" s="6"/>
      <c r="S79" s="6"/>
      <c r="T79" s="6"/>
      <c r="U79" s="28"/>
    </row>
    <row r="80" spans="1:21" ht="30" x14ac:dyDescent="0.25">
      <c r="A80" s="18">
        <f>IF(B80="","",COUNTA($B$3:B80))</f>
        <v>78</v>
      </c>
      <c r="B80" s="14" t="s">
        <v>41</v>
      </c>
      <c r="C80" s="17" t="s">
        <v>78</v>
      </c>
      <c r="D80" s="12">
        <f>'9-14'!F80</f>
        <v>1</v>
      </c>
      <c r="E80" s="7">
        <f t="shared" si="2"/>
        <v>0</v>
      </c>
      <c r="F80" s="7">
        <f t="shared" si="3"/>
        <v>1</v>
      </c>
      <c r="G80" s="9"/>
      <c r="J80" s="27"/>
      <c r="K80" s="6"/>
      <c r="L80" s="6"/>
      <c r="M80" s="6"/>
      <c r="N80" s="6"/>
      <c r="O80" s="6"/>
      <c r="P80" s="6"/>
      <c r="Q80" s="6"/>
      <c r="R80" s="6"/>
      <c r="S80" s="6"/>
      <c r="T80" s="6"/>
      <c r="U80" s="28"/>
    </row>
    <row r="81" spans="1:21" ht="45" x14ac:dyDescent="0.25">
      <c r="A81" s="19">
        <f>IF(B81="","",COUNTA($B$3:B81))</f>
        <v>79</v>
      </c>
      <c r="B81" s="11" t="s">
        <v>42</v>
      </c>
      <c r="C81" s="21" t="s">
        <v>78</v>
      </c>
      <c r="D81" s="12">
        <f>'9-14'!F81</f>
        <v>0</v>
      </c>
      <c r="E81" s="7">
        <f t="shared" si="2"/>
        <v>0</v>
      </c>
      <c r="F81" s="7">
        <f t="shared" si="3"/>
        <v>0</v>
      </c>
      <c r="G81" s="9"/>
      <c r="J81" s="27"/>
      <c r="K81" s="6"/>
      <c r="L81" s="6"/>
      <c r="M81" s="6"/>
      <c r="N81" s="6"/>
      <c r="O81" s="6"/>
      <c r="P81" s="6"/>
      <c r="Q81" s="6"/>
      <c r="R81" s="6"/>
      <c r="S81" s="6"/>
      <c r="T81" s="6"/>
      <c r="U81" s="28"/>
    </row>
    <row r="82" spans="1:21" x14ac:dyDescent="0.25">
      <c r="A82" s="13" t="str">
        <f>IF(B82="","",COUNTA($B$3:B82))</f>
        <v/>
      </c>
      <c r="B82" s="17"/>
      <c r="C82" s="23"/>
      <c r="D82" s="23"/>
      <c r="E82" s="32"/>
      <c r="F82" s="7"/>
      <c r="G82" s="23"/>
      <c r="J82" s="27"/>
      <c r="K82" s="6"/>
      <c r="L82" s="6"/>
      <c r="M82" s="6"/>
      <c r="N82" s="6"/>
      <c r="O82" s="6"/>
      <c r="P82" s="6"/>
      <c r="Q82" s="6"/>
      <c r="R82" s="6"/>
      <c r="S82" s="6"/>
      <c r="T82" s="6"/>
      <c r="U82" s="28"/>
    </row>
    <row r="83" spans="1:21" ht="15.75" thickBot="1" x14ac:dyDescent="0.3">
      <c r="A83" s="24"/>
      <c r="B83" s="25"/>
      <c r="C83" s="23"/>
      <c r="D83" s="23"/>
      <c r="E83" s="32"/>
      <c r="F83" s="7"/>
      <c r="G83" s="23"/>
      <c r="J83" s="27"/>
      <c r="K83" s="6"/>
      <c r="L83" s="6"/>
      <c r="M83" s="6"/>
      <c r="N83" s="6"/>
      <c r="O83" s="6"/>
      <c r="P83" s="6"/>
      <c r="Q83" s="6"/>
      <c r="R83" s="6"/>
      <c r="S83" s="6"/>
      <c r="T83" s="6"/>
      <c r="U83" s="28"/>
    </row>
    <row r="84" spans="1:21" ht="15.75" thickBot="1" x14ac:dyDescent="0.3">
      <c r="A84" s="23"/>
      <c r="B84" s="23"/>
      <c r="C84" s="23"/>
      <c r="D84" s="23"/>
      <c r="E84" s="32"/>
      <c r="F84" s="7"/>
      <c r="G84" s="23"/>
      <c r="J84" s="29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1"/>
    </row>
  </sheetData>
  <mergeCells count="2">
    <mergeCell ref="B1:F1"/>
    <mergeCell ref="J1:U1"/>
  </mergeCells>
  <conditionalFormatting sqref="D3:D81">
    <cfRule type="cellIs" dxfId="107" priority="1" operator="lessThan">
      <formula>11</formula>
    </cfRule>
  </conditionalFormatting>
  <dataValidations count="2">
    <dataValidation type="list" allowBlank="1" showInputMessage="1" showErrorMessage="1" sqref="C3:C81">
      <formula1>"តូច small​  小, ធំ Big 大的"</formula1>
    </dataValidation>
    <dataValidation type="list" allowBlank="1" showInputMessage="1" showErrorMessage="1" sqref="G3:G81">
      <formula1>$X$3:$X$10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84"/>
  <sheetViews>
    <sheetView topLeftCell="A14" workbookViewId="0">
      <selection activeCell="P20" sqref="P20"/>
    </sheetView>
  </sheetViews>
  <sheetFormatPr defaultRowHeight="15" x14ac:dyDescent="0.25"/>
  <cols>
    <col min="1" max="1" width="14.85546875" customWidth="1"/>
    <col min="2" max="2" width="24.140625" customWidth="1"/>
    <col min="3" max="3" width="9.85546875" customWidth="1"/>
    <col min="4" max="4" width="16.42578125" customWidth="1"/>
    <col min="5" max="5" width="19.42578125" customWidth="1"/>
    <col min="6" max="6" width="12" customWidth="1"/>
    <col min="7" max="7" width="22.28515625" customWidth="1"/>
    <col min="8" max="8" width="2.5703125" customWidth="1"/>
    <col min="9" max="9" width="5.140625" hidden="1" customWidth="1"/>
    <col min="10" max="18" width="6.140625" customWidth="1"/>
    <col min="19" max="21" width="6.42578125" customWidth="1"/>
  </cols>
  <sheetData>
    <row r="1" spans="1:24" ht="58.5" customHeight="1" thickBot="1" x14ac:dyDescent="0.3">
      <c r="A1" s="1"/>
      <c r="B1" s="35" t="s">
        <v>101</v>
      </c>
      <c r="C1" s="35"/>
      <c r="D1" s="35"/>
      <c r="E1" s="35"/>
      <c r="F1" s="35"/>
      <c r="G1" s="34" t="s">
        <v>106</v>
      </c>
      <c r="J1" s="36" t="s">
        <v>103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8"/>
    </row>
    <row r="2" spans="1:24" ht="73.5" customHeight="1" thickBot="1" x14ac:dyDescent="0.3">
      <c r="A2" s="4" t="s">
        <v>0</v>
      </c>
      <c r="B2" s="3" t="s">
        <v>1</v>
      </c>
      <c r="C2" s="3" t="s">
        <v>77</v>
      </c>
      <c r="D2" s="3" t="s">
        <v>80</v>
      </c>
      <c r="E2" s="3" t="s">
        <v>81</v>
      </c>
      <c r="F2" s="3" t="s">
        <v>82</v>
      </c>
      <c r="G2" s="5" t="s">
        <v>83</v>
      </c>
      <c r="J2" s="26" t="s">
        <v>84</v>
      </c>
      <c r="K2" s="26" t="s">
        <v>85</v>
      </c>
      <c r="L2" s="26" t="s">
        <v>86</v>
      </c>
      <c r="M2" s="26" t="s">
        <v>87</v>
      </c>
      <c r="N2" s="26" t="s">
        <v>88</v>
      </c>
      <c r="O2" s="26" t="s">
        <v>89</v>
      </c>
      <c r="P2" s="26" t="s">
        <v>90</v>
      </c>
      <c r="Q2" s="26" t="s">
        <v>91</v>
      </c>
      <c r="R2" s="26" t="s">
        <v>92</v>
      </c>
      <c r="S2" s="26" t="s">
        <v>93</v>
      </c>
      <c r="T2" s="26" t="s">
        <v>94</v>
      </c>
      <c r="U2" s="26" t="s">
        <v>95</v>
      </c>
    </row>
    <row r="3" spans="1:24" ht="27.75" customHeight="1" x14ac:dyDescent="0.25">
      <c r="A3" s="10">
        <f>IF(B3="","",COUNTA($B$3:B3))</f>
        <v>1</v>
      </c>
      <c r="B3" s="11" t="s">
        <v>2</v>
      </c>
      <c r="C3" s="11" t="s">
        <v>78</v>
      </c>
      <c r="D3" s="12">
        <f>'9-15'!F3</f>
        <v>3</v>
      </c>
      <c r="E3" s="7">
        <f t="shared" ref="E3:E66" si="0">SUM(J3:U3)</f>
        <v>1</v>
      </c>
      <c r="F3" s="7">
        <f t="shared" ref="F3:F66" si="1">D3-E3</f>
        <v>2</v>
      </c>
      <c r="G3" s="8"/>
      <c r="J3" s="27"/>
      <c r="K3" s="6"/>
      <c r="L3" s="6"/>
      <c r="M3" s="6"/>
      <c r="N3" s="6"/>
      <c r="O3" s="6"/>
      <c r="P3" s="6"/>
      <c r="Q3" s="6"/>
      <c r="R3" s="6">
        <v>1</v>
      </c>
      <c r="S3" s="6"/>
      <c r="T3" s="6"/>
      <c r="U3" s="28"/>
      <c r="X3" t="s">
        <v>96</v>
      </c>
    </row>
    <row r="4" spans="1:24" ht="30" x14ac:dyDescent="0.25">
      <c r="A4" s="13">
        <f>IF(B4="","",COUNTA($B$3:B4))</f>
        <v>2</v>
      </c>
      <c r="B4" s="14" t="s">
        <v>3</v>
      </c>
      <c r="C4" s="14" t="s">
        <v>78</v>
      </c>
      <c r="D4" s="12">
        <f>'9-15'!F4</f>
        <v>58</v>
      </c>
      <c r="E4" s="7">
        <f t="shared" si="0"/>
        <v>1</v>
      </c>
      <c r="F4" s="7">
        <f t="shared" si="1"/>
        <v>57</v>
      </c>
      <c r="G4" s="9"/>
      <c r="J4" s="27"/>
      <c r="K4" s="6"/>
      <c r="L4" s="6"/>
      <c r="M4" s="6"/>
      <c r="N4" s="6"/>
      <c r="O4" s="6"/>
      <c r="P4" s="6"/>
      <c r="Q4" s="6"/>
      <c r="R4" s="6"/>
      <c r="S4" s="6">
        <v>1</v>
      </c>
      <c r="T4" s="6"/>
      <c r="U4" s="28"/>
      <c r="X4" t="s">
        <v>97</v>
      </c>
    </row>
    <row r="5" spans="1:24" ht="30" x14ac:dyDescent="0.25">
      <c r="A5" s="10">
        <f>IF(B5="","",COUNTA($B$3:B5))</f>
        <v>3</v>
      </c>
      <c r="B5" s="11" t="s">
        <v>4</v>
      </c>
      <c r="C5" s="11" t="s">
        <v>78</v>
      </c>
      <c r="D5" s="12">
        <f>'9-15'!F5</f>
        <v>8</v>
      </c>
      <c r="E5" s="7">
        <f t="shared" si="0"/>
        <v>0</v>
      </c>
      <c r="F5" s="7">
        <f t="shared" si="1"/>
        <v>8</v>
      </c>
      <c r="G5" s="9"/>
      <c r="J5" s="27"/>
      <c r="K5" s="6"/>
      <c r="L5" s="6"/>
      <c r="M5" s="6"/>
      <c r="N5" s="6"/>
      <c r="O5" s="6"/>
      <c r="P5" s="6"/>
      <c r="Q5" s="6"/>
      <c r="R5" s="6"/>
      <c r="S5" s="6"/>
      <c r="T5" s="6"/>
      <c r="U5" s="28"/>
      <c r="X5" t="s">
        <v>98</v>
      </c>
    </row>
    <row r="6" spans="1:24" ht="30" x14ac:dyDescent="0.25">
      <c r="A6" s="13">
        <f>IF(B6="","",COUNTA($B$3:B6))</f>
        <v>4</v>
      </c>
      <c r="B6" s="14" t="s">
        <v>5</v>
      </c>
      <c r="C6" s="14" t="s">
        <v>78</v>
      </c>
      <c r="D6" s="12">
        <f>'9-15'!F6</f>
        <v>11</v>
      </c>
      <c r="E6" s="7">
        <f t="shared" si="0"/>
        <v>0</v>
      </c>
      <c r="F6" s="7">
        <f t="shared" si="1"/>
        <v>11</v>
      </c>
      <c r="G6" s="9"/>
      <c r="J6" s="27"/>
      <c r="K6" s="6"/>
      <c r="L6" s="6"/>
      <c r="M6" s="6"/>
      <c r="N6" s="6"/>
      <c r="O6" s="6"/>
      <c r="P6" s="6"/>
      <c r="Q6" s="6"/>
      <c r="R6" s="6"/>
      <c r="S6" s="6"/>
      <c r="T6" s="6"/>
      <c r="U6" s="28"/>
      <c r="X6" t="s">
        <v>99</v>
      </c>
    </row>
    <row r="7" spans="1:24" ht="30" x14ac:dyDescent="0.25">
      <c r="A7" s="10">
        <f>IF(B7="","",COUNTA($B$3:B7))</f>
        <v>5</v>
      </c>
      <c r="B7" s="11" t="s">
        <v>6</v>
      </c>
      <c r="C7" s="11" t="s">
        <v>78</v>
      </c>
      <c r="D7" s="12">
        <f>'9-15'!F7</f>
        <v>3</v>
      </c>
      <c r="E7" s="7">
        <f t="shared" si="0"/>
        <v>0</v>
      </c>
      <c r="F7" s="7">
        <f t="shared" si="1"/>
        <v>3</v>
      </c>
      <c r="G7" s="9"/>
      <c r="J7" s="27"/>
      <c r="K7" s="6"/>
      <c r="L7" s="6"/>
      <c r="M7" s="6"/>
      <c r="N7" s="6"/>
      <c r="O7" s="6"/>
      <c r="P7" s="6"/>
      <c r="Q7" s="6"/>
      <c r="R7" s="6"/>
      <c r="S7" s="6"/>
      <c r="T7" s="6"/>
      <c r="U7" s="28"/>
      <c r="X7" t="s">
        <v>100</v>
      </c>
    </row>
    <row r="8" spans="1:24" ht="30" x14ac:dyDescent="0.25">
      <c r="A8" s="13">
        <f>IF(B8="","",COUNTA($B$3:B8))</f>
        <v>6</v>
      </c>
      <c r="B8" s="14" t="s">
        <v>7</v>
      </c>
      <c r="C8" s="14" t="s">
        <v>78</v>
      </c>
      <c r="D8" s="12">
        <f>'9-15'!F8</f>
        <v>20</v>
      </c>
      <c r="E8" s="7">
        <f t="shared" si="0"/>
        <v>0</v>
      </c>
      <c r="F8" s="7">
        <f t="shared" si="1"/>
        <v>20</v>
      </c>
      <c r="G8" s="9"/>
      <c r="J8" s="27"/>
      <c r="K8" s="6"/>
      <c r="L8" s="6"/>
      <c r="M8" s="6"/>
      <c r="N8" s="6"/>
      <c r="O8" s="6"/>
      <c r="P8" s="6"/>
      <c r="Q8" s="6"/>
      <c r="R8" s="6"/>
      <c r="S8" s="6"/>
      <c r="T8" s="6"/>
      <c r="U8" s="28"/>
    </row>
    <row r="9" spans="1:24" ht="45" x14ac:dyDescent="0.25">
      <c r="A9" s="10">
        <f>IF(B9="","",COUNTA($B$3:B9))</f>
        <v>7</v>
      </c>
      <c r="B9" s="11" t="s">
        <v>8</v>
      </c>
      <c r="C9" s="11" t="s">
        <v>78</v>
      </c>
      <c r="D9" s="12">
        <f>'9-15'!F9</f>
        <v>13</v>
      </c>
      <c r="E9" s="7">
        <f t="shared" si="0"/>
        <v>0</v>
      </c>
      <c r="F9" s="7">
        <f t="shared" si="1"/>
        <v>13</v>
      </c>
      <c r="G9" s="9"/>
      <c r="J9" s="27"/>
      <c r="K9" s="6"/>
      <c r="L9" s="6"/>
      <c r="M9" s="6"/>
      <c r="N9" s="6"/>
      <c r="O9" s="6"/>
      <c r="P9" s="6"/>
      <c r="Q9" s="6"/>
      <c r="R9" s="6"/>
      <c r="S9" s="6"/>
      <c r="T9" s="6"/>
      <c r="U9" s="28"/>
    </row>
    <row r="10" spans="1:24" ht="45" x14ac:dyDescent="0.25">
      <c r="A10" s="13">
        <f>IF(B10="","",COUNTA($B$3:B10))</f>
        <v>8</v>
      </c>
      <c r="B10" s="14" t="s">
        <v>9</v>
      </c>
      <c r="C10" s="14" t="s">
        <v>78</v>
      </c>
      <c r="D10" s="12">
        <f>'9-15'!F10</f>
        <v>2</v>
      </c>
      <c r="E10" s="7">
        <f t="shared" si="0"/>
        <v>0</v>
      </c>
      <c r="F10" s="7">
        <f t="shared" si="1"/>
        <v>2</v>
      </c>
      <c r="G10" s="9"/>
      <c r="J10" s="27"/>
      <c r="K10" s="6"/>
      <c r="L10" s="6"/>
      <c r="M10" s="6"/>
      <c r="N10" s="6"/>
      <c r="O10" s="6"/>
      <c r="P10" s="6"/>
      <c r="Q10" s="6"/>
      <c r="R10" s="6"/>
      <c r="S10" s="6"/>
      <c r="T10" s="6"/>
      <c r="U10" s="28"/>
    </row>
    <row r="11" spans="1:24" ht="60" x14ac:dyDescent="0.25">
      <c r="A11" s="10">
        <f>IF(B11="","",COUNTA($B$3:B11))</f>
        <v>9</v>
      </c>
      <c r="B11" s="11" t="s">
        <v>10</v>
      </c>
      <c r="C11" s="11" t="s">
        <v>78</v>
      </c>
      <c r="D11" s="12">
        <f>'9-15'!F11</f>
        <v>4</v>
      </c>
      <c r="E11" s="7">
        <f t="shared" si="0"/>
        <v>0</v>
      </c>
      <c r="F11" s="7">
        <f t="shared" si="1"/>
        <v>4</v>
      </c>
      <c r="G11" s="9"/>
      <c r="J11" s="27"/>
      <c r="K11" s="6"/>
      <c r="L11" s="6"/>
      <c r="M11" s="6"/>
      <c r="N11" s="6"/>
      <c r="O11" s="6"/>
      <c r="P11" s="6"/>
      <c r="Q11" s="6"/>
      <c r="R11" s="6"/>
      <c r="S11" s="6"/>
      <c r="T11" s="6"/>
      <c r="U11" s="28"/>
    </row>
    <row r="12" spans="1:24" ht="45" x14ac:dyDescent="0.25">
      <c r="A12" s="13">
        <f>IF(B12="","",COUNTA($B$3:B12))</f>
        <v>10</v>
      </c>
      <c r="B12" s="14" t="s">
        <v>11</v>
      </c>
      <c r="C12" s="14" t="s">
        <v>78</v>
      </c>
      <c r="D12" s="12">
        <f>'9-15'!F12</f>
        <v>0</v>
      </c>
      <c r="E12" s="7">
        <f t="shared" si="0"/>
        <v>0</v>
      </c>
      <c r="F12" s="7">
        <f t="shared" si="1"/>
        <v>0</v>
      </c>
      <c r="G12" s="9"/>
      <c r="J12" s="27"/>
      <c r="K12" s="6"/>
      <c r="L12" s="6"/>
      <c r="M12" s="6"/>
      <c r="N12" s="6"/>
      <c r="O12" s="6"/>
      <c r="P12" s="6"/>
      <c r="Q12" s="6"/>
      <c r="R12" s="6"/>
      <c r="S12" s="6"/>
      <c r="T12" s="6"/>
      <c r="U12" s="28"/>
    </row>
    <row r="13" spans="1:24" ht="60" x14ac:dyDescent="0.25">
      <c r="A13" s="10">
        <f>IF(B13="","",COUNTA($B$3:B13))</f>
        <v>11</v>
      </c>
      <c r="B13" s="11" t="s">
        <v>12</v>
      </c>
      <c r="C13" s="11" t="s">
        <v>78</v>
      </c>
      <c r="D13" s="12">
        <f>'9-15'!F13</f>
        <v>0</v>
      </c>
      <c r="E13" s="7">
        <f t="shared" si="0"/>
        <v>0</v>
      </c>
      <c r="F13" s="7">
        <f t="shared" si="1"/>
        <v>0</v>
      </c>
      <c r="G13" s="9"/>
      <c r="J13" s="27"/>
      <c r="K13" s="6"/>
      <c r="L13" s="6"/>
      <c r="M13" s="6"/>
      <c r="N13" s="6"/>
      <c r="O13" s="6"/>
      <c r="P13" s="6"/>
      <c r="Q13" s="6"/>
      <c r="R13" s="6"/>
      <c r="S13" s="6"/>
      <c r="T13" s="6"/>
      <c r="U13" s="28"/>
    </row>
    <row r="14" spans="1:24" ht="30" x14ac:dyDescent="0.25">
      <c r="A14" s="13">
        <f>IF(B14="","",COUNTA($B$3:B14))</f>
        <v>12</v>
      </c>
      <c r="B14" s="14" t="s">
        <v>13</v>
      </c>
      <c r="C14" s="14" t="s">
        <v>78</v>
      </c>
      <c r="D14" s="12">
        <f>'9-15'!F14</f>
        <v>7</v>
      </c>
      <c r="E14" s="7">
        <f t="shared" si="0"/>
        <v>0</v>
      </c>
      <c r="F14" s="7">
        <f t="shared" si="1"/>
        <v>7</v>
      </c>
      <c r="G14" s="9"/>
      <c r="J14" s="27"/>
      <c r="K14" s="6"/>
      <c r="L14" s="6"/>
      <c r="M14" s="6"/>
      <c r="N14" s="6"/>
      <c r="O14" s="6"/>
      <c r="P14" s="6"/>
      <c r="Q14" s="6"/>
      <c r="R14" s="6"/>
      <c r="S14" s="6"/>
      <c r="T14" s="6"/>
      <c r="U14" s="28"/>
    </row>
    <row r="15" spans="1:24" ht="60" x14ac:dyDescent="0.25">
      <c r="A15" s="10">
        <f>IF(B15="","",COUNTA($B$3:B15))</f>
        <v>13</v>
      </c>
      <c r="B15" s="16" t="s">
        <v>14</v>
      </c>
      <c r="C15" s="11" t="s">
        <v>78</v>
      </c>
      <c r="D15" s="12">
        <f>'9-15'!F15</f>
        <v>5</v>
      </c>
      <c r="E15" s="7">
        <f t="shared" si="0"/>
        <v>0</v>
      </c>
      <c r="F15" s="7">
        <f t="shared" si="1"/>
        <v>5</v>
      </c>
      <c r="G15" s="9"/>
      <c r="J15" s="27"/>
      <c r="K15" s="6"/>
      <c r="L15" s="6"/>
      <c r="M15" s="6"/>
      <c r="N15" s="6"/>
      <c r="O15" s="6"/>
      <c r="P15" s="6"/>
      <c r="Q15" s="6"/>
      <c r="R15" s="6"/>
      <c r="S15" s="6"/>
      <c r="T15" s="6"/>
      <c r="U15" s="28"/>
    </row>
    <row r="16" spans="1:24" ht="45" x14ac:dyDescent="0.25">
      <c r="A16" s="13">
        <f>IF(B16="","",COUNTA($B$3:B16))</f>
        <v>14</v>
      </c>
      <c r="B16" s="14" t="s">
        <v>15</v>
      </c>
      <c r="C16" s="14" t="s">
        <v>78</v>
      </c>
      <c r="D16" s="12">
        <f>'9-15'!F16</f>
        <v>3</v>
      </c>
      <c r="E16" s="7">
        <f t="shared" si="0"/>
        <v>0</v>
      </c>
      <c r="F16" s="7">
        <f t="shared" si="1"/>
        <v>3</v>
      </c>
      <c r="G16" s="9"/>
      <c r="J16" s="27"/>
      <c r="K16" s="6"/>
      <c r="L16" s="6"/>
      <c r="M16" s="6"/>
      <c r="N16" s="6"/>
      <c r="O16" s="6"/>
      <c r="P16" s="6"/>
      <c r="Q16" s="6"/>
      <c r="R16" s="6"/>
      <c r="S16" s="6"/>
      <c r="T16" s="6"/>
      <c r="U16" s="28"/>
    </row>
    <row r="17" spans="1:21" ht="45" x14ac:dyDescent="0.25">
      <c r="A17" s="10">
        <f>IF(B17="","",COUNTA($B$3:B17))</f>
        <v>15</v>
      </c>
      <c r="B17" s="11" t="s">
        <v>16</v>
      </c>
      <c r="C17" s="11" t="s">
        <v>78</v>
      </c>
      <c r="D17" s="12">
        <f>'9-15'!F17</f>
        <v>3</v>
      </c>
      <c r="E17" s="7">
        <f t="shared" si="0"/>
        <v>0</v>
      </c>
      <c r="F17" s="7">
        <f t="shared" si="1"/>
        <v>3</v>
      </c>
      <c r="G17" s="9"/>
      <c r="J17" s="27"/>
      <c r="K17" s="6"/>
      <c r="L17" s="6"/>
      <c r="M17" s="6"/>
      <c r="N17" s="6"/>
      <c r="O17" s="6"/>
      <c r="P17" s="6"/>
      <c r="Q17" s="6"/>
      <c r="R17" s="6"/>
      <c r="S17" s="6"/>
      <c r="T17" s="6"/>
      <c r="U17" s="28"/>
    </row>
    <row r="18" spans="1:21" ht="60" x14ac:dyDescent="0.25">
      <c r="A18" s="13">
        <f>IF(B18="","",COUNTA($B$3:B18))</f>
        <v>16</v>
      </c>
      <c r="B18" s="17" t="s">
        <v>17</v>
      </c>
      <c r="C18" s="14" t="s">
        <v>78</v>
      </c>
      <c r="D18" s="12">
        <f>'9-15'!F18</f>
        <v>2</v>
      </c>
      <c r="E18" s="7">
        <f t="shared" si="0"/>
        <v>0</v>
      </c>
      <c r="F18" s="7">
        <f t="shared" si="1"/>
        <v>2</v>
      </c>
      <c r="G18" s="9"/>
      <c r="J18" s="27"/>
      <c r="K18" s="6"/>
      <c r="L18" s="6"/>
      <c r="M18" s="6"/>
      <c r="N18" s="6"/>
      <c r="O18" s="6"/>
      <c r="P18" s="6"/>
      <c r="Q18" s="6"/>
      <c r="R18" s="6"/>
      <c r="S18" s="6"/>
      <c r="T18" s="6"/>
      <c r="U18" s="28"/>
    </row>
    <row r="19" spans="1:21" ht="45" x14ac:dyDescent="0.25">
      <c r="A19" s="10">
        <f>IF(B19="","",COUNTA($B$3:B19))</f>
        <v>17</v>
      </c>
      <c r="B19" s="11" t="s">
        <v>18</v>
      </c>
      <c r="C19" s="11" t="s">
        <v>78</v>
      </c>
      <c r="D19" s="12">
        <f>'9-15'!F19</f>
        <v>42</v>
      </c>
      <c r="E19" s="7">
        <f t="shared" si="0"/>
        <v>1</v>
      </c>
      <c r="F19" s="7">
        <f t="shared" si="1"/>
        <v>41</v>
      </c>
      <c r="G19" s="9"/>
      <c r="J19" s="27"/>
      <c r="K19" s="6"/>
      <c r="L19" s="6"/>
      <c r="M19" s="6"/>
      <c r="N19" s="6"/>
      <c r="O19" s="6"/>
      <c r="P19" s="6">
        <v>1</v>
      </c>
      <c r="Q19" s="6"/>
      <c r="R19" s="6"/>
      <c r="S19" s="6"/>
      <c r="T19" s="6"/>
      <c r="U19" s="28"/>
    </row>
    <row r="20" spans="1:21" ht="30" x14ac:dyDescent="0.25">
      <c r="A20" s="13">
        <f>IF(B20="","",COUNTA($B$3:B20))</f>
        <v>18</v>
      </c>
      <c r="B20" s="14" t="s">
        <v>19</v>
      </c>
      <c r="C20" s="14" t="s">
        <v>79</v>
      </c>
      <c r="D20" s="12">
        <f>'9-15'!F20</f>
        <v>2</v>
      </c>
      <c r="E20" s="7">
        <f t="shared" si="0"/>
        <v>0</v>
      </c>
      <c r="F20" s="7">
        <f t="shared" si="1"/>
        <v>2</v>
      </c>
      <c r="G20" s="9"/>
      <c r="J20" s="27"/>
      <c r="K20" s="6"/>
      <c r="L20" s="6"/>
      <c r="M20" s="6"/>
      <c r="N20" s="6"/>
      <c r="O20" s="6"/>
      <c r="P20" s="6"/>
      <c r="Q20" s="6"/>
      <c r="R20" s="6"/>
      <c r="S20" s="6"/>
      <c r="T20" s="6"/>
      <c r="U20" s="28"/>
    </row>
    <row r="21" spans="1:21" ht="45" x14ac:dyDescent="0.25">
      <c r="A21" s="10">
        <f>IF(B21="","",COUNTA($B$3:B21))</f>
        <v>19</v>
      </c>
      <c r="B21" s="11" t="s">
        <v>20</v>
      </c>
      <c r="C21" s="11" t="s">
        <v>78</v>
      </c>
      <c r="D21" s="12">
        <f>'9-15'!F21</f>
        <v>19</v>
      </c>
      <c r="E21" s="7">
        <f t="shared" si="0"/>
        <v>0</v>
      </c>
      <c r="F21" s="7">
        <f t="shared" si="1"/>
        <v>19</v>
      </c>
      <c r="G21" s="9"/>
      <c r="J21" s="27"/>
      <c r="K21" s="6"/>
      <c r="L21" s="6"/>
      <c r="M21" s="6"/>
      <c r="N21" s="6"/>
      <c r="O21" s="6"/>
      <c r="P21" s="6"/>
      <c r="Q21" s="6"/>
      <c r="R21" s="6"/>
      <c r="S21" s="6"/>
      <c r="T21" s="6"/>
      <c r="U21" s="28"/>
    </row>
    <row r="22" spans="1:21" ht="30" x14ac:dyDescent="0.25">
      <c r="A22" s="13">
        <f>IF(B22="","",COUNTA($B$3:B22))</f>
        <v>20</v>
      </c>
      <c r="B22" s="14" t="s">
        <v>21</v>
      </c>
      <c r="C22" s="14" t="s">
        <v>78</v>
      </c>
      <c r="D22" s="12">
        <f>'9-15'!F22</f>
        <v>5</v>
      </c>
      <c r="E22" s="7">
        <f t="shared" si="0"/>
        <v>0</v>
      </c>
      <c r="F22" s="7">
        <f t="shared" si="1"/>
        <v>5</v>
      </c>
      <c r="G22" s="9"/>
      <c r="J22" s="27"/>
      <c r="K22" s="6"/>
      <c r="L22" s="6"/>
      <c r="M22" s="6"/>
      <c r="N22" s="6"/>
      <c r="O22" s="6"/>
      <c r="P22" s="6"/>
      <c r="Q22" s="6"/>
      <c r="R22" s="6"/>
      <c r="S22" s="6"/>
      <c r="T22" s="6"/>
      <c r="U22" s="28"/>
    </row>
    <row r="23" spans="1:21" ht="60" x14ac:dyDescent="0.25">
      <c r="A23" s="10">
        <f>IF(B23="","",COUNTA($B$3:B23))</f>
        <v>21</v>
      </c>
      <c r="B23" s="11" t="s">
        <v>22</v>
      </c>
      <c r="C23" s="11" t="s">
        <v>78</v>
      </c>
      <c r="D23" s="12">
        <f>'9-15'!F23</f>
        <v>3</v>
      </c>
      <c r="E23" s="7">
        <f t="shared" si="0"/>
        <v>0</v>
      </c>
      <c r="F23" s="7">
        <f t="shared" si="1"/>
        <v>3</v>
      </c>
      <c r="G23" s="9"/>
      <c r="J23" s="27"/>
      <c r="K23" s="6"/>
      <c r="L23" s="6"/>
      <c r="M23" s="6"/>
      <c r="N23" s="6"/>
      <c r="O23" s="6"/>
      <c r="P23" s="6"/>
      <c r="Q23" s="6"/>
      <c r="R23" s="6"/>
      <c r="S23" s="6"/>
      <c r="T23" s="6"/>
      <c r="U23" s="28"/>
    </row>
    <row r="24" spans="1:21" ht="45" x14ac:dyDescent="0.25">
      <c r="A24" s="13">
        <f>IF(B24="","",COUNTA($B$3:B24))</f>
        <v>22</v>
      </c>
      <c r="B24" s="14" t="s">
        <v>23</v>
      </c>
      <c r="C24" s="14" t="s">
        <v>78</v>
      </c>
      <c r="D24" s="12">
        <f>'9-15'!F24</f>
        <v>23</v>
      </c>
      <c r="E24" s="7">
        <f t="shared" si="0"/>
        <v>0</v>
      </c>
      <c r="F24" s="7">
        <f t="shared" si="1"/>
        <v>23</v>
      </c>
      <c r="G24" s="9"/>
      <c r="J24" s="27"/>
      <c r="K24" s="6"/>
      <c r="L24" s="6"/>
      <c r="M24" s="6"/>
      <c r="N24" s="6"/>
      <c r="O24" s="6"/>
      <c r="P24" s="6"/>
      <c r="Q24" s="6"/>
      <c r="R24" s="6"/>
      <c r="S24" s="6"/>
      <c r="T24" s="6"/>
      <c r="U24" s="28"/>
    </row>
    <row r="25" spans="1:21" ht="30" x14ac:dyDescent="0.25">
      <c r="A25" s="10">
        <f>IF(B25="","",COUNTA($B$3:B25))</f>
        <v>23</v>
      </c>
      <c r="B25" s="11" t="s">
        <v>24</v>
      </c>
      <c r="C25" s="11" t="s">
        <v>78</v>
      </c>
      <c r="D25" s="12">
        <f>'9-15'!F25</f>
        <v>10</v>
      </c>
      <c r="E25" s="7">
        <f t="shared" si="0"/>
        <v>0</v>
      </c>
      <c r="F25" s="7">
        <f t="shared" si="1"/>
        <v>10</v>
      </c>
      <c r="G25" s="9"/>
      <c r="J25" s="27"/>
      <c r="K25" s="6"/>
      <c r="L25" s="6"/>
      <c r="M25" s="6"/>
      <c r="N25" s="6"/>
      <c r="O25" s="6"/>
      <c r="P25" s="6"/>
      <c r="Q25" s="6"/>
      <c r="R25" s="6"/>
      <c r="S25" s="6"/>
      <c r="T25" s="6"/>
      <c r="U25" s="28"/>
    </row>
    <row r="26" spans="1:21" ht="30" x14ac:dyDescent="0.25">
      <c r="A26" s="13">
        <f>IF(B26="","",COUNTA($B$3:B26))</f>
        <v>24</v>
      </c>
      <c r="B26" s="14" t="s">
        <v>25</v>
      </c>
      <c r="C26" s="14" t="s">
        <v>78</v>
      </c>
      <c r="D26" s="12">
        <f>'9-15'!F26</f>
        <v>0</v>
      </c>
      <c r="E26" s="7">
        <f t="shared" si="0"/>
        <v>0</v>
      </c>
      <c r="F26" s="7">
        <f t="shared" si="1"/>
        <v>0</v>
      </c>
      <c r="G26" s="9"/>
      <c r="J26" s="27"/>
      <c r="K26" s="6"/>
      <c r="L26" s="6"/>
      <c r="M26" s="6"/>
      <c r="N26" s="6"/>
      <c r="O26" s="6"/>
      <c r="P26" s="6"/>
      <c r="Q26" s="6"/>
      <c r="R26" s="6"/>
      <c r="S26" s="6"/>
      <c r="T26" s="6"/>
      <c r="U26" s="28"/>
    </row>
    <row r="27" spans="1:21" ht="30" x14ac:dyDescent="0.25">
      <c r="A27" s="10">
        <f>IF(B27="","",COUNTA($B$3:B27))</f>
        <v>25</v>
      </c>
      <c r="B27" s="11" t="s">
        <v>26</v>
      </c>
      <c r="C27" s="11" t="s">
        <v>78</v>
      </c>
      <c r="D27" s="12">
        <f>'9-15'!F27</f>
        <v>1</v>
      </c>
      <c r="E27" s="7">
        <f t="shared" si="0"/>
        <v>0</v>
      </c>
      <c r="F27" s="7">
        <f t="shared" si="1"/>
        <v>1</v>
      </c>
      <c r="G27" s="9"/>
      <c r="J27" s="27"/>
      <c r="K27" s="6"/>
      <c r="L27" s="6"/>
      <c r="M27" s="6"/>
      <c r="N27" s="6"/>
      <c r="O27" s="6"/>
      <c r="P27" s="6"/>
      <c r="Q27" s="6"/>
      <c r="R27" s="6"/>
      <c r="S27" s="6"/>
      <c r="T27" s="6"/>
      <c r="U27" s="28"/>
    </row>
    <row r="28" spans="1:21" ht="60" x14ac:dyDescent="0.25">
      <c r="A28" s="13">
        <f>IF(B28="","",COUNTA($B$3:B28))</f>
        <v>26</v>
      </c>
      <c r="B28" s="14" t="s">
        <v>27</v>
      </c>
      <c r="C28" s="14" t="s">
        <v>78</v>
      </c>
      <c r="D28" s="12">
        <f>'9-15'!F28</f>
        <v>0</v>
      </c>
      <c r="E28" s="7">
        <f t="shared" si="0"/>
        <v>0</v>
      </c>
      <c r="F28" s="7">
        <f t="shared" si="1"/>
        <v>0</v>
      </c>
      <c r="G28" s="9"/>
      <c r="J28" s="27"/>
      <c r="K28" s="6"/>
      <c r="L28" s="6"/>
      <c r="M28" s="6"/>
      <c r="N28" s="6"/>
      <c r="O28" s="6"/>
      <c r="P28" s="6"/>
      <c r="Q28" s="6"/>
      <c r="R28" s="6"/>
      <c r="S28" s="6"/>
      <c r="T28" s="6"/>
      <c r="U28" s="28"/>
    </row>
    <row r="29" spans="1:21" ht="30" x14ac:dyDescent="0.25">
      <c r="A29" s="10">
        <f>IF(B29="","",COUNTA($B$3:B29))</f>
        <v>27</v>
      </c>
      <c r="B29" s="11" t="s">
        <v>28</v>
      </c>
      <c r="C29" s="11" t="s">
        <v>78</v>
      </c>
      <c r="D29" s="12">
        <f>'9-15'!F29</f>
        <v>9</v>
      </c>
      <c r="E29" s="7">
        <f t="shared" si="0"/>
        <v>0</v>
      </c>
      <c r="F29" s="7">
        <f t="shared" si="1"/>
        <v>9</v>
      </c>
      <c r="G29" s="9"/>
      <c r="J29" s="27"/>
      <c r="K29" s="6"/>
      <c r="L29" s="6"/>
      <c r="M29" s="6"/>
      <c r="N29" s="6"/>
      <c r="O29" s="6"/>
      <c r="P29" s="6"/>
      <c r="Q29" s="6"/>
      <c r="R29" s="6"/>
      <c r="S29" s="6"/>
      <c r="T29" s="6"/>
      <c r="U29" s="28"/>
    </row>
    <row r="30" spans="1:21" ht="75" x14ac:dyDescent="0.25">
      <c r="A30" s="13">
        <f>IF(B30="","",COUNTA($B$3:B30))</f>
        <v>28</v>
      </c>
      <c r="B30" s="14" t="s">
        <v>29</v>
      </c>
      <c r="C30" s="14" t="s">
        <v>78</v>
      </c>
      <c r="D30" s="12">
        <f>'9-15'!F30</f>
        <v>4</v>
      </c>
      <c r="E30" s="7">
        <f t="shared" si="0"/>
        <v>0</v>
      </c>
      <c r="F30" s="7">
        <f t="shared" si="1"/>
        <v>4</v>
      </c>
      <c r="G30" s="9"/>
      <c r="J30" s="27"/>
      <c r="K30" s="6"/>
      <c r="L30" s="6"/>
      <c r="M30" s="6"/>
      <c r="N30" s="6"/>
      <c r="O30" s="6"/>
      <c r="P30" s="6"/>
      <c r="Q30" s="6"/>
      <c r="R30" s="6"/>
      <c r="S30" s="6"/>
      <c r="T30" s="6"/>
      <c r="U30" s="28"/>
    </row>
    <row r="31" spans="1:21" ht="30" x14ac:dyDescent="0.25">
      <c r="A31" s="10">
        <f>IF(B31="","",COUNTA($B$3:B31))</f>
        <v>29</v>
      </c>
      <c r="B31" s="11" t="s">
        <v>30</v>
      </c>
      <c r="C31" s="11" t="s">
        <v>78</v>
      </c>
      <c r="D31" s="12">
        <f>'9-15'!F31</f>
        <v>0</v>
      </c>
      <c r="E31" s="7">
        <f t="shared" si="0"/>
        <v>0</v>
      </c>
      <c r="F31" s="7">
        <f t="shared" si="1"/>
        <v>0</v>
      </c>
      <c r="G31" s="9"/>
      <c r="J31" s="27"/>
      <c r="K31" s="6"/>
      <c r="L31" s="6"/>
      <c r="M31" s="6"/>
      <c r="N31" s="6"/>
      <c r="O31" s="6"/>
      <c r="P31" s="6"/>
      <c r="Q31" s="6"/>
      <c r="R31" s="6"/>
      <c r="S31" s="6"/>
      <c r="T31" s="6"/>
      <c r="U31" s="28"/>
    </row>
    <row r="32" spans="1:21" ht="45" x14ac:dyDescent="0.25">
      <c r="A32" s="13">
        <f>IF(B32="","",COUNTA($B$3:B32))</f>
        <v>30</v>
      </c>
      <c r="B32" s="14" t="s">
        <v>31</v>
      </c>
      <c r="C32" s="14" t="s">
        <v>78</v>
      </c>
      <c r="D32" s="12">
        <f>'9-15'!F32</f>
        <v>8</v>
      </c>
      <c r="E32" s="7">
        <f t="shared" si="0"/>
        <v>0</v>
      </c>
      <c r="F32" s="7">
        <f t="shared" si="1"/>
        <v>8</v>
      </c>
      <c r="G32" s="9"/>
      <c r="J32" s="27"/>
      <c r="K32" s="6"/>
      <c r="L32" s="6"/>
      <c r="M32" s="6"/>
      <c r="N32" s="6"/>
      <c r="O32" s="6"/>
      <c r="P32" s="6"/>
      <c r="Q32" s="6"/>
      <c r="R32" s="6"/>
      <c r="S32" s="6"/>
      <c r="T32" s="6"/>
      <c r="U32" s="28"/>
    </row>
    <row r="33" spans="1:21" ht="45" x14ac:dyDescent="0.25">
      <c r="A33" s="10">
        <f>IF(B33="","",COUNTA($B$3:B33))</f>
        <v>31</v>
      </c>
      <c r="B33" s="11" t="s">
        <v>32</v>
      </c>
      <c r="C33" s="11" t="s">
        <v>78</v>
      </c>
      <c r="D33" s="12">
        <f>'9-15'!F33</f>
        <v>0</v>
      </c>
      <c r="E33" s="7">
        <f t="shared" si="0"/>
        <v>0</v>
      </c>
      <c r="F33" s="7">
        <f t="shared" si="1"/>
        <v>0</v>
      </c>
      <c r="G33" s="9"/>
      <c r="J33" s="27"/>
      <c r="K33" s="6"/>
      <c r="L33" s="6"/>
      <c r="M33" s="6"/>
      <c r="N33" s="6"/>
      <c r="O33" s="6"/>
      <c r="P33" s="6"/>
      <c r="Q33" s="6"/>
      <c r="R33" s="6"/>
      <c r="S33" s="6"/>
      <c r="T33" s="6"/>
      <c r="U33" s="28"/>
    </row>
    <row r="34" spans="1:21" ht="60" x14ac:dyDescent="0.25">
      <c r="A34" s="13">
        <f>IF(B34="","",COUNTA($B$3:B34))</f>
        <v>32</v>
      </c>
      <c r="B34" s="14" t="s">
        <v>33</v>
      </c>
      <c r="C34" s="14" t="s">
        <v>78</v>
      </c>
      <c r="D34" s="12">
        <f>'9-15'!F34</f>
        <v>7</v>
      </c>
      <c r="E34" s="7">
        <f t="shared" si="0"/>
        <v>0</v>
      </c>
      <c r="F34" s="7">
        <f t="shared" si="1"/>
        <v>7</v>
      </c>
      <c r="G34" s="9"/>
      <c r="J34" s="27"/>
      <c r="K34" s="6"/>
      <c r="L34" s="6"/>
      <c r="M34" s="6"/>
      <c r="N34" s="6"/>
      <c r="O34" s="6"/>
      <c r="P34" s="6"/>
      <c r="Q34" s="6"/>
      <c r="R34" s="6"/>
      <c r="S34" s="6"/>
      <c r="T34" s="6"/>
      <c r="U34" s="28"/>
    </row>
    <row r="35" spans="1:21" ht="75" x14ac:dyDescent="0.25">
      <c r="A35" s="10">
        <f>IF(B35="","",COUNTA($B$3:B35))</f>
        <v>33</v>
      </c>
      <c r="B35" s="11" t="s">
        <v>34</v>
      </c>
      <c r="C35" s="11" t="s">
        <v>78</v>
      </c>
      <c r="D35" s="12">
        <f>'9-15'!F35</f>
        <v>0</v>
      </c>
      <c r="E35" s="7">
        <f t="shared" si="0"/>
        <v>0</v>
      </c>
      <c r="F35" s="7">
        <f t="shared" si="1"/>
        <v>0</v>
      </c>
      <c r="G35" s="9"/>
      <c r="J35" s="27"/>
      <c r="K35" s="6"/>
      <c r="L35" s="6"/>
      <c r="M35" s="6"/>
      <c r="N35" s="6"/>
      <c r="O35" s="6"/>
      <c r="P35" s="6"/>
      <c r="Q35" s="6"/>
      <c r="R35" s="6"/>
      <c r="S35" s="6"/>
      <c r="T35" s="6"/>
      <c r="U35" s="28"/>
    </row>
    <row r="36" spans="1:21" ht="45" x14ac:dyDescent="0.25">
      <c r="A36" s="13">
        <f>IF(B36="","",COUNTA($B$3:B36))</f>
        <v>34</v>
      </c>
      <c r="B36" s="14" t="s">
        <v>35</v>
      </c>
      <c r="C36" s="14" t="s">
        <v>78</v>
      </c>
      <c r="D36" s="12">
        <f>'9-15'!F36</f>
        <v>8</v>
      </c>
      <c r="E36" s="7">
        <f t="shared" si="0"/>
        <v>0</v>
      </c>
      <c r="F36" s="7">
        <f t="shared" si="1"/>
        <v>8</v>
      </c>
      <c r="G36" s="9"/>
      <c r="J36" s="27"/>
      <c r="K36" s="6"/>
      <c r="L36" s="6"/>
      <c r="M36" s="6"/>
      <c r="N36" s="6"/>
      <c r="O36" s="6"/>
      <c r="P36" s="6"/>
      <c r="Q36" s="6"/>
      <c r="R36" s="6"/>
      <c r="S36" s="6"/>
      <c r="T36" s="6"/>
      <c r="U36" s="28"/>
    </row>
    <row r="37" spans="1:21" ht="45" x14ac:dyDescent="0.25">
      <c r="A37" s="10">
        <f>IF(B37="","",COUNTA($B$3:B37))</f>
        <v>35</v>
      </c>
      <c r="B37" s="11" t="s">
        <v>36</v>
      </c>
      <c r="C37" s="11" t="s">
        <v>78</v>
      </c>
      <c r="D37" s="12">
        <f>'9-15'!F37</f>
        <v>2</v>
      </c>
      <c r="E37" s="7">
        <f t="shared" si="0"/>
        <v>0</v>
      </c>
      <c r="F37" s="7">
        <f t="shared" si="1"/>
        <v>2</v>
      </c>
      <c r="G37" s="9"/>
      <c r="J37" s="27"/>
      <c r="K37" s="6"/>
      <c r="L37" s="6"/>
      <c r="M37" s="6"/>
      <c r="N37" s="6"/>
      <c r="O37" s="6"/>
      <c r="P37" s="6"/>
      <c r="Q37" s="6"/>
      <c r="R37" s="6"/>
      <c r="S37" s="6"/>
      <c r="T37" s="6"/>
      <c r="U37" s="28"/>
    </row>
    <row r="38" spans="1:21" ht="45" x14ac:dyDescent="0.25">
      <c r="A38" s="13">
        <f>IF(B38="","",COUNTA($B$3:B38))</f>
        <v>36</v>
      </c>
      <c r="B38" s="14" t="s">
        <v>37</v>
      </c>
      <c r="C38" s="14" t="s">
        <v>78</v>
      </c>
      <c r="D38" s="12">
        <f>'9-15'!F38</f>
        <v>1</v>
      </c>
      <c r="E38" s="7">
        <f t="shared" si="0"/>
        <v>0</v>
      </c>
      <c r="F38" s="7">
        <f t="shared" si="1"/>
        <v>1</v>
      </c>
      <c r="G38" s="9"/>
      <c r="J38" s="27"/>
      <c r="K38" s="6"/>
      <c r="L38" s="6"/>
      <c r="M38" s="6"/>
      <c r="N38" s="6"/>
      <c r="O38" s="6"/>
      <c r="P38" s="6"/>
      <c r="Q38" s="6"/>
      <c r="R38" s="6"/>
      <c r="S38" s="6"/>
      <c r="T38" s="6"/>
      <c r="U38" s="28"/>
    </row>
    <row r="39" spans="1:21" ht="45" x14ac:dyDescent="0.25">
      <c r="A39" s="10">
        <f>IF(B39="","",COUNTA($B$3:B39))</f>
        <v>37</v>
      </c>
      <c r="B39" s="11" t="s">
        <v>38</v>
      </c>
      <c r="C39" s="11" t="s">
        <v>78</v>
      </c>
      <c r="D39" s="12">
        <f>'9-15'!F39</f>
        <v>3</v>
      </c>
      <c r="E39" s="7">
        <f t="shared" si="0"/>
        <v>0</v>
      </c>
      <c r="F39" s="7">
        <f t="shared" si="1"/>
        <v>3</v>
      </c>
      <c r="G39" s="9"/>
      <c r="J39" s="27"/>
      <c r="K39" s="6"/>
      <c r="L39" s="6"/>
      <c r="M39" s="6"/>
      <c r="N39" s="6"/>
      <c r="O39" s="6"/>
      <c r="P39" s="6"/>
      <c r="Q39" s="6"/>
      <c r="R39" s="6"/>
      <c r="S39" s="6"/>
      <c r="T39" s="6"/>
      <c r="U39" s="28"/>
    </row>
    <row r="40" spans="1:21" ht="30" x14ac:dyDescent="0.25">
      <c r="A40" s="13">
        <f>IF(B40="","",COUNTA($B$3:B40))</f>
        <v>38</v>
      </c>
      <c r="B40" s="14" t="s">
        <v>2</v>
      </c>
      <c r="C40" s="14" t="s">
        <v>78</v>
      </c>
      <c r="D40" s="12">
        <f>'9-15'!F40</f>
        <v>0</v>
      </c>
      <c r="E40" s="7">
        <f t="shared" si="0"/>
        <v>0</v>
      </c>
      <c r="F40" s="7">
        <f t="shared" si="1"/>
        <v>0</v>
      </c>
      <c r="G40" s="9"/>
      <c r="J40" s="27"/>
      <c r="K40" s="6"/>
      <c r="L40" s="6"/>
      <c r="M40" s="6"/>
      <c r="N40" s="6"/>
      <c r="O40" s="6"/>
      <c r="P40" s="6"/>
      <c r="Q40" s="6"/>
      <c r="R40" s="6"/>
      <c r="S40" s="6"/>
      <c r="T40" s="6"/>
      <c r="U40" s="28"/>
    </row>
    <row r="41" spans="1:21" ht="45" x14ac:dyDescent="0.25">
      <c r="A41" s="10">
        <f>IF(B41="","",COUNTA($B$3:B41))</f>
        <v>39</v>
      </c>
      <c r="B41" s="11" t="s">
        <v>39</v>
      </c>
      <c r="C41" s="11" t="s">
        <v>78</v>
      </c>
      <c r="D41" s="12">
        <f>'9-15'!F41</f>
        <v>2</v>
      </c>
      <c r="E41" s="7">
        <f t="shared" si="0"/>
        <v>0</v>
      </c>
      <c r="F41" s="7">
        <f t="shared" si="1"/>
        <v>2</v>
      </c>
      <c r="G41" s="9"/>
      <c r="J41" s="27"/>
      <c r="K41" s="6"/>
      <c r="L41" s="6"/>
      <c r="M41" s="6"/>
      <c r="N41" s="6"/>
      <c r="O41" s="6"/>
      <c r="P41" s="6"/>
      <c r="Q41" s="6"/>
      <c r="R41" s="6"/>
      <c r="S41" s="6"/>
      <c r="T41" s="6"/>
      <c r="U41" s="28"/>
    </row>
    <row r="42" spans="1:21" ht="45" x14ac:dyDescent="0.25">
      <c r="A42" s="13">
        <f>IF(B42="","",COUNTA($B$3:B42))</f>
        <v>40</v>
      </c>
      <c r="B42" s="14" t="s">
        <v>40</v>
      </c>
      <c r="C42" s="14" t="s">
        <v>78</v>
      </c>
      <c r="D42" s="12">
        <f>'9-15'!F42</f>
        <v>5</v>
      </c>
      <c r="E42" s="7">
        <f t="shared" si="0"/>
        <v>0</v>
      </c>
      <c r="F42" s="7">
        <f t="shared" si="1"/>
        <v>5</v>
      </c>
      <c r="G42" s="9"/>
      <c r="J42" s="27"/>
      <c r="K42" s="6"/>
      <c r="L42" s="6"/>
      <c r="M42" s="6"/>
      <c r="N42" s="6"/>
      <c r="O42" s="6"/>
      <c r="P42" s="6"/>
      <c r="Q42" s="6"/>
      <c r="R42" s="6"/>
      <c r="S42" s="6"/>
      <c r="T42" s="6"/>
      <c r="U42" s="28"/>
    </row>
    <row r="43" spans="1:21" ht="30" x14ac:dyDescent="0.25">
      <c r="A43" s="10">
        <f>IF(B43="","",COUNTA($B$3:B43))</f>
        <v>41</v>
      </c>
      <c r="B43" s="11" t="s">
        <v>41</v>
      </c>
      <c r="C43" s="11" t="s">
        <v>78</v>
      </c>
      <c r="D43" s="12">
        <f>'9-15'!F43</f>
        <v>3</v>
      </c>
      <c r="E43" s="7">
        <f t="shared" si="0"/>
        <v>0</v>
      </c>
      <c r="F43" s="7">
        <f t="shared" si="1"/>
        <v>3</v>
      </c>
      <c r="G43" s="9"/>
      <c r="J43" s="27"/>
      <c r="K43" s="6"/>
      <c r="L43" s="6"/>
      <c r="M43" s="6"/>
      <c r="N43" s="6"/>
      <c r="O43" s="6"/>
      <c r="P43" s="6"/>
      <c r="Q43" s="6"/>
      <c r="R43" s="6"/>
      <c r="S43" s="6"/>
      <c r="T43" s="6"/>
      <c r="U43" s="28"/>
    </row>
    <row r="44" spans="1:21" ht="45" x14ac:dyDescent="0.25">
      <c r="A44" s="13">
        <f>IF(B44="","",COUNTA($B$3:B44))</f>
        <v>42</v>
      </c>
      <c r="B44" s="14" t="s">
        <v>42</v>
      </c>
      <c r="C44" s="14" t="s">
        <v>78</v>
      </c>
      <c r="D44" s="12">
        <f>'9-15'!F44</f>
        <v>0</v>
      </c>
      <c r="E44" s="7">
        <f t="shared" si="0"/>
        <v>0</v>
      </c>
      <c r="F44" s="7">
        <f t="shared" si="1"/>
        <v>0</v>
      </c>
      <c r="G44" s="9"/>
      <c r="J44" s="27"/>
      <c r="K44" s="6"/>
      <c r="L44" s="6"/>
      <c r="M44" s="6"/>
      <c r="N44" s="6"/>
      <c r="O44" s="6"/>
      <c r="P44" s="6"/>
      <c r="Q44" s="6"/>
      <c r="R44" s="6"/>
      <c r="S44" s="6"/>
      <c r="T44" s="6"/>
      <c r="U44" s="28"/>
    </row>
    <row r="45" spans="1:21" ht="30" x14ac:dyDescent="0.25">
      <c r="A45" s="10">
        <f>IF(B45="","",COUNTA($B$3:B45))</f>
        <v>43</v>
      </c>
      <c r="B45" s="11" t="s">
        <v>43</v>
      </c>
      <c r="C45" s="11" t="s">
        <v>78</v>
      </c>
      <c r="D45" s="12">
        <f>'9-15'!F45</f>
        <v>1</v>
      </c>
      <c r="E45" s="7">
        <f t="shared" si="0"/>
        <v>0</v>
      </c>
      <c r="F45" s="7">
        <f t="shared" si="1"/>
        <v>1</v>
      </c>
      <c r="G45" s="9"/>
      <c r="J45" s="27"/>
      <c r="K45" s="6"/>
      <c r="L45" s="6"/>
      <c r="M45" s="6"/>
      <c r="N45" s="6"/>
      <c r="O45" s="6"/>
      <c r="P45" s="6"/>
      <c r="Q45" s="6"/>
      <c r="R45" s="6"/>
      <c r="S45" s="6"/>
      <c r="T45" s="6"/>
      <c r="U45" s="28"/>
    </row>
    <row r="46" spans="1:21" ht="75" x14ac:dyDescent="0.25">
      <c r="A46" s="13">
        <f>IF(B46="","",COUNTA($B$3:B46))</f>
        <v>44</v>
      </c>
      <c r="B46" s="14" t="s">
        <v>44</v>
      </c>
      <c r="C46" s="14" t="s">
        <v>78</v>
      </c>
      <c r="D46" s="12">
        <f>'9-15'!F46</f>
        <v>0</v>
      </c>
      <c r="E46" s="7">
        <f t="shared" si="0"/>
        <v>0</v>
      </c>
      <c r="F46" s="7">
        <f t="shared" si="1"/>
        <v>0</v>
      </c>
      <c r="G46" s="9"/>
      <c r="J46" s="27"/>
      <c r="K46" s="6"/>
      <c r="L46" s="6"/>
      <c r="M46" s="6"/>
      <c r="N46" s="6"/>
      <c r="O46" s="6"/>
      <c r="P46" s="6"/>
      <c r="Q46" s="6"/>
      <c r="R46" s="6"/>
      <c r="S46" s="6"/>
      <c r="T46" s="6"/>
      <c r="U46" s="28"/>
    </row>
    <row r="47" spans="1:21" ht="30" x14ac:dyDescent="0.25">
      <c r="A47" s="10">
        <f>IF(B47="","",COUNTA($B$3:B47))</f>
        <v>45</v>
      </c>
      <c r="B47" s="11" t="s">
        <v>45</v>
      </c>
      <c r="C47" s="11" t="s">
        <v>78</v>
      </c>
      <c r="D47" s="12">
        <f>'9-15'!F47</f>
        <v>0</v>
      </c>
      <c r="E47" s="7">
        <f t="shared" si="0"/>
        <v>0</v>
      </c>
      <c r="F47" s="7">
        <f t="shared" si="1"/>
        <v>0</v>
      </c>
      <c r="G47" s="9"/>
      <c r="J47" s="27"/>
      <c r="K47" s="6"/>
      <c r="L47" s="6"/>
      <c r="M47" s="6"/>
      <c r="N47" s="6"/>
      <c r="O47" s="6"/>
      <c r="P47" s="6"/>
      <c r="Q47" s="6"/>
      <c r="R47" s="6"/>
      <c r="S47" s="6"/>
      <c r="T47" s="6"/>
      <c r="U47" s="28"/>
    </row>
    <row r="48" spans="1:21" ht="30" x14ac:dyDescent="0.25">
      <c r="A48" s="13">
        <f>IF(B48="","",COUNTA($B$3:B48))</f>
        <v>46</v>
      </c>
      <c r="B48" s="14" t="s">
        <v>46</v>
      </c>
      <c r="C48" s="14" t="s">
        <v>78</v>
      </c>
      <c r="D48" s="12">
        <f>'9-15'!F48</f>
        <v>3</v>
      </c>
      <c r="E48" s="7">
        <f t="shared" si="0"/>
        <v>0</v>
      </c>
      <c r="F48" s="7">
        <f t="shared" si="1"/>
        <v>3</v>
      </c>
      <c r="G48" s="9"/>
      <c r="J48" s="27"/>
      <c r="K48" s="6"/>
      <c r="L48" s="6"/>
      <c r="M48" s="6"/>
      <c r="N48" s="6"/>
      <c r="O48" s="6"/>
      <c r="P48" s="6"/>
      <c r="Q48" s="6"/>
      <c r="R48" s="6"/>
      <c r="S48" s="6"/>
      <c r="T48" s="6"/>
      <c r="U48" s="28"/>
    </row>
    <row r="49" spans="1:21" ht="45" x14ac:dyDescent="0.25">
      <c r="A49" s="10">
        <f>IF(B49="","",COUNTA($B$3:B49))</f>
        <v>47</v>
      </c>
      <c r="B49" s="11" t="s">
        <v>47</v>
      </c>
      <c r="C49" s="11" t="s">
        <v>78</v>
      </c>
      <c r="D49" s="12">
        <f>'9-15'!F49</f>
        <v>2</v>
      </c>
      <c r="E49" s="7">
        <f t="shared" si="0"/>
        <v>0</v>
      </c>
      <c r="F49" s="7">
        <f t="shared" si="1"/>
        <v>2</v>
      </c>
      <c r="G49" s="9"/>
      <c r="J49" s="27"/>
      <c r="K49" s="6"/>
      <c r="L49" s="6"/>
      <c r="M49" s="6"/>
      <c r="N49" s="6"/>
      <c r="O49" s="6"/>
      <c r="P49" s="6"/>
      <c r="Q49" s="6"/>
      <c r="R49" s="6"/>
      <c r="S49" s="6"/>
      <c r="T49" s="6"/>
      <c r="U49" s="28"/>
    </row>
    <row r="50" spans="1:21" ht="60" x14ac:dyDescent="0.25">
      <c r="A50" s="13">
        <f>IF(B50="","",COUNTA($B$3:B50))</f>
        <v>48</v>
      </c>
      <c r="B50" s="14" t="s">
        <v>48</v>
      </c>
      <c r="C50" s="14" t="s">
        <v>78</v>
      </c>
      <c r="D50" s="12">
        <f>'9-15'!F50</f>
        <v>3</v>
      </c>
      <c r="E50" s="7">
        <f t="shared" si="0"/>
        <v>0</v>
      </c>
      <c r="F50" s="7">
        <f t="shared" si="1"/>
        <v>3</v>
      </c>
      <c r="G50" s="9"/>
      <c r="J50" s="27"/>
      <c r="K50" s="6"/>
      <c r="L50" s="6"/>
      <c r="M50" s="6"/>
      <c r="N50" s="6"/>
      <c r="O50" s="6"/>
      <c r="P50" s="6"/>
      <c r="Q50" s="6"/>
      <c r="R50" s="6"/>
      <c r="S50" s="6"/>
      <c r="T50" s="6"/>
      <c r="U50" s="28"/>
    </row>
    <row r="51" spans="1:21" ht="30" x14ac:dyDescent="0.25">
      <c r="A51" s="10">
        <f>IF(B51="","",COUNTA($B$3:B51))</f>
        <v>49</v>
      </c>
      <c r="B51" s="11" t="s">
        <v>49</v>
      </c>
      <c r="C51" s="11" t="s">
        <v>78</v>
      </c>
      <c r="D51" s="12">
        <f>'9-15'!F51</f>
        <v>0</v>
      </c>
      <c r="E51" s="7">
        <f t="shared" si="0"/>
        <v>0</v>
      </c>
      <c r="F51" s="7">
        <f t="shared" si="1"/>
        <v>0</v>
      </c>
      <c r="G51" s="9"/>
      <c r="J51" s="27"/>
      <c r="K51" s="6"/>
      <c r="L51" s="6"/>
      <c r="M51" s="6"/>
      <c r="N51" s="6"/>
      <c r="O51" s="6"/>
      <c r="P51" s="6"/>
      <c r="Q51" s="6"/>
      <c r="R51" s="6"/>
      <c r="S51" s="6"/>
      <c r="T51" s="6"/>
      <c r="U51" s="28"/>
    </row>
    <row r="52" spans="1:21" ht="30" x14ac:dyDescent="0.25">
      <c r="A52" s="13">
        <f>IF(B52="","",COUNTA($B$3:B52))</f>
        <v>50</v>
      </c>
      <c r="B52" s="14" t="s">
        <v>2</v>
      </c>
      <c r="C52" s="14" t="s">
        <v>78</v>
      </c>
      <c r="D52" s="12">
        <f>'9-15'!F52</f>
        <v>0</v>
      </c>
      <c r="E52" s="7">
        <f t="shared" si="0"/>
        <v>0</v>
      </c>
      <c r="F52" s="7">
        <f t="shared" si="1"/>
        <v>0</v>
      </c>
      <c r="G52" s="9"/>
      <c r="J52" s="27"/>
      <c r="K52" s="6"/>
      <c r="L52" s="6"/>
      <c r="M52" s="6"/>
      <c r="N52" s="6"/>
      <c r="O52" s="6"/>
      <c r="P52" s="6"/>
      <c r="Q52" s="6"/>
      <c r="R52" s="6"/>
      <c r="S52" s="6"/>
      <c r="T52" s="6"/>
      <c r="U52" s="28"/>
    </row>
    <row r="53" spans="1:21" ht="30" x14ac:dyDescent="0.25">
      <c r="A53" s="10">
        <f>IF(B53="","",COUNTA($B$3:B53))</f>
        <v>51</v>
      </c>
      <c r="B53" s="11" t="s">
        <v>50</v>
      </c>
      <c r="C53" s="11" t="s">
        <v>79</v>
      </c>
      <c r="D53" s="12">
        <f>'9-15'!F53</f>
        <v>0</v>
      </c>
      <c r="E53" s="7">
        <f t="shared" si="0"/>
        <v>0</v>
      </c>
      <c r="F53" s="7">
        <f t="shared" si="1"/>
        <v>0</v>
      </c>
      <c r="G53" s="9"/>
      <c r="J53" s="27"/>
      <c r="K53" s="6"/>
      <c r="L53" s="6"/>
      <c r="M53" s="6"/>
      <c r="N53" s="6"/>
      <c r="O53" s="6"/>
      <c r="P53" s="6"/>
      <c r="Q53" s="6"/>
      <c r="R53" s="6"/>
      <c r="S53" s="6"/>
      <c r="T53" s="6"/>
      <c r="U53" s="28"/>
    </row>
    <row r="54" spans="1:21" ht="45" x14ac:dyDescent="0.25">
      <c r="A54" s="13">
        <f>IF(B54="","",COUNTA($B$3:B54))</f>
        <v>52</v>
      </c>
      <c r="B54" s="14" t="s">
        <v>51</v>
      </c>
      <c r="C54" s="14" t="s">
        <v>79</v>
      </c>
      <c r="D54" s="12">
        <f>'9-15'!F54</f>
        <v>0</v>
      </c>
      <c r="E54" s="7">
        <f t="shared" si="0"/>
        <v>0</v>
      </c>
      <c r="F54" s="7">
        <f t="shared" si="1"/>
        <v>0</v>
      </c>
      <c r="G54" s="9"/>
      <c r="J54" s="27"/>
      <c r="K54" s="6"/>
      <c r="L54" s="6"/>
      <c r="M54" s="6"/>
      <c r="N54" s="6"/>
      <c r="O54" s="6"/>
      <c r="P54" s="6"/>
      <c r="Q54" s="6"/>
      <c r="R54" s="6"/>
      <c r="S54" s="6"/>
      <c r="T54" s="6"/>
      <c r="U54" s="28"/>
    </row>
    <row r="55" spans="1:21" ht="30" x14ac:dyDescent="0.25">
      <c r="A55" s="10">
        <f>IF(B55="","",COUNTA($B$3:B55))</f>
        <v>53</v>
      </c>
      <c r="B55" s="11" t="s">
        <v>52</v>
      </c>
      <c r="C55" s="11" t="s">
        <v>78</v>
      </c>
      <c r="D55" s="12">
        <f>'9-15'!F55</f>
        <v>100</v>
      </c>
      <c r="E55" s="7">
        <f t="shared" si="0"/>
        <v>0</v>
      </c>
      <c r="F55" s="7">
        <f t="shared" si="1"/>
        <v>100</v>
      </c>
      <c r="G55" s="9"/>
      <c r="J55" s="27"/>
      <c r="K55" s="6"/>
      <c r="L55" s="6"/>
      <c r="M55" s="6"/>
      <c r="N55" s="6"/>
      <c r="O55" s="6"/>
      <c r="P55" s="6"/>
      <c r="Q55" s="6"/>
      <c r="R55" s="6"/>
      <c r="S55" s="6"/>
      <c r="T55" s="6"/>
      <c r="U55" s="28"/>
    </row>
    <row r="56" spans="1:21" ht="45" x14ac:dyDescent="0.25">
      <c r="A56" s="13">
        <f>IF(B56="","",COUNTA($B$3:B56))</f>
        <v>54</v>
      </c>
      <c r="B56" s="14" t="s">
        <v>53</v>
      </c>
      <c r="C56" s="14" t="s">
        <v>78</v>
      </c>
      <c r="D56" s="12">
        <f>'9-15'!F56</f>
        <v>15</v>
      </c>
      <c r="E56" s="7">
        <f t="shared" si="0"/>
        <v>0</v>
      </c>
      <c r="F56" s="7">
        <f t="shared" si="1"/>
        <v>15</v>
      </c>
      <c r="G56" s="9"/>
      <c r="J56" s="27"/>
      <c r="K56" s="6"/>
      <c r="L56" s="6"/>
      <c r="M56" s="6"/>
      <c r="N56" s="6"/>
      <c r="O56" s="6"/>
      <c r="P56" s="6"/>
      <c r="Q56" s="6"/>
      <c r="R56" s="6"/>
      <c r="S56" s="6"/>
      <c r="T56" s="6"/>
      <c r="U56" s="28"/>
    </row>
    <row r="57" spans="1:21" ht="45" x14ac:dyDescent="0.25">
      <c r="A57" s="10">
        <f>IF(B57="","",COUNTA($B$3:B57))</f>
        <v>55</v>
      </c>
      <c r="B57" s="11" t="s">
        <v>54</v>
      </c>
      <c r="C57" s="11" t="s">
        <v>78</v>
      </c>
      <c r="D57" s="12">
        <f>'9-15'!F57</f>
        <v>5</v>
      </c>
      <c r="E57" s="7">
        <f t="shared" si="0"/>
        <v>0</v>
      </c>
      <c r="F57" s="7">
        <f t="shared" si="1"/>
        <v>5</v>
      </c>
      <c r="G57" s="9"/>
      <c r="J57" s="27"/>
      <c r="K57" s="6"/>
      <c r="L57" s="6"/>
      <c r="M57" s="6"/>
      <c r="N57" s="6"/>
      <c r="O57" s="6"/>
      <c r="P57" s="6"/>
      <c r="Q57" s="6"/>
      <c r="R57" s="6"/>
      <c r="S57" s="6"/>
      <c r="T57" s="6"/>
      <c r="U57" s="28"/>
    </row>
    <row r="58" spans="1:21" ht="45" x14ac:dyDescent="0.25">
      <c r="A58" s="13">
        <f>IF(B58="","",COUNTA($B$3:B58))</f>
        <v>56</v>
      </c>
      <c r="B58" s="14" t="s">
        <v>55</v>
      </c>
      <c r="C58" s="14" t="s">
        <v>78</v>
      </c>
      <c r="D58" s="12">
        <f>'9-15'!F58</f>
        <v>10</v>
      </c>
      <c r="E58" s="7">
        <f t="shared" si="0"/>
        <v>0</v>
      </c>
      <c r="F58" s="7">
        <f t="shared" si="1"/>
        <v>10</v>
      </c>
      <c r="G58" s="9"/>
      <c r="J58" s="27"/>
      <c r="K58" s="6"/>
      <c r="L58" s="6"/>
      <c r="M58" s="6"/>
      <c r="N58" s="6"/>
      <c r="O58" s="6"/>
      <c r="P58" s="6"/>
      <c r="Q58" s="6"/>
      <c r="R58" s="6"/>
      <c r="S58" s="6"/>
      <c r="T58" s="6"/>
      <c r="U58" s="28"/>
    </row>
    <row r="59" spans="1:21" ht="75" x14ac:dyDescent="0.25">
      <c r="A59" s="10">
        <f>IF(B59="","",COUNTA($B$3:B59))</f>
        <v>57</v>
      </c>
      <c r="B59" s="11" t="s">
        <v>56</v>
      </c>
      <c r="C59" s="11" t="s">
        <v>78</v>
      </c>
      <c r="D59" s="12">
        <f>'9-15'!F59</f>
        <v>0</v>
      </c>
      <c r="E59" s="7">
        <f t="shared" si="0"/>
        <v>0</v>
      </c>
      <c r="F59" s="7">
        <f t="shared" si="1"/>
        <v>0</v>
      </c>
      <c r="G59" s="9"/>
      <c r="J59" s="27"/>
      <c r="K59" s="6"/>
      <c r="L59" s="6"/>
      <c r="M59" s="6"/>
      <c r="N59" s="6"/>
      <c r="O59" s="6"/>
      <c r="P59" s="6"/>
      <c r="Q59" s="6"/>
      <c r="R59" s="6"/>
      <c r="S59" s="6"/>
      <c r="T59" s="6"/>
      <c r="U59" s="28"/>
    </row>
    <row r="60" spans="1:21" ht="30" x14ac:dyDescent="0.25">
      <c r="A60" s="13">
        <f>IF(B60="","",COUNTA($B$3:B60))</f>
        <v>58</v>
      </c>
      <c r="B60" s="14" t="s">
        <v>57</v>
      </c>
      <c r="C60" s="14" t="s">
        <v>78</v>
      </c>
      <c r="D60" s="12">
        <f>'9-15'!F60</f>
        <v>5</v>
      </c>
      <c r="E60" s="7">
        <f t="shared" si="0"/>
        <v>0</v>
      </c>
      <c r="F60" s="7">
        <f t="shared" si="1"/>
        <v>5</v>
      </c>
      <c r="G60" s="9"/>
      <c r="J60" s="27"/>
      <c r="K60" s="6"/>
      <c r="L60" s="6"/>
      <c r="M60" s="6"/>
      <c r="N60" s="6"/>
      <c r="O60" s="6"/>
      <c r="P60" s="6"/>
      <c r="Q60" s="6"/>
      <c r="R60" s="6"/>
      <c r="S60" s="6"/>
      <c r="T60" s="6"/>
      <c r="U60" s="28"/>
    </row>
    <row r="61" spans="1:21" ht="30" x14ac:dyDescent="0.25">
      <c r="A61" s="10">
        <f>IF(B61="","",COUNTA($B$3:B61))</f>
        <v>59</v>
      </c>
      <c r="B61" s="11" t="s">
        <v>58</v>
      </c>
      <c r="C61" s="11" t="s">
        <v>78</v>
      </c>
      <c r="D61" s="12">
        <f>'9-15'!F61</f>
        <v>4</v>
      </c>
      <c r="E61" s="7">
        <f t="shared" si="0"/>
        <v>0</v>
      </c>
      <c r="F61" s="7">
        <f t="shared" si="1"/>
        <v>4</v>
      </c>
      <c r="G61" s="9"/>
      <c r="J61" s="27"/>
      <c r="K61" s="6"/>
      <c r="L61" s="6"/>
      <c r="M61" s="6"/>
      <c r="N61" s="6"/>
      <c r="O61" s="6"/>
      <c r="P61" s="6"/>
      <c r="Q61" s="6"/>
      <c r="R61" s="6"/>
      <c r="S61" s="6"/>
      <c r="T61" s="6"/>
      <c r="U61" s="28"/>
    </row>
    <row r="62" spans="1:21" ht="60" x14ac:dyDescent="0.25">
      <c r="A62" s="13">
        <f>IF(B62="","",COUNTA($B$3:B62))</f>
        <v>60</v>
      </c>
      <c r="B62" s="14" t="s">
        <v>59</v>
      </c>
      <c r="C62" s="14" t="s">
        <v>78</v>
      </c>
      <c r="D62" s="12">
        <f>'9-15'!F62</f>
        <v>1</v>
      </c>
      <c r="E62" s="7">
        <f t="shared" si="0"/>
        <v>0</v>
      </c>
      <c r="F62" s="7">
        <f t="shared" si="1"/>
        <v>1</v>
      </c>
      <c r="G62" s="9"/>
      <c r="J62" s="27"/>
      <c r="K62" s="6"/>
      <c r="L62" s="6"/>
      <c r="M62" s="6"/>
      <c r="N62" s="6"/>
      <c r="O62" s="6"/>
      <c r="P62" s="6"/>
      <c r="Q62" s="6"/>
      <c r="R62" s="6"/>
      <c r="S62" s="6"/>
      <c r="T62" s="6"/>
      <c r="U62" s="28"/>
    </row>
    <row r="63" spans="1:21" ht="60" x14ac:dyDescent="0.25">
      <c r="A63" s="10">
        <f>IF(B63="","",COUNTA($B$3:B63))</f>
        <v>61</v>
      </c>
      <c r="B63" s="11" t="s">
        <v>60</v>
      </c>
      <c r="C63" s="11" t="s">
        <v>78</v>
      </c>
      <c r="D63" s="12">
        <f>'9-15'!F63</f>
        <v>7</v>
      </c>
      <c r="E63" s="7">
        <f t="shared" si="0"/>
        <v>0</v>
      </c>
      <c r="F63" s="7">
        <f t="shared" si="1"/>
        <v>7</v>
      </c>
      <c r="G63" s="9"/>
      <c r="J63" s="27"/>
      <c r="K63" s="6"/>
      <c r="L63" s="6"/>
      <c r="M63" s="6"/>
      <c r="N63" s="6"/>
      <c r="O63" s="6"/>
      <c r="P63" s="6"/>
      <c r="Q63" s="6"/>
      <c r="R63" s="6"/>
      <c r="S63" s="6"/>
      <c r="T63" s="6"/>
      <c r="U63" s="28"/>
    </row>
    <row r="64" spans="1:21" ht="60" x14ac:dyDescent="0.25">
      <c r="A64" s="13">
        <f>IF(B64="","",COUNTA($B$3:B64))</f>
        <v>62</v>
      </c>
      <c r="B64" s="14" t="s">
        <v>61</v>
      </c>
      <c r="C64" s="14" t="s">
        <v>78</v>
      </c>
      <c r="D64" s="12">
        <f>'9-15'!F64</f>
        <v>6</v>
      </c>
      <c r="E64" s="7">
        <f t="shared" si="0"/>
        <v>0</v>
      </c>
      <c r="F64" s="7">
        <f t="shared" si="1"/>
        <v>6</v>
      </c>
      <c r="G64" s="9"/>
      <c r="J64" s="27"/>
      <c r="K64" s="6"/>
      <c r="L64" s="6"/>
      <c r="M64" s="6"/>
      <c r="N64" s="6"/>
      <c r="O64" s="6"/>
      <c r="P64" s="6"/>
      <c r="Q64" s="6"/>
      <c r="R64" s="6"/>
      <c r="S64" s="6"/>
      <c r="T64" s="6"/>
      <c r="U64" s="28"/>
    </row>
    <row r="65" spans="1:21" ht="30" x14ac:dyDescent="0.25">
      <c r="A65" s="10">
        <f>IF(B65="","",COUNTA($B$3:B65))</f>
        <v>63</v>
      </c>
      <c r="B65" s="11" t="s">
        <v>62</v>
      </c>
      <c r="C65" s="11" t="s">
        <v>78</v>
      </c>
      <c r="D65" s="12">
        <f>'9-15'!F65</f>
        <v>1</v>
      </c>
      <c r="E65" s="7">
        <f t="shared" si="0"/>
        <v>0</v>
      </c>
      <c r="F65" s="7">
        <f t="shared" si="1"/>
        <v>1</v>
      </c>
      <c r="G65" s="9"/>
      <c r="J65" s="27"/>
      <c r="K65" s="6"/>
      <c r="L65" s="6"/>
      <c r="M65" s="6"/>
      <c r="N65" s="6"/>
      <c r="O65" s="6"/>
      <c r="P65" s="6"/>
      <c r="Q65" s="6"/>
      <c r="R65" s="6"/>
      <c r="S65" s="6"/>
      <c r="T65" s="6"/>
      <c r="U65" s="28"/>
    </row>
    <row r="66" spans="1:21" ht="45" x14ac:dyDescent="0.25">
      <c r="A66" s="13">
        <f>IF(B66="","",COUNTA($B$3:B66))</f>
        <v>64</v>
      </c>
      <c r="B66" s="14" t="s">
        <v>63</v>
      </c>
      <c r="C66" s="14" t="s">
        <v>78</v>
      </c>
      <c r="D66" s="12">
        <f>'9-15'!F66</f>
        <v>1</v>
      </c>
      <c r="E66" s="7">
        <f t="shared" si="0"/>
        <v>0</v>
      </c>
      <c r="F66" s="7">
        <f t="shared" si="1"/>
        <v>1</v>
      </c>
      <c r="G66" s="9"/>
      <c r="J66" s="27"/>
      <c r="K66" s="6"/>
      <c r="L66" s="6"/>
      <c r="M66" s="6"/>
      <c r="N66" s="6"/>
      <c r="O66" s="6"/>
      <c r="P66" s="6"/>
      <c r="Q66" s="6"/>
      <c r="R66" s="6"/>
      <c r="S66" s="6"/>
      <c r="T66" s="6"/>
      <c r="U66" s="28"/>
    </row>
    <row r="67" spans="1:21" ht="75" x14ac:dyDescent="0.25">
      <c r="A67" s="10">
        <f>IF(B67="","",COUNTA($B$3:B67))</f>
        <v>65</v>
      </c>
      <c r="B67" s="11" t="s">
        <v>64</v>
      </c>
      <c r="C67" s="11" t="s">
        <v>78</v>
      </c>
      <c r="D67" s="12">
        <f>'9-15'!F67</f>
        <v>2</v>
      </c>
      <c r="E67" s="7">
        <f t="shared" ref="E67:E81" si="2">SUM(J67:U67)</f>
        <v>0</v>
      </c>
      <c r="F67" s="7">
        <f t="shared" ref="F67:F81" si="3">D67-E67</f>
        <v>2</v>
      </c>
      <c r="G67" s="9"/>
      <c r="J67" s="27"/>
      <c r="K67" s="6"/>
      <c r="L67" s="6"/>
      <c r="M67" s="6"/>
      <c r="N67" s="6"/>
      <c r="O67" s="6"/>
      <c r="P67" s="6"/>
      <c r="Q67" s="6"/>
      <c r="R67" s="6"/>
      <c r="S67" s="6"/>
      <c r="T67" s="6"/>
      <c r="U67" s="28"/>
    </row>
    <row r="68" spans="1:21" ht="45" x14ac:dyDescent="0.25">
      <c r="A68" s="13">
        <f>IF(B68="","",COUNTA($B$3:B68))</f>
        <v>66</v>
      </c>
      <c r="B68" s="14" t="s">
        <v>65</v>
      </c>
      <c r="C68" s="14" t="s">
        <v>78</v>
      </c>
      <c r="D68" s="12">
        <f>'9-15'!F68</f>
        <v>30</v>
      </c>
      <c r="E68" s="7">
        <f t="shared" si="2"/>
        <v>0</v>
      </c>
      <c r="F68" s="7">
        <f t="shared" si="3"/>
        <v>30</v>
      </c>
      <c r="G68" s="9"/>
      <c r="J68" s="27"/>
      <c r="K68" s="6"/>
      <c r="L68" s="6"/>
      <c r="M68" s="6"/>
      <c r="N68" s="6"/>
      <c r="O68" s="6"/>
      <c r="P68" s="6"/>
      <c r="Q68" s="6"/>
      <c r="R68" s="6"/>
      <c r="S68" s="6"/>
      <c r="T68" s="6"/>
      <c r="U68" s="28"/>
    </row>
    <row r="69" spans="1:21" ht="30" x14ac:dyDescent="0.25">
      <c r="A69" s="10">
        <f>IF(B69="","",COUNTA($B$3:B69))</f>
        <v>67</v>
      </c>
      <c r="B69" s="11" t="s">
        <v>66</v>
      </c>
      <c r="C69" s="11" t="s">
        <v>79</v>
      </c>
      <c r="D69" s="12">
        <f>'9-15'!F69</f>
        <v>1</v>
      </c>
      <c r="E69" s="7">
        <f t="shared" si="2"/>
        <v>0</v>
      </c>
      <c r="F69" s="7">
        <f t="shared" si="3"/>
        <v>1</v>
      </c>
      <c r="G69" s="9"/>
      <c r="J69" s="27"/>
      <c r="K69" s="6"/>
      <c r="L69" s="6"/>
      <c r="M69" s="6"/>
      <c r="N69" s="6"/>
      <c r="O69" s="6"/>
      <c r="P69" s="6"/>
      <c r="Q69" s="6"/>
      <c r="R69" s="6"/>
      <c r="S69" s="6"/>
      <c r="T69" s="6"/>
      <c r="U69" s="28"/>
    </row>
    <row r="70" spans="1:21" ht="45" x14ac:dyDescent="0.25">
      <c r="A70" s="18">
        <f>IF(B70="","",COUNTA($B$3:B70))</f>
        <v>68</v>
      </c>
      <c r="B70" s="17" t="s">
        <v>67</v>
      </c>
      <c r="C70" s="17" t="s">
        <v>78</v>
      </c>
      <c r="D70" s="12">
        <f>'9-15'!F70</f>
        <v>0</v>
      </c>
      <c r="E70" s="7">
        <f t="shared" si="2"/>
        <v>0</v>
      </c>
      <c r="F70" s="7">
        <f t="shared" si="3"/>
        <v>0</v>
      </c>
      <c r="G70" s="9"/>
      <c r="J70" s="27"/>
      <c r="K70" s="6"/>
      <c r="L70" s="6"/>
      <c r="M70" s="6"/>
      <c r="N70" s="6"/>
      <c r="O70" s="6"/>
      <c r="P70" s="6"/>
      <c r="Q70" s="6"/>
      <c r="R70" s="6"/>
      <c r="S70" s="6"/>
      <c r="T70" s="6"/>
      <c r="U70" s="28"/>
    </row>
    <row r="71" spans="1:21" ht="30" x14ac:dyDescent="0.25">
      <c r="A71" s="19">
        <f>IF(B71="","",COUNTA($B$3:B71))</f>
        <v>69</v>
      </c>
      <c r="B71" s="11" t="s">
        <v>68</v>
      </c>
      <c r="C71" s="11" t="s">
        <v>78</v>
      </c>
      <c r="D71" s="12">
        <f>'9-15'!F71</f>
        <v>0</v>
      </c>
      <c r="E71" s="7">
        <f t="shared" si="2"/>
        <v>0</v>
      </c>
      <c r="F71" s="7">
        <f t="shared" si="3"/>
        <v>0</v>
      </c>
      <c r="G71" s="9"/>
      <c r="J71" s="27"/>
      <c r="K71" s="6"/>
      <c r="L71" s="6"/>
      <c r="M71" s="6"/>
      <c r="N71" s="6"/>
      <c r="O71" s="6"/>
      <c r="P71" s="6"/>
      <c r="Q71" s="6"/>
      <c r="R71" s="6"/>
      <c r="S71" s="6"/>
      <c r="T71" s="6"/>
      <c r="U71" s="28"/>
    </row>
    <row r="72" spans="1:21" ht="30" x14ac:dyDescent="0.25">
      <c r="A72" s="18">
        <f>IF(B72="","",COUNTA($B$3:B72))</f>
        <v>70</v>
      </c>
      <c r="B72" s="14" t="s">
        <v>69</v>
      </c>
      <c r="C72" s="14" t="s">
        <v>78</v>
      </c>
      <c r="D72" s="12">
        <f>'9-15'!F72</f>
        <v>14</v>
      </c>
      <c r="E72" s="7">
        <f t="shared" si="2"/>
        <v>0</v>
      </c>
      <c r="F72" s="7">
        <f t="shared" si="3"/>
        <v>14</v>
      </c>
      <c r="G72" s="9"/>
      <c r="J72" s="27"/>
      <c r="K72" s="6"/>
      <c r="L72" s="6"/>
      <c r="M72" s="6"/>
      <c r="N72" s="6"/>
      <c r="O72" s="6"/>
      <c r="P72" s="6"/>
      <c r="Q72" s="6"/>
      <c r="R72" s="6"/>
      <c r="S72" s="6"/>
      <c r="T72" s="6"/>
      <c r="U72" s="28"/>
    </row>
    <row r="73" spans="1:21" ht="30" x14ac:dyDescent="0.25">
      <c r="A73" s="19">
        <f>IF(B73="","",COUNTA($B$3:B73))</f>
        <v>71</v>
      </c>
      <c r="B73" s="11" t="s">
        <v>70</v>
      </c>
      <c r="C73" s="11" t="s">
        <v>78</v>
      </c>
      <c r="D73" s="12">
        <f>'9-15'!F73</f>
        <v>38</v>
      </c>
      <c r="E73" s="7">
        <f t="shared" si="2"/>
        <v>0</v>
      </c>
      <c r="F73" s="7">
        <f t="shared" si="3"/>
        <v>38</v>
      </c>
      <c r="G73" s="9"/>
      <c r="J73" s="27"/>
      <c r="K73" s="6"/>
      <c r="L73" s="6"/>
      <c r="M73" s="6"/>
      <c r="N73" s="6"/>
      <c r="O73" s="6"/>
      <c r="P73" s="6"/>
      <c r="Q73" s="6"/>
      <c r="R73" s="6"/>
      <c r="S73" s="6"/>
      <c r="T73" s="6"/>
      <c r="U73" s="28"/>
    </row>
    <row r="74" spans="1:21" ht="30" x14ac:dyDescent="0.25">
      <c r="A74" s="18">
        <f>IF(B74="","",COUNTA($B$3:B74))</f>
        <v>72</v>
      </c>
      <c r="B74" s="14" t="s">
        <v>71</v>
      </c>
      <c r="C74" s="14" t="s">
        <v>78</v>
      </c>
      <c r="D74" s="12">
        <f>'9-15'!F74</f>
        <v>5</v>
      </c>
      <c r="E74" s="7">
        <f t="shared" si="2"/>
        <v>0</v>
      </c>
      <c r="F74" s="7">
        <f t="shared" si="3"/>
        <v>5</v>
      </c>
      <c r="G74" s="9"/>
      <c r="J74" s="27"/>
      <c r="K74" s="6"/>
      <c r="L74" s="6"/>
      <c r="M74" s="6"/>
      <c r="N74" s="6"/>
      <c r="O74" s="6"/>
      <c r="P74" s="6"/>
      <c r="Q74" s="6"/>
      <c r="R74" s="6"/>
      <c r="S74" s="6"/>
      <c r="T74" s="6"/>
      <c r="U74" s="28"/>
    </row>
    <row r="75" spans="1:21" ht="60" x14ac:dyDescent="0.25">
      <c r="A75" s="19">
        <f>IF(B75="","",COUNTA($B$3:B75))</f>
        <v>73</v>
      </c>
      <c r="B75" s="11" t="s">
        <v>72</v>
      </c>
      <c r="C75" s="11" t="s">
        <v>78</v>
      </c>
      <c r="D75" s="12">
        <f>'9-15'!F75</f>
        <v>185</v>
      </c>
      <c r="E75" s="7">
        <f t="shared" si="2"/>
        <v>0</v>
      </c>
      <c r="F75" s="7">
        <f t="shared" si="3"/>
        <v>185</v>
      </c>
      <c r="G75" s="9"/>
      <c r="J75" s="27"/>
      <c r="K75" s="6"/>
      <c r="L75" s="6"/>
      <c r="M75" s="6"/>
      <c r="N75" s="6"/>
      <c r="O75" s="6"/>
      <c r="P75" s="6"/>
      <c r="Q75" s="6"/>
      <c r="R75" s="6"/>
      <c r="S75" s="6"/>
      <c r="T75" s="6"/>
      <c r="U75" s="28"/>
    </row>
    <row r="76" spans="1:21" ht="30" x14ac:dyDescent="0.25">
      <c r="A76" s="18">
        <f>IF(B76="","",COUNTA($B$3:B76))</f>
        <v>74</v>
      </c>
      <c r="B76" s="14" t="s">
        <v>73</v>
      </c>
      <c r="C76" s="14" t="s">
        <v>78</v>
      </c>
      <c r="D76" s="12">
        <f>'9-15'!F76</f>
        <v>4</v>
      </c>
      <c r="E76" s="7">
        <f t="shared" si="2"/>
        <v>0</v>
      </c>
      <c r="F76" s="7">
        <f t="shared" si="3"/>
        <v>4</v>
      </c>
      <c r="G76" s="9"/>
      <c r="J76" s="27"/>
      <c r="K76" s="6"/>
      <c r="L76" s="6"/>
      <c r="M76" s="6"/>
      <c r="N76" s="6"/>
      <c r="O76" s="6"/>
      <c r="P76" s="6"/>
      <c r="Q76" s="6"/>
      <c r="R76" s="6"/>
      <c r="S76" s="6"/>
      <c r="T76" s="6"/>
      <c r="U76" s="28"/>
    </row>
    <row r="77" spans="1:21" ht="45" x14ac:dyDescent="0.25">
      <c r="A77" s="19">
        <f>IF(B77="","",COUNTA($B$3:B77))</f>
        <v>75</v>
      </c>
      <c r="B77" s="11" t="s">
        <v>74</v>
      </c>
      <c r="C77" s="11" t="s">
        <v>78</v>
      </c>
      <c r="D77" s="12">
        <f>'9-15'!F77</f>
        <v>8</v>
      </c>
      <c r="E77" s="7">
        <f t="shared" si="2"/>
        <v>0</v>
      </c>
      <c r="F77" s="7">
        <f t="shared" si="3"/>
        <v>8</v>
      </c>
      <c r="G77" s="9"/>
      <c r="J77" s="27"/>
      <c r="K77" s="6"/>
      <c r="L77" s="6"/>
      <c r="M77" s="6"/>
      <c r="N77" s="6"/>
      <c r="O77" s="6"/>
      <c r="P77" s="6"/>
      <c r="Q77" s="6"/>
      <c r="R77" s="6"/>
      <c r="S77" s="6"/>
      <c r="T77" s="6"/>
      <c r="U77" s="28"/>
    </row>
    <row r="78" spans="1:21" ht="45" x14ac:dyDescent="0.25">
      <c r="A78" s="18">
        <f>IF(B78="","",COUNTA($B$3:B78))</f>
        <v>76</v>
      </c>
      <c r="B78" s="17" t="s">
        <v>75</v>
      </c>
      <c r="C78" s="17" t="s">
        <v>78</v>
      </c>
      <c r="D78" s="12">
        <f>'9-15'!F78</f>
        <v>19</v>
      </c>
      <c r="E78" s="7">
        <f t="shared" si="2"/>
        <v>0</v>
      </c>
      <c r="F78" s="7">
        <f t="shared" si="3"/>
        <v>19</v>
      </c>
      <c r="G78" s="9"/>
      <c r="J78" s="27"/>
      <c r="K78" s="6"/>
      <c r="L78" s="6"/>
      <c r="M78" s="6"/>
      <c r="N78" s="6"/>
      <c r="O78" s="6"/>
      <c r="P78" s="6"/>
      <c r="Q78" s="6"/>
      <c r="R78" s="6"/>
      <c r="S78" s="6"/>
      <c r="T78" s="6"/>
      <c r="U78" s="28"/>
    </row>
    <row r="79" spans="1:21" ht="30" x14ac:dyDescent="0.25">
      <c r="A79" s="19">
        <f>IF(B79="","",COUNTA($B$3:B79))</f>
        <v>77</v>
      </c>
      <c r="B79" s="21" t="s">
        <v>76</v>
      </c>
      <c r="C79" s="21" t="s">
        <v>78</v>
      </c>
      <c r="D79" s="12">
        <f>'9-15'!F79</f>
        <v>8</v>
      </c>
      <c r="E79" s="7">
        <f t="shared" si="2"/>
        <v>0</v>
      </c>
      <c r="F79" s="7">
        <f t="shared" si="3"/>
        <v>8</v>
      </c>
      <c r="G79" s="9"/>
      <c r="J79" s="27"/>
      <c r="K79" s="6"/>
      <c r="L79" s="6"/>
      <c r="M79" s="6"/>
      <c r="N79" s="6"/>
      <c r="O79" s="6"/>
      <c r="P79" s="6"/>
      <c r="Q79" s="6"/>
      <c r="R79" s="6"/>
      <c r="S79" s="6"/>
      <c r="T79" s="6"/>
      <c r="U79" s="28"/>
    </row>
    <row r="80" spans="1:21" ht="30" x14ac:dyDescent="0.25">
      <c r="A80" s="18">
        <f>IF(B80="","",COUNTA($B$3:B80))</f>
        <v>78</v>
      </c>
      <c r="B80" s="14" t="s">
        <v>41</v>
      </c>
      <c r="C80" s="17" t="s">
        <v>78</v>
      </c>
      <c r="D80" s="12">
        <f>'9-15'!F80</f>
        <v>1</v>
      </c>
      <c r="E80" s="7">
        <f t="shared" si="2"/>
        <v>0</v>
      </c>
      <c r="F80" s="7">
        <f t="shared" si="3"/>
        <v>1</v>
      </c>
      <c r="G80" s="9"/>
      <c r="J80" s="27"/>
      <c r="K80" s="6"/>
      <c r="L80" s="6"/>
      <c r="M80" s="6"/>
      <c r="N80" s="6"/>
      <c r="O80" s="6"/>
      <c r="P80" s="6"/>
      <c r="Q80" s="6"/>
      <c r="R80" s="6"/>
      <c r="S80" s="6"/>
      <c r="T80" s="6"/>
      <c r="U80" s="28"/>
    </row>
    <row r="81" spans="1:21" ht="45" x14ac:dyDescent="0.25">
      <c r="A81" s="19">
        <f>IF(B81="","",COUNTA($B$3:B81))</f>
        <v>79</v>
      </c>
      <c r="B81" s="11" t="s">
        <v>42</v>
      </c>
      <c r="C81" s="21" t="s">
        <v>78</v>
      </c>
      <c r="D81" s="12">
        <f>'9-15'!F81</f>
        <v>0</v>
      </c>
      <c r="E81" s="7">
        <f t="shared" si="2"/>
        <v>0</v>
      </c>
      <c r="F81" s="7">
        <f t="shared" si="3"/>
        <v>0</v>
      </c>
      <c r="G81" s="9"/>
      <c r="J81" s="27"/>
      <c r="K81" s="6"/>
      <c r="L81" s="6"/>
      <c r="M81" s="6"/>
      <c r="N81" s="6"/>
      <c r="O81" s="6"/>
      <c r="P81" s="6"/>
      <c r="Q81" s="6"/>
      <c r="R81" s="6"/>
      <c r="S81" s="6"/>
      <c r="T81" s="6"/>
      <c r="U81" s="28"/>
    </row>
    <row r="82" spans="1:21" x14ac:dyDescent="0.25">
      <c r="A82" s="13" t="str">
        <f>IF(B82="","",COUNTA($B$3:B82))</f>
        <v/>
      </c>
      <c r="B82" s="17"/>
      <c r="C82" s="23"/>
      <c r="D82" s="23"/>
      <c r="E82" s="32"/>
      <c r="F82" s="7"/>
      <c r="G82" s="23"/>
      <c r="J82" s="27"/>
      <c r="K82" s="6"/>
      <c r="L82" s="6"/>
      <c r="M82" s="6"/>
      <c r="N82" s="6"/>
      <c r="O82" s="6"/>
      <c r="P82" s="6"/>
      <c r="Q82" s="6"/>
      <c r="R82" s="6"/>
      <c r="S82" s="6"/>
      <c r="T82" s="6"/>
      <c r="U82" s="28"/>
    </row>
    <row r="83" spans="1:21" ht="15.75" thickBot="1" x14ac:dyDescent="0.3">
      <c r="A83" s="24"/>
      <c r="B83" s="25"/>
      <c r="C83" s="23"/>
      <c r="D83" s="23"/>
      <c r="E83" s="32"/>
      <c r="F83" s="7"/>
      <c r="G83" s="23"/>
      <c r="J83" s="27"/>
      <c r="K83" s="6"/>
      <c r="L83" s="6"/>
      <c r="M83" s="6"/>
      <c r="N83" s="6"/>
      <c r="O83" s="6"/>
      <c r="P83" s="6"/>
      <c r="Q83" s="6"/>
      <c r="R83" s="6"/>
      <c r="S83" s="6"/>
      <c r="T83" s="6"/>
      <c r="U83" s="28"/>
    </row>
    <row r="84" spans="1:21" ht="15.75" thickBot="1" x14ac:dyDescent="0.3">
      <c r="A84" s="23"/>
      <c r="B84" s="23"/>
      <c r="C84" s="23"/>
      <c r="D84" s="23"/>
      <c r="E84" s="32"/>
      <c r="F84" s="7"/>
      <c r="G84" s="23"/>
      <c r="J84" s="29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1"/>
    </row>
  </sheetData>
  <mergeCells count="2">
    <mergeCell ref="B1:F1"/>
    <mergeCell ref="J1:U1"/>
  </mergeCells>
  <conditionalFormatting sqref="D3:D81">
    <cfRule type="cellIs" dxfId="80" priority="1" operator="lessThan">
      <formula>11</formula>
    </cfRule>
  </conditionalFormatting>
  <dataValidations count="2">
    <dataValidation type="list" allowBlank="1" showInputMessage="1" showErrorMessage="1" sqref="G3:G81">
      <formula1>$X$3:$X$10</formula1>
    </dataValidation>
    <dataValidation type="list" allowBlank="1" showInputMessage="1" showErrorMessage="1" sqref="C3:C81">
      <formula1>"តូច small​  小, ធំ Big 大的"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84"/>
  <sheetViews>
    <sheetView tabSelected="1" workbookViewId="0">
      <selection activeCell="G82" sqref="G82"/>
    </sheetView>
  </sheetViews>
  <sheetFormatPr defaultRowHeight="15" x14ac:dyDescent="0.25"/>
  <cols>
    <col min="1" max="1" width="14.85546875" customWidth="1"/>
    <col min="2" max="2" width="24.140625" customWidth="1"/>
    <col min="3" max="3" width="9.85546875" customWidth="1"/>
    <col min="4" max="4" width="16.42578125" customWidth="1"/>
    <col min="5" max="5" width="19.42578125" customWidth="1"/>
    <col min="6" max="6" width="12" customWidth="1"/>
    <col min="7" max="7" width="22.28515625" customWidth="1"/>
    <col min="8" max="8" width="2.5703125" customWidth="1"/>
    <col min="9" max="9" width="5.140625" hidden="1" customWidth="1"/>
    <col min="10" max="18" width="6.140625" customWidth="1"/>
    <col min="19" max="21" width="6.42578125" customWidth="1"/>
  </cols>
  <sheetData>
    <row r="1" spans="1:24" ht="58.5" customHeight="1" thickBot="1" x14ac:dyDescent="0.3">
      <c r="A1" s="1"/>
      <c r="B1" s="35" t="s">
        <v>101</v>
      </c>
      <c r="C1" s="35"/>
      <c r="D1" s="35"/>
      <c r="E1" s="35"/>
      <c r="F1" s="35"/>
      <c r="G1" s="34" t="s">
        <v>107</v>
      </c>
      <c r="J1" s="36" t="s">
        <v>103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8"/>
    </row>
    <row r="2" spans="1:24" ht="73.5" customHeight="1" thickBot="1" x14ac:dyDescent="0.3">
      <c r="A2" s="4" t="s">
        <v>0</v>
      </c>
      <c r="B2" s="3" t="s">
        <v>1</v>
      </c>
      <c r="C2" s="3" t="s">
        <v>77</v>
      </c>
      <c r="D2" s="3" t="s">
        <v>80</v>
      </c>
      <c r="E2" s="3" t="s">
        <v>81</v>
      </c>
      <c r="F2" s="3" t="s">
        <v>82</v>
      </c>
      <c r="G2" s="5" t="s">
        <v>83</v>
      </c>
      <c r="J2" s="26" t="s">
        <v>84</v>
      </c>
      <c r="K2" s="26" t="s">
        <v>85</v>
      </c>
      <c r="L2" s="26" t="s">
        <v>86</v>
      </c>
      <c r="M2" s="26" t="s">
        <v>87</v>
      </c>
      <c r="N2" s="26" t="s">
        <v>88</v>
      </c>
      <c r="O2" s="26" t="s">
        <v>89</v>
      </c>
      <c r="P2" s="26" t="s">
        <v>90</v>
      </c>
      <c r="Q2" s="26" t="s">
        <v>91</v>
      </c>
      <c r="R2" s="26" t="s">
        <v>92</v>
      </c>
      <c r="S2" s="26" t="s">
        <v>93</v>
      </c>
      <c r="T2" s="26" t="s">
        <v>94</v>
      </c>
      <c r="U2" s="26" t="s">
        <v>95</v>
      </c>
    </row>
    <row r="3" spans="1:24" ht="27.75" customHeight="1" x14ac:dyDescent="0.25">
      <c r="A3" s="10">
        <f>IF(B3="","",COUNTA($B$3:B3))</f>
        <v>1</v>
      </c>
      <c r="B3" s="11" t="s">
        <v>2</v>
      </c>
      <c r="C3" s="11" t="s">
        <v>78</v>
      </c>
      <c r="D3" s="12">
        <f>'9-16'!F3</f>
        <v>2</v>
      </c>
      <c r="E3" s="7">
        <f t="shared" ref="E3:E66" si="0">SUM(J3:U3)</f>
        <v>0</v>
      </c>
      <c r="F3" s="7">
        <f t="shared" ref="F3:F66" si="1">D3-E3</f>
        <v>2</v>
      </c>
      <c r="G3" s="8"/>
      <c r="J3" s="27"/>
      <c r="K3" s="6"/>
      <c r="L3" s="6"/>
      <c r="M3" s="6"/>
      <c r="N3" s="6"/>
      <c r="O3" s="6"/>
      <c r="P3" s="6"/>
      <c r="Q3" s="6"/>
      <c r="R3" s="6"/>
      <c r="S3" s="6"/>
      <c r="T3" s="6"/>
      <c r="U3" s="28"/>
      <c r="X3" t="s">
        <v>96</v>
      </c>
    </row>
    <row r="4" spans="1:24" ht="30" x14ac:dyDescent="0.25">
      <c r="A4" s="13">
        <f>IF(B4="","",COUNTA($B$3:B4))</f>
        <v>2</v>
      </c>
      <c r="B4" s="14" t="s">
        <v>3</v>
      </c>
      <c r="C4" s="14" t="s">
        <v>78</v>
      </c>
      <c r="D4" s="12">
        <f>'9-16'!F4</f>
        <v>57</v>
      </c>
      <c r="E4" s="7">
        <f t="shared" si="0"/>
        <v>3</v>
      </c>
      <c r="F4" s="7">
        <f t="shared" si="1"/>
        <v>54</v>
      </c>
      <c r="G4" s="9" t="s">
        <v>96</v>
      </c>
      <c r="J4" s="27"/>
      <c r="K4" s="6"/>
      <c r="L4" s="6"/>
      <c r="M4" s="6">
        <v>1</v>
      </c>
      <c r="N4" s="6"/>
      <c r="O4" s="6">
        <v>1</v>
      </c>
      <c r="P4" s="6"/>
      <c r="Q4" s="6">
        <v>1</v>
      </c>
      <c r="R4" s="6"/>
      <c r="S4" s="6"/>
      <c r="T4" s="6"/>
      <c r="U4" s="28"/>
      <c r="X4" t="s">
        <v>97</v>
      </c>
    </row>
    <row r="5" spans="1:24" ht="30" x14ac:dyDescent="0.25">
      <c r="A5" s="10">
        <f>IF(B5="","",COUNTA($B$3:B5))</f>
        <v>3</v>
      </c>
      <c r="B5" s="11" t="s">
        <v>4</v>
      </c>
      <c r="C5" s="11" t="s">
        <v>78</v>
      </c>
      <c r="D5" s="12">
        <f>'9-16'!F5</f>
        <v>8</v>
      </c>
      <c r="E5" s="7">
        <f t="shared" si="0"/>
        <v>0</v>
      </c>
      <c r="F5" s="7">
        <f t="shared" si="1"/>
        <v>8</v>
      </c>
      <c r="G5" s="9"/>
      <c r="J5" s="27"/>
      <c r="K5" s="6"/>
      <c r="L5" s="6"/>
      <c r="M5" s="6"/>
      <c r="N5" s="6"/>
      <c r="O5" s="6"/>
      <c r="P5" s="6"/>
      <c r="Q5" s="6"/>
      <c r="R5" s="6"/>
      <c r="S5" s="6"/>
      <c r="T5" s="6"/>
      <c r="U5" s="28"/>
      <c r="X5" t="s">
        <v>98</v>
      </c>
    </row>
    <row r="6" spans="1:24" ht="30" x14ac:dyDescent="0.25">
      <c r="A6" s="13">
        <f>IF(B6="","",COUNTA($B$3:B6))</f>
        <v>4</v>
      </c>
      <c r="B6" s="14" t="s">
        <v>5</v>
      </c>
      <c r="C6" s="14" t="s">
        <v>78</v>
      </c>
      <c r="D6" s="12">
        <f>'9-16'!F6</f>
        <v>11</v>
      </c>
      <c r="E6" s="7">
        <f t="shared" si="0"/>
        <v>0</v>
      </c>
      <c r="F6" s="7">
        <f t="shared" si="1"/>
        <v>11</v>
      </c>
      <c r="G6" s="9"/>
      <c r="J6" s="27"/>
      <c r="K6" s="6"/>
      <c r="L6" s="6"/>
      <c r="M6" s="6"/>
      <c r="N6" s="6"/>
      <c r="O6" s="6"/>
      <c r="P6" s="6"/>
      <c r="Q6" s="6"/>
      <c r="R6" s="6"/>
      <c r="S6" s="6"/>
      <c r="T6" s="6"/>
      <c r="U6" s="28"/>
      <c r="X6" t="s">
        <v>99</v>
      </c>
    </row>
    <row r="7" spans="1:24" ht="30" x14ac:dyDescent="0.25">
      <c r="A7" s="10">
        <f>IF(B7="","",COUNTA($B$3:B7))</f>
        <v>5</v>
      </c>
      <c r="B7" s="11" t="s">
        <v>6</v>
      </c>
      <c r="C7" s="11" t="s">
        <v>78</v>
      </c>
      <c r="D7" s="12">
        <f>'9-16'!F7</f>
        <v>3</v>
      </c>
      <c r="E7" s="7">
        <f t="shared" si="0"/>
        <v>0</v>
      </c>
      <c r="F7" s="7">
        <f t="shared" si="1"/>
        <v>3</v>
      </c>
      <c r="G7" s="9"/>
      <c r="J7" s="27"/>
      <c r="K7" s="6"/>
      <c r="L7" s="6"/>
      <c r="M7" s="6"/>
      <c r="N7" s="6"/>
      <c r="O7" s="6"/>
      <c r="P7" s="6"/>
      <c r="Q7" s="6"/>
      <c r="R7" s="6"/>
      <c r="S7" s="6"/>
      <c r="T7" s="6"/>
      <c r="U7" s="28"/>
      <c r="X7" t="s">
        <v>100</v>
      </c>
    </row>
    <row r="8" spans="1:24" ht="30" x14ac:dyDescent="0.25">
      <c r="A8" s="13">
        <f>IF(B8="","",COUNTA($B$3:B8))</f>
        <v>6</v>
      </c>
      <c r="B8" s="14" t="s">
        <v>7</v>
      </c>
      <c r="C8" s="14" t="s">
        <v>78</v>
      </c>
      <c r="D8" s="12">
        <f>'9-16'!F8</f>
        <v>20</v>
      </c>
      <c r="E8" s="7">
        <f t="shared" si="0"/>
        <v>1</v>
      </c>
      <c r="F8" s="7">
        <f t="shared" si="1"/>
        <v>19</v>
      </c>
      <c r="G8" s="9" t="s">
        <v>96</v>
      </c>
      <c r="J8" s="27"/>
      <c r="K8" s="6">
        <v>1</v>
      </c>
      <c r="L8" s="6"/>
      <c r="M8" s="6"/>
      <c r="N8" s="6"/>
      <c r="O8" s="6"/>
      <c r="P8" s="6"/>
      <c r="Q8" s="6"/>
      <c r="R8" s="6"/>
      <c r="S8" s="6"/>
      <c r="T8" s="6"/>
      <c r="U8" s="28"/>
    </row>
    <row r="9" spans="1:24" ht="45" x14ac:dyDescent="0.25">
      <c r="A9" s="10">
        <f>IF(B9="","",COUNTA($B$3:B9))</f>
        <v>7</v>
      </c>
      <c r="B9" s="11" t="s">
        <v>8</v>
      </c>
      <c r="C9" s="11" t="s">
        <v>78</v>
      </c>
      <c r="D9" s="12">
        <f>'9-16'!F9</f>
        <v>13</v>
      </c>
      <c r="E9" s="7">
        <f t="shared" si="0"/>
        <v>0</v>
      </c>
      <c r="F9" s="7">
        <f t="shared" si="1"/>
        <v>13</v>
      </c>
      <c r="G9" s="9"/>
      <c r="J9" s="27"/>
      <c r="K9" s="6"/>
      <c r="L9" s="6"/>
      <c r="M9" s="6"/>
      <c r="N9" s="6"/>
      <c r="O9" s="6"/>
      <c r="P9" s="6"/>
      <c r="Q9" s="6"/>
      <c r="R9" s="6"/>
      <c r="S9" s="6"/>
      <c r="T9" s="6"/>
      <c r="U9" s="28"/>
    </row>
    <row r="10" spans="1:24" ht="45" x14ac:dyDescent="0.25">
      <c r="A10" s="13">
        <f>IF(B10="","",COUNTA($B$3:B10))</f>
        <v>8</v>
      </c>
      <c r="B10" s="14" t="s">
        <v>9</v>
      </c>
      <c r="C10" s="14" t="s">
        <v>78</v>
      </c>
      <c r="D10" s="12">
        <f>'9-16'!F10</f>
        <v>2</v>
      </c>
      <c r="E10" s="7">
        <f t="shared" si="0"/>
        <v>0</v>
      </c>
      <c r="F10" s="7">
        <f t="shared" si="1"/>
        <v>2</v>
      </c>
      <c r="G10" s="9"/>
      <c r="J10" s="27"/>
      <c r="K10" s="6"/>
      <c r="L10" s="6"/>
      <c r="M10" s="6"/>
      <c r="N10" s="6"/>
      <c r="O10" s="6"/>
      <c r="P10" s="6"/>
      <c r="Q10" s="6"/>
      <c r="R10" s="6"/>
      <c r="S10" s="6"/>
      <c r="T10" s="6"/>
      <c r="U10" s="28"/>
    </row>
    <row r="11" spans="1:24" ht="60" x14ac:dyDescent="0.25">
      <c r="A11" s="10">
        <f>IF(B11="","",COUNTA($B$3:B11))</f>
        <v>9</v>
      </c>
      <c r="B11" s="11" t="s">
        <v>10</v>
      </c>
      <c r="C11" s="11" t="s">
        <v>78</v>
      </c>
      <c r="D11" s="12">
        <f>'9-16'!F11</f>
        <v>4</v>
      </c>
      <c r="E11" s="7">
        <f t="shared" si="0"/>
        <v>0</v>
      </c>
      <c r="F11" s="7">
        <f t="shared" si="1"/>
        <v>4</v>
      </c>
      <c r="G11" s="9"/>
      <c r="J11" s="27"/>
      <c r="K11" s="6"/>
      <c r="L11" s="6"/>
      <c r="M11" s="6"/>
      <c r="N11" s="6"/>
      <c r="O11" s="6"/>
      <c r="P11" s="6"/>
      <c r="Q11" s="6"/>
      <c r="R11" s="6"/>
      <c r="S11" s="6"/>
      <c r="T11" s="6"/>
      <c r="U11" s="28"/>
    </row>
    <row r="12" spans="1:24" ht="45" x14ac:dyDescent="0.25">
      <c r="A12" s="13">
        <f>IF(B12="","",COUNTA($B$3:B12))</f>
        <v>10</v>
      </c>
      <c r="B12" s="14" t="s">
        <v>11</v>
      </c>
      <c r="C12" s="14" t="s">
        <v>78</v>
      </c>
      <c r="D12" s="12">
        <f>'9-16'!F12</f>
        <v>0</v>
      </c>
      <c r="E12" s="7">
        <f t="shared" si="0"/>
        <v>0</v>
      </c>
      <c r="F12" s="7">
        <f t="shared" si="1"/>
        <v>0</v>
      </c>
      <c r="G12" s="9"/>
      <c r="J12" s="27"/>
      <c r="K12" s="6"/>
      <c r="L12" s="6"/>
      <c r="M12" s="6"/>
      <c r="N12" s="6"/>
      <c r="O12" s="6"/>
      <c r="P12" s="6"/>
      <c r="Q12" s="6"/>
      <c r="R12" s="6"/>
      <c r="S12" s="6"/>
      <c r="T12" s="6"/>
      <c r="U12" s="28"/>
    </row>
    <row r="13" spans="1:24" ht="60" x14ac:dyDescent="0.25">
      <c r="A13" s="10">
        <f>IF(B13="","",COUNTA($B$3:B13))</f>
        <v>11</v>
      </c>
      <c r="B13" s="11" t="s">
        <v>12</v>
      </c>
      <c r="C13" s="11" t="s">
        <v>78</v>
      </c>
      <c r="D13" s="12">
        <f>'9-16'!F13</f>
        <v>0</v>
      </c>
      <c r="E13" s="7">
        <f t="shared" si="0"/>
        <v>0</v>
      </c>
      <c r="F13" s="7">
        <f t="shared" si="1"/>
        <v>0</v>
      </c>
      <c r="G13" s="9"/>
      <c r="J13" s="27"/>
      <c r="K13" s="6"/>
      <c r="L13" s="6"/>
      <c r="M13" s="6"/>
      <c r="N13" s="6"/>
      <c r="O13" s="6"/>
      <c r="P13" s="6"/>
      <c r="Q13" s="6"/>
      <c r="R13" s="6"/>
      <c r="S13" s="6"/>
      <c r="T13" s="6"/>
      <c r="U13" s="28"/>
    </row>
    <row r="14" spans="1:24" ht="30" x14ac:dyDescent="0.25">
      <c r="A14" s="13">
        <f>IF(B14="","",COUNTA($B$3:B14))</f>
        <v>12</v>
      </c>
      <c r="B14" s="14" t="s">
        <v>13</v>
      </c>
      <c r="C14" s="14" t="s">
        <v>78</v>
      </c>
      <c r="D14" s="12">
        <f>'9-16'!F14</f>
        <v>7</v>
      </c>
      <c r="E14" s="7">
        <f t="shared" si="0"/>
        <v>0</v>
      </c>
      <c r="F14" s="7">
        <f t="shared" si="1"/>
        <v>7</v>
      </c>
      <c r="G14" s="9"/>
      <c r="J14" s="27"/>
      <c r="K14" s="6"/>
      <c r="L14" s="6"/>
      <c r="M14" s="6"/>
      <c r="N14" s="6"/>
      <c r="O14" s="6"/>
      <c r="P14" s="6"/>
      <c r="Q14" s="6"/>
      <c r="R14" s="6"/>
      <c r="S14" s="6"/>
      <c r="T14" s="6"/>
      <c r="U14" s="28"/>
    </row>
    <row r="15" spans="1:24" ht="60" x14ac:dyDescent="0.25">
      <c r="A15" s="10">
        <f>IF(B15="","",COUNTA($B$3:B15))</f>
        <v>13</v>
      </c>
      <c r="B15" s="16" t="s">
        <v>14</v>
      </c>
      <c r="C15" s="11" t="s">
        <v>78</v>
      </c>
      <c r="D15" s="12">
        <f>'9-16'!F15</f>
        <v>5</v>
      </c>
      <c r="E15" s="7">
        <f t="shared" si="0"/>
        <v>0</v>
      </c>
      <c r="F15" s="7">
        <f t="shared" si="1"/>
        <v>5</v>
      </c>
      <c r="G15" s="9"/>
      <c r="J15" s="27"/>
      <c r="K15" s="6"/>
      <c r="L15" s="6"/>
      <c r="M15" s="6"/>
      <c r="N15" s="6"/>
      <c r="O15" s="6"/>
      <c r="P15" s="6"/>
      <c r="Q15" s="6"/>
      <c r="R15" s="6"/>
      <c r="S15" s="6"/>
      <c r="T15" s="6"/>
      <c r="U15" s="28"/>
    </row>
    <row r="16" spans="1:24" ht="45" x14ac:dyDescent="0.25">
      <c r="A16" s="13">
        <f>IF(B16="","",COUNTA($B$3:B16))</f>
        <v>14</v>
      </c>
      <c r="B16" s="14" t="s">
        <v>15</v>
      </c>
      <c r="C16" s="14" t="s">
        <v>78</v>
      </c>
      <c r="D16" s="12">
        <f>'9-16'!F16</f>
        <v>3</v>
      </c>
      <c r="E16" s="7">
        <f t="shared" si="0"/>
        <v>0</v>
      </c>
      <c r="F16" s="7">
        <f t="shared" si="1"/>
        <v>3</v>
      </c>
      <c r="G16" s="9"/>
      <c r="J16" s="27"/>
      <c r="K16" s="6"/>
      <c r="L16" s="6"/>
      <c r="M16" s="6"/>
      <c r="N16" s="6"/>
      <c r="O16" s="6"/>
      <c r="P16" s="6"/>
      <c r="Q16" s="6"/>
      <c r="R16" s="6"/>
      <c r="S16" s="6"/>
      <c r="T16" s="6"/>
      <c r="U16" s="28"/>
    </row>
    <row r="17" spans="1:21" ht="45" x14ac:dyDescent="0.25">
      <c r="A17" s="10">
        <f>IF(B17="","",COUNTA($B$3:B17))</f>
        <v>15</v>
      </c>
      <c r="B17" s="11" t="s">
        <v>16</v>
      </c>
      <c r="C17" s="11" t="s">
        <v>78</v>
      </c>
      <c r="D17" s="12">
        <f>'9-16'!F17</f>
        <v>3</v>
      </c>
      <c r="E17" s="7">
        <f t="shared" si="0"/>
        <v>0</v>
      </c>
      <c r="F17" s="7">
        <f t="shared" si="1"/>
        <v>3</v>
      </c>
      <c r="G17" s="9"/>
      <c r="J17" s="27"/>
      <c r="K17" s="6"/>
      <c r="L17" s="6"/>
      <c r="M17" s="6"/>
      <c r="N17" s="6"/>
      <c r="O17" s="6"/>
      <c r="P17" s="6"/>
      <c r="Q17" s="6"/>
      <c r="R17" s="6"/>
      <c r="S17" s="6"/>
      <c r="T17" s="6"/>
      <c r="U17" s="28"/>
    </row>
    <row r="18" spans="1:21" ht="60" x14ac:dyDescent="0.25">
      <c r="A18" s="13">
        <f>IF(B18="","",COUNTA($B$3:B18))</f>
        <v>16</v>
      </c>
      <c r="B18" s="17" t="s">
        <v>17</v>
      </c>
      <c r="C18" s="14" t="s">
        <v>78</v>
      </c>
      <c r="D18" s="12">
        <f>'9-16'!F18</f>
        <v>2</v>
      </c>
      <c r="E18" s="7">
        <f t="shared" si="0"/>
        <v>0</v>
      </c>
      <c r="F18" s="7">
        <f t="shared" si="1"/>
        <v>2</v>
      </c>
      <c r="G18" s="9"/>
      <c r="J18" s="27"/>
      <c r="K18" s="6"/>
      <c r="L18" s="6"/>
      <c r="M18" s="6"/>
      <c r="N18" s="6"/>
      <c r="O18" s="6"/>
      <c r="P18" s="6"/>
      <c r="Q18" s="6"/>
      <c r="R18" s="6"/>
      <c r="S18" s="6"/>
      <c r="T18" s="6"/>
      <c r="U18" s="28"/>
    </row>
    <row r="19" spans="1:21" ht="45" x14ac:dyDescent="0.25">
      <c r="A19" s="10">
        <f>IF(B19="","",COUNTA($B$3:B19))</f>
        <v>17</v>
      </c>
      <c r="B19" s="11" t="s">
        <v>18</v>
      </c>
      <c r="C19" s="11" t="s">
        <v>78</v>
      </c>
      <c r="D19" s="12">
        <f>'9-16'!F19</f>
        <v>41</v>
      </c>
      <c r="E19" s="7">
        <f t="shared" si="0"/>
        <v>0</v>
      </c>
      <c r="F19" s="7">
        <f t="shared" si="1"/>
        <v>41</v>
      </c>
      <c r="G19" s="9"/>
      <c r="J19" s="27"/>
      <c r="K19" s="6"/>
      <c r="L19" s="6"/>
      <c r="M19" s="6"/>
      <c r="N19" s="6"/>
      <c r="O19" s="6"/>
      <c r="P19" s="6"/>
      <c r="Q19" s="6"/>
      <c r="R19" s="6"/>
      <c r="S19" s="6"/>
      <c r="T19" s="6"/>
      <c r="U19" s="28"/>
    </row>
    <row r="20" spans="1:21" ht="30" x14ac:dyDescent="0.25">
      <c r="A20" s="13">
        <f>IF(B20="","",COUNTA($B$3:B20))</f>
        <v>18</v>
      </c>
      <c r="B20" s="14" t="s">
        <v>19</v>
      </c>
      <c r="C20" s="14" t="s">
        <v>79</v>
      </c>
      <c r="D20" s="12">
        <f>'9-16'!F20</f>
        <v>2</v>
      </c>
      <c r="E20" s="7">
        <f t="shared" si="0"/>
        <v>1</v>
      </c>
      <c r="F20" s="7">
        <f t="shared" si="1"/>
        <v>1</v>
      </c>
      <c r="G20" s="9" t="s">
        <v>97</v>
      </c>
      <c r="J20" s="27"/>
      <c r="K20" s="6"/>
      <c r="L20" s="6"/>
      <c r="M20" s="6"/>
      <c r="N20" s="6">
        <v>1</v>
      </c>
      <c r="O20" s="6"/>
      <c r="P20" s="6"/>
      <c r="Q20" s="6"/>
      <c r="R20" s="6"/>
      <c r="S20" s="6"/>
      <c r="T20" s="6"/>
      <c r="U20" s="28"/>
    </row>
    <row r="21" spans="1:21" ht="45" x14ac:dyDescent="0.25">
      <c r="A21" s="10">
        <f>IF(B21="","",COUNTA($B$3:B21))</f>
        <v>19</v>
      </c>
      <c r="B21" s="11" t="s">
        <v>20</v>
      </c>
      <c r="C21" s="11" t="s">
        <v>78</v>
      </c>
      <c r="D21" s="12">
        <f>'9-16'!F21</f>
        <v>19</v>
      </c>
      <c r="E21" s="7">
        <f t="shared" si="0"/>
        <v>0</v>
      </c>
      <c r="F21" s="7">
        <f t="shared" si="1"/>
        <v>19</v>
      </c>
      <c r="G21" s="9"/>
      <c r="J21" s="27"/>
      <c r="K21" s="6"/>
      <c r="L21" s="6"/>
      <c r="M21" s="6"/>
      <c r="N21" s="6"/>
      <c r="O21" s="6"/>
      <c r="P21" s="6"/>
      <c r="Q21" s="6"/>
      <c r="R21" s="6"/>
      <c r="S21" s="6"/>
      <c r="T21" s="6"/>
      <c r="U21" s="28"/>
    </row>
    <row r="22" spans="1:21" ht="30" x14ac:dyDescent="0.25">
      <c r="A22" s="13">
        <f>IF(B22="","",COUNTA($B$3:B22))</f>
        <v>20</v>
      </c>
      <c r="B22" s="14" t="s">
        <v>21</v>
      </c>
      <c r="C22" s="14" t="s">
        <v>78</v>
      </c>
      <c r="D22" s="12">
        <f>'9-16'!F22</f>
        <v>5</v>
      </c>
      <c r="E22" s="7">
        <f t="shared" si="0"/>
        <v>0</v>
      </c>
      <c r="F22" s="7">
        <f t="shared" si="1"/>
        <v>5</v>
      </c>
      <c r="G22" s="9"/>
      <c r="J22" s="27"/>
      <c r="K22" s="6"/>
      <c r="L22" s="6"/>
      <c r="M22" s="6"/>
      <c r="N22" s="6"/>
      <c r="O22" s="6"/>
      <c r="P22" s="6"/>
      <c r="Q22" s="6"/>
      <c r="R22" s="6"/>
      <c r="S22" s="6"/>
      <c r="T22" s="6"/>
      <c r="U22" s="28"/>
    </row>
    <row r="23" spans="1:21" ht="60" x14ac:dyDescent="0.25">
      <c r="A23" s="10">
        <f>IF(B23="","",COUNTA($B$3:B23))</f>
        <v>21</v>
      </c>
      <c r="B23" s="11" t="s">
        <v>22</v>
      </c>
      <c r="C23" s="11" t="s">
        <v>78</v>
      </c>
      <c r="D23" s="12">
        <f>'9-16'!F23</f>
        <v>3</v>
      </c>
      <c r="E23" s="7">
        <f t="shared" si="0"/>
        <v>0</v>
      </c>
      <c r="F23" s="7">
        <f t="shared" si="1"/>
        <v>3</v>
      </c>
      <c r="G23" s="9"/>
      <c r="J23" s="27"/>
      <c r="K23" s="6"/>
      <c r="L23" s="6"/>
      <c r="M23" s="6"/>
      <c r="N23" s="6"/>
      <c r="O23" s="6"/>
      <c r="P23" s="6"/>
      <c r="Q23" s="6"/>
      <c r="R23" s="6"/>
      <c r="S23" s="6"/>
      <c r="T23" s="6"/>
      <c r="U23" s="28"/>
    </row>
    <row r="24" spans="1:21" ht="45" x14ac:dyDescent="0.25">
      <c r="A24" s="13">
        <f>IF(B24="","",COUNTA($B$3:B24))</f>
        <v>22</v>
      </c>
      <c r="B24" s="14" t="s">
        <v>23</v>
      </c>
      <c r="C24" s="14" t="s">
        <v>78</v>
      </c>
      <c r="D24" s="12">
        <f>'9-16'!F24</f>
        <v>23</v>
      </c>
      <c r="E24" s="7">
        <f t="shared" si="0"/>
        <v>1</v>
      </c>
      <c r="F24" s="7">
        <f t="shared" si="1"/>
        <v>22</v>
      </c>
      <c r="G24" s="9" t="s">
        <v>100</v>
      </c>
      <c r="J24" s="27"/>
      <c r="K24" s="6"/>
      <c r="L24" s="6">
        <v>1</v>
      </c>
      <c r="M24" s="6"/>
      <c r="N24" s="6"/>
      <c r="O24" s="6"/>
      <c r="P24" s="6"/>
      <c r="Q24" s="6"/>
      <c r="R24" s="6"/>
      <c r="S24" s="6"/>
      <c r="T24" s="6"/>
      <c r="U24" s="28"/>
    </row>
    <row r="25" spans="1:21" ht="30" x14ac:dyDescent="0.25">
      <c r="A25" s="10">
        <f>IF(B25="","",COUNTA($B$3:B25))</f>
        <v>23</v>
      </c>
      <c r="B25" s="11" t="s">
        <v>24</v>
      </c>
      <c r="C25" s="11" t="s">
        <v>78</v>
      </c>
      <c r="D25" s="12">
        <f>'9-16'!F25</f>
        <v>10</v>
      </c>
      <c r="E25" s="7">
        <f t="shared" si="0"/>
        <v>0</v>
      </c>
      <c r="F25" s="7">
        <f t="shared" si="1"/>
        <v>10</v>
      </c>
      <c r="G25" s="9"/>
      <c r="J25" s="27"/>
      <c r="K25" s="6"/>
      <c r="L25" s="6"/>
      <c r="M25" s="6"/>
      <c r="N25" s="6"/>
      <c r="O25" s="6"/>
      <c r="P25" s="6"/>
      <c r="Q25" s="6"/>
      <c r="R25" s="6"/>
      <c r="S25" s="6"/>
      <c r="T25" s="6"/>
      <c r="U25" s="28"/>
    </row>
    <row r="26" spans="1:21" ht="30" x14ac:dyDescent="0.25">
      <c r="A26" s="13">
        <f>IF(B26="","",COUNTA($B$3:B26))</f>
        <v>24</v>
      </c>
      <c r="B26" s="14" t="s">
        <v>25</v>
      </c>
      <c r="C26" s="14" t="s">
        <v>78</v>
      </c>
      <c r="D26" s="12">
        <f>'9-16'!F26</f>
        <v>0</v>
      </c>
      <c r="E26" s="7">
        <f t="shared" si="0"/>
        <v>0</v>
      </c>
      <c r="F26" s="7">
        <f t="shared" si="1"/>
        <v>0</v>
      </c>
      <c r="G26" s="9"/>
      <c r="J26" s="27"/>
      <c r="K26" s="6"/>
      <c r="L26" s="6"/>
      <c r="M26" s="6"/>
      <c r="N26" s="6"/>
      <c r="O26" s="6"/>
      <c r="P26" s="6"/>
      <c r="Q26" s="6"/>
      <c r="R26" s="6"/>
      <c r="S26" s="6"/>
      <c r="T26" s="6"/>
      <c r="U26" s="28"/>
    </row>
    <row r="27" spans="1:21" ht="30" x14ac:dyDescent="0.25">
      <c r="A27" s="10">
        <f>IF(B27="","",COUNTA($B$3:B27))</f>
        <v>25</v>
      </c>
      <c r="B27" s="11" t="s">
        <v>26</v>
      </c>
      <c r="C27" s="11" t="s">
        <v>78</v>
      </c>
      <c r="D27" s="12">
        <f>'9-16'!F27</f>
        <v>1</v>
      </c>
      <c r="E27" s="7">
        <f t="shared" si="0"/>
        <v>0</v>
      </c>
      <c r="F27" s="7">
        <f t="shared" si="1"/>
        <v>1</v>
      </c>
      <c r="G27" s="9"/>
      <c r="J27" s="27"/>
      <c r="K27" s="6"/>
      <c r="L27" s="6"/>
      <c r="M27" s="6"/>
      <c r="N27" s="6"/>
      <c r="O27" s="6"/>
      <c r="P27" s="6"/>
      <c r="Q27" s="6"/>
      <c r="R27" s="6"/>
      <c r="S27" s="6"/>
      <c r="T27" s="6"/>
      <c r="U27" s="28"/>
    </row>
    <row r="28" spans="1:21" ht="60" x14ac:dyDescent="0.25">
      <c r="A28" s="13">
        <f>IF(B28="","",COUNTA($B$3:B28))</f>
        <v>26</v>
      </c>
      <c r="B28" s="14" t="s">
        <v>27</v>
      </c>
      <c r="C28" s="14" t="s">
        <v>78</v>
      </c>
      <c r="D28" s="12">
        <f>'9-16'!F28</f>
        <v>0</v>
      </c>
      <c r="E28" s="7">
        <f t="shared" si="0"/>
        <v>0</v>
      </c>
      <c r="F28" s="7">
        <f t="shared" si="1"/>
        <v>0</v>
      </c>
      <c r="G28" s="9"/>
      <c r="J28" s="27"/>
      <c r="K28" s="6"/>
      <c r="L28" s="6"/>
      <c r="M28" s="6"/>
      <c r="N28" s="6"/>
      <c r="O28" s="6"/>
      <c r="P28" s="6"/>
      <c r="Q28" s="6"/>
      <c r="R28" s="6"/>
      <c r="S28" s="6"/>
      <c r="T28" s="6"/>
      <c r="U28" s="28"/>
    </row>
    <row r="29" spans="1:21" ht="30" x14ac:dyDescent="0.25">
      <c r="A29" s="10">
        <f>IF(B29="","",COUNTA($B$3:B29))</f>
        <v>27</v>
      </c>
      <c r="B29" s="11" t="s">
        <v>28</v>
      </c>
      <c r="C29" s="11" t="s">
        <v>78</v>
      </c>
      <c r="D29" s="12">
        <f>'9-16'!F29</f>
        <v>9</v>
      </c>
      <c r="E29" s="7">
        <f t="shared" si="0"/>
        <v>0</v>
      </c>
      <c r="F29" s="7">
        <f t="shared" si="1"/>
        <v>9</v>
      </c>
      <c r="G29" s="9"/>
      <c r="J29" s="27"/>
      <c r="K29" s="6"/>
      <c r="L29" s="6"/>
      <c r="M29" s="6"/>
      <c r="N29" s="6"/>
      <c r="O29" s="6"/>
      <c r="P29" s="6"/>
      <c r="Q29" s="6"/>
      <c r="R29" s="6"/>
      <c r="S29" s="6"/>
      <c r="T29" s="6"/>
      <c r="U29" s="28"/>
    </row>
    <row r="30" spans="1:21" ht="75" x14ac:dyDescent="0.25">
      <c r="A30" s="13">
        <f>IF(B30="","",COUNTA($B$3:B30))</f>
        <v>28</v>
      </c>
      <c r="B30" s="14" t="s">
        <v>29</v>
      </c>
      <c r="C30" s="14" t="s">
        <v>78</v>
      </c>
      <c r="D30" s="12">
        <f>'9-16'!F30</f>
        <v>4</v>
      </c>
      <c r="E30" s="7">
        <f t="shared" si="0"/>
        <v>0</v>
      </c>
      <c r="F30" s="7">
        <f t="shared" si="1"/>
        <v>4</v>
      </c>
      <c r="G30" s="9"/>
      <c r="J30" s="27"/>
      <c r="K30" s="6"/>
      <c r="L30" s="6"/>
      <c r="M30" s="6"/>
      <c r="N30" s="6"/>
      <c r="O30" s="6"/>
      <c r="P30" s="6"/>
      <c r="Q30" s="6"/>
      <c r="R30" s="6"/>
      <c r="S30" s="6"/>
      <c r="T30" s="6"/>
      <c r="U30" s="28"/>
    </row>
    <row r="31" spans="1:21" ht="30" x14ac:dyDescent="0.25">
      <c r="A31" s="10">
        <f>IF(B31="","",COUNTA($B$3:B31))</f>
        <v>29</v>
      </c>
      <c r="B31" s="11" t="s">
        <v>30</v>
      </c>
      <c r="C31" s="11" t="s">
        <v>78</v>
      </c>
      <c r="D31" s="12">
        <f>'9-16'!F31</f>
        <v>0</v>
      </c>
      <c r="E31" s="7">
        <f t="shared" si="0"/>
        <v>0</v>
      </c>
      <c r="F31" s="7">
        <f t="shared" si="1"/>
        <v>0</v>
      </c>
      <c r="G31" s="9"/>
      <c r="J31" s="27"/>
      <c r="K31" s="6"/>
      <c r="L31" s="6"/>
      <c r="M31" s="6"/>
      <c r="N31" s="6"/>
      <c r="O31" s="6"/>
      <c r="P31" s="6"/>
      <c r="Q31" s="6"/>
      <c r="R31" s="6"/>
      <c r="S31" s="6"/>
      <c r="T31" s="6"/>
      <c r="U31" s="28"/>
    </row>
    <row r="32" spans="1:21" ht="45" x14ac:dyDescent="0.25">
      <c r="A32" s="13">
        <f>IF(B32="","",COUNTA($B$3:B32))</f>
        <v>30</v>
      </c>
      <c r="B32" s="14" t="s">
        <v>31</v>
      </c>
      <c r="C32" s="14" t="s">
        <v>78</v>
      </c>
      <c r="D32" s="12">
        <f>'9-16'!F32</f>
        <v>8</v>
      </c>
      <c r="E32" s="7">
        <f t="shared" si="0"/>
        <v>0</v>
      </c>
      <c r="F32" s="7">
        <f t="shared" si="1"/>
        <v>8</v>
      </c>
      <c r="G32" s="9"/>
      <c r="J32" s="27"/>
      <c r="K32" s="6"/>
      <c r="L32" s="6"/>
      <c r="M32" s="6"/>
      <c r="N32" s="6"/>
      <c r="O32" s="6"/>
      <c r="P32" s="6"/>
      <c r="Q32" s="6"/>
      <c r="R32" s="6"/>
      <c r="S32" s="6"/>
      <c r="T32" s="6"/>
      <c r="U32" s="28"/>
    </row>
    <row r="33" spans="1:21" ht="45" x14ac:dyDescent="0.25">
      <c r="A33" s="10">
        <f>IF(B33="","",COUNTA($B$3:B33))</f>
        <v>31</v>
      </c>
      <c r="B33" s="11" t="s">
        <v>32</v>
      </c>
      <c r="C33" s="11" t="s">
        <v>78</v>
      </c>
      <c r="D33" s="12">
        <f>'9-16'!F33</f>
        <v>0</v>
      </c>
      <c r="E33" s="7">
        <f t="shared" si="0"/>
        <v>0</v>
      </c>
      <c r="F33" s="7">
        <f t="shared" si="1"/>
        <v>0</v>
      </c>
      <c r="G33" s="9"/>
      <c r="J33" s="27"/>
      <c r="K33" s="6"/>
      <c r="L33" s="6"/>
      <c r="M33" s="6"/>
      <c r="N33" s="6"/>
      <c r="O33" s="6"/>
      <c r="P33" s="6"/>
      <c r="Q33" s="6"/>
      <c r="R33" s="6"/>
      <c r="S33" s="6"/>
      <c r="T33" s="6"/>
      <c r="U33" s="28"/>
    </row>
    <row r="34" spans="1:21" ht="60" x14ac:dyDescent="0.25">
      <c r="A34" s="13">
        <f>IF(B34="","",COUNTA($B$3:B34))</f>
        <v>32</v>
      </c>
      <c r="B34" s="14" t="s">
        <v>33</v>
      </c>
      <c r="C34" s="14" t="s">
        <v>78</v>
      </c>
      <c r="D34" s="12">
        <f>'9-16'!F34</f>
        <v>7</v>
      </c>
      <c r="E34" s="7">
        <f t="shared" si="0"/>
        <v>0</v>
      </c>
      <c r="F34" s="7">
        <f t="shared" si="1"/>
        <v>7</v>
      </c>
      <c r="G34" s="9"/>
      <c r="J34" s="27"/>
      <c r="K34" s="6"/>
      <c r="L34" s="6"/>
      <c r="M34" s="6"/>
      <c r="N34" s="6"/>
      <c r="O34" s="6"/>
      <c r="P34" s="6"/>
      <c r="Q34" s="6"/>
      <c r="R34" s="6"/>
      <c r="S34" s="6"/>
      <c r="T34" s="6"/>
      <c r="U34" s="28"/>
    </row>
    <row r="35" spans="1:21" ht="75" x14ac:dyDescent="0.25">
      <c r="A35" s="10">
        <f>IF(B35="","",COUNTA($B$3:B35))</f>
        <v>33</v>
      </c>
      <c r="B35" s="11" t="s">
        <v>34</v>
      </c>
      <c r="C35" s="11" t="s">
        <v>78</v>
      </c>
      <c r="D35" s="12">
        <f>'9-16'!F35</f>
        <v>0</v>
      </c>
      <c r="E35" s="7">
        <f t="shared" si="0"/>
        <v>0</v>
      </c>
      <c r="F35" s="7">
        <f t="shared" si="1"/>
        <v>0</v>
      </c>
      <c r="G35" s="9"/>
      <c r="J35" s="27"/>
      <c r="K35" s="6"/>
      <c r="L35" s="6"/>
      <c r="M35" s="6"/>
      <c r="N35" s="6"/>
      <c r="O35" s="6"/>
      <c r="P35" s="6"/>
      <c r="Q35" s="6"/>
      <c r="R35" s="6"/>
      <c r="S35" s="6"/>
      <c r="T35" s="6"/>
      <c r="U35" s="28"/>
    </row>
    <row r="36" spans="1:21" ht="45" x14ac:dyDescent="0.25">
      <c r="A36" s="13">
        <f>IF(B36="","",COUNTA($B$3:B36))</f>
        <v>34</v>
      </c>
      <c r="B36" s="14" t="s">
        <v>35</v>
      </c>
      <c r="C36" s="14" t="s">
        <v>78</v>
      </c>
      <c r="D36" s="12">
        <f>'9-16'!F36</f>
        <v>8</v>
      </c>
      <c r="E36" s="7">
        <f t="shared" si="0"/>
        <v>0</v>
      </c>
      <c r="F36" s="7">
        <f t="shared" si="1"/>
        <v>8</v>
      </c>
      <c r="G36" s="9"/>
      <c r="J36" s="27"/>
      <c r="K36" s="6"/>
      <c r="L36" s="6"/>
      <c r="M36" s="6"/>
      <c r="N36" s="6"/>
      <c r="O36" s="6"/>
      <c r="P36" s="6"/>
      <c r="Q36" s="6"/>
      <c r="R36" s="6"/>
      <c r="S36" s="6"/>
      <c r="T36" s="6"/>
      <c r="U36" s="28"/>
    </row>
    <row r="37" spans="1:21" ht="45" x14ac:dyDescent="0.25">
      <c r="A37" s="10">
        <f>IF(B37="","",COUNTA($B$3:B37))</f>
        <v>35</v>
      </c>
      <c r="B37" s="11" t="s">
        <v>36</v>
      </c>
      <c r="C37" s="11" t="s">
        <v>78</v>
      </c>
      <c r="D37" s="12">
        <f>'9-16'!F37</f>
        <v>2</v>
      </c>
      <c r="E37" s="7">
        <f t="shared" si="0"/>
        <v>0</v>
      </c>
      <c r="F37" s="7">
        <f t="shared" si="1"/>
        <v>2</v>
      </c>
      <c r="G37" s="9"/>
      <c r="J37" s="27"/>
      <c r="K37" s="6"/>
      <c r="L37" s="6"/>
      <c r="M37" s="6"/>
      <c r="N37" s="6"/>
      <c r="O37" s="6"/>
      <c r="P37" s="6"/>
      <c r="Q37" s="6"/>
      <c r="R37" s="6"/>
      <c r="S37" s="6"/>
      <c r="T37" s="6"/>
      <c r="U37" s="28"/>
    </row>
    <row r="38" spans="1:21" ht="45" x14ac:dyDescent="0.25">
      <c r="A38" s="13">
        <f>IF(B38="","",COUNTA($B$3:B38))</f>
        <v>36</v>
      </c>
      <c r="B38" s="14" t="s">
        <v>37</v>
      </c>
      <c r="C38" s="14" t="s">
        <v>78</v>
      </c>
      <c r="D38" s="12">
        <f>'9-16'!F38</f>
        <v>1</v>
      </c>
      <c r="E38" s="7">
        <f t="shared" si="0"/>
        <v>0</v>
      </c>
      <c r="F38" s="7">
        <f t="shared" si="1"/>
        <v>1</v>
      </c>
      <c r="G38" s="9"/>
      <c r="J38" s="27"/>
      <c r="K38" s="6"/>
      <c r="L38" s="6"/>
      <c r="M38" s="6"/>
      <c r="N38" s="6"/>
      <c r="O38" s="6"/>
      <c r="P38" s="6"/>
      <c r="Q38" s="6"/>
      <c r="R38" s="6"/>
      <c r="S38" s="6"/>
      <c r="T38" s="6"/>
      <c r="U38" s="28"/>
    </row>
    <row r="39" spans="1:21" ht="45" x14ac:dyDescent="0.25">
      <c r="A39" s="10">
        <f>IF(B39="","",COUNTA($B$3:B39))</f>
        <v>37</v>
      </c>
      <c r="B39" s="11" t="s">
        <v>38</v>
      </c>
      <c r="C39" s="11" t="s">
        <v>78</v>
      </c>
      <c r="D39" s="12">
        <f>'9-16'!F39</f>
        <v>3</v>
      </c>
      <c r="E39" s="7">
        <f t="shared" si="0"/>
        <v>0</v>
      </c>
      <c r="F39" s="7">
        <f t="shared" si="1"/>
        <v>3</v>
      </c>
      <c r="G39" s="9"/>
      <c r="J39" s="27"/>
      <c r="K39" s="6"/>
      <c r="L39" s="6"/>
      <c r="M39" s="6"/>
      <c r="N39" s="6"/>
      <c r="O39" s="6"/>
      <c r="P39" s="6"/>
      <c r="Q39" s="6"/>
      <c r="R39" s="6"/>
      <c r="S39" s="6"/>
      <c r="T39" s="6"/>
      <c r="U39" s="28"/>
    </row>
    <row r="40" spans="1:21" ht="30" x14ac:dyDescent="0.25">
      <c r="A40" s="13">
        <f>IF(B40="","",COUNTA($B$3:B40))</f>
        <v>38</v>
      </c>
      <c r="B40" s="14" t="s">
        <v>2</v>
      </c>
      <c r="C40" s="14" t="s">
        <v>78</v>
      </c>
      <c r="D40" s="12">
        <f>'9-16'!F40</f>
        <v>0</v>
      </c>
      <c r="E40" s="7">
        <f t="shared" si="0"/>
        <v>0</v>
      </c>
      <c r="F40" s="7">
        <f t="shared" si="1"/>
        <v>0</v>
      </c>
      <c r="G40" s="9"/>
      <c r="J40" s="27"/>
      <c r="K40" s="6"/>
      <c r="L40" s="6"/>
      <c r="M40" s="6"/>
      <c r="N40" s="6"/>
      <c r="O40" s="6"/>
      <c r="P40" s="6"/>
      <c r="Q40" s="6"/>
      <c r="R40" s="6"/>
      <c r="S40" s="6"/>
      <c r="T40" s="6"/>
      <c r="U40" s="28"/>
    </row>
    <row r="41" spans="1:21" ht="45" x14ac:dyDescent="0.25">
      <c r="A41" s="10">
        <f>IF(B41="","",COUNTA($B$3:B41))</f>
        <v>39</v>
      </c>
      <c r="B41" s="11" t="s">
        <v>39</v>
      </c>
      <c r="C41" s="11" t="s">
        <v>78</v>
      </c>
      <c r="D41" s="12">
        <f>'9-16'!F41</f>
        <v>2</v>
      </c>
      <c r="E41" s="7">
        <f t="shared" si="0"/>
        <v>0</v>
      </c>
      <c r="F41" s="7">
        <f t="shared" si="1"/>
        <v>2</v>
      </c>
      <c r="G41" s="9"/>
      <c r="J41" s="27"/>
      <c r="K41" s="6"/>
      <c r="L41" s="6"/>
      <c r="M41" s="6"/>
      <c r="N41" s="6"/>
      <c r="O41" s="6"/>
      <c r="P41" s="6"/>
      <c r="Q41" s="6"/>
      <c r="R41" s="6"/>
      <c r="S41" s="6"/>
      <c r="T41" s="6"/>
      <c r="U41" s="28"/>
    </row>
    <row r="42" spans="1:21" ht="45" x14ac:dyDescent="0.25">
      <c r="A42" s="13">
        <f>IF(B42="","",COUNTA($B$3:B42))</f>
        <v>40</v>
      </c>
      <c r="B42" s="14" t="s">
        <v>40</v>
      </c>
      <c r="C42" s="14" t="s">
        <v>78</v>
      </c>
      <c r="D42" s="12">
        <f>'9-16'!F42</f>
        <v>5</v>
      </c>
      <c r="E42" s="7">
        <f t="shared" si="0"/>
        <v>0</v>
      </c>
      <c r="F42" s="7">
        <f t="shared" si="1"/>
        <v>5</v>
      </c>
      <c r="G42" s="9"/>
      <c r="J42" s="27"/>
      <c r="K42" s="6"/>
      <c r="L42" s="6"/>
      <c r="M42" s="6"/>
      <c r="N42" s="6"/>
      <c r="O42" s="6"/>
      <c r="P42" s="6"/>
      <c r="Q42" s="6"/>
      <c r="R42" s="6"/>
      <c r="S42" s="6"/>
      <c r="T42" s="6"/>
      <c r="U42" s="28"/>
    </row>
    <row r="43" spans="1:21" ht="30" x14ac:dyDescent="0.25">
      <c r="A43" s="10">
        <f>IF(B43="","",COUNTA($B$3:B43))</f>
        <v>41</v>
      </c>
      <c r="B43" s="11" t="s">
        <v>41</v>
      </c>
      <c r="C43" s="11" t="s">
        <v>78</v>
      </c>
      <c r="D43" s="12">
        <f>'9-16'!F43</f>
        <v>3</v>
      </c>
      <c r="E43" s="7">
        <f t="shared" si="0"/>
        <v>0</v>
      </c>
      <c r="F43" s="7">
        <f t="shared" si="1"/>
        <v>3</v>
      </c>
      <c r="G43" s="9"/>
      <c r="J43" s="27"/>
      <c r="K43" s="6"/>
      <c r="L43" s="6"/>
      <c r="M43" s="6"/>
      <c r="N43" s="6"/>
      <c r="O43" s="6"/>
      <c r="P43" s="6"/>
      <c r="Q43" s="6"/>
      <c r="R43" s="6"/>
      <c r="S43" s="6"/>
      <c r="T43" s="6"/>
      <c r="U43" s="28"/>
    </row>
    <row r="44" spans="1:21" ht="45" x14ac:dyDescent="0.25">
      <c r="A44" s="13">
        <f>IF(B44="","",COUNTA($B$3:B44))</f>
        <v>42</v>
      </c>
      <c r="B44" s="14" t="s">
        <v>42</v>
      </c>
      <c r="C44" s="14" t="s">
        <v>78</v>
      </c>
      <c r="D44" s="12">
        <f>'9-16'!F44</f>
        <v>0</v>
      </c>
      <c r="E44" s="7">
        <f t="shared" si="0"/>
        <v>0</v>
      </c>
      <c r="F44" s="7">
        <f t="shared" si="1"/>
        <v>0</v>
      </c>
      <c r="G44" s="9"/>
      <c r="J44" s="27"/>
      <c r="K44" s="6"/>
      <c r="L44" s="6"/>
      <c r="M44" s="6"/>
      <c r="N44" s="6"/>
      <c r="O44" s="6"/>
      <c r="P44" s="6"/>
      <c r="Q44" s="6"/>
      <c r="R44" s="6"/>
      <c r="S44" s="6"/>
      <c r="T44" s="6"/>
      <c r="U44" s="28"/>
    </row>
    <row r="45" spans="1:21" ht="30" x14ac:dyDescent="0.25">
      <c r="A45" s="10">
        <f>IF(B45="","",COUNTA($B$3:B45))</f>
        <v>43</v>
      </c>
      <c r="B45" s="11" t="s">
        <v>43</v>
      </c>
      <c r="C45" s="11" t="s">
        <v>78</v>
      </c>
      <c r="D45" s="12">
        <f>'9-16'!F45</f>
        <v>1</v>
      </c>
      <c r="E45" s="7">
        <f t="shared" si="0"/>
        <v>0</v>
      </c>
      <c r="F45" s="7">
        <f t="shared" si="1"/>
        <v>1</v>
      </c>
      <c r="G45" s="9"/>
      <c r="J45" s="27"/>
      <c r="K45" s="6"/>
      <c r="L45" s="6"/>
      <c r="M45" s="6"/>
      <c r="N45" s="6"/>
      <c r="O45" s="6"/>
      <c r="P45" s="6"/>
      <c r="Q45" s="6"/>
      <c r="R45" s="6"/>
      <c r="S45" s="6"/>
      <c r="T45" s="6"/>
      <c r="U45" s="28"/>
    </row>
    <row r="46" spans="1:21" ht="75" x14ac:dyDescent="0.25">
      <c r="A46" s="13">
        <f>IF(B46="","",COUNTA($B$3:B46))</f>
        <v>44</v>
      </c>
      <c r="B46" s="14" t="s">
        <v>44</v>
      </c>
      <c r="C46" s="14" t="s">
        <v>78</v>
      </c>
      <c r="D46" s="12">
        <f>'9-16'!F46</f>
        <v>0</v>
      </c>
      <c r="E46" s="7">
        <f t="shared" si="0"/>
        <v>0</v>
      </c>
      <c r="F46" s="7">
        <f t="shared" si="1"/>
        <v>0</v>
      </c>
      <c r="G46" s="9"/>
      <c r="J46" s="27"/>
      <c r="K46" s="6"/>
      <c r="L46" s="6"/>
      <c r="M46" s="6"/>
      <c r="N46" s="6"/>
      <c r="O46" s="6"/>
      <c r="P46" s="6"/>
      <c r="Q46" s="6"/>
      <c r="R46" s="6"/>
      <c r="S46" s="6"/>
      <c r="T46" s="6"/>
      <c r="U46" s="28"/>
    </row>
    <row r="47" spans="1:21" ht="30" x14ac:dyDescent="0.25">
      <c r="A47" s="10">
        <f>IF(B47="","",COUNTA($B$3:B47))</f>
        <v>45</v>
      </c>
      <c r="B47" s="11" t="s">
        <v>45</v>
      </c>
      <c r="C47" s="11" t="s">
        <v>78</v>
      </c>
      <c r="D47" s="12">
        <f>'9-16'!F47</f>
        <v>0</v>
      </c>
      <c r="E47" s="7">
        <f t="shared" si="0"/>
        <v>0</v>
      </c>
      <c r="F47" s="7">
        <f t="shared" si="1"/>
        <v>0</v>
      </c>
      <c r="G47" s="9"/>
      <c r="J47" s="27"/>
      <c r="K47" s="6"/>
      <c r="L47" s="6"/>
      <c r="M47" s="6"/>
      <c r="N47" s="6"/>
      <c r="O47" s="6"/>
      <c r="P47" s="6"/>
      <c r="Q47" s="6"/>
      <c r="R47" s="6"/>
      <c r="S47" s="6"/>
      <c r="T47" s="6"/>
      <c r="U47" s="28"/>
    </row>
    <row r="48" spans="1:21" ht="30" x14ac:dyDescent="0.25">
      <c r="A48" s="13">
        <f>IF(B48="","",COUNTA($B$3:B48))</f>
        <v>46</v>
      </c>
      <c r="B48" s="14" t="s">
        <v>46</v>
      </c>
      <c r="C48" s="14" t="s">
        <v>78</v>
      </c>
      <c r="D48" s="12">
        <f>'9-16'!F48</f>
        <v>3</v>
      </c>
      <c r="E48" s="7">
        <f t="shared" si="0"/>
        <v>0</v>
      </c>
      <c r="F48" s="7">
        <f t="shared" si="1"/>
        <v>3</v>
      </c>
      <c r="G48" s="9"/>
      <c r="J48" s="27"/>
      <c r="K48" s="6"/>
      <c r="L48" s="6"/>
      <c r="M48" s="6"/>
      <c r="N48" s="6"/>
      <c r="O48" s="6"/>
      <c r="P48" s="6"/>
      <c r="Q48" s="6"/>
      <c r="R48" s="6"/>
      <c r="S48" s="6"/>
      <c r="T48" s="6"/>
      <c r="U48" s="28"/>
    </row>
    <row r="49" spans="1:21" ht="45" x14ac:dyDescent="0.25">
      <c r="A49" s="10">
        <f>IF(B49="","",COUNTA($B$3:B49))</f>
        <v>47</v>
      </c>
      <c r="B49" s="11" t="s">
        <v>47</v>
      </c>
      <c r="C49" s="11" t="s">
        <v>78</v>
      </c>
      <c r="D49" s="12">
        <f>'9-16'!F49</f>
        <v>2</v>
      </c>
      <c r="E49" s="7">
        <f t="shared" si="0"/>
        <v>0</v>
      </c>
      <c r="F49" s="7">
        <f t="shared" si="1"/>
        <v>2</v>
      </c>
      <c r="G49" s="9"/>
      <c r="J49" s="27"/>
      <c r="K49" s="6"/>
      <c r="L49" s="6"/>
      <c r="M49" s="6"/>
      <c r="N49" s="6"/>
      <c r="O49" s="6"/>
      <c r="P49" s="6"/>
      <c r="Q49" s="6"/>
      <c r="R49" s="6"/>
      <c r="S49" s="6"/>
      <c r="T49" s="6"/>
      <c r="U49" s="28"/>
    </row>
    <row r="50" spans="1:21" ht="60" x14ac:dyDescent="0.25">
      <c r="A50" s="13">
        <f>IF(B50="","",COUNTA($B$3:B50))</f>
        <v>48</v>
      </c>
      <c r="B50" s="14" t="s">
        <v>48</v>
      </c>
      <c r="C50" s="14" t="s">
        <v>78</v>
      </c>
      <c r="D50" s="12">
        <f>'9-16'!F50</f>
        <v>3</v>
      </c>
      <c r="E50" s="7">
        <f t="shared" si="0"/>
        <v>0</v>
      </c>
      <c r="F50" s="7">
        <f t="shared" si="1"/>
        <v>3</v>
      </c>
      <c r="G50" s="9"/>
      <c r="J50" s="27"/>
      <c r="K50" s="6"/>
      <c r="L50" s="6"/>
      <c r="M50" s="6"/>
      <c r="N50" s="6"/>
      <c r="O50" s="6"/>
      <c r="P50" s="6"/>
      <c r="Q50" s="6"/>
      <c r="R50" s="6"/>
      <c r="S50" s="6"/>
      <c r="T50" s="6"/>
      <c r="U50" s="28"/>
    </row>
    <row r="51" spans="1:21" ht="30" x14ac:dyDescent="0.25">
      <c r="A51" s="10">
        <f>IF(B51="","",COUNTA($B$3:B51))</f>
        <v>49</v>
      </c>
      <c r="B51" s="11" t="s">
        <v>49</v>
      </c>
      <c r="C51" s="11" t="s">
        <v>78</v>
      </c>
      <c r="D51" s="12">
        <f>'9-16'!F51</f>
        <v>0</v>
      </c>
      <c r="E51" s="7">
        <f t="shared" si="0"/>
        <v>0</v>
      </c>
      <c r="F51" s="7">
        <f t="shared" si="1"/>
        <v>0</v>
      </c>
      <c r="G51" s="9"/>
      <c r="J51" s="27"/>
      <c r="K51" s="6"/>
      <c r="L51" s="6"/>
      <c r="M51" s="6"/>
      <c r="N51" s="6"/>
      <c r="O51" s="6"/>
      <c r="P51" s="6"/>
      <c r="Q51" s="6"/>
      <c r="R51" s="6"/>
      <c r="S51" s="6"/>
      <c r="T51" s="6"/>
      <c r="U51" s="28"/>
    </row>
    <row r="52" spans="1:21" ht="30" x14ac:dyDescent="0.25">
      <c r="A52" s="13">
        <f>IF(B52="","",COUNTA($B$3:B52))</f>
        <v>50</v>
      </c>
      <c r="B52" s="14" t="s">
        <v>2</v>
      </c>
      <c r="C52" s="14" t="s">
        <v>78</v>
      </c>
      <c r="D52" s="12">
        <f>'9-16'!F52</f>
        <v>0</v>
      </c>
      <c r="E52" s="7">
        <f t="shared" si="0"/>
        <v>0</v>
      </c>
      <c r="F52" s="7">
        <f t="shared" si="1"/>
        <v>0</v>
      </c>
      <c r="G52" s="9"/>
      <c r="J52" s="27"/>
      <c r="K52" s="6"/>
      <c r="L52" s="6"/>
      <c r="M52" s="6"/>
      <c r="N52" s="6"/>
      <c r="O52" s="6"/>
      <c r="P52" s="6"/>
      <c r="Q52" s="6"/>
      <c r="R52" s="6"/>
      <c r="S52" s="6"/>
      <c r="T52" s="6"/>
      <c r="U52" s="28"/>
    </row>
    <row r="53" spans="1:21" ht="30" x14ac:dyDescent="0.25">
      <c r="A53" s="10">
        <f>IF(B53="","",COUNTA($B$3:B53))</f>
        <v>51</v>
      </c>
      <c r="B53" s="11" t="s">
        <v>50</v>
      </c>
      <c r="C53" s="11" t="s">
        <v>79</v>
      </c>
      <c r="D53" s="12">
        <f>'9-16'!F53</f>
        <v>0</v>
      </c>
      <c r="E53" s="7">
        <f t="shared" si="0"/>
        <v>0</v>
      </c>
      <c r="F53" s="7">
        <f t="shared" si="1"/>
        <v>0</v>
      </c>
      <c r="G53" s="9"/>
      <c r="J53" s="27"/>
      <c r="K53" s="6"/>
      <c r="L53" s="6"/>
      <c r="M53" s="6"/>
      <c r="N53" s="6"/>
      <c r="O53" s="6"/>
      <c r="P53" s="6"/>
      <c r="Q53" s="6"/>
      <c r="R53" s="6"/>
      <c r="S53" s="6"/>
      <c r="T53" s="6"/>
      <c r="U53" s="28"/>
    </row>
    <row r="54" spans="1:21" ht="45" x14ac:dyDescent="0.25">
      <c r="A54" s="13">
        <f>IF(B54="","",COUNTA($B$3:B54))</f>
        <v>52</v>
      </c>
      <c r="B54" s="14" t="s">
        <v>51</v>
      </c>
      <c r="C54" s="14" t="s">
        <v>79</v>
      </c>
      <c r="D54" s="12">
        <f>'9-16'!F54</f>
        <v>0</v>
      </c>
      <c r="E54" s="7">
        <f t="shared" si="0"/>
        <v>0</v>
      </c>
      <c r="F54" s="7">
        <f t="shared" si="1"/>
        <v>0</v>
      </c>
      <c r="G54" s="9"/>
      <c r="J54" s="27"/>
      <c r="K54" s="6"/>
      <c r="L54" s="6"/>
      <c r="M54" s="6"/>
      <c r="N54" s="6"/>
      <c r="O54" s="6"/>
      <c r="P54" s="6"/>
      <c r="Q54" s="6"/>
      <c r="R54" s="6"/>
      <c r="S54" s="6"/>
      <c r="T54" s="6"/>
      <c r="U54" s="28"/>
    </row>
    <row r="55" spans="1:21" ht="30" x14ac:dyDescent="0.25">
      <c r="A55" s="10">
        <f>IF(B55="","",COUNTA($B$3:B55))</f>
        <v>53</v>
      </c>
      <c r="B55" s="11" t="s">
        <v>52</v>
      </c>
      <c r="C55" s="11" t="s">
        <v>78</v>
      </c>
      <c r="D55" s="12">
        <f>'9-16'!F55</f>
        <v>100</v>
      </c>
      <c r="E55" s="7">
        <f t="shared" si="0"/>
        <v>0</v>
      </c>
      <c r="F55" s="7">
        <f t="shared" si="1"/>
        <v>100</v>
      </c>
      <c r="G55" s="9"/>
      <c r="J55" s="27"/>
      <c r="K55" s="6"/>
      <c r="L55" s="6"/>
      <c r="M55" s="6"/>
      <c r="N55" s="6"/>
      <c r="O55" s="6"/>
      <c r="P55" s="6"/>
      <c r="Q55" s="6"/>
      <c r="R55" s="6"/>
      <c r="S55" s="6"/>
      <c r="T55" s="6"/>
      <c r="U55" s="28"/>
    </row>
    <row r="56" spans="1:21" ht="45" x14ac:dyDescent="0.25">
      <c r="A56" s="13">
        <f>IF(B56="","",COUNTA($B$3:B56))</f>
        <v>54</v>
      </c>
      <c r="B56" s="14" t="s">
        <v>53</v>
      </c>
      <c r="C56" s="14" t="s">
        <v>78</v>
      </c>
      <c r="D56" s="12">
        <f>'9-16'!F56</f>
        <v>15</v>
      </c>
      <c r="E56" s="7">
        <f t="shared" si="0"/>
        <v>0</v>
      </c>
      <c r="F56" s="7">
        <f t="shared" si="1"/>
        <v>15</v>
      </c>
      <c r="G56" s="9"/>
      <c r="J56" s="27"/>
      <c r="K56" s="6"/>
      <c r="L56" s="6"/>
      <c r="M56" s="6"/>
      <c r="N56" s="6"/>
      <c r="O56" s="6"/>
      <c r="P56" s="6"/>
      <c r="Q56" s="6"/>
      <c r="R56" s="6"/>
      <c r="S56" s="6"/>
      <c r="T56" s="6"/>
      <c r="U56" s="28"/>
    </row>
    <row r="57" spans="1:21" ht="45" x14ac:dyDescent="0.25">
      <c r="A57" s="10">
        <f>IF(B57="","",COUNTA($B$3:B57))</f>
        <v>55</v>
      </c>
      <c r="B57" s="11" t="s">
        <v>54</v>
      </c>
      <c r="C57" s="11" t="s">
        <v>78</v>
      </c>
      <c r="D57" s="12">
        <f>'9-16'!F57</f>
        <v>5</v>
      </c>
      <c r="E57" s="7">
        <f t="shared" si="0"/>
        <v>0</v>
      </c>
      <c r="F57" s="7">
        <f t="shared" si="1"/>
        <v>5</v>
      </c>
      <c r="G57" s="9"/>
      <c r="J57" s="27"/>
      <c r="K57" s="6"/>
      <c r="L57" s="6"/>
      <c r="M57" s="6"/>
      <c r="N57" s="6"/>
      <c r="O57" s="6"/>
      <c r="P57" s="6"/>
      <c r="Q57" s="6"/>
      <c r="R57" s="6"/>
      <c r="S57" s="6"/>
      <c r="T57" s="6"/>
      <c r="U57" s="28"/>
    </row>
    <row r="58" spans="1:21" ht="45" x14ac:dyDescent="0.25">
      <c r="A58" s="13">
        <f>IF(B58="","",COUNTA($B$3:B58))</f>
        <v>56</v>
      </c>
      <c r="B58" s="14" t="s">
        <v>55</v>
      </c>
      <c r="C58" s="14" t="s">
        <v>78</v>
      </c>
      <c r="D58" s="12">
        <f>'9-16'!F58</f>
        <v>10</v>
      </c>
      <c r="E58" s="7">
        <f t="shared" si="0"/>
        <v>0</v>
      </c>
      <c r="F58" s="7">
        <f t="shared" si="1"/>
        <v>10</v>
      </c>
      <c r="G58" s="9"/>
      <c r="J58" s="27"/>
      <c r="K58" s="6"/>
      <c r="L58" s="6"/>
      <c r="M58" s="6"/>
      <c r="N58" s="6"/>
      <c r="O58" s="6"/>
      <c r="P58" s="6"/>
      <c r="Q58" s="6"/>
      <c r="R58" s="6"/>
      <c r="S58" s="6"/>
      <c r="T58" s="6"/>
      <c r="U58" s="28"/>
    </row>
    <row r="59" spans="1:21" ht="75" x14ac:dyDescent="0.25">
      <c r="A59" s="10">
        <f>IF(B59="","",COUNTA($B$3:B59))</f>
        <v>57</v>
      </c>
      <c r="B59" s="11" t="s">
        <v>56</v>
      </c>
      <c r="C59" s="11" t="s">
        <v>78</v>
      </c>
      <c r="D59" s="12">
        <f>'9-16'!F59</f>
        <v>0</v>
      </c>
      <c r="E59" s="7">
        <f t="shared" si="0"/>
        <v>0</v>
      </c>
      <c r="F59" s="7">
        <f t="shared" si="1"/>
        <v>0</v>
      </c>
      <c r="G59" s="9"/>
      <c r="J59" s="27"/>
      <c r="K59" s="6"/>
      <c r="L59" s="6"/>
      <c r="M59" s="6"/>
      <c r="N59" s="6"/>
      <c r="O59" s="6"/>
      <c r="P59" s="6"/>
      <c r="Q59" s="6"/>
      <c r="R59" s="6"/>
      <c r="S59" s="6"/>
      <c r="T59" s="6"/>
      <c r="U59" s="28"/>
    </row>
    <row r="60" spans="1:21" ht="30" x14ac:dyDescent="0.25">
      <c r="A60" s="13">
        <f>IF(B60="","",COUNTA($B$3:B60))</f>
        <v>58</v>
      </c>
      <c r="B60" s="14" t="s">
        <v>57</v>
      </c>
      <c r="C60" s="14" t="s">
        <v>78</v>
      </c>
      <c r="D60" s="12">
        <f>'9-16'!F60</f>
        <v>5</v>
      </c>
      <c r="E60" s="7">
        <f t="shared" si="0"/>
        <v>0</v>
      </c>
      <c r="F60" s="7">
        <f t="shared" si="1"/>
        <v>5</v>
      </c>
      <c r="G60" s="9"/>
      <c r="J60" s="27"/>
      <c r="K60" s="6"/>
      <c r="L60" s="6"/>
      <c r="M60" s="6"/>
      <c r="N60" s="6"/>
      <c r="O60" s="6"/>
      <c r="P60" s="6"/>
      <c r="Q60" s="6"/>
      <c r="R60" s="6"/>
      <c r="S60" s="6"/>
      <c r="T60" s="6"/>
      <c r="U60" s="28"/>
    </row>
    <row r="61" spans="1:21" ht="30" x14ac:dyDescent="0.25">
      <c r="A61" s="10">
        <f>IF(B61="","",COUNTA($B$3:B61))</f>
        <v>59</v>
      </c>
      <c r="B61" s="11" t="s">
        <v>58</v>
      </c>
      <c r="C61" s="11" t="s">
        <v>78</v>
      </c>
      <c r="D61" s="12">
        <f>'9-16'!F61</f>
        <v>4</v>
      </c>
      <c r="E61" s="7">
        <f t="shared" si="0"/>
        <v>0</v>
      </c>
      <c r="F61" s="7">
        <f t="shared" si="1"/>
        <v>4</v>
      </c>
      <c r="G61" s="9"/>
      <c r="J61" s="27"/>
      <c r="K61" s="6"/>
      <c r="L61" s="6"/>
      <c r="M61" s="6"/>
      <c r="N61" s="6"/>
      <c r="O61" s="6"/>
      <c r="P61" s="6"/>
      <c r="Q61" s="6"/>
      <c r="R61" s="6"/>
      <c r="S61" s="6"/>
      <c r="T61" s="6"/>
      <c r="U61" s="28"/>
    </row>
    <row r="62" spans="1:21" ht="60" x14ac:dyDescent="0.25">
      <c r="A62" s="13">
        <f>IF(B62="","",COUNTA($B$3:B62))</f>
        <v>60</v>
      </c>
      <c r="B62" s="14" t="s">
        <v>59</v>
      </c>
      <c r="C62" s="14" t="s">
        <v>78</v>
      </c>
      <c r="D62" s="12">
        <f>'9-16'!F62</f>
        <v>1</v>
      </c>
      <c r="E62" s="7">
        <f t="shared" si="0"/>
        <v>0</v>
      </c>
      <c r="F62" s="7">
        <f t="shared" si="1"/>
        <v>1</v>
      </c>
      <c r="G62" s="9"/>
      <c r="J62" s="27"/>
      <c r="K62" s="6"/>
      <c r="L62" s="6"/>
      <c r="M62" s="6"/>
      <c r="N62" s="6"/>
      <c r="O62" s="6"/>
      <c r="P62" s="6"/>
      <c r="Q62" s="6"/>
      <c r="R62" s="6"/>
      <c r="S62" s="6"/>
      <c r="T62" s="6"/>
      <c r="U62" s="28"/>
    </row>
    <row r="63" spans="1:21" ht="60" x14ac:dyDescent="0.25">
      <c r="A63" s="10">
        <f>IF(B63="","",COUNTA($B$3:B63))</f>
        <v>61</v>
      </c>
      <c r="B63" s="11" t="s">
        <v>60</v>
      </c>
      <c r="C63" s="11" t="s">
        <v>78</v>
      </c>
      <c r="D63" s="12">
        <f>'9-16'!F63</f>
        <v>7</v>
      </c>
      <c r="E63" s="7">
        <f t="shared" si="0"/>
        <v>0</v>
      </c>
      <c r="F63" s="7">
        <f t="shared" si="1"/>
        <v>7</v>
      </c>
      <c r="G63" s="9"/>
      <c r="J63" s="27"/>
      <c r="K63" s="6"/>
      <c r="L63" s="6"/>
      <c r="M63" s="6"/>
      <c r="N63" s="6"/>
      <c r="O63" s="6"/>
      <c r="P63" s="6"/>
      <c r="Q63" s="6"/>
      <c r="R63" s="6"/>
      <c r="S63" s="6"/>
      <c r="T63" s="6"/>
      <c r="U63" s="28"/>
    </row>
    <row r="64" spans="1:21" ht="60" x14ac:dyDescent="0.25">
      <c r="A64" s="13">
        <f>IF(B64="","",COUNTA($B$3:B64))</f>
        <v>62</v>
      </c>
      <c r="B64" s="14" t="s">
        <v>61</v>
      </c>
      <c r="C64" s="14" t="s">
        <v>78</v>
      </c>
      <c r="D64" s="12">
        <f>'9-16'!F64</f>
        <v>6</v>
      </c>
      <c r="E64" s="7">
        <f t="shared" si="0"/>
        <v>0</v>
      </c>
      <c r="F64" s="7">
        <f t="shared" si="1"/>
        <v>6</v>
      </c>
      <c r="G64" s="9"/>
      <c r="J64" s="27"/>
      <c r="K64" s="6"/>
      <c r="L64" s="6"/>
      <c r="M64" s="6"/>
      <c r="N64" s="6"/>
      <c r="O64" s="6"/>
      <c r="P64" s="6"/>
      <c r="Q64" s="6"/>
      <c r="R64" s="6"/>
      <c r="S64" s="6"/>
      <c r="T64" s="6"/>
      <c r="U64" s="28"/>
    </row>
    <row r="65" spans="1:21" ht="30" x14ac:dyDescent="0.25">
      <c r="A65" s="10">
        <f>IF(B65="","",COUNTA($B$3:B65))</f>
        <v>63</v>
      </c>
      <c r="B65" s="11" t="s">
        <v>62</v>
      </c>
      <c r="C65" s="11" t="s">
        <v>78</v>
      </c>
      <c r="D65" s="12">
        <f>'9-16'!F65</f>
        <v>1</v>
      </c>
      <c r="E65" s="7">
        <f t="shared" si="0"/>
        <v>0</v>
      </c>
      <c r="F65" s="7">
        <f t="shared" si="1"/>
        <v>1</v>
      </c>
      <c r="G65" s="9"/>
      <c r="J65" s="27"/>
      <c r="K65" s="6"/>
      <c r="L65" s="6"/>
      <c r="M65" s="6"/>
      <c r="N65" s="6"/>
      <c r="O65" s="6"/>
      <c r="P65" s="6"/>
      <c r="Q65" s="6"/>
      <c r="R65" s="6"/>
      <c r="S65" s="6"/>
      <c r="T65" s="6"/>
      <c r="U65" s="28"/>
    </row>
    <row r="66" spans="1:21" ht="45" x14ac:dyDescent="0.25">
      <c r="A66" s="13">
        <f>IF(B66="","",COUNTA($B$3:B66))</f>
        <v>64</v>
      </c>
      <c r="B66" s="14" t="s">
        <v>63</v>
      </c>
      <c r="C66" s="14" t="s">
        <v>78</v>
      </c>
      <c r="D66" s="12">
        <f>'9-16'!F66</f>
        <v>1</v>
      </c>
      <c r="E66" s="7">
        <f t="shared" si="0"/>
        <v>0</v>
      </c>
      <c r="F66" s="7">
        <f t="shared" si="1"/>
        <v>1</v>
      </c>
      <c r="G66" s="9"/>
      <c r="J66" s="27"/>
      <c r="K66" s="6"/>
      <c r="L66" s="6"/>
      <c r="M66" s="6"/>
      <c r="N66" s="6"/>
      <c r="O66" s="6"/>
      <c r="P66" s="6"/>
      <c r="Q66" s="6"/>
      <c r="R66" s="6"/>
      <c r="S66" s="6"/>
      <c r="T66" s="6"/>
      <c r="U66" s="28"/>
    </row>
    <row r="67" spans="1:21" ht="75" x14ac:dyDescent="0.25">
      <c r="A67" s="10">
        <f>IF(B67="","",COUNTA($B$3:B67))</f>
        <v>65</v>
      </c>
      <c r="B67" s="11" t="s">
        <v>64</v>
      </c>
      <c r="C67" s="11" t="s">
        <v>78</v>
      </c>
      <c r="D67" s="12">
        <f>'9-16'!F67</f>
        <v>2</v>
      </c>
      <c r="E67" s="7">
        <f t="shared" ref="E67:E82" si="2">SUM(J67:U67)</f>
        <v>0</v>
      </c>
      <c r="F67" s="7">
        <f t="shared" ref="F67:F82" si="3">D67-E67</f>
        <v>2</v>
      </c>
      <c r="G67" s="9"/>
      <c r="J67" s="27"/>
      <c r="K67" s="6"/>
      <c r="L67" s="6"/>
      <c r="M67" s="6"/>
      <c r="N67" s="6"/>
      <c r="O67" s="6"/>
      <c r="P67" s="6"/>
      <c r="Q67" s="6"/>
      <c r="R67" s="6"/>
      <c r="S67" s="6"/>
      <c r="T67" s="6"/>
      <c r="U67" s="28"/>
    </row>
    <row r="68" spans="1:21" ht="45" x14ac:dyDescent="0.25">
      <c r="A68" s="13">
        <f>IF(B68="","",COUNTA($B$3:B68))</f>
        <v>66</v>
      </c>
      <c r="B68" s="14" t="s">
        <v>65</v>
      </c>
      <c r="C68" s="14" t="s">
        <v>78</v>
      </c>
      <c r="D68" s="12">
        <f>'9-16'!F68</f>
        <v>30</v>
      </c>
      <c r="E68" s="7">
        <f t="shared" si="2"/>
        <v>0</v>
      </c>
      <c r="F68" s="7">
        <f t="shared" si="3"/>
        <v>30</v>
      </c>
      <c r="G68" s="9"/>
      <c r="J68" s="27"/>
      <c r="K68" s="6"/>
      <c r="L68" s="6"/>
      <c r="M68" s="6"/>
      <c r="N68" s="6"/>
      <c r="O68" s="6"/>
      <c r="P68" s="6"/>
      <c r="Q68" s="6"/>
      <c r="R68" s="6"/>
      <c r="S68" s="6"/>
      <c r="T68" s="6"/>
      <c r="U68" s="28"/>
    </row>
    <row r="69" spans="1:21" ht="30" x14ac:dyDescent="0.25">
      <c r="A69" s="10">
        <f>IF(B69="","",COUNTA($B$3:B69))</f>
        <v>67</v>
      </c>
      <c r="B69" s="11" t="s">
        <v>66</v>
      </c>
      <c r="C69" s="11" t="s">
        <v>79</v>
      </c>
      <c r="D69" s="12">
        <f>'9-16'!F69</f>
        <v>1</v>
      </c>
      <c r="E69" s="7">
        <f t="shared" si="2"/>
        <v>0</v>
      </c>
      <c r="F69" s="7">
        <f t="shared" si="3"/>
        <v>1</v>
      </c>
      <c r="G69" s="9"/>
      <c r="J69" s="27"/>
      <c r="K69" s="6"/>
      <c r="L69" s="6"/>
      <c r="M69" s="6"/>
      <c r="N69" s="6"/>
      <c r="O69" s="6"/>
      <c r="P69" s="6"/>
      <c r="Q69" s="6"/>
      <c r="R69" s="6"/>
      <c r="S69" s="6"/>
      <c r="T69" s="6"/>
      <c r="U69" s="28"/>
    </row>
    <row r="70" spans="1:21" ht="45" x14ac:dyDescent="0.25">
      <c r="A70" s="18">
        <f>IF(B70="","",COUNTA($B$3:B70))</f>
        <v>68</v>
      </c>
      <c r="B70" s="17" t="s">
        <v>67</v>
      </c>
      <c r="C70" s="17" t="s">
        <v>78</v>
      </c>
      <c r="D70" s="12">
        <f>'9-16'!F70</f>
        <v>0</v>
      </c>
      <c r="E70" s="7">
        <f t="shared" si="2"/>
        <v>0</v>
      </c>
      <c r="F70" s="7">
        <f t="shared" si="3"/>
        <v>0</v>
      </c>
      <c r="G70" s="9"/>
      <c r="J70" s="27"/>
      <c r="K70" s="6"/>
      <c r="L70" s="6"/>
      <c r="M70" s="6"/>
      <c r="N70" s="6"/>
      <c r="O70" s="6"/>
      <c r="P70" s="6"/>
      <c r="Q70" s="6"/>
      <c r="R70" s="6"/>
      <c r="S70" s="6"/>
      <c r="T70" s="6"/>
      <c r="U70" s="28"/>
    </row>
    <row r="71" spans="1:21" ht="30" x14ac:dyDescent="0.25">
      <c r="A71" s="19">
        <f>IF(B71="","",COUNTA($B$3:B71))</f>
        <v>69</v>
      </c>
      <c r="B71" s="11" t="s">
        <v>68</v>
      </c>
      <c r="C71" s="11" t="s">
        <v>78</v>
      </c>
      <c r="D71" s="12">
        <f>'9-16'!F71</f>
        <v>0</v>
      </c>
      <c r="E71" s="7">
        <f t="shared" si="2"/>
        <v>0</v>
      </c>
      <c r="F71" s="7">
        <f t="shared" si="3"/>
        <v>0</v>
      </c>
      <c r="G71" s="9"/>
      <c r="J71" s="27"/>
      <c r="K71" s="6"/>
      <c r="L71" s="6"/>
      <c r="M71" s="6"/>
      <c r="N71" s="6"/>
      <c r="O71" s="6"/>
      <c r="P71" s="6"/>
      <c r="Q71" s="6"/>
      <c r="R71" s="6"/>
      <c r="S71" s="6"/>
      <c r="T71" s="6"/>
      <c r="U71" s="28"/>
    </row>
    <row r="72" spans="1:21" ht="30" x14ac:dyDescent="0.25">
      <c r="A72" s="18">
        <f>IF(B72="","",COUNTA($B$3:B72))</f>
        <v>70</v>
      </c>
      <c r="B72" s="14" t="s">
        <v>69</v>
      </c>
      <c r="C72" s="14" t="s">
        <v>78</v>
      </c>
      <c r="D72" s="12">
        <f>'9-16'!F72</f>
        <v>14</v>
      </c>
      <c r="E72" s="7">
        <f t="shared" si="2"/>
        <v>0</v>
      </c>
      <c r="F72" s="7">
        <f t="shared" si="3"/>
        <v>14</v>
      </c>
      <c r="G72" s="9"/>
      <c r="J72" s="27"/>
      <c r="K72" s="6"/>
      <c r="L72" s="6"/>
      <c r="M72" s="6"/>
      <c r="N72" s="6"/>
      <c r="O72" s="6"/>
      <c r="P72" s="6"/>
      <c r="Q72" s="6"/>
      <c r="R72" s="6"/>
      <c r="S72" s="6"/>
      <c r="T72" s="6"/>
      <c r="U72" s="28"/>
    </row>
    <row r="73" spans="1:21" ht="30" x14ac:dyDescent="0.25">
      <c r="A73" s="19">
        <f>IF(B73="","",COUNTA($B$3:B73))</f>
        <v>71</v>
      </c>
      <c r="B73" s="11" t="s">
        <v>70</v>
      </c>
      <c r="C73" s="11" t="s">
        <v>78</v>
      </c>
      <c r="D73" s="12">
        <f>'9-16'!F73</f>
        <v>38</v>
      </c>
      <c r="E73" s="7">
        <f t="shared" si="2"/>
        <v>0</v>
      </c>
      <c r="F73" s="7">
        <f t="shared" si="3"/>
        <v>38</v>
      </c>
      <c r="G73" s="9"/>
      <c r="J73" s="27"/>
      <c r="K73" s="6"/>
      <c r="L73" s="6"/>
      <c r="M73" s="6"/>
      <c r="N73" s="6"/>
      <c r="O73" s="6"/>
      <c r="P73" s="6"/>
      <c r="Q73" s="6"/>
      <c r="R73" s="6"/>
      <c r="S73" s="6"/>
      <c r="T73" s="6"/>
      <c r="U73" s="28"/>
    </row>
    <row r="74" spans="1:21" ht="30" x14ac:dyDescent="0.25">
      <c r="A74" s="18">
        <f>IF(B74="","",COUNTA($B$3:B74))</f>
        <v>72</v>
      </c>
      <c r="B74" s="14" t="s">
        <v>71</v>
      </c>
      <c r="C74" s="14" t="s">
        <v>78</v>
      </c>
      <c r="D74" s="12">
        <f>'9-16'!F74</f>
        <v>5</v>
      </c>
      <c r="E74" s="7">
        <f t="shared" si="2"/>
        <v>0</v>
      </c>
      <c r="F74" s="7">
        <f t="shared" si="3"/>
        <v>5</v>
      </c>
      <c r="G74" s="9"/>
      <c r="J74" s="27"/>
      <c r="K74" s="6"/>
      <c r="L74" s="6"/>
      <c r="M74" s="6"/>
      <c r="N74" s="6"/>
      <c r="O74" s="6"/>
      <c r="P74" s="6"/>
      <c r="Q74" s="6"/>
      <c r="R74" s="6"/>
      <c r="S74" s="6"/>
      <c r="T74" s="6"/>
      <c r="U74" s="28"/>
    </row>
    <row r="75" spans="1:21" ht="60" x14ac:dyDescent="0.25">
      <c r="A75" s="19">
        <f>IF(B75="","",COUNTA($B$3:B75))</f>
        <v>73</v>
      </c>
      <c r="B75" s="11" t="s">
        <v>72</v>
      </c>
      <c r="C75" s="11" t="s">
        <v>78</v>
      </c>
      <c r="D75" s="12">
        <f>'9-16'!F75</f>
        <v>185</v>
      </c>
      <c r="E75" s="7">
        <f t="shared" si="2"/>
        <v>0</v>
      </c>
      <c r="F75" s="7">
        <f t="shared" si="3"/>
        <v>185</v>
      </c>
      <c r="G75" s="9"/>
      <c r="J75" s="27"/>
      <c r="K75" s="6"/>
      <c r="L75" s="6"/>
      <c r="M75" s="6"/>
      <c r="N75" s="6"/>
      <c r="O75" s="6"/>
      <c r="P75" s="6"/>
      <c r="Q75" s="6"/>
      <c r="R75" s="6"/>
      <c r="S75" s="6"/>
      <c r="T75" s="6"/>
      <c r="U75" s="28"/>
    </row>
    <row r="76" spans="1:21" ht="30" x14ac:dyDescent="0.25">
      <c r="A76" s="18">
        <f>IF(B76="","",COUNTA($B$3:B76))</f>
        <v>74</v>
      </c>
      <c r="B76" s="14" t="s">
        <v>73</v>
      </c>
      <c r="C76" s="14" t="s">
        <v>78</v>
      </c>
      <c r="D76" s="12">
        <f>'9-16'!F76</f>
        <v>4</v>
      </c>
      <c r="E76" s="7">
        <f t="shared" si="2"/>
        <v>0</v>
      </c>
      <c r="F76" s="7">
        <f t="shared" si="3"/>
        <v>4</v>
      </c>
      <c r="G76" s="9"/>
      <c r="J76" s="27"/>
      <c r="K76" s="6"/>
      <c r="L76" s="6"/>
      <c r="M76" s="6"/>
      <c r="N76" s="6"/>
      <c r="O76" s="6"/>
      <c r="P76" s="6"/>
      <c r="Q76" s="6"/>
      <c r="R76" s="6"/>
      <c r="S76" s="6"/>
      <c r="T76" s="6"/>
      <c r="U76" s="28"/>
    </row>
    <row r="77" spans="1:21" ht="45" x14ac:dyDescent="0.25">
      <c r="A77" s="19">
        <f>IF(B77="","",COUNTA($B$3:B77))</f>
        <v>75</v>
      </c>
      <c r="B77" s="11" t="s">
        <v>74</v>
      </c>
      <c r="C77" s="11" t="s">
        <v>78</v>
      </c>
      <c r="D77" s="12">
        <f>'9-16'!F77</f>
        <v>8</v>
      </c>
      <c r="E77" s="7">
        <f t="shared" si="2"/>
        <v>0</v>
      </c>
      <c r="F77" s="7">
        <f t="shared" si="3"/>
        <v>8</v>
      </c>
      <c r="G77" s="9"/>
      <c r="J77" s="27"/>
      <c r="K77" s="6"/>
      <c r="L77" s="6"/>
      <c r="M77" s="6"/>
      <c r="N77" s="6"/>
      <c r="O77" s="6"/>
      <c r="P77" s="6"/>
      <c r="Q77" s="6"/>
      <c r="R77" s="6"/>
      <c r="S77" s="6"/>
      <c r="T77" s="6"/>
      <c r="U77" s="28"/>
    </row>
    <row r="78" spans="1:21" ht="45" x14ac:dyDescent="0.25">
      <c r="A78" s="18">
        <f>IF(B78="","",COUNTA($B$3:B78))</f>
        <v>76</v>
      </c>
      <c r="B78" s="17" t="s">
        <v>75</v>
      </c>
      <c r="C78" s="17" t="s">
        <v>78</v>
      </c>
      <c r="D78" s="12">
        <f>'9-16'!F78</f>
        <v>19</v>
      </c>
      <c r="E78" s="7">
        <f t="shared" si="2"/>
        <v>0</v>
      </c>
      <c r="F78" s="7">
        <f t="shared" si="3"/>
        <v>19</v>
      </c>
      <c r="G78" s="9"/>
      <c r="J78" s="27"/>
      <c r="K78" s="6"/>
      <c r="L78" s="6"/>
      <c r="M78" s="6"/>
      <c r="N78" s="6"/>
      <c r="O78" s="6"/>
      <c r="P78" s="6"/>
      <c r="Q78" s="6"/>
      <c r="R78" s="6"/>
      <c r="S78" s="6"/>
      <c r="T78" s="6"/>
      <c r="U78" s="28"/>
    </row>
    <row r="79" spans="1:21" ht="30" x14ac:dyDescent="0.25">
      <c r="A79" s="19">
        <f>IF(B79="","",COUNTA($B$3:B79))</f>
        <v>77</v>
      </c>
      <c r="B79" s="21" t="s">
        <v>76</v>
      </c>
      <c r="C79" s="21" t="s">
        <v>78</v>
      </c>
      <c r="D79" s="12">
        <f>'9-16'!F79</f>
        <v>8</v>
      </c>
      <c r="E79" s="7">
        <f t="shared" si="2"/>
        <v>0</v>
      </c>
      <c r="F79" s="7">
        <f t="shared" si="3"/>
        <v>8</v>
      </c>
      <c r="G79" s="9"/>
      <c r="J79" s="27"/>
      <c r="K79" s="6"/>
      <c r="L79" s="6"/>
      <c r="M79" s="6"/>
      <c r="N79" s="6"/>
      <c r="O79" s="6"/>
      <c r="P79" s="6"/>
      <c r="Q79" s="6"/>
      <c r="R79" s="6"/>
      <c r="S79" s="6"/>
      <c r="T79" s="6"/>
      <c r="U79" s="28"/>
    </row>
    <row r="80" spans="1:21" ht="30" x14ac:dyDescent="0.25">
      <c r="A80" s="18">
        <f>IF(B80="","",COUNTA($B$3:B80))</f>
        <v>78</v>
      </c>
      <c r="B80" s="14" t="s">
        <v>41</v>
      </c>
      <c r="C80" s="17" t="s">
        <v>78</v>
      </c>
      <c r="D80" s="12">
        <f>'9-16'!F80</f>
        <v>1</v>
      </c>
      <c r="E80" s="7">
        <f t="shared" si="2"/>
        <v>0</v>
      </c>
      <c r="F80" s="7">
        <f t="shared" si="3"/>
        <v>1</v>
      </c>
      <c r="G80" s="9"/>
      <c r="J80" s="27"/>
      <c r="K80" s="6"/>
      <c r="L80" s="6"/>
      <c r="M80" s="6"/>
      <c r="N80" s="6"/>
      <c r="O80" s="6"/>
      <c r="P80" s="6"/>
      <c r="Q80" s="6"/>
      <c r="R80" s="6"/>
      <c r="S80" s="6"/>
      <c r="T80" s="6"/>
      <c r="U80" s="28"/>
    </row>
    <row r="81" spans="1:21" ht="45" x14ac:dyDescent="0.25">
      <c r="A81" s="19">
        <f>IF(B81="","",COUNTA($B$3:B81))</f>
        <v>79</v>
      </c>
      <c r="B81" s="11" t="s">
        <v>42</v>
      </c>
      <c r="C81" s="21" t="s">
        <v>78</v>
      </c>
      <c r="D81" s="12">
        <f>'9-16'!F81</f>
        <v>0</v>
      </c>
      <c r="E81" s="7">
        <f t="shared" si="2"/>
        <v>0</v>
      </c>
      <c r="F81" s="7">
        <f t="shared" si="3"/>
        <v>0</v>
      </c>
      <c r="G81" s="9"/>
      <c r="J81" s="27"/>
      <c r="K81" s="6"/>
      <c r="L81" s="6"/>
      <c r="M81" s="6"/>
      <c r="N81" s="6"/>
      <c r="O81" s="6"/>
      <c r="P81" s="6"/>
      <c r="Q81" s="6"/>
      <c r="R81" s="6"/>
      <c r="S81" s="6"/>
      <c r="T81" s="6"/>
      <c r="U81" s="28"/>
    </row>
    <row r="82" spans="1:21" ht="30" x14ac:dyDescent="0.25">
      <c r="A82" s="19">
        <f>IF(B82="","",COUNTA($B$3:B82))</f>
        <v>80</v>
      </c>
      <c r="B82" s="17" t="s">
        <v>108</v>
      </c>
      <c r="C82" s="21" t="s">
        <v>78</v>
      </c>
      <c r="D82" s="12">
        <v>12</v>
      </c>
      <c r="E82" s="7">
        <f t="shared" si="2"/>
        <v>1</v>
      </c>
      <c r="F82" s="7">
        <f t="shared" si="3"/>
        <v>11</v>
      </c>
      <c r="G82" s="9" t="s">
        <v>97</v>
      </c>
      <c r="J82" s="27"/>
      <c r="K82" s="6"/>
      <c r="L82" s="6"/>
      <c r="M82" s="6"/>
      <c r="N82" s="6"/>
      <c r="O82" s="6"/>
      <c r="P82" s="6"/>
      <c r="Q82" s="6"/>
      <c r="R82" s="6"/>
      <c r="S82" s="6">
        <v>1</v>
      </c>
      <c r="T82" s="6"/>
      <c r="U82" s="28"/>
    </row>
    <row r="83" spans="1:21" ht="15.75" thickBot="1" x14ac:dyDescent="0.3">
      <c r="A83" s="24"/>
      <c r="B83" s="25"/>
      <c r="C83" s="23"/>
      <c r="D83" s="23"/>
      <c r="E83" s="32"/>
      <c r="F83" s="7"/>
      <c r="G83" s="23"/>
      <c r="J83" s="27"/>
      <c r="K83" s="6"/>
      <c r="L83" s="6"/>
      <c r="M83" s="6"/>
      <c r="N83" s="6"/>
      <c r="O83" s="6"/>
      <c r="P83" s="6"/>
      <c r="Q83" s="6"/>
      <c r="R83" s="6"/>
      <c r="S83" s="6"/>
      <c r="T83" s="6"/>
      <c r="U83" s="28"/>
    </row>
    <row r="84" spans="1:21" ht="15.75" thickBot="1" x14ac:dyDescent="0.3">
      <c r="A84" s="23"/>
      <c r="B84" s="23"/>
      <c r="C84" s="23"/>
      <c r="D84" s="23"/>
      <c r="E84" s="32"/>
      <c r="F84" s="7"/>
      <c r="G84" s="23"/>
      <c r="J84" s="29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1"/>
    </row>
  </sheetData>
  <mergeCells count="2">
    <mergeCell ref="B1:F1"/>
    <mergeCell ref="J1:U1"/>
  </mergeCells>
  <conditionalFormatting sqref="D3:D82">
    <cfRule type="cellIs" dxfId="53" priority="1" operator="lessThan">
      <formula>11</formula>
    </cfRule>
  </conditionalFormatting>
  <dataValidations count="2">
    <dataValidation type="list" allowBlank="1" showInputMessage="1" showErrorMessage="1" sqref="C3:C82">
      <formula1>"តូច small​  小, ធំ Big 大的"</formula1>
    </dataValidation>
    <dataValidation type="list" allowBlank="1" showInputMessage="1" showErrorMessage="1" sqref="G3:G82">
      <formula1>$X$3:$X$10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84"/>
  <sheetViews>
    <sheetView workbookViewId="0">
      <selection activeCell="G3" sqref="G3"/>
    </sheetView>
  </sheetViews>
  <sheetFormatPr defaultRowHeight="15" x14ac:dyDescent="0.25"/>
  <cols>
    <col min="1" max="1" width="14.85546875" customWidth="1"/>
    <col min="2" max="2" width="24.140625" customWidth="1"/>
    <col min="3" max="3" width="9.85546875" customWidth="1"/>
    <col min="4" max="4" width="16.42578125" customWidth="1"/>
    <col min="5" max="5" width="19.42578125" customWidth="1"/>
    <col min="6" max="6" width="12" customWidth="1"/>
    <col min="7" max="7" width="22.28515625" customWidth="1"/>
    <col min="8" max="8" width="2.5703125" customWidth="1"/>
    <col min="9" max="9" width="5.140625" hidden="1" customWidth="1"/>
    <col min="10" max="18" width="6.140625" customWidth="1"/>
    <col min="19" max="21" width="6.42578125" customWidth="1"/>
  </cols>
  <sheetData>
    <row r="1" spans="1:24" ht="58.5" customHeight="1" thickBot="1" x14ac:dyDescent="0.3">
      <c r="A1" s="1"/>
      <c r="B1" s="35" t="s">
        <v>101</v>
      </c>
      <c r="C1" s="35"/>
      <c r="D1" s="35"/>
      <c r="E1" s="35"/>
      <c r="F1" s="35"/>
      <c r="G1" s="34" t="s">
        <v>102</v>
      </c>
      <c r="J1" s="36" t="s">
        <v>103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8"/>
    </row>
    <row r="2" spans="1:24" ht="73.5" customHeight="1" thickBot="1" x14ac:dyDescent="0.3">
      <c r="A2" s="4" t="s">
        <v>0</v>
      </c>
      <c r="B2" s="3" t="s">
        <v>1</v>
      </c>
      <c r="C2" s="3" t="s">
        <v>77</v>
      </c>
      <c r="D2" s="3" t="s">
        <v>80</v>
      </c>
      <c r="E2" s="3" t="s">
        <v>81</v>
      </c>
      <c r="F2" s="3" t="s">
        <v>82</v>
      </c>
      <c r="G2" s="5" t="s">
        <v>83</v>
      </c>
      <c r="J2" s="26" t="s">
        <v>84</v>
      </c>
      <c r="K2" s="26" t="s">
        <v>85</v>
      </c>
      <c r="L2" s="26" t="s">
        <v>86</v>
      </c>
      <c r="M2" s="26" t="s">
        <v>87</v>
      </c>
      <c r="N2" s="26" t="s">
        <v>88</v>
      </c>
      <c r="O2" s="26" t="s">
        <v>89</v>
      </c>
      <c r="P2" s="26" t="s">
        <v>90</v>
      </c>
      <c r="Q2" s="26" t="s">
        <v>91</v>
      </c>
      <c r="R2" s="26" t="s">
        <v>92</v>
      </c>
      <c r="S2" s="26" t="s">
        <v>93</v>
      </c>
      <c r="T2" s="26" t="s">
        <v>94</v>
      </c>
      <c r="U2" s="26" t="s">
        <v>95</v>
      </c>
    </row>
    <row r="3" spans="1:24" ht="27.75" customHeight="1" x14ac:dyDescent="0.25">
      <c r="A3" s="10">
        <f>IF(B3="","",COUNTA($B$3:B3))</f>
        <v>1</v>
      </c>
      <c r="B3" s="11" t="s">
        <v>2</v>
      </c>
      <c r="C3" s="11" t="s">
        <v>78</v>
      </c>
      <c r="D3" s="12">
        <f>'9-17'!F3</f>
        <v>2</v>
      </c>
      <c r="E3" s="7">
        <f t="shared" ref="E3:E66" si="0">SUM(J3:U3)</f>
        <v>0</v>
      </c>
      <c r="F3" s="7">
        <f t="shared" ref="F3:F66" si="1">D3-E3</f>
        <v>2</v>
      </c>
      <c r="G3" s="8"/>
      <c r="J3" s="27"/>
      <c r="K3" s="6"/>
      <c r="L3" s="6"/>
      <c r="M3" s="6"/>
      <c r="N3" s="6"/>
      <c r="O3" s="6"/>
      <c r="P3" s="6"/>
      <c r="Q3" s="6"/>
      <c r="R3" s="6"/>
      <c r="S3" s="6"/>
      <c r="T3" s="6"/>
      <c r="U3" s="28"/>
      <c r="X3" t="s">
        <v>96</v>
      </c>
    </row>
    <row r="4" spans="1:24" ht="30" x14ac:dyDescent="0.25">
      <c r="A4" s="13">
        <f>IF(B4="","",COUNTA($B$3:B4))</f>
        <v>2</v>
      </c>
      <c r="B4" s="14" t="s">
        <v>3</v>
      </c>
      <c r="C4" s="14" t="s">
        <v>78</v>
      </c>
      <c r="D4" s="12">
        <f>'9-17'!F4</f>
        <v>54</v>
      </c>
      <c r="E4" s="7">
        <f t="shared" si="0"/>
        <v>0</v>
      </c>
      <c r="F4" s="7">
        <f t="shared" si="1"/>
        <v>54</v>
      </c>
      <c r="G4" s="9"/>
      <c r="J4" s="27"/>
      <c r="K4" s="6"/>
      <c r="L4" s="6"/>
      <c r="M4" s="6"/>
      <c r="N4" s="6"/>
      <c r="O4" s="6"/>
      <c r="P4" s="6"/>
      <c r="Q4" s="6"/>
      <c r="R4" s="6"/>
      <c r="S4" s="6"/>
      <c r="T4" s="6"/>
      <c r="U4" s="28"/>
      <c r="X4" t="s">
        <v>97</v>
      </c>
    </row>
    <row r="5" spans="1:24" ht="30" x14ac:dyDescent="0.25">
      <c r="A5" s="10">
        <f>IF(B5="","",COUNTA($B$3:B5))</f>
        <v>3</v>
      </c>
      <c r="B5" s="11" t="s">
        <v>4</v>
      </c>
      <c r="C5" s="11" t="s">
        <v>78</v>
      </c>
      <c r="D5" s="12">
        <f>'9-17'!F5</f>
        <v>8</v>
      </c>
      <c r="E5" s="7">
        <f t="shared" si="0"/>
        <v>0</v>
      </c>
      <c r="F5" s="7">
        <f t="shared" si="1"/>
        <v>8</v>
      </c>
      <c r="G5" s="9"/>
      <c r="J5" s="27"/>
      <c r="K5" s="6"/>
      <c r="L5" s="6"/>
      <c r="M5" s="6"/>
      <c r="N5" s="6"/>
      <c r="O5" s="6"/>
      <c r="P5" s="6"/>
      <c r="Q5" s="6"/>
      <c r="R5" s="6"/>
      <c r="S5" s="6"/>
      <c r="T5" s="6"/>
      <c r="U5" s="28"/>
      <c r="X5" t="s">
        <v>98</v>
      </c>
    </row>
    <row r="6" spans="1:24" ht="30" x14ac:dyDescent="0.25">
      <c r="A6" s="13">
        <f>IF(B6="","",COUNTA($B$3:B6))</f>
        <v>4</v>
      </c>
      <c r="B6" s="14" t="s">
        <v>5</v>
      </c>
      <c r="C6" s="14" t="s">
        <v>78</v>
      </c>
      <c r="D6" s="12">
        <f>'9-17'!F6</f>
        <v>11</v>
      </c>
      <c r="E6" s="7">
        <f t="shared" si="0"/>
        <v>0</v>
      </c>
      <c r="F6" s="7">
        <f t="shared" si="1"/>
        <v>11</v>
      </c>
      <c r="G6" s="9"/>
      <c r="J6" s="27"/>
      <c r="K6" s="6"/>
      <c r="L6" s="6"/>
      <c r="M6" s="6"/>
      <c r="N6" s="6"/>
      <c r="O6" s="6"/>
      <c r="P6" s="6"/>
      <c r="Q6" s="6"/>
      <c r="R6" s="6"/>
      <c r="S6" s="6"/>
      <c r="T6" s="6"/>
      <c r="U6" s="28"/>
      <c r="X6" t="s">
        <v>99</v>
      </c>
    </row>
    <row r="7" spans="1:24" ht="30" x14ac:dyDescent="0.25">
      <c r="A7" s="10">
        <f>IF(B7="","",COUNTA($B$3:B7))</f>
        <v>5</v>
      </c>
      <c r="B7" s="11" t="s">
        <v>6</v>
      </c>
      <c r="C7" s="11" t="s">
        <v>78</v>
      </c>
      <c r="D7" s="12">
        <f>'9-17'!F7</f>
        <v>3</v>
      </c>
      <c r="E7" s="7">
        <f t="shared" si="0"/>
        <v>0</v>
      </c>
      <c r="F7" s="7">
        <f t="shared" si="1"/>
        <v>3</v>
      </c>
      <c r="G7" s="9"/>
      <c r="J7" s="27"/>
      <c r="K7" s="6"/>
      <c r="L7" s="6"/>
      <c r="M7" s="6"/>
      <c r="N7" s="6"/>
      <c r="O7" s="6"/>
      <c r="P7" s="6"/>
      <c r="Q7" s="6"/>
      <c r="R7" s="6"/>
      <c r="S7" s="6"/>
      <c r="T7" s="6"/>
      <c r="U7" s="28"/>
      <c r="X7" t="s">
        <v>100</v>
      </c>
    </row>
    <row r="8" spans="1:24" ht="30" x14ac:dyDescent="0.25">
      <c r="A8" s="13">
        <f>IF(B8="","",COUNTA($B$3:B8))</f>
        <v>6</v>
      </c>
      <c r="B8" s="14" t="s">
        <v>7</v>
      </c>
      <c r="C8" s="14" t="s">
        <v>78</v>
      </c>
      <c r="D8" s="12">
        <f>'9-17'!F8</f>
        <v>19</v>
      </c>
      <c r="E8" s="7">
        <f t="shared" si="0"/>
        <v>0</v>
      </c>
      <c r="F8" s="7">
        <f t="shared" si="1"/>
        <v>19</v>
      </c>
      <c r="G8" s="9"/>
      <c r="J8" s="27"/>
      <c r="K8" s="6"/>
      <c r="L8" s="6"/>
      <c r="M8" s="6"/>
      <c r="N8" s="6"/>
      <c r="O8" s="6"/>
      <c r="P8" s="6"/>
      <c r="Q8" s="6"/>
      <c r="R8" s="6"/>
      <c r="S8" s="6"/>
      <c r="T8" s="6"/>
      <c r="U8" s="28"/>
    </row>
    <row r="9" spans="1:24" ht="45" x14ac:dyDescent="0.25">
      <c r="A9" s="10">
        <f>IF(B9="","",COUNTA($B$3:B9))</f>
        <v>7</v>
      </c>
      <c r="B9" s="11" t="s">
        <v>8</v>
      </c>
      <c r="C9" s="11" t="s">
        <v>78</v>
      </c>
      <c r="D9" s="12">
        <f>'9-17'!F9</f>
        <v>13</v>
      </c>
      <c r="E9" s="7">
        <f t="shared" si="0"/>
        <v>0</v>
      </c>
      <c r="F9" s="7">
        <f t="shared" si="1"/>
        <v>13</v>
      </c>
      <c r="G9" s="9"/>
      <c r="J9" s="27"/>
      <c r="K9" s="6"/>
      <c r="L9" s="6"/>
      <c r="M9" s="6"/>
      <c r="N9" s="6"/>
      <c r="O9" s="6"/>
      <c r="P9" s="6"/>
      <c r="Q9" s="6"/>
      <c r="R9" s="6"/>
      <c r="S9" s="6"/>
      <c r="T9" s="6"/>
      <c r="U9" s="28"/>
    </row>
    <row r="10" spans="1:24" ht="45" x14ac:dyDescent="0.25">
      <c r="A10" s="13">
        <f>IF(B10="","",COUNTA($B$3:B10))</f>
        <v>8</v>
      </c>
      <c r="B10" s="14" t="s">
        <v>9</v>
      </c>
      <c r="C10" s="14" t="s">
        <v>78</v>
      </c>
      <c r="D10" s="12">
        <f>'9-17'!F10</f>
        <v>2</v>
      </c>
      <c r="E10" s="7">
        <f t="shared" si="0"/>
        <v>0</v>
      </c>
      <c r="F10" s="7">
        <f t="shared" si="1"/>
        <v>2</v>
      </c>
      <c r="G10" s="9"/>
      <c r="J10" s="27"/>
      <c r="K10" s="6"/>
      <c r="L10" s="6"/>
      <c r="M10" s="6"/>
      <c r="N10" s="6"/>
      <c r="O10" s="6"/>
      <c r="P10" s="6"/>
      <c r="Q10" s="6"/>
      <c r="R10" s="6"/>
      <c r="S10" s="6"/>
      <c r="T10" s="6"/>
      <c r="U10" s="28"/>
    </row>
    <row r="11" spans="1:24" ht="60" x14ac:dyDescent="0.25">
      <c r="A11" s="10">
        <f>IF(B11="","",COUNTA($B$3:B11))</f>
        <v>9</v>
      </c>
      <c r="B11" s="11" t="s">
        <v>10</v>
      </c>
      <c r="C11" s="11" t="s">
        <v>78</v>
      </c>
      <c r="D11" s="12">
        <f>'9-17'!F11</f>
        <v>4</v>
      </c>
      <c r="E11" s="7">
        <f t="shared" si="0"/>
        <v>0</v>
      </c>
      <c r="F11" s="7">
        <f t="shared" si="1"/>
        <v>4</v>
      </c>
      <c r="G11" s="9"/>
      <c r="J11" s="27"/>
      <c r="K11" s="6"/>
      <c r="L11" s="6"/>
      <c r="M11" s="6"/>
      <c r="N11" s="6"/>
      <c r="O11" s="6"/>
      <c r="P11" s="6"/>
      <c r="Q11" s="6"/>
      <c r="R11" s="6"/>
      <c r="S11" s="6"/>
      <c r="T11" s="6"/>
      <c r="U11" s="28"/>
    </row>
    <row r="12" spans="1:24" ht="45" x14ac:dyDescent="0.25">
      <c r="A12" s="13">
        <f>IF(B12="","",COUNTA($B$3:B12))</f>
        <v>10</v>
      </c>
      <c r="B12" s="14" t="s">
        <v>11</v>
      </c>
      <c r="C12" s="14" t="s">
        <v>78</v>
      </c>
      <c r="D12" s="12">
        <f>'9-17'!F12</f>
        <v>0</v>
      </c>
      <c r="E12" s="7">
        <f t="shared" si="0"/>
        <v>0</v>
      </c>
      <c r="F12" s="7">
        <f t="shared" si="1"/>
        <v>0</v>
      </c>
      <c r="G12" s="9"/>
      <c r="J12" s="27"/>
      <c r="K12" s="6"/>
      <c r="L12" s="6"/>
      <c r="M12" s="6"/>
      <c r="N12" s="6"/>
      <c r="O12" s="6"/>
      <c r="P12" s="6"/>
      <c r="Q12" s="6"/>
      <c r="R12" s="6"/>
      <c r="S12" s="6"/>
      <c r="T12" s="6"/>
      <c r="U12" s="28"/>
    </row>
    <row r="13" spans="1:24" ht="60" x14ac:dyDescent="0.25">
      <c r="A13" s="10">
        <f>IF(B13="","",COUNTA($B$3:B13))</f>
        <v>11</v>
      </c>
      <c r="B13" s="11" t="s">
        <v>12</v>
      </c>
      <c r="C13" s="11" t="s">
        <v>78</v>
      </c>
      <c r="D13" s="12">
        <f>'9-17'!F13</f>
        <v>0</v>
      </c>
      <c r="E13" s="7">
        <f t="shared" si="0"/>
        <v>0</v>
      </c>
      <c r="F13" s="7">
        <f t="shared" si="1"/>
        <v>0</v>
      </c>
      <c r="G13" s="9"/>
      <c r="J13" s="27"/>
      <c r="K13" s="6"/>
      <c r="L13" s="6"/>
      <c r="M13" s="6"/>
      <c r="N13" s="6"/>
      <c r="O13" s="6"/>
      <c r="P13" s="6"/>
      <c r="Q13" s="6"/>
      <c r="R13" s="6"/>
      <c r="S13" s="6"/>
      <c r="T13" s="6"/>
      <c r="U13" s="28"/>
    </row>
    <row r="14" spans="1:24" ht="30" x14ac:dyDescent="0.25">
      <c r="A14" s="13">
        <f>IF(B14="","",COUNTA($B$3:B14))</f>
        <v>12</v>
      </c>
      <c r="B14" s="14" t="s">
        <v>13</v>
      </c>
      <c r="C14" s="14" t="s">
        <v>78</v>
      </c>
      <c r="D14" s="12">
        <f>'9-17'!F14</f>
        <v>7</v>
      </c>
      <c r="E14" s="7">
        <f t="shared" si="0"/>
        <v>0</v>
      </c>
      <c r="F14" s="7">
        <f t="shared" si="1"/>
        <v>7</v>
      </c>
      <c r="G14" s="9"/>
      <c r="J14" s="27"/>
      <c r="K14" s="6"/>
      <c r="L14" s="6"/>
      <c r="M14" s="6"/>
      <c r="N14" s="6"/>
      <c r="O14" s="6"/>
      <c r="P14" s="6"/>
      <c r="Q14" s="6"/>
      <c r="R14" s="6"/>
      <c r="S14" s="6"/>
      <c r="T14" s="6"/>
      <c r="U14" s="28"/>
    </row>
    <row r="15" spans="1:24" ht="60" x14ac:dyDescent="0.25">
      <c r="A15" s="10">
        <f>IF(B15="","",COUNTA($B$3:B15))</f>
        <v>13</v>
      </c>
      <c r="B15" s="16" t="s">
        <v>14</v>
      </c>
      <c r="C15" s="11" t="s">
        <v>78</v>
      </c>
      <c r="D15" s="12">
        <f>'9-17'!F15</f>
        <v>5</v>
      </c>
      <c r="E15" s="7">
        <f t="shared" si="0"/>
        <v>0</v>
      </c>
      <c r="F15" s="7">
        <f t="shared" si="1"/>
        <v>5</v>
      </c>
      <c r="G15" s="9"/>
      <c r="J15" s="27"/>
      <c r="K15" s="6"/>
      <c r="L15" s="6"/>
      <c r="M15" s="6"/>
      <c r="N15" s="6"/>
      <c r="O15" s="6"/>
      <c r="P15" s="6"/>
      <c r="Q15" s="6"/>
      <c r="R15" s="6"/>
      <c r="S15" s="6"/>
      <c r="T15" s="6"/>
      <c r="U15" s="28"/>
    </row>
    <row r="16" spans="1:24" ht="45" x14ac:dyDescent="0.25">
      <c r="A16" s="13">
        <f>IF(B16="","",COUNTA($B$3:B16))</f>
        <v>14</v>
      </c>
      <c r="B16" s="14" t="s">
        <v>15</v>
      </c>
      <c r="C16" s="14" t="s">
        <v>78</v>
      </c>
      <c r="D16" s="12">
        <f>'9-17'!F16</f>
        <v>3</v>
      </c>
      <c r="E16" s="7">
        <f t="shared" si="0"/>
        <v>0</v>
      </c>
      <c r="F16" s="7">
        <f t="shared" si="1"/>
        <v>3</v>
      </c>
      <c r="G16" s="9"/>
      <c r="J16" s="27"/>
      <c r="K16" s="6"/>
      <c r="L16" s="6"/>
      <c r="M16" s="6"/>
      <c r="N16" s="6"/>
      <c r="O16" s="6"/>
      <c r="P16" s="6"/>
      <c r="Q16" s="6"/>
      <c r="R16" s="6"/>
      <c r="S16" s="6"/>
      <c r="T16" s="6"/>
      <c r="U16" s="28"/>
    </row>
    <row r="17" spans="1:21" ht="45" x14ac:dyDescent="0.25">
      <c r="A17" s="10">
        <f>IF(B17="","",COUNTA($B$3:B17))</f>
        <v>15</v>
      </c>
      <c r="B17" s="11" t="s">
        <v>16</v>
      </c>
      <c r="C17" s="11" t="s">
        <v>78</v>
      </c>
      <c r="D17" s="12">
        <f>'9-17'!F17</f>
        <v>3</v>
      </c>
      <c r="E17" s="7">
        <f t="shared" si="0"/>
        <v>0</v>
      </c>
      <c r="F17" s="7">
        <f t="shared" si="1"/>
        <v>3</v>
      </c>
      <c r="G17" s="9"/>
      <c r="J17" s="27"/>
      <c r="K17" s="6"/>
      <c r="L17" s="6"/>
      <c r="M17" s="6"/>
      <c r="N17" s="6"/>
      <c r="O17" s="6"/>
      <c r="P17" s="6"/>
      <c r="Q17" s="6"/>
      <c r="R17" s="6"/>
      <c r="S17" s="6"/>
      <c r="T17" s="6"/>
      <c r="U17" s="28"/>
    </row>
    <row r="18" spans="1:21" ht="60" x14ac:dyDescent="0.25">
      <c r="A18" s="13">
        <f>IF(B18="","",COUNTA($B$3:B18))</f>
        <v>16</v>
      </c>
      <c r="B18" s="17" t="s">
        <v>17</v>
      </c>
      <c r="C18" s="14" t="s">
        <v>78</v>
      </c>
      <c r="D18" s="12">
        <f>'9-17'!F18</f>
        <v>2</v>
      </c>
      <c r="E18" s="7">
        <f t="shared" si="0"/>
        <v>0</v>
      </c>
      <c r="F18" s="7">
        <f t="shared" si="1"/>
        <v>2</v>
      </c>
      <c r="G18" s="9"/>
      <c r="J18" s="27"/>
      <c r="K18" s="6"/>
      <c r="L18" s="6"/>
      <c r="M18" s="6"/>
      <c r="N18" s="6"/>
      <c r="O18" s="6"/>
      <c r="P18" s="6"/>
      <c r="Q18" s="6"/>
      <c r="R18" s="6"/>
      <c r="S18" s="6"/>
      <c r="T18" s="6"/>
      <c r="U18" s="28"/>
    </row>
    <row r="19" spans="1:21" ht="45" x14ac:dyDescent="0.25">
      <c r="A19" s="10">
        <f>IF(B19="","",COUNTA($B$3:B19))</f>
        <v>17</v>
      </c>
      <c r="B19" s="11" t="s">
        <v>18</v>
      </c>
      <c r="C19" s="11" t="s">
        <v>78</v>
      </c>
      <c r="D19" s="12">
        <f>'9-17'!F19</f>
        <v>41</v>
      </c>
      <c r="E19" s="7">
        <f t="shared" si="0"/>
        <v>0</v>
      </c>
      <c r="F19" s="7">
        <f t="shared" si="1"/>
        <v>41</v>
      </c>
      <c r="G19" s="9"/>
      <c r="J19" s="27"/>
      <c r="K19" s="6"/>
      <c r="L19" s="6"/>
      <c r="M19" s="6"/>
      <c r="N19" s="6"/>
      <c r="O19" s="6"/>
      <c r="P19" s="6"/>
      <c r="Q19" s="6"/>
      <c r="R19" s="6"/>
      <c r="S19" s="6"/>
      <c r="T19" s="6"/>
      <c r="U19" s="28"/>
    </row>
    <row r="20" spans="1:21" ht="30" x14ac:dyDescent="0.25">
      <c r="A20" s="13">
        <f>IF(B20="","",COUNTA($B$3:B20))</f>
        <v>18</v>
      </c>
      <c r="B20" s="14" t="s">
        <v>19</v>
      </c>
      <c r="C20" s="14" t="s">
        <v>79</v>
      </c>
      <c r="D20" s="12">
        <f>'9-17'!F20</f>
        <v>1</v>
      </c>
      <c r="E20" s="7">
        <f t="shared" si="0"/>
        <v>0</v>
      </c>
      <c r="F20" s="7">
        <f t="shared" si="1"/>
        <v>1</v>
      </c>
      <c r="G20" s="9"/>
      <c r="J20" s="27"/>
      <c r="K20" s="6"/>
      <c r="L20" s="6"/>
      <c r="M20" s="6"/>
      <c r="N20" s="6"/>
      <c r="O20" s="6"/>
      <c r="P20" s="6"/>
      <c r="Q20" s="6"/>
      <c r="R20" s="6"/>
      <c r="S20" s="6"/>
      <c r="T20" s="6"/>
      <c r="U20" s="28"/>
    </row>
    <row r="21" spans="1:21" ht="45" x14ac:dyDescent="0.25">
      <c r="A21" s="10">
        <f>IF(B21="","",COUNTA($B$3:B21))</f>
        <v>19</v>
      </c>
      <c r="B21" s="11" t="s">
        <v>20</v>
      </c>
      <c r="C21" s="11" t="s">
        <v>78</v>
      </c>
      <c r="D21" s="12">
        <f>'9-17'!F21</f>
        <v>19</v>
      </c>
      <c r="E21" s="7">
        <f t="shared" si="0"/>
        <v>0</v>
      </c>
      <c r="F21" s="7">
        <f t="shared" si="1"/>
        <v>19</v>
      </c>
      <c r="G21" s="9"/>
      <c r="J21" s="27"/>
      <c r="K21" s="6"/>
      <c r="L21" s="6"/>
      <c r="M21" s="6"/>
      <c r="N21" s="6"/>
      <c r="O21" s="6"/>
      <c r="P21" s="6"/>
      <c r="Q21" s="6"/>
      <c r="R21" s="6"/>
      <c r="S21" s="6"/>
      <c r="T21" s="6"/>
      <c r="U21" s="28"/>
    </row>
    <row r="22" spans="1:21" ht="30" x14ac:dyDescent="0.25">
      <c r="A22" s="13">
        <f>IF(B22="","",COUNTA($B$3:B22))</f>
        <v>20</v>
      </c>
      <c r="B22" s="14" t="s">
        <v>21</v>
      </c>
      <c r="C22" s="14" t="s">
        <v>78</v>
      </c>
      <c r="D22" s="12">
        <f>'9-17'!F22</f>
        <v>5</v>
      </c>
      <c r="E22" s="7">
        <f t="shared" si="0"/>
        <v>0</v>
      </c>
      <c r="F22" s="7">
        <f t="shared" si="1"/>
        <v>5</v>
      </c>
      <c r="G22" s="9"/>
      <c r="J22" s="27"/>
      <c r="K22" s="6"/>
      <c r="L22" s="6"/>
      <c r="M22" s="6"/>
      <c r="N22" s="6"/>
      <c r="O22" s="6"/>
      <c r="P22" s="6"/>
      <c r="Q22" s="6"/>
      <c r="R22" s="6"/>
      <c r="S22" s="6"/>
      <c r="T22" s="6"/>
      <c r="U22" s="28"/>
    </row>
    <row r="23" spans="1:21" ht="60" x14ac:dyDescent="0.25">
      <c r="A23" s="10">
        <f>IF(B23="","",COUNTA($B$3:B23))</f>
        <v>21</v>
      </c>
      <c r="B23" s="11" t="s">
        <v>22</v>
      </c>
      <c r="C23" s="11" t="s">
        <v>78</v>
      </c>
      <c r="D23" s="12">
        <f>'9-17'!F23</f>
        <v>3</v>
      </c>
      <c r="E23" s="7">
        <f t="shared" si="0"/>
        <v>0</v>
      </c>
      <c r="F23" s="7">
        <f t="shared" si="1"/>
        <v>3</v>
      </c>
      <c r="G23" s="9"/>
      <c r="J23" s="27"/>
      <c r="K23" s="6"/>
      <c r="L23" s="6"/>
      <c r="M23" s="6"/>
      <c r="N23" s="6"/>
      <c r="O23" s="6"/>
      <c r="P23" s="6"/>
      <c r="Q23" s="6"/>
      <c r="R23" s="6"/>
      <c r="S23" s="6"/>
      <c r="T23" s="6"/>
      <c r="U23" s="28"/>
    </row>
    <row r="24" spans="1:21" ht="45" x14ac:dyDescent="0.25">
      <c r="A24" s="13">
        <f>IF(B24="","",COUNTA($B$3:B24))</f>
        <v>22</v>
      </c>
      <c r="B24" s="14" t="s">
        <v>23</v>
      </c>
      <c r="C24" s="14" t="s">
        <v>78</v>
      </c>
      <c r="D24" s="12">
        <f>'9-17'!F24</f>
        <v>22</v>
      </c>
      <c r="E24" s="7">
        <f t="shared" si="0"/>
        <v>0</v>
      </c>
      <c r="F24" s="7">
        <f t="shared" si="1"/>
        <v>22</v>
      </c>
      <c r="G24" s="9"/>
      <c r="J24" s="27"/>
      <c r="K24" s="6"/>
      <c r="L24" s="6"/>
      <c r="M24" s="6"/>
      <c r="N24" s="6"/>
      <c r="O24" s="6"/>
      <c r="P24" s="6"/>
      <c r="Q24" s="6"/>
      <c r="R24" s="6"/>
      <c r="S24" s="6"/>
      <c r="T24" s="6"/>
      <c r="U24" s="28"/>
    </row>
    <row r="25" spans="1:21" ht="30" x14ac:dyDescent="0.25">
      <c r="A25" s="10">
        <f>IF(B25="","",COUNTA($B$3:B25))</f>
        <v>23</v>
      </c>
      <c r="B25" s="11" t="s">
        <v>24</v>
      </c>
      <c r="C25" s="11" t="s">
        <v>78</v>
      </c>
      <c r="D25" s="12">
        <f>'9-17'!F25</f>
        <v>10</v>
      </c>
      <c r="E25" s="7">
        <f t="shared" si="0"/>
        <v>0</v>
      </c>
      <c r="F25" s="7">
        <f t="shared" si="1"/>
        <v>10</v>
      </c>
      <c r="G25" s="9"/>
      <c r="J25" s="27"/>
      <c r="K25" s="6"/>
      <c r="L25" s="6"/>
      <c r="M25" s="6"/>
      <c r="N25" s="6"/>
      <c r="O25" s="6"/>
      <c r="P25" s="6"/>
      <c r="Q25" s="6"/>
      <c r="R25" s="6"/>
      <c r="S25" s="6"/>
      <c r="T25" s="6"/>
      <c r="U25" s="28"/>
    </row>
    <row r="26" spans="1:21" ht="30" x14ac:dyDescent="0.25">
      <c r="A26" s="13">
        <f>IF(B26="","",COUNTA($B$3:B26))</f>
        <v>24</v>
      </c>
      <c r="B26" s="14" t="s">
        <v>25</v>
      </c>
      <c r="C26" s="14" t="s">
        <v>78</v>
      </c>
      <c r="D26" s="12">
        <f>'9-17'!F26</f>
        <v>0</v>
      </c>
      <c r="E26" s="7">
        <f t="shared" si="0"/>
        <v>0</v>
      </c>
      <c r="F26" s="7">
        <f t="shared" si="1"/>
        <v>0</v>
      </c>
      <c r="G26" s="9"/>
      <c r="J26" s="27"/>
      <c r="K26" s="6"/>
      <c r="L26" s="6"/>
      <c r="M26" s="6"/>
      <c r="N26" s="6"/>
      <c r="O26" s="6"/>
      <c r="P26" s="6"/>
      <c r="Q26" s="6"/>
      <c r="R26" s="6"/>
      <c r="S26" s="6"/>
      <c r="T26" s="6"/>
      <c r="U26" s="28"/>
    </row>
    <row r="27" spans="1:21" ht="30" x14ac:dyDescent="0.25">
      <c r="A27" s="10">
        <f>IF(B27="","",COUNTA($B$3:B27))</f>
        <v>25</v>
      </c>
      <c r="B27" s="11" t="s">
        <v>26</v>
      </c>
      <c r="C27" s="11" t="s">
        <v>78</v>
      </c>
      <c r="D27" s="12">
        <f>'9-17'!F27</f>
        <v>1</v>
      </c>
      <c r="E27" s="7">
        <f t="shared" si="0"/>
        <v>0</v>
      </c>
      <c r="F27" s="7">
        <f t="shared" si="1"/>
        <v>1</v>
      </c>
      <c r="G27" s="9"/>
      <c r="J27" s="27"/>
      <c r="K27" s="6"/>
      <c r="L27" s="6"/>
      <c r="M27" s="6"/>
      <c r="N27" s="6"/>
      <c r="O27" s="6"/>
      <c r="P27" s="6"/>
      <c r="Q27" s="6"/>
      <c r="R27" s="6"/>
      <c r="S27" s="6"/>
      <c r="T27" s="6"/>
      <c r="U27" s="28"/>
    </row>
    <row r="28" spans="1:21" ht="60" x14ac:dyDescent="0.25">
      <c r="A28" s="13">
        <f>IF(B28="","",COUNTA($B$3:B28))</f>
        <v>26</v>
      </c>
      <c r="B28" s="14" t="s">
        <v>27</v>
      </c>
      <c r="C28" s="14" t="s">
        <v>78</v>
      </c>
      <c r="D28" s="12">
        <f>'9-17'!F28</f>
        <v>0</v>
      </c>
      <c r="E28" s="7">
        <f t="shared" si="0"/>
        <v>0</v>
      </c>
      <c r="F28" s="7">
        <f t="shared" si="1"/>
        <v>0</v>
      </c>
      <c r="G28" s="9"/>
      <c r="J28" s="27"/>
      <c r="K28" s="6"/>
      <c r="L28" s="6"/>
      <c r="M28" s="6"/>
      <c r="N28" s="6"/>
      <c r="O28" s="6"/>
      <c r="P28" s="6"/>
      <c r="Q28" s="6"/>
      <c r="R28" s="6"/>
      <c r="S28" s="6"/>
      <c r="T28" s="6"/>
      <c r="U28" s="28"/>
    </row>
    <row r="29" spans="1:21" ht="30" x14ac:dyDescent="0.25">
      <c r="A29" s="10">
        <f>IF(B29="","",COUNTA($B$3:B29))</f>
        <v>27</v>
      </c>
      <c r="B29" s="11" t="s">
        <v>28</v>
      </c>
      <c r="C29" s="11" t="s">
        <v>78</v>
      </c>
      <c r="D29" s="12">
        <f>'9-17'!F29</f>
        <v>9</v>
      </c>
      <c r="E29" s="7">
        <f t="shared" si="0"/>
        <v>0</v>
      </c>
      <c r="F29" s="7">
        <f t="shared" si="1"/>
        <v>9</v>
      </c>
      <c r="G29" s="9"/>
      <c r="J29" s="27"/>
      <c r="K29" s="6"/>
      <c r="L29" s="6"/>
      <c r="M29" s="6"/>
      <c r="N29" s="6"/>
      <c r="O29" s="6"/>
      <c r="P29" s="6"/>
      <c r="Q29" s="6"/>
      <c r="R29" s="6"/>
      <c r="S29" s="6"/>
      <c r="T29" s="6"/>
      <c r="U29" s="28"/>
    </row>
    <row r="30" spans="1:21" ht="75" x14ac:dyDescent="0.25">
      <c r="A30" s="13">
        <f>IF(B30="","",COUNTA($B$3:B30))</f>
        <v>28</v>
      </c>
      <c r="B30" s="14" t="s">
        <v>29</v>
      </c>
      <c r="C30" s="14" t="s">
        <v>78</v>
      </c>
      <c r="D30" s="12">
        <f>'9-17'!F30</f>
        <v>4</v>
      </c>
      <c r="E30" s="7">
        <f t="shared" si="0"/>
        <v>0</v>
      </c>
      <c r="F30" s="7">
        <f t="shared" si="1"/>
        <v>4</v>
      </c>
      <c r="G30" s="9"/>
      <c r="J30" s="27"/>
      <c r="K30" s="6"/>
      <c r="L30" s="6"/>
      <c r="M30" s="6"/>
      <c r="N30" s="6"/>
      <c r="O30" s="6"/>
      <c r="P30" s="6"/>
      <c r="Q30" s="6"/>
      <c r="R30" s="6"/>
      <c r="S30" s="6"/>
      <c r="T30" s="6"/>
      <c r="U30" s="28"/>
    </row>
    <row r="31" spans="1:21" ht="30" x14ac:dyDescent="0.25">
      <c r="A31" s="10">
        <f>IF(B31="","",COUNTA($B$3:B31))</f>
        <v>29</v>
      </c>
      <c r="B31" s="11" t="s">
        <v>30</v>
      </c>
      <c r="C31" s="11" t="s">
        <v>78</v>
      </c>
      <c r="D31" s="12">
        <f>'9-17'!F31</f>
        <v>0</v>
      </c>
      <c r="E31" s="7">
        <f t="shared" si="0"/>
        <v>0</v>
      </c>
      <c r="F31" s="7">
        <f t="shared" si="1"/>
        <v>0</v>
      </c>
      <c r="G31" s="9"/>
      <c r="J31" s="27"/>
      <c r="K31" s="6"/>
      <c r="L31" s="6"/>
      <c r="M31" s="6"/>
      <c r="N31" s="6"/>
      <c r="O31" s="6"/>
      <c r="P31" s="6"/>
      <c r="Q31" s="6"/>
      <c r="R31" s="6"/>
      <c r="S31" s="6"/>
      <c r="T31" s="6"/>
      <c r="U31" s="28"/>
    </row>
    <row r="32" spans="1:21" ht="45" x14ac:dyDescent="0.25">
      <c r="A32" s="13">
        <f>IF(B32="","",COUNTA($B$3:B32))</f>
        <v>30</v>
      </c>
      <c r="B32" s="14" t="s">
        <v>31</v>
      </c>
      <c r="C32" s="14" t="s">
        <v>78</v>
      </c>
      <c r="D32" s="12">
        <f>'9-17'!F32</f>
        <v>8</v>
      </c>
      <c r="E32" s="7">
        <f t="shared" si="0"/>
        <v>0</v>
      </c>
      <c r="F32" s="7">
        <f t="shared" si="1"/>
        <v>8</v>
      </c>
      <c r="G32" s="9"/>
      <c r="J32" s="27"/>
      <c r="K32" s="6"/>
      <c r="L32" s="6"/>
      <c r="M32" s="6"/>
      <c r="N32" s="6"/>
      <c r="O32" s="6"/>
      <c r="P32" s="6"/>
      <c r="Q32" s="6"/>
      <c r="R32" s="6"/>
      <c r="S32" s="6"/>
      <c r="T32" s="6"/>
      <c r="U32" s="28"/>
    </row>
    <row r="33" spans="1:21" ht="45" x14ac:dyDescent="0.25">
      <c r="A33" s="10">
        <f>IF(B33="","",COUNTA($B$3:B33))</f>
        <v>31</v>
      </c>
      <c r="B33" s="11" t="s">
        <v>32</v>
      </c>
      <c r="C33" s="11" t="s">
        <v>78</v>
      </c>
      <c r="D33" s="12">
        <f>'9-17'!F33</f>
        <v>0</v>
      </c>
      <c r="E33" s="7">
        <f t="shared" si="0"/>
        <v>0</v>
      </c>
      <c r="F33" s="7">
        <f t="shared" si="1"/>
        <v>0</v>
      </c>
      <c r="G33" s="9"/>
      <c r="J33" s="27"/>
      <c r="K33" s="6"/>
      <c r="L33" s="6"/>
      <c r="M33" s="6"/>
      <c r="N33" s="6"/>
      <c r="O33" s="6"/>
      <c r="P33" s="6"/>
      <c r="Q33" s="6"/>
      <c r="R33" s="6"/>
      <c r="S33" s="6"/>
      <c r="T33" s="6"/>
      <c r="U33" s="28"/>
    </row>
    <row r="34" spans="1:21" ht="60" x14ac:dyDescent="0.25">
      <c r="A34" s="13">
        <f>IF(B34="","",COUNTA($B$3:B34))</f>
        <v>32</v>
      </c>
      <c r="B34" s="14" t="s">
        <v>33</v>
      </c>
      <c r="C34" s="14" t="s">
        <v>78</v>
      </c>
      <c r="D34" s="12">
        <f>'9-17'!F34</f>
        <v>7</v>
      </c>
      <c r="E34" s="7">
        <f t="shared" si="0"/>
        <v>0</v>
      </c>
      <c r="F34" s="7">
        <f t="shared" si="1"/>
        <v>7</v>
      </c>
      <c r="G34" s="9"/>
      <c r="J34" s="27"/>
      <c r="K34" s="6"/>
      <c r="L34" s="6"/>
      <c r="M34" s="6"/>
      <c r="N34" s="6"/>
      <c r="O34" s="6"/>
      <c r="P34" s="6"/>
      <c r="Q34" s="6"/>
      <c r="R34" s="6"/>
      <c r="S34" s="6"/>
      <c r="T34" s="6"/>
      <c r="U34" s="28"/>
    </row>
    <row r="35" spans="1:21" ht="75" x14ac:dyDescent="0.25">
      <c r="A35" s="10">
        <f>IF(B35="","",COUNTA($B$3:B35))</f>
        <v>33</v>
      </c>
      <c r="B35" s="11" t="s">
        <v>34</v>
      </c>
      <c r="C35" s="11" t="s">
        <v>78</v>
      </c>
      <c r="D35" s="12">
        <f>'9-17'!F35</f>
        <v>0</v>
      </c>
      <c r="E35" s="7">
        <f t="shared" si="0"/>
        <v>0</v>
      </c>
      <c r="F35" s="7">
        <f t="shared" si="1"/>
        <v>0</v>
      </c>
      <c r="G35" s="9"/>
      <c r="J35" s="27"/>
      <c r="K35" s="6"/>
      <c r="L35" s="6"/>
      <c r="M35" s="6"/>
      <c r="N35" s="6"/>
      <c r="O35" s="6"/>
      <c r="P35" s="6"/>
      <c r="Q35" s="6"/>
      <c r="R35" s="6"/>
      <c r="S35" s="6"/>
      <c r="T35" s="6"/>
      <c r="U35" s="28"/>
    </row>
    <row r="36" spans="1:21" ht="45" x14ac:dyDescent="0.25">
      <c r="A36" s="13">
        <f>IF(B36="","",COUNTA($B$3:B36))</f>
        <v>34</v>
      </c>
      <c r="B36" s="14" t="s">
        <v>35</v>
      </c>
      <c r="C36" s="14" t="s">
        <v>78</v>
      </c>
      <c r="D36" s="12">
        <f>'9-17'!F36</f>
        <v>8</v>
      </c>
      <c r="E36" s="7">
        <f t="shared" si="0"/>
        <v>0</v>
      </c>
      <c r="F36" s="7">
        <f t="shared" si="1"/>
        <v>8</v>
      </c>
      <c r="G36" s="9"/>
      <c r="J36" s="27"/>
      <c r="K36" s="6"/>
      <c r="L36" s="6"/>
      <c r="M36" s="6"/>
      <c r="N36" s="6"/>
      <c r="O36" s="6"/>
      <c r="P36" s="6"/>
      <c r="Q36" s="6"/>
      <c r="R36" s="6"/>
      <c r="S36" s="6"/>
      <c r="T36" s="6"/>
      <c r="U36" s="28"/>
    </row>
    <row r="37" spans="1:21" ht="45" x14ac:dyDescent="0.25">
      <c r="A37" s="10">
        <f>IF(B37="","",COUNTA($B$3:B37))</f>
        <v>35</v>
      </c>
      <c r="B37" s="11" t="s">
        <v>36</v>
      </c>
      <c r="C37" s="11" t="s">
        <v>78</v>
      </c>
      <c r="D37" s="12">
        <f>'9-17'!F37</f>
        <v>2</v>
      </c>
      <c r="E37" s="7">
        <f t="shared" si="0"/>
        <v>0</v>
      </c>
      <c r="F37" s="7">
        <f t="shared" si="1"/>
        <v>2</v>
      </c>
      <c r="G37" s="9"/>
      <c r="J37" s="27"/>
      <c r="K37" s="6"/>
      <c r="L37" s="6"/>
      <c r="M37" s="6"/>
      <c r="N37" s="6"/>
      <c r="O37" s="6"/>
      <c r="P37" s="6"/>
      <c r="Q37" s="6"/>
      <c r="R37" s="6"/>
      <c r="S37" s="6"/>
      <c r="T37" s="6"/>
      <c r="U37" s="28"/>
    </row>
    <row r="38" spans="1:21" ht="45" x14ac:dyDescent="0.25">
      <c r="A38" s="13">
        <f>IF(B38="","",COUNTA($B$3:B38))</f>
        <v>36</v>
      </c>
      <c r="B38" s="14" t="s">
        <v>37</v>
      </c>
      <c r="C38" s="14" t="s">
        <v>78</v>
      </c>
      <c r="D38" s="12">
        <f>'9-17'!F38</f>
        <v>1</v>
      </c>
      <c r="E38" s="7">
        <f t="shared" si="0"/>
        <v>0</v>
      </c>
      <c r="F38" s="7">
        <f t="shared" si="1"/>
        <v>1</v>
      </c>
      <c r="G38" s="9"/>
      <c r="J38" s="27"/>
      <c r="K38" s="6"/>
      <c r="L38" s="6"/>
      <c r="M38" s="6"/>
      <c r="N38" s="6"/>
      <c r="O38" s="6"/>
      <c r="P38" s="6"/>
      <c r="Q38" s="6"/>
      <c r="R38" s="6"/>
      <c r="S38" s="6"/>
      <c r="T38" s="6"/>
      <c r="U38" s="28"/>
    </row>
    <row r="39" spans="1:21" ht="45" x14ac:dyDescent="0.25">
      <c r="A39" s="10">
        <f>IF(B39="","",COUNTA($B$3:B39))</f>
        <v>37</v>
      </c>
      <c r="B39" s="11" t="s">
        <v>38</v>
      </c>
      <c r="C39" s="11" t="s">
        <v>78</v>
      </c>
      <c r="D39" s="12">
        <f>'9-17'!F39</f>
        <v>3</v>
      </c>
      <c r="E39" s="7">
        <f t="shared" si="0"/>
        <v>0</v>
      </c>
      <c r="F39" s="7">
        <f t="shared" si="1"/>
        <v>3</v>
      </c>
      <c r="G39" s="9"/>
      <c r="J39" s="27"/>
      <c r="K39" s="6"/>
      <c r="L39" s="6"/>
      <c r="M39" s="6"/>
      <c r="N39" s="6"/>
      <c r="O39" s="6"/>
      <c r="P39" s="6"/>
      <c r="Q39" s="6"/>
      <c r="R39" s="6"/>
      <c r="S39" s="6"/>
      <c r="T39" s="6"/>
      <c r="U39" s="28"/>
    </row>
    <row r="40" spans="1:21" ht="30" x14ac:dyDescent="0.25">
      <c r="A40" s="13">
        <f>IF(B40="","",COUNTA($B$3:B40))</f>
        <v>38</v>
      </c>
      <c r="B40" s="14" t="s">
        <v>2</v>
      </c>
      <c r="C40" s="14" t="s">
        <v>78</v>
      </c>
      <c r="D40" s="12">
        <f>'9-17'!F40</f>
        <v>0</v>
      </c>
      <c r="E40" s="7">
        <f t="shared" si="0"/>
        <v>0</v>
      </c>
      <c r="F40" s="7">
        <f t="shared" si="1"/>
        <v>0</v>
      </c>
      <c r="G40" s="9"/>
      <c r="J40" s="27"/>
      <c r="K40" s="6"/>
      <c r="L40" s="6"/>
      <c r="M40" s="6"/>
      <c r="N40" s="6"/>
      <c r="O40" s="6"/>
      <c r="P40" s="6"/>
      <c r="Q40" s="6"/>
      <c r="R40" s="6"/>
      <c r="S40" s="6"/>
      <c r="T40" s="6"/>
      <c r="U40" s="28"/>
    </row>
    <row r="41" spans="1:21" ht="45" x14ac:dyDescent="0.25">
      <c r="A41" s="10">
        <f>IF(B41="","",COUNTA($B$3:B41))</f>
        <v>39</v>
      </c>
      <c r="B41" s="11" t="s">
        <v>39</v>
      </c>
      <c r="C41" s="11" t="s">
        <v>78</v>
      </c>
      <c r="D41" s="12">
        <f>'9-17'!F41</f>
        <v>2</v>
      </c>
      <c r="E41" s="7">
        <f t="shared" si="0"/>
        <v>0</v>
      </c>
      <c r="F41" s="7">
        <f t="shared" si="1"/>
        <v>2</v>
      </c>
      <c r="G41" s="9"/>
      <c r="J41" s="27"/>
      <c r="K41" s="6"/>
      <c r="L41" s="6"/>
      <c r="M41" s="6"/>
      <c r="N41" s="6"/>
      <c r="O41" s="6"/>
      <c r="P41" s="6"/>
      <c r="Q41" s="6"/>
      <c r="R41" s="6"/>
      <c r="S41" s="6"/>
      <c r="T41" s="6"/>
      <c r="U41" s="28"/>
    </row>
    <row r="42" spans="1:21" ht="45" x14ac:dyDescent="0.25">
      <c r="A42" s="13">
        <f>IF(B42="","",COUNTA($B$3:B42))</f>
        <v>40</v>
      </c>
      <c r="B42" s="14" t="s">
        <v>40</v>
      </c>
      <c r="C42" s="14" t="s">
        <v>78</v>
      </c>
      <c r="D42" s="12">
        <f>'9-17'!F42</f>
        <v>5</v>
      </c>
      <c r="E42" s="7">
        <f t="shared" si="0"/>
        <v>0</v>
      </c>
      <c r="F42" s="7">
        <f t="shared" si="1"/>
        <v>5</v>
      </c>
      <c r="G42" s="9"/>
      <c r="J42" s="27"/>
      <c r="K42" s="6"/>
      <c r="L42" s="6"/>
      <c r="M42" s="6"/>
      <c r="N42" s="6"/>
      <c r="O42" s="6"/>
      <c r="P42" s="6"/>
      <c r="Q42" s="6"/>
      <c r="R42" s="6"/>
      <c r="S42" s="6"/>
      <c r="T42" s="6"/>
      <c r="U42" s="28"/>
    </row>
    <row r="43" spans="1:21" ht="30" x14ac:dyDescent="0.25">
      <c r="A43" s="10">
        <f>IF(B43="","",COUNTA($B$3:B43))</f>
        <v>41</v>
      </c>
      <c r="B43" s="11" t="s">
        <v>41</v>
      </c>
      <c r="C43" s="11" t="s">
        <v>78</v>
      </c>
      <c r="D43" s="12">
        <f>'9-17'!F43</f>
        <v>3</v>
      </c>
      <c r="E43" s="7">
        <f t="shared" si="0"/>
        <v>0</v>
      </c>
      <c r="F43" s="7">
        <f t="shared" si="1"/>
        <v>3</v>
      </c>
      <c r="G43" s="9"/>
      <c r="J43" s="27"/>
      <c r="K43" s="6"/>
      <c r="L43" s="6"/>
      <c r="M43" s="6"/>
      <c r="N43" s="6"/>
      <c r="O43" s="6"/>
      <c r="P43" s="6"/>
      <c r="Q43" s="6"/>
      <c r="R43" s="6"/>
      <c r="S43" s="6"/>
      <c r="T43" s="6"/>
      <c r="U43" s="28"/>
    </row>
    <row r="44" spans="1:21" ht="45" x14ac:dyDescent="0.25">
      <c r="A44" s="13">
        <f>IF(B44="","",COUNTA($B$3:B44))</f>
        <v>42</v>
      </c>
      <c r="B44" s="14" t="s">
        <v>42</v>
      </c>
      <c r="C44" s="14" t="s">
        <v>78</v>
      </c>
      <c r="D44" s="12">
        <f>'9-17'!F44</f>
        <v>0</v>
      </c>
      <c r="E44" s="7">
        <f t="shared" si="0"/>
        <v>0</v>
      </c>
      <c r="F44" s="7">
        <f t="shared" si="1"/>
        <v>0</v>
      </c>
      <c r="G44" s="9"/>
      <c r="J44" s="27"/>
      <c r="K44" s="6"/>
      <c r="L44" s="6"/>
      <c r="M44" s="6"/>
      <c r="N44" s="6"/>
      <c r="O44" s="6"/>
      <c r="P44" s="6"/>
      <c r="Q44" s="6"/>
      <c r="R44" s="6"/>
      <c r="S44" s="6"/>
      <c r="T44" s="6"/>
      <c r="U44" s="28"/>
    </row>
    <row r="45" spans="1:21" ht="30" x14ac:dyDescent="0.25">
      <c r="A45" s="10">
        <f>IF(B45="","",COUNTA($B$3:B45))</f>
        <v>43</v>
      </c>
      <c r="B45" s="11" t="s">
        <v>43</v>
      </c>
      <c r="C45" s="11" t="s">
        <v>78</v>
      </c>
      <c r="D45" s="12">
        <f>'9-17'!F45</f>
        <v>1</v>
      </c>
      <c r="E45" s="7">
        <f t="shared" si="0"/>
        <v>0</v>
      </c>
      <c r="F45" s="7">
        <f t="shared" si="1"/>
        <v>1</v>
      </c>
      <c r="G45" s="9"/>
      <c r="J45" s="27"/>
      <c r="K45" s="6"/>
      <c r="L45" s="6"/>
      <c r="M45" s="6"/>
      <c r="N45" s="6"/>
      <c r="O45" s="6"/>
      <c r="P45" s="6"/>
      <c r="Q45" s="6"/>
      <c r="R45" s="6"/>
      <c r="S45" s="6"/>
      <c r="T45" s="6"/>
      <c r="U45" s="28"/>
    </row>
    <row r="46" spans="1:21" ht="75" x14ac:dyDescent="0.25">
      <c r="A46" s="13">
        <f>IF(B46="","",COUNTA($B$3:B46))</f>
        <v>44</v>
      </c>
      <c r="B46" s="14" t="s">
        <v>44</v>
      </c>
      <c r="C46" s="14" t="s">
        <v>78</v>
      </c>
      <c r="D46" s="12">
        <f>'9-17'!F46</f>
        <v>0</v>
      </c>
      <c r="E46" s="7">
        <f t="shared" si="0"/>
        <v>0</v>
      </c>
      <c r="F46" s="7">
        <f t="shared" si="1"/>
        <v>0</v>
      </c>
      <c r="G46" s="9"/>
      <c r="J46" s="27"/>
      <c r="K46" s="6"/>
      <c r="L46" s="6"/>
      <c r="M46" s="6"/>
      <c r="N46" s="6"/>
      <c r="O46" s="6"/>
      <c r="P46" s="6"/>
      <c r="Q46" s="6"/>
      <c r="R46" s="6"/>
      <c r="S46" s="6"/>
      <c r="T46" s="6"/>
      <c r="U46" s="28"/>
    </row>
    <row r="47" spans="1:21" ht="30" x14ac:dyDescent="0.25">
      <c r="A47" s="10">
        <f>IF(B47="","",COUNTA($B$3:B47))</f>
        <v>45</v>
      </c>
      <c r="B47" s="11" t="s">
        <v>45</v>
      </c>
      <c r="C47" s="11" t="s">
        <v>78</v>
      </c>
      <c r="D47" s="12">
        <f>'9-17'!F47</f>
        <v>0</v>
      </c>
      <c r="E47" s="7">
        <f t="shared" si="0"/>
        <v>0</v>
      </c>
      <c r="F47" s="7">
        <f t="shared" si="1"/>
        <v>0</v>
      </c>
      <c r="G47" s="9"/>
      <c r="J47" s="27"/>
      <c r="K47" s="6"/>
      <c r="L47" s="6"/>
      <c r="M47" s="6"/>
      <c r="N47" s="6"/>
      <c r="O47" s="6"/>
      <c r="P47" s="6"/>
      <c r="Q47" s="6"/>
      <c r="R47" s="6"/>
      <c r="S47" s="6"/>
      <c r="T47" s="6"/>
      <c r="U47" s="28"/>
    </row>
    <row r="48" spans="1:21" ht="30" x14ac:dyDescent="0.25">
      <c r="A48" s="13">
        <f>IF(B48="","",COUNTA($B$3:B48))</f>
        <v>46</v>
      </c>
      <c r="B48" s="14" t="s">
        <v>46</v>
      </c>
      <c r="C48" s="14" t="s">
        <v>78</v>
      </c>
      <c r="D48" s="12">
        <f>'9-17'!F48</f>
        <v>3</v>
      </c>
      <c r="E48" s="7">
        <f t="shared" si="0"/>
        <v>0</v>
      </c>
      <c r="F48" s="7">
        <f t="shared" si="1"/>
        <v>3</v>
      </c>
      <c r="G48" s="9"/>
      <c r="J48" s="27"/>
      <c r="K48" s="6"/>
      <c r="L48" s="6"/>
      <c r="M48" s="6"/>
      <c r="N48" s="6"/>
      <c r="O48" s="6"/>
      <c r="P48" s="6"/>
      <c r="Q48" s="6"/>
      <c r="R48" s="6"/>
      <c r="S48" s="6"/>
      <c r="T48" s="6"/>
      <c r="U48" s="28"/>
    </row>
    <row r="49" spans="1:21" ht="45" x14ac:dyDescent="0.25">
      <c r="A49" s="10">
        <f>IF(B49="","",COUNTA($B$3:B49))</f>
        <v>47</v>
      </c>
      <c r="B49" s="11" t="s">
        <v>47</v>
      </c>
      <c r="C49" s="11" t="s">
        <v>78</v>
      </c>
      <c r="D49" s="12">
        <f>'9-17'!F49</f>
        <v>2</v>
      </c>
      <c r="E49" s="7">
        <f t="shared" si="0"/>
        <v>0</v>
      </c>
      <c r="F49" s="7">
        <f t="shared" si="1"/>
        <v>2</v>
      </c>
      <c r="G49" s="9"/>
      <c r="J49" s="27"/>
      <c r="K49" s="6"/>
      <c r="L49" s="6"/>
      <c r="M49" s="6"/>
      <c r="N49" s="6"/>
      <c r="O49" s="6"/>
      <c r="P49" s="6"/>
      <c r="Q49" s="6"/>
      <c r="R49" s="6"/>
      <c r="S49" s="6"/>
      <c r="T49" s="6"/>
      <c r="U49" s="28"/>
    </row>
    <row r="50" spans="1:21" ht="60" x14ac:dyDescent="0.25">
      <c r="A50" s="13">
        <f>IF(B50="","",COUNTA($B$3:B50))</f>
        <v>48</v>
      </c>
      <c r="B50" s="14" t="s">
        <v>48</v>
      </c>
      <c r="C50" s="14" t="s">
        <v>78</v>
      </c>
      <c r="D50" s="12">
        <f>'9-17'!F50</f>
        <v>3</v>
      </c>
      <c r="E50" s="7">
        <f t="shared" si="0"/>
        <v>0</v>
      </c>
      <c r="F50" s="7">
        <f t="shared" si="1"/>
        <v>3</v>
      </c>
      <c r="G50" s="9"/>
      <c r="J50" s="27"/>
      <c r="K50" s="6"/>
      <c r="L50" s="6"/>
      <c r="M50" s="6"/>
      <c r="N50" s="6"/>
      <c r="O50" s="6"/>
      <c r="P50" s="6"/>
      <c r="Q50" s="6"/>
      <c r="R50" s="6"/>
      <c r="S50" s="6"/>
      <c r="T50" s="6"/>
      <c r="U50" s="28"/>
    </row>
    <row r="51" spans="1:21" ht="30" x14ac:dyDescent="0.25">
      <c r="A51" s="10">
        <f>IF(B51="","",COUNTA($B$3:B51))</f>
        <v>49</v>
      </c>
      <c r="B51" s="11" t="s">
        <v>49</v>
      </c>
      <c r="C51" s="11" t="s">
        <v>78</v>
      </c>
      <c r="D51" s="12">
        <f>'9-17'!F51</f>
        <v>0</v>
      </c>
      <c r="E51" s="7">
        <f t="shared" si="0"/>
        <v>0</v>
      </c>
      <c r="F51" s="7">
        <f t="shared" si="1"/>
        <v>0</v>
      </c>
      <c r="G51" s="9"/>
      <c r="J51" s="27"/>
      <c r="K51" s="6"/>
      <c r="L51" s="6"/>
      <c r="M51" s="6"/>
      <c r="N51" s="6"/>
      <c r="O51" s="6"/>
      <c r="P51" s="6"/>
      <c r="Q51" s="6"/>
      <c r="R51" s="6"/>
      <c r="S51" s="6"/>
      <c r="T51" s="6"/>
      <c r="U51" s="28"/>
    </row>
    <row r="52" spans="1:21" ht="30" x14ac:dyDescent="0.25">
      <c r="A52" s="13">
        <f>IF(B52="","",COUNTA($B$3:B52))</f>
        <v>50</v>
      </c>
      <c r="B52" s="14" t="s">
        <v>2</v>
      </c>
      <c r="C52" s="14" t="s">
        <v>78</v>
      </c>
      <c r="D52" s="12">
        <f>'9-17'!F52</f>
        <v>0</v>
      </c>
      <c r="E52" s="7">
        <f t="shared" si="0"/>
        <v>0</v>
      </c>
      <c r="F52" s="7">
        <f t="shared" si="1"/>
        <v>0</v>
      </c>
      <c r="G52" s="9"/>
      <c r="J52" s="27"/>
      <c r="K52" s="6"/>
      <c r="L52" s="6"/>
      <c r="M52" s="6"/>
      <c r="N52" s="6"/>
      <c r="O52" s="6"/>
      <c r="P52" s="6"/>
      <c r="Q52" s="6"/>
      <c r="R52" s="6"/>
      <c r="S52" s="6"/>
      <c r="T52" s="6"/>
      <c r="U52" s="28"/>
    </row>
    <row r="53" spans="1:21" ht="30" x14ac:dyDescent="0.25">
      <c r="A53" s="10">
        <f>IF(B53="","",COUNTA($B$3:B53))</f>
        <v>51</v>
      </c>
      <c r="B53" s="11" t="s">
        <v>50</v>
      </c>
      <c r="C53" s="11" t="s">
        <v>79</v>
      </c>
      <c r="D53" s="12">
        <f>'9-17'!F53</f>
        <v>0</v>
      </c>
      <c r="E53" s="7">
        <f t="shared" si="0"/>
        <v>0</v>
      </c>
      <c r="F53" s="7">
        <f t="shared" si="1"/>
        <v>0</v>
      </c>
      <c r="G53" s="9"/>
      <c r="J53" s="27"/>
      <c r="K53" s="6"/>
      <c r="L53" s="6"/>
      <c r="M53" s="6"/>
      <c r="N53" s="6"/>
      <c r="O53" s="6"/>
      <c r="P53" s="6"/>
      <c r="Q53" s="6"/>
      <c r="R53" s="6"/>
      <c r="S53" s="6"/>
      <c r="T53" s="6"/>
      <c r="U53" s="28"/>
    </row>
    <row r="54" spans="1:21" ht="45" x14ac:dyDescent="0.25">
      <c r="A54" s="13">
        <f>IF(B54="","",COUNTA($B$3:B54))</f>
        <v>52</v>
      </c>
      <c r="B54" s="14" t="s">
        <v>51</v>
      </c>
      <c r="C54" s="14" t="s">
        <v>79</v>
      </c>
      <c r="D54" s="12">
        <f>'9-17'!F54</f>
        <v>0</v>
      </c>
      <c r="E54" s="7">
        <f t="shared" si="0"/>
        <v>0</v>
      </c>
      <c r="F54" s="7">
        <f t="shared" si="1"/>
        <v>0</v>
      </c>
      <c r="G54" s="9"/>
      <c r="J54" s="27"/>
      <c r="K54" s="6"/>
      <c r="L54" s="6"/>
      <c r="M54" s="6"/>
      <c r="N54" s="6"/>
      <c r="O54" s="6"/>
      <c r="P54" s="6"/>
      <c r="Q54" s="6"/>
      <c r="R54" s="6"/>
      <c r="S54" s="6"/>
      <c r="T54" s="6"/>
      <c r="U54" s="28"/>
    </row>
    <row r="55" spans="1:21" ht="30" x14ac:dyDescent="0.25">
      <c r="A55" s="10">
        <f>IF(B55="","",COUNTA($B$3:B55))</f>
        <v>53</v>
      </c>
      <c r="B55" s="11" t="s">
        <v>52</v>
      </c>
      <c r="C55" s="11" t="s">
        <v>78</v>
      </c>
      <c r="D55" s="12">
        <f>'9-17'!F55</f>
        <v>100</v>
      </c>
      <c r="E55" s="7">
        <f t="shared" si="0"/>
        <v>0</v>
      </c>
      <c r="F55" s="7">
        <f t="shared" si="1"/>
        <v>100</v>
      </c>
      <c r="G55" s="9"/>
      <c r="J55" s="27"/>
      <c r="K55" s="6"/>
      <c r="L55" s="6"/>
      <c r="M55" s="6"/>
      <c r="N55" s="6"/>
      <c r="O55" s="6"/>
      <c r="P55" s="6"/>
      <c r="Q55" s="6"/>
      <c r="R55" s="6"/>
      <c r="S55" s="6"/>
      <c r="T55" s="6"/>
      <c r="U55" s="28"/>
    </row>
    <row r="56" spans="1:21" ht="45" x14ac:dyDescent="0.25">
      <c r="A56" s="13">
        <f>IF(B56="","",COUNTA($B$3:B56))</f>
        <v>54</v>
      </c>
      <c r="B56" s="14" t="s">
        <v>53</v>
      </c>
      <c r="C56" s="14" t="s">
        <v>78</v>
      </c>
      <c r="D56" s="12">
        <f>'9-17'!F56</f>
        <v>15</v>
      </c>
      <c r="E56" s="7">
        <f t="shared" si="0"/>
        <v>0</v>
      </c>
      <c r="F56" s="7">
        <f t="shared" si="1"/>
        <v>15</v>
      </c>
      <c r="G56" s="9"/>
      <c r="J56" s="27"/>
      <c r="K56" s="6"/>
      <c r="L56" s="6"/>
      <c r="M56" s="6"/>
      <c r="N56" s="6"/>
      <c r="O56" s="6"/>
      <c r="P56" s="6"/>
      <c r="Q56" s="6"/>
      <c r="R56" s="6"/>
      <c r="S56" s="6"/>
      <c r="T56" s="6"/>
      <c r="U56" s="28"/>
    </row>
    <row r="57" spans="1:21" ht="45" x14ac:dyDescent="0.25">
      <c r="A57" s="10">
        <f>IF(B57="","",COUNTA($B$3:B57))</f>
        <v>55</v>
      </c>
      <c r="B57" s="11" t="s">
        <v>54</v>
      </c>
      <c r="C57" s="11" t="s">
        <v>78</v>
      </c>
      <c r="D57" s="12">
        <f>'9-17'!F57</f>
        <v>5</v>
      </c>
      <c r="E57" s="7">
        <f t="shared" si="0"/>
        <v>0</v>
      </c>
      <c r="F57" s="7">
        <f t="shared" si="1"/>
        <v>5</v>
      </c>
      <c r="G57" s="9"/>
      <c r="J57" s="27"/>
      <c r="K57" s="6"/>
      <c r="L57" s="6"/>
      <c r="M57" s="6"/>
      <c r="N57" s="6"/>
      <c r="O57" s="6"/>
      <c r="P57" s="6"/>
      <c r="Q57" s="6"/>
      <c r="R57" s="6"/>
      <c r="S57" s="6"/>
      <c r="T57" s="6"/>
      <c r="U57" s="28"/>
    </row>
    <row r="58" spans="1:21" ht="45" x14ac:dyDescent="0.25">
      <c r="A58" s="13">
        <f>IF(B58="","",COUNTA($B$3:B58))</f>
        <v>56</v>
      </c>
      <c r="B58" s="14" t="s">
        <v>55</v>
      </c>
      <c r="C58" s="14" t="s">
        <v>78</v>
      </c>
      <c r="D58" s="12">
        <f>'9-17'!F58</f>
        <v>10</v>
      </c>
      <c r="E58" s="7">
        <f t="shared" si="0"/>
        <v>0</v>
      </c>
      <c r="F58" s="7">
        <f t="shared" si="1"/>
        <v>10</v>
      </c>
      <c r="G58" s="9"/>
      <c r="J58" s="27"/>
      <c r="K58" s="6"/>
      <c r="L58" s="6"/>
      <c r="M58" s="6"/>
      <c r="N58" s="6"/>
      <c r="O58" s="6"/>
      <c r="P58" s="6"/>
      <c r="Q58" s="6"/>
      <c r="R58" s="6"/>
      <c r="S58" s="6"/>
      <c r="T58" s="6"/>
      <c r="U58" s="28"/>
    </row>
    <row r="59" spans="1:21" ht="75" x14ac:dyDescent="0.25">
      <c r="A59" s="10">
        <f>IF(B59="","",COUNTA($B$3:B59))</f>
        <v>57</v>
      </c>
      <c r="B59" s="11" t="s">
        <v>56</v>
      </c>
      <c r="C59" s="11" t="s">
        <v>78</v>
      </c>
      <c r="D59" s="12">
        <f>'9-17'!F59</f>
        <v>0</v>
      </c>
      <c r="E59" s="7">
        <f t="shared" si="0"/>
        <v>0</v>
      </c>
      <c r="F59" s="7">
        <f t="shared" si="1"/>
        <v>0</v>
      </c>
      <c r="G59" s="9"/>
      <c r="J59" s="27"/>
      <c r="K59" s="6"/>
      <c r="L59" s="6"/>
      <c r="M59" s="6"/>
      <c r="N59" s="6"/>
      <c r="O59" s="6"/>
      <c r="P59" s="6"/>
      <c r="Q59" s="6"/>
      <c r="R59" s="6"/>
      <c r="S59" s="6"/>
      <c r="T59" s="6"/>
      <c r="U59" s="28"/>
    </row>
    <row r="60" spans="1:21" ht="30" x14ac:dyDescent="0.25">
      <c r="A60" s="13">
        <f>IF(B60="","",COUNTA($B$3:B60))</f>
        <v>58</v>
      </c>
      <c r="B60" s="14" t="s">
        <v>57</v>
      </c>
      <c r="C60" s="14" t="s">
        <v>78</v>
      </c>
      <c r="D60" s="12">
        <f>'9-17'!F60</f>
        <v>5</v>
      </c>
      <c r="E60" s="7">
        <f t="shared" si="0"/>
        <v>0</v>
      </c>
      <c r="F60" s="7">
        <f t="shared" si="1"/>
        <v>5</v>
      </c>
      <c r="G60" s="9"/>
      <c r="J60" s="27"/>
      <c r="K60" s="6"/>
      <c r="L60" s="6"/>
      <c r="M60" s="6"/>
      <c r="N60" s="6"/>
      <c r="O60" s="6"/>
      <c r="P60" s="6"/>
      <c r="Q60" s="6"/>
      <c r="R60" s="6"/>
      <c r="S60" s="6"/>
      <c r="T60" s="6"/>
      <c r="U60" s="28"/>
    </row>
    <row r="61" spans="1:21" ht="30" x14ac:dyDescent="0.25">
      <c r="A61" s="10">
        <f>IF(B61="","",COUNTA($B$3:B61))</f>
        <v>59</v>
      </c>
      <c r="B61" s="11" t="s">
        <v>58</v>
      </c>
      <c r="C61" s="11" t="s">
        <v>78</v>
      </c>
      <c r="D61" s="12">
        <f>'9-17'!F61</f>
        <v>4</v>
      </c>
      <c r="E61" s="7">
        <f t="shared" si="0"/>
        <v>0</v>
      </c>
      <c r="F61" s="7">
        <f t="shared" si="1"/>
        <v>4</v>
      </c>
      <c r="G61" s="9"/>
      <c r="J61" s="27"/>
      <c r="K61" s="6"/>
      <c r="L61" s="6"/>
      <c r="M61" s="6"/>
      <c r="N61" s="6"/>
      <c r="O61" s="6"/>
      <c r="P61" s="6"/>
      <c r="Q61" s="6"/>
      <c r="R61" s="6"/>
      <c r="S61" s="6"/>
      <c r="T61" s="6"/>
      <c r="U61" s="28"/>
    </row>
    <row r="62" spans="1:21" ht="60" x14ac:dyDescent="0.25">
      <c r="A62" s="13">
        <f>IF(B62="","",COUNTA($B$3:B62))</f>
        <v>60</v>
      </c>
      <c r="B62" s="14" t="s">
        <v>59</v>
      </c>
      <c r="C62" s="14" t="s">
        <v>78</v>
      </c>
      <c r="D62" s="12">
        <f>'9-17'!F62</f>
        <v>1</v>
      </c>
      <c r="E62" s="7">
        <f t="shared" si="0"/>
        <v>0</v>
      </c>
      <c r="F62" s="7">
        <f t="shared" si="1"/>
        <v>1</v>
      </c>
      <c r="G62" s="9"/>
      <c r="J62" s="27"/>
      <c r="K62" s="6"/>
      <c r="L62" s="6"/>
      <c r="M62" s="6"/>
      <c r="N62" s="6"/>
      <c r="O62" s="6"/>
      <c r="P62" s="6"/>
      <c r="Q62" s="6"/>
      <c r="R62" s="6"/>
      <c r="S62" s="6"/>
      <c r="T62" s="6"/>
      <c r="U62" s="28"/>
    </row>
    <row r="63" spans="1:21" ht="60" x14ac:dyDescent="0.25">
      <c r="A63" s="10">
        <f>IF(B63="","",COUNTA($B$3:B63))</f>
        <v>61</v>
      </c>
      <c r="B63" s="11" t="s">
        <v>60</v>
      </c>
      <c r="C63" s="11" t="s">
        <v>78</v>
      </c>
      <c r="D63" s="12">
        <f>'9-17'!F63</f>
        <v>7</v>
      </c>
      <c r="E63" s="7">
        <f t="shared" si="0"/>
        <v>0</v>
      </c>
      <c r="F63" s="7">
        <f t="shared" si="1"/>
        <v>7</v>
      </c>
      <c r="G63" s="9"/>
      <c r="J63" s="27"/>
      <c r="K63" s="6"/>
      <c r="L63" s="6"/>
      <c r="M63" s="6"/>
      <c r="N63" s="6"/>
      <c r="O63" s="6"/>
      <c r="P63" s="6"/>
      <c r="Q63" s="6"/>
      <c r="R63" s="6"/>
      <c r="S63" s="6"/>
      <c r="T63" s="6"/>
      <c r="U63" s="28"/>
    </row>
    <row r="64" spans="1:21" ht="60" x14ac:dyDescent="0.25">
      <c r="A64" s="13">
        <f>IF(B64="","",COUNTA($B$3:B64))</f>
        <v>62</v>
      </c>
      <c r="B64" s="14" t="s">
        <v>61</v>
      </c>
      <c r="C64" s="14" t="s">
        <v>78</v>
      </c>
      <c r="D64" s="12">
        <f>'9-17'!F64</f>
        <v>6</v>
      </c>
      <c r="E64" s="7">
        <f t="shared" si="0"/>
        <v>0</v>
      </c>
      <c r="F64" s="7">
        <f t="shared" si="1"/>
        <v>6</v>
      </c>
      <c r="G64" s="9"/>
      <c r="J64" s="27"/>
      <c r="K64" s="6"/>
      <c r="L64" s="6"/>
      <c r="M64" s="6"/>
      <c r="N64" s="6"/>
      <c r="O64" s="6"/>
      <c r="P64" s="6"/>
      <c r="Q64" s="6"/>
      <c r="R64" s="6"/>
      <c r="S64" s="6"/>
      <c r="T64" s="6"/>
      <c r="U64" s="28"/>
    </row>
    <row r="65" spans="1:21" ht="30" x14ac:dyDescent="0.25">
      <c r="A65" s="10">
        <f>IF(B65="","",COUNTA($B$3:B65))</f>
        <v>63</v>
      </c>
      <c r="B65" s="11" t="s">
        <v>62</v>
      </c>
      <c r="C65" s="11" t="s">
        <v>78</v>
      </c>
      <c r="D65" s="12">
        <f>'9-17'!F65</f>
        <v>1</v>
      </c>
      <c r="E65" s="7">
        <f t="shared" si="0"/>
        <v>0</v>
      </c>
      <c r="F65" s="7">
        <f t="shared" si="1"/>
        <v>1</v>
      </c>
      <c r="G65" s="9"/>
      <c r="J65" s="27"/>
      <c r="K65" s="6"/>
      <c r="L65" s="6"/>
      <c r="M65" s="6"/>
      <c r="N65" s="6"/>
      <c r="O65" s="6"/>
      <c r="P65" s="6"/>
      <c r="Q65" s="6"/>
      <c r="R65" s="6"/>
      <c r="S65" s="6"/>
      <c r="T65" s="6"/>
      <c r="U65" s="28"/>
    </row>
    <row r="66" spans="1:21" ht="45" x14ac:dyDescent="0.25">
      <c r="A66" s="13">
        <f>IF(B66="","",COUNTA($B$3:B66))</f>
        <v>64</v>
      </c>
      <c r="B66" s="14" t="s">
        <v>63</v>
      </c>
      <c r="C66" s="14" t="s">
        <v>78</v>
      </c>
      <c r="D66" s="12">
        <f>'9-17'!F66</f>
        <v>1</v>
      </c>
      <c r="E66" s="7">
        <f t="shared" si="0"/>
        <v>0</v>
      </c>
      <c r="F66" s="7">
        <f t="shared" si="1"/>
        <v>1</v>
      </c>
      <c r="G66" s="9"/>
      <c r="J66" s="27"/>
      <c r="K66" s="6"/>
      <c r="L66" s="6"/>
      <c r="M66" s="6"/>
      <c r="N66" s="6"/>
      <c r="O66" s="6"/>
      <c r="P66" s="6"/>
      <c r="Q66" s="6"/>
      <c r="R66" s="6"/>
      <c r="S66" s="6"/>
      <c r="T66" s="6"/>
      <c r="U66" s="28"/>
    </row>
    <row r="67" spans="1:21" ht="75" x14ac:dyDescent="0.25">
      <c r="A67" s="10">
        <f>IF(B67="","",COUNTA($B$3:B67))</f>
        <v>65</v>
      </c>
      <c r="B67" s="11" t="s">
        <v>64</v>
      </c>
      <c r="C67" s="11" t="s">
        <v>78</v>
      </c>
      <c r="D67" s="12">
        <f>'9-17'!F67</f>
        <v>2</v>
      </c>
      <c r="E67" s="7">
        <f t="shared" ref="E67:E81" si="2">SUM(J67:U67)</f>
        <v>0</v>
      </c>
      <c r="F67" s="7">
        <f t="shared" ref="F67:F81" si="3">D67-E67</f>
        <v>2</v>
      </c>
      <c r="G67" s="9"/>
      <c r="J67" s="27"/>
      <c r="K67" s="6"/>
      <c r="L67" s="6"/>
      <c r="M67" s="6"/>
      <c r="N67" s="6"/>
      <c r="O67" s="6"/>
      <c r="P67" s="6"/>
      <c r="Q67" s="6"/>
      <c r="R67" s="6"/>
      <c r="S67" s="6"/>
      <c r="T67" s="6"/>
      <c r="U67" s="28"/>
    </row>
    <row r="68" spans="1:21" ht="45" x14ac:dyDescent="0.25">
      <c r="A68" s="13">
        <f>IF(B68="","",COUNTA($B$3:B68))</f>
        <v>66</v>
      </c>
      <c r="B68" s="14" t="s">
        <v>65</v>
      </c>
      <c r="C68" s="14" t="s">
        <v>78</v>
      </c>
      <c r="D68" s="12">
        <f>'9-17'!F68</f>
        <v>30</v>
      </c>
      <c r="E68" s="7">
        <f t="shared" si="2"/>
        <v>0</v>
      </c>
      <c r="F68" s="7">
        <f t="shared" si="3"/>
        <v>30</v>
      </c>
      <c r="G68" s="9"/>
      <c r="J68" s="27"/>
      <c r="K68" s="6"/>
      <c r="L68" s="6"/>
      <c r="M68" s="6"/>
      <c r="N68" s="6"/>
      <c r="O68" s="6"/>
      <c r="P68" s="6"/>
      <c r="Q68" s="6"/>
      <c r="R68" s="6"/>
      <c r="S68" s="6"/>
      <c r="T68" s="6"/>
      <c r="U68" s="28"/>
    </row>
    <row r="69" spans="1:21" ht="30" x14ac:dyDescent="0.25">
      <c r="A69" s="10">
        <f>IF(B69="","",COUNTA($B$3:B69))</f>
        <v>67</v>
      </c>
      <c r="B69" s="11" t="s">
        <v>66</v>
      </c>
      <c r="C69" s="11" t="s">
        <v>79</v>
      </c>
      <c r="D69" s="12">
        <f>'9-17'!F69</f>
        <v>1</v>
      </c>
      <c r="E69" s="7">
        <f t="shared" si="2"/>
        <v>0</v>
      </c>
      <c r="F69" s="7">
        <f t="shared" si="3"/>
        <v>1</v>
      </c>
      <c r="G69" s="9"/>
      <c r="J69" s="27"/>
      <c r="K69" s="6"/>
      <c r="L69" s="6"/>
      <c r="M69" s="6"/>
      <c r="N69" s="6"/>
      <c r="O69" s="6"/>
      <c r="P69" s="6"/>
      <c r="Q69" s="6"/>
      <c r="R69" s="6"/>
      <c r="S69" s="6"/>
      <c r="T69" s="6"/>
      <c r="U69" s="28"/>
    </row>
    <row r="70" spans="1:21" ht="45" x14ac:dyDescent="0.25">
      <c r="A70" s="18">
        <f>IF(B70="","",COUNTA($B$3:B70))</f>
        <v>68</v>
      </c>
      <c r="B70" s="17" t="s">
        <v>67</v>
      </c>
      <c r="C70" s="17" t="s">
        <v>78</v>
      </c>
      <c r="D70" s="12">
        <f>'9-17'!F70</f>
        <v>0</v>
      </c>
      <c r="E70" s="7">
        <f t="shared" si="2"/>
        <v>0</v>
      </c>
      <c r="F70" s="7">
        <f t="shared" si="3"/>
        <v>0</v>
      </c>
      <c r="G70" s="9"/>
      <c r="J70" s="27"/>
      <c r="K70" s="6"/>
      <c r="L70" s="6"/>
      <c r="M70" s="6"/>
      <c r="N70" s="6"/>
      <c r="O70" s="6"/>
      <c r="P70" s="6"/>
      <c r="Q70" s="6"/>
      <c r="R70" s="6"/>
      <c r="S70" s="6"/>
      <c r="T70" s="6"/>
      <c r="U70" s="28"/>
    </row>
    <row r="71" spans="1:21" ht="30" x14ac:dyDescent="0.25">
      <c r="A71" s="19">
        <f>IF(B71="","",COUNTA($B$3:B71))</f>
        <v>69</v>
      </c>
      <c r="B71" s="11" t="s">
        <v>68</v>
      </c>
      <c r="C71" s="11" t="s">
        <v>78</v>
      </c>
      <c r="D71" s="12">
        <f>'9-17'!F71</f>
        <v>0</v>
      </c>
      <c r="E71" s="7">
        <f t="shared" si="2"/>
        <v>0</v>
      </c>
      <c r="F71" s="7">
        <f t="shared" si="3"/>
        <v>0</v>
      </c>
      <c r="G71" s="9"/>
      <c r="J71" s="27"/>
      <c r="K71" s="6"/>
      <c r="L71" s="6"/>
      <c r="M71" s="6"/>
      <c r="N71" s="6"/>
      <c r="O71" s="6"/>
      <c r="P71" s="6"/>
      <c r="Q71" s="6"/>
      <c r="R71" s="6"/>
      <c r="S71" s="6"/>
      <c r="T71" s="6"/>
      <c r="U71" s="28"/>
    </row>
    <row r="72" spans="1:21" ht="30" x14ac:dyDescent="0.25">
      <c r="A72" s="18">
        <f>IF(B72="","",COUNTA($B$3:B72))</f>
        <v>70</v>
      </c>
      <c r="B72" s="14" t="s">
        <v>69</v>
      </c>
      <c r="C72" s="14" t="s">
        <v>78</v>
      </c>
      <c r="D72" s="12">
        <f>'9-17'!F72</f>
        <v>14</v>
      </c>
      <c r="E72" s="7">
        <f t="shared" si="2"/>
        <v>0</v>
      </c>
      <c r="F72" s="7">
        <f t="shared" si="3"/>
        <v>14</v>
      </c>
      <c r="G72" s="9"/>
      <c r="J72" s="27"/>
      <c r="K72" s="6"/>
      <c r="L72" s="6"/>
      <c r="M72" s="6"/>
      <c r="N72" s="6"/>
      <c r="O72" s="6"/>
      <c r="P72" s="6"/>
      <c r="Q72" s="6"/>
      <c r="R72" s="6"/>
      <c r="S72" s="6"/>
      <c r="T72" s="6"/>
      <c r="U72" s="28"/>
    </row>
    <row r="73" spans="1:21" ht="30" x14ac:dyDescent="0.25">
      <c r="A73" s="19">
        <f>IF(B73="","",COUNTA($B$3:B73))</f>
        <v>71</v>
      </c>
      <c r="B73" s="11" t="s">
        <v>70</v>
      </c>
      <c r="C73" s="11" t="s">
        <v>78</v>
      </c>
      <c r="D73" s="12">
        <f>'9-17'!F73</f>
        <v>38</v>
      </c>
      <c r="E73" s="7">
        <f t="shared" si="2"/>
        <v>0</v>
      </c>
      <c r="F73" s="7">
        <f t="shared" si="3"/>
        <v>38</v>
      </c>
      <c r="G73" s="9"/>
      <c r="J73" s="27"/>
      <c r="K73" s="6"/>
      <c r="L73" s="6"/>
      <c r="M73" s="6"/>
      <c r="N73" s="6"/>
      <c r="O73" s="6"/>
      <c r="P73" s="6"/>
      <c r="Q73" s="6"/>
      <c r="R73" s="6"/>
      <c r="S73" s="6"/>
      <c r="T73" s="6"/>
      <c r="U73" s="28"/>
    </row>
    <row r="74" spans="1:21" ht="30" x14ac:dyDescent="0.25">
      <c r="A74" s="18">
        <f>IF(B74="","",COUNTA($B$3:B74))</f>
        <v>72</v>
      </c>
      <c r="B74" s="14" t="s">
        <v>71</v>
      </c>
      <c r="C74" s="14" t="s">
        <v>78</v>
      </c>
      <c r="D74" s="12">
        <f>'9-17'!F74</f>
        <v>5</v>
      </c>
      <c r="E74" s="7">
        <f t="shared" si="2"/>
        <v>0</v>
      </c>
      <c r="F74" s="7">
        <f t="shared" si="3"/>
        <v>5</v>
      </c>
      <c r="G74" s="9"/>
      <c r="J74" s="27"/>
      <c r="K74" s="6"/>
      <c r="L74" s="6"/>
      <c r="M74" s="6"/>
      <c r="N74" s="6"/>
      <c r="O74" s="6"/>
      <c r="P74" s="6"/>
      <c r="Q74" s="6"/>
      <c r="R74" s="6"/>
      <c r="S74" s="6"/>
      <c r="T74" s="6"/>
      <c r="U74" s="28"/>
    </row>
    <row r="75" spans="1:21" ht="60" x14ac:dyDescent="0.25">
      <c r="A75" s="19">
        <f>IF(B75="","",COUNTA($B$3:B75))</f>
        <v>73</v>
      </c>
      <c r="B75" s="11" t="s">
        <v>72</v>
      </c>
      <c r="C75" s="11" t="s">
        <v>78</v>
      </c>
      <c r="D75" s="12">
        <f>'9-17'!F75</f>
        <v>185</v>
      </c>
      <c r="E75" s="7">
        <f t="shared" si="2"/>
        <v>0</v>
      </c>
      <c r="F75" s="7">
        <f t="shared" si="3"/>
        <v>185</v>
      </c>
      <c r="G75" s="9"/>
      <c r="J75" s="27"/>
      <c r="K75" s="6"/>
      <c r="L75" s="6"/>
      <c r="M75" s="6"/>
      <c r="N75" s="6"/>
      <c r="O75" s="6"/>
      <c r="P75" s="6"/>
      <c r="Q75" s="6"/>
      <c r="R75" s="6"/>
      <c r="S75" s="6"/>
      <c r="T75" s="6"/>
      <c r="U75" s="28"/>
    </row>
    <row r="76" spans="1:21" ht="30" x14ac:dyDescent="0.25">
      <c r="A76" s="18">
        <f>IF(B76="","",COUNTA($B$3:B76))</f>
        <v>74</v>
      </c>
      <c r="B76" s="14" t="s">
        <v>73</v>
      </c>
      <c r="C76" s="14" t="s">
        <v>78</v>
      </c>
      <c r="D76" s="12">
        <f>'9-17'!F76</f>
        <v>4</v>
      </c>
      <c r="E76" s="7">
        <f t="shared" si="2"/>
        <v>0</v>
      </c>
      <c r="F76" s="7">
        <f t="shared" si="3"/>
        <v>4</v>
      </c>
      <c r="G76" s="9"/>
      <c r="J76" s="27"/>
      <c r="K76" s="6"/>
      <c r="L76" s="6"/>
      <c r="M76" s="6"/>
      <c r="N76" s="6"/>
      <c r="O76" s="6"/>
      <c r="P76" s="6"/>
      <c r="Q76" s="6"/>
      <c r="R76" s="6"/>
      <c r="S76" s="6"/>
      <c r="T76" s="6"/>
      <c r="U76" s="28"/>
    </row>
    <row r="77" spans="1:21" ht="45" x14ac:dyDescent="0.25">
      <c r="A77" s="19">
        <f>IF(B77="","",COUNTA($B$3:B77))</f>
        <v>75</v>
      </c>
      <c r="B77" s="11" t="s">
        <v>74</v>
      </c>
      <c r="C77" s="11" t="s">
        <v>78</v>
      </c>
      <c r="D77" s="12">
        <f>'9-17'!F77</f>
        <v>8</v>
      </c>
      <c r="E77" s="7">
        <f t="shared" si="2"/>
        <v>0</v>
      </c>
      <c r="F77" s="7">
        <f t="shared" si="3"/>
        <v>8</v>
      </c>
      <c r="G77" s="9"/>
      <c r="J77" s="27"/>
      <c r="K77" s="6"/>
      <c r="L77" s="6"/>
      <c r="M77" s="6"/>
      <c r="N77" s="6"/>
      <c r="O77" s="6"/>
      <c r="P77" s="6"/>
      <c r="Q77" s="6"/>
      <c r="R77" s="6"/>
      <c r="S77" s="6"/>
      <c r="T77" s="6"/>
      <c r="U77" s="28"/>
    </row>
    <row r="78" spans="1:21" ht="45" x14ac:dyDescent="0.25">
      <c r="A78" s="18">
        <f>IF(B78="","",COUNTA($B$3:B78))</f>
        <v>76</v>
      </c>
      <c r="B78" s="17" t="s">
        <v>75</v>
      </c>
      <c r="C78" s="17" t="s">
        <v>78</v>
      </c>
      <c r="D78" s="12">
        <f>'9-17'!F78</f>
        <v>19</v>
      </c>
      <c r="E78" s="7">
        <f t="shared" si="2"/>
        <v>0</v>
      </c>
      <c r="F78" s="7">
        <f t="shared" si="3"/>
        <v>19</v>
      </c>
      <c r="G78" s="9"/>
      <c r="J78" s="27"/>
      <c r="K78" s="6"/>
      <c r="L78" s="6"/>
      <c r="M78" s="6"/>
      <c r="N78" s="6"/>
      <c r="O78" s="6"/>
      <c r="P78" s="6"/>
      <c r="Q78" s="6"/>
      <c r="R78" s="6"/>
      <c r="S78" s="6"/>
      <c r="T78" s="6"/>
      <c r="U78" s="28"/>
    </row>
    <row r="79" spans="1:21" ht="30" x14ac:dyDescent="0.25">
      <c r="A79" s="19">
        <f>IF(B79="","",COUNTA($B$3:B79))</f>
        <v>77</v>
      </c>
      <c r="B79" s="21" t="s">
        <v>76</v>
      </c>
      <c r="C79" s="21" t="s">
        <v>78</v>
      </c>
      <c r="D79" s="12">
        <f>'9-17'!F79</f>
        <v>8</v>
      </c>
      <c r="E79" s="7">
        <f t="shared" si="2"/>
        <v>0</v>
      </c>
      <c r="F79" s="7">
        <f t="shared" si="3"/>
        <v>8</v>
      </c>
      <c r="G79" s="9"/>
      <c r="J79" s="27"/>
      <c r="K79" s="6"/>
      <c r="L79" s="6"/>
      <c r="M79" s="6"/>
      <c r="N79" s="6"/>
      <c r="O79" s="6"/>
      <c r="P79" s="6"/>
      <c r="Q79" s="6"/>
      <c r="R79" s="6"/>
      <c r="S79" s="6"/>
      <c r="T79" s="6"/>
      <c r="U79" s="28"/>
    </row>
    <row r="80" spans="1:21" ht="30" x14ac:dyDescent="0.25">
      <c r="A80" s="18">
        <f>IF(B80="","",COUNTA($B$3:B80))</f>
        <v>78</v>
      </c>
      <c r="B80" s="14" t="s">
        <v>41</v>
      </c>
      <c r="C80" s="17" t="s">
        <v>78</v>
      </c>
      <c r="D80" s="12">
        <f>'9-17'!F80</f>
        <v>1</v>
      </c>
      <c r="E80" s="7">
        <f t="shared" si="2"/>
        <v>0</v>
      </c>
      <c r="F80" s="7">
        <f t="shared" si="3"/>
        <v>1</v>
      </c>
      <c r="G80" s="9"/>
      <c r="J80" s="27"/>
      <c r="K80" s="6"/>
      <c r="L80" s="6"/>
      <c r="M80" s="6"/>
      <c r="N80" s="6"/>
      <c r="O80" s="6"/>
      <c r="P80" s="6"/>
      <c r="Q80" s="6"/>
      <c r="R80" s="6"/>
      <c r="S80" s="6"/>
      <c r="T80" s="6"/>
      <c r="U80" s="28"/>
    </row>
    <row r="81" spans="1:21" ht="45" x14ac:dyDescent="0.25">
      <c r="A81" s="19">
        <f>IF(B81="","",COUNTA($B$3:B81))</f>
        <v>79</v>
      </c>
      <c r="B81" s="11" t="s">
        <v>42</v>
      </c>
      <c r="C81" s="21" t="s">
        <v>78</v>
      </c>
      <c r="D81" s="12">
        <f>'9-17'!F81</f>
        <v>0</v>
      </c>
      <c r="E81" s="7">
        <f t="shared" si="2"/>
        <v>0</v>
      </c>
      <c r="F81" s="7">
        <f t="shared" si="3"/>
        <v>0</v>
      </c>
      <c r="G81" s="9"/>
      <c r="J81" s="27"/>
      <c r="K81" s="6"/>
      <c r="L81" s="6"/>
      <c r="M81" s="6"/>
      <c r="N81" s="6"/>
      <c r="O81" s="6"/>
      <c r="P81" s="6"/>
      <c r="Q81" s="6"/>
      <c r="R81" s="6"/>
      <c r="S81" s="6"/>
      <c r="T81" s="6"/>
      <c r="U81" s="28"/>
    </row>
    <row r="82" spans="1:21" x14ac:dyDescent="0.25">
      <c r="A82" s="13" t="str">
        <f>IF(B82="","",COUNTA($B$3:B82))</f>
        <v/>
      </c>
      <c r="B82" s="17"/>
      <c r="C82" s="23"/>
      <c r="D82" s="23"/>
      <c r="E82" s="32"/>
      <c r="F82" s="7"/>
      <c r="G82" s="23"/>
      <c r="J82" s="27"/>
      <c r="K82" s="6"/>
      <c r="L82" s="6"/>
      <c r="M82" s="6"/>
      <c r="N82" s="6"/>
      <c r="O82" s="6"/>
      <c r="P82" s="6"/>
      <c r="Q82" s="6"/>
      <c r="R82" s="6"/>
      <c r="S82" s="6"/>
      <c r="T82" s="6"/>
      <c r="U82" s="28"/>
    </row>
    <row r="83" spans="1:21" ht="15.75" thickBot="1" x14ac:dyDescent="0.3">
      <c r="A83" s="24"/>
      <c r="B83" s="25"/>
      <c r="C83" s="23"/>
      <c r="D83" s="23"/>
      <c r="E83" s="32"/>
      <c r="F83" s="7"/>
      <c r="G83" s="23"/>
      <c r="J83" s="27"/>
      <c r="K83" s="6"/>
      <c r="L83" s="6"/>
      <c r="M83" s="6"/>
      <c r="N83" s="6"/>
      <c r="O83" s="6"/>
      <c r="P83" s="6"/>
      <c r="Q83" s="6"/>
      <c r="R83" s="6"/>
      <c r="S83" s="6"/>
      <c r="T83" s="6"/>
      <c r="U83" s="28"/>
    </row>
    <row r="84" spans="1:21" ht="15.75" thickBot="1" x14ac:dyDescent="0.3">
      <c r="A84" s="23"/>
      <c r="B84" s="23"/>
      <c r="C84" s="23"/>
      <c r="D84" s="23"/>
      <c r="E84" s="32"/>
      <c r="F84" s="7"/>
      <c r="G84" s="23"/>
      <c r="J84" s="29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1"/>
    </row>
  </sheetData>
  <mergeCells count="2">
    <mergeCell ref="B1:F1"/>
    <mergeCell ref="J1:U1"/>
  </mergeCells>
  <conditionalFormatting sqref="D3:D81">
    <cfRule type="cellIs" dxfId="26" priority="1" operator="lessThan">
      <formula>11</formula>
    </cfRule>
  </conditionalFormatting>
  <dataValidations count="2">
    <dataValidation type="list" allowBlank="1" showInputMessage="1" showErrorMessage="1" sqref="G3:G81">
      <formula1>$X$3:$X$10</formula1>
    </dataValidation>
    <dataValidation type="list" allowBlank="1" showInputMessage="1" showErrorMessage="1" sqref="C3:C81">
      <formula1>"តូច small​  小, ធំ Big 大的"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9-10</vt:lpstr>
      <vt:lpstr>9-11</vt:lpstr>
      <vt:lpstr>9-12</vt:lpstr>
      <vt:lpstr>9-14</vt:lpstr>
      <vt:lpstr>9-15</vt:lpstr>
      <vt:lpstr>9-16</vt:lpstr>
      <vt:lpstr>9-17</vt:lpstr>
      <vt:lpstr>9-18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Mao Sokhom</dc:creator>
  <cp:lastModifiedBy>Mao Sokhom</cp:lastModifiedBy>
  <dcterms:created xsi:type="dcterms:W3CDTF">2026-09-11T08:33:59Z</dcterms:created>
  <dcterms:modified xsi:type="dcterms:W3CDTF">2026-09-18T08:10:56Z</dcterms:modified>
</cp:coreProperties>
</file>