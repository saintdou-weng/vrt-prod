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ata Server\4-VRT QC End-Line Inspection Report\2-Weekly End-Line Inspection Report\"/>
    </mc:Choice>
  </mc:AlternateContent>
  <bookViews>
    <workbookView xWindow="0" yWindow="0" windowWidth="24000" windowHeight="9735" tabRatio="601" firstSheet="1" activeTab="1"/>
  </bookViews>
  <sheets>
    <sheet name="SMV" sheetId="4" state="hidden" r:id="rId1"/>
    <sheet name="Weekly Inspection Report" sheetId="6" r:id="rId2"/>
    <sheet name="Weekly Summary" sheetId="13" r:id="rId3"/>
    <sheet name="DAILY SUMMARY" sheetId="15" r:id="rId4"/>
  </sheets>
  <definedNames>
    <definedName name="_xlnm._FilterDatabase" localSheetId="0" hidden="1">SMV!$A$5:$R$642</definedName>
    <definedName name="_xlnm._FilterDatabase" localSheetId="1" hidden="1">'Weekly Inspection Report'!#REF!</definedName>
    <definedName name="_xlnm.Print_Area" localSheetId="0">SMV!$A$4:$N$484</definedName>
    <definedName name="_xlnm.Print_Area" localSheetId="2">'Weekly Summary'!$A$1:$AE$46</definedName>
  </definedNames>
  <calcPr calcId="162913"/>
</workbook>
</file>

<file path=xl/calcChain.xml><?xml version="1.0" encoding="utf-8"?>
<calcChain xmlns="http://schemas.openxmlformats.org/spreadsheetml/2006/main">
  <c r="F313" i="6" l="1"/>
  <c r="G287" i="6" l="1"/>
  <c r="C312" i="6" l="1"/>
  <c r="K312" i="6"/>
  <c r="D313" i="6" l="1"/>
  <c r="I313" i="6" l="1"/>
  <c r="Y25" i="13" s="1"/>
  <c r="H313" i="6"/>
  <c r="U25" i="13" s="1"/>
  <c r="G313" i="6"/>
  <c r="Q25" i="13" s="1"/>
  <c r="M25" i="13"/>
  <c r="E313" i="6"/>
  <c r="I25" i="13" s="1"/>
  <c r="E25" i="13"/>
  <c r="AC25" i="13" l="1"/>
  <c r="D83" i="6" l="1"/>
  <c r="E83" i="6"/>
  <c r="D210" i="6" l="1"/>
  <c r="E210" i="6"/>
  <c r="F210" i="6"/>
  <c r="G210" i="6"/>
  <c r="H210" i="6"/>
  <c r="I210" i="6"/>
  <c r="D211" i="6"/>
  <c r="E211" i="6"/>
  <c r="F211" i="6"/>
  <c r="G211" i="6"/>
  <c r="H211" i="6"/>
  <c r="I211" i="6"/>
  <c r="D212" i="6"/>
  <c r="E212" i="6"/>
  <c r="F212" i="6"/>
  <c r="G212" i="6"/>
  <c r="H212" i="6"/>
  <c r="I212" i="6"/>
  <c r="K211" i="6" l="1"/>
  <c r="K212" i="6"/>
  <c r="K210" i="6"/>
  <c r="G235" i="6"/>
  <c r="F235" i="6"/>
  <c r="E235" i="6"/>
  <c r="D235" i="6"/>
  <c r="I235" i="6"/>
  <c r="H235" i="6"/>
  <c r="H261" i="6" l="1"/>
  <c r="H262" i="6"/>
  <c r="D107" i="6" l="1"/>
  <c r="D135" i="6" l="1"/>
  <c r="D161" i="6"/>
  <c r="F53" i="6" l="1"/>
  <c r="M7" i="13" s="1"/>
  <c r="F343" i="6" l="1"/>
  <c r="G343" i="6"/>
  <c r="F339" i="6" l="1"/>
  <c r="M26" i="13" s="1"/>
  <c r="D237" i="6" l="1"/>
  <c r="D133" i="6"/>
  <c r="D29" i="6"/>
  <c r="D159" i="6"/>
  <c r="D13" i="13" l="1"/>
  <c r="D14" i="13" l="1"/>
  <c r="D11" i="13"/>
  <c r="D10" i="13"/>
  <c r="D9" i="13"/>
  <c r="D6" i="13"/>
  <c r="H57" i="6" l="1"/>
  <c r="E14" i="13" l="1"/>
  <c r="C208" i="6" l="1"/>
  <c r="D289" i="6" l="1"/>
  <c r="D290" i="6"/>
  <c r="D236" i="6" l="1"/>
  <c r="D109" i="6"/>
  <c r="E109" i="6"/>
  <c r="F109" i="6"/>
  <c r="G109" i="6"/>
  <c r="H109" i="6"/>
  <c r="I109" i="6"/>
  <c r="K110" i="6"/>
  <c r="K111" i="6"/>
  <c r="K112" i="6"/>
  <c r="K113" i="6"/>
  <c r="K114" i="6"/>
  <c r="K115" i="6"/>
  <c r="K116" i="6"/>
  <c r="K117" i="6"/>
  <c r="K118" i="6"/>
  <c r="K119" i="6"/>
  <c r="K120" i="6"/>
  <c r="K121" i="6"/>
  <c r="K122" i="6"/>
  <c r="K123" i="6"/>
  <c r="K124" i="6"/>
  <c r="K125" i="6"/>
  <c r="K126" i="6"/>
  <c r="K127" i="6"/>
  <c r="K128" i="6"/>
  <c r="K129" i="6"/>
  <c r="C130" i="6"/>
  <c r="K130" i="6"/>
  <c r="D131" i="6"/>
  <c r="E10" i="13" s="1"/>
  <c r="E131" i="6"/>
  <c r="I10" i="13" s="1"/>
  <c r="F131" i="6"/>
  <c r="M10" i="13" s="1"/>
  <c r="G131" i="6"/>
  <c r="Q10" i="13" s="1"/>
  <c r="H131" i="6"/>
  <c r="U10" i="13" s="1"/>
  <c r="I131" i="6"/>
  <c r="Y10" i="13" s="1"/>
  <c r="J131" i="6"/>
  <c r="D132" i="6"/>
  <c r="C10" i="13" s="1"/>
  <c r="E132" i="6"/>
  <c r="G10" i="13" s="1"/>
  <c r="F132" i="6"/>
  <c r="K10" i="13" s="1"/>
  <c r="G132" i="6"/>
  <c r="O10" i="13" s="1"/>
  <c r="H132" i="6"/>
  <c r="S10" i="13" s="1"/>
  <c r="I132" i="6"/>
  <c r="W10" i="13" s="1"/>
  <c r="E133" i="6"/>
  <c r="H10" i="13" s="1"/>
  <c r="F133" i="6"/>
  <c r="L10" i="13" s="1"/>
  <c r="G133" i="6"/>
  <c r="P10" i="13" s="1"/>
  <c r="H133" i="6"/>
  <c r="T10" i="13" s="1"/>
  <c r="I133" i="6"/>
  <c r="X10" i="13" s="1"/>
  <c r="D134" i="6"/>
  <c r="F10" i="13" s="1"/>
  <c r="E134" i="6"/>
  <c r="J10" i="13" s="1"/>
  <c r="F134" i="6"/>
  <c r="N10" i="13" s="1"/>
  <c r="G134" i="6"/>
  <c r="R10" i="13" s="1"/>
  <c r="H134" i="6"/>
  <c r="V10" i="13" s="1"/>
  <c r="I134" i="6"/>
  <c r="Z10" i="13" s="1"/>
  <c r="E135" i="6"/>
  <c r="F135" i="6"/>
  <c r="G135" i="6"/>
  <c r="H135" i="6"/>
  <c r="I13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AA10" i="13" l="1"/>
  <c r="C14" i="13"/>
  <c r="AC10" i="13"/>
  <c r="AD10" i="13"/>
  <c r="K131" i="6"/>
  <c r="K132" i="6"/>
  <c r="K135" i="6"/>
  <c r="AE10" i="13" s="1"/>
  <c r="K134" i="6"/>
  <c r="K133" i="6"/>
  <c r="K109" i="6"/>
  <c r="AE9" i="13" s="1"/>
  <c r="H158" i="6"/>
  <c r="S11" i="13" s="1"/>
  <c r="H159" i="6"/>
  <c r="T11" i="13" s="1"/>
  <c r="H160" i="6"/>
  <c r="V11" i="13" s="1"/>
  <c r="H161" i="6"/>
  <c r="F209" i="6" l="1"/>
  <c r="M13" i="13" s="1"/>
  <c r="L13" i="13"/>
  <c r="F213" i="6"/>
  <c r="K13" i="13" l="1"/>
  <c r="N13" i="13"/>
  <c r="E209" i="6"/>
  <c r="I13" i="13" s="1"/>
  <c r="E28" i="6" l="1"/>
  <c r="G6" i="13" s="1"/>
  <c r="D53" i="6" l="1"/>
  <c r="E53" i="6"/>
  <c r="I7" i="13" s="1"/>
  <c r="G53" i="6"/>
  <c r="Q7" i="13" s="1"/>
  <c r="H53" i="6"/>
  <c r="U7" i="13" s="1"/>
  <c r="I53" i="6"/>
  <c r="Y7" i="13" s="1"/>
  <c r="D54" i="6"/>
  <c r="C7" i="13" s="1"/>
  <c r="E54" i="6"/>
  <c r="G7" i="13" s="1"/>
  <c r="F54" i="6"/>
  <c r="K7" i="13" s="1"/>
  <c r="G54" i="6"/>
  <c r="O7" i="13" s="1"/>
  <c r="H54" i="6"/>
  <c r="S7" i="13" s="1"/>
  <c r="I54" i="6"/>
  <c r="W7" i="13" s="1"/>
  <c r="D55" i="6"/>
  <c r="E55" i="6"/>
  <c r="H7" i="13" s="1"/>
  <c r="F55" i="6"/>
  <c r="L7" i="13" s="1"/>
  <c r="G55" i="6"/>
  <c r="P7" i="13" s="1"/>
  <c r="H55" i="6"/>
  <c r="T7" i="13" s="1"/>
  <c r="I55" i="6"/>
  <c r="X7" i="13" s="1"/>
  <c r="D56" i="6"/>
  <c r="E56" i="6"/>
  <c r="J7" i="13" s="1"/>
  <c r="F56" i="6"/>
  <c r="N7" i="13" s="1"/>
  <c r="G56" i="6"/>
  <c r="R7" i="13" s="1"/>
  <c r="H56" i="6"/>
  <c r="V7" i="13" s="1"/>
  <c r="I56" i="6"/>
  <c r="Z7" i="13" s="1"/>
  <c r="D57" i="6"/>
  <c r="E57" i="6"/>
  <c r="F57" i="6"/>
  <c r="G57" i="6"/>
  <c r="I57" i="6"/>
  <c r="AA7" i="13" l="1"/>
  <c r="K57" i="6"/>
  <c r="P13" i="13" l="1"/>
  <c r="M14" i="13" l="1"/>
  <c r="G238" i="6"/>
  <c r="R14" i="13" l="1"/>
  <c r="G239" i="6"/>
  <c r="G316" i="6"/>
  <c r="R25" i="13" s="1"/>
  <c r="G317" i="6"/>
  <c r="G315" i="6"/>
  <c r="P25" i="13" s="1"/>
  <c r="G314" i="6"/>
  <c r="G342" i="6"/>
  <c r="R26" i="13" s="1"/>
  <c r="G341" i="6"/>
  <c r="P26" i="13" s="1"/>
  <c r="G340" i="6"/>
  <c r="O26" i="13" s="1"/>
  <c r="G339" i="6"/>
  <c r="G291" i="6"/>
  <c r="G290" i="6"/>
  <c r="R16" i="13" s="1"/>
  <c r="G289" i="6"/>
  <c r="P16" i="13" s="1"/>
  <c r="G288" i="6"/>
  <c r="O16" i="13" s="1"/>
  <c r="G263" i="6"/>
  <c r="P15" i="13" s="1"/>
  <c r="G262" i="6"/>
  <c r="O15" i="13" s="1"/>
  <c r="G265" i="6"/>
  <c r="G264" i="6"/>
  <c r="G237" i="6"/>
  <c r="P14" i="13" s="1"/>
  <c r="G236" i="6"/>
  <c r="O14" i="13" s="1"/>
  <c r="G213" i="6"/>
  <c r="G161" i="6"/>
  <c r="G160" i="6"/>
  <c r="R11" i="13" s="1"/>
  <c r="G159" i="6"/>
  <c r="G158" i="6"/>
  <c r="O11" i="13" s="1"/>
  <c r="O25" i="13" l="1"/>
  <c r="Q26" i="13"/>
  <c r="O13" i="13"/>
  <c r="P11" i="13"/>
  <c r="R13" i="13"/>
  <c r="R15" i="13"/>
  <c r="D264" i="6"/>
  <c r="F15" i="13" s="1"/>
  <c r="I343" i="6" l="1"/>
  <c r="I342" i="6"/>
  <c r="Z26" i="13" s="1"/>
  <c r="I341" i="6"/>
  <c r="X26" i="13" s="1"/>
  <c r="I340" i="6"/>
  <c r="W26" i="13" s="1"/>
  <c r="I339" i="6"/>
  <c r="Y26" i="13" s="1"/>
  <c r="I27" i="6"/>
  <c r="Y6" i="13" s="1"/>
  <c r="H343" i="6" l="1"/>
  <c r="H342" i="6"/>
  <c r="V26" i="13" s="1"/>
  <c r="H341" i="6"/>
  <c r="T26" i="13" s="1"/>
  <c r="H340" i="6"/>
  <c r="S26" i="13" s="1"/>
  <c r="F342" i="6" l="1"/>
  <c r="N26" i="13" s="1"/>
  <c r="F341" i="6"/>
  <c r="L26" i="13" s="1"/>
  <c r="F340" i="6"/>
  <c r="K26" i="13" s="1"/>
  <c r="E343" i="6" l="1"/>
  <c r="E342" i="6"/>
  <c r="J26" i="13" s="1"/>
  <c r="E341" i="6"/>
  <c r="H26" i="13" s="1"/>
  <c r="G79" i="6" l="1"/>
  <c r="Q8" i="13" s="1"/>
  <c r="D263" i="6" l="1"/>
  <c r="D15" i="13" s="1"/>
  <c r="H339" i="6" l="1"/>
  <c r="D339" i="6"/>
  <c r="E26" i="13" s="1"/>
  <c r="E339" i="6"/>
  <c r="I26" i="13" s="1"/>
  <c r="E340" i="6"/>
  <c r="G26" i="13" s="1"/>
  <c r="U26" i="13" l="1"/>
  <c r="AC26" i="13" s="1"/>
  <c r="K339" i="6"/>
  <c r="I289" i="6" l="1"/>
  <c r="X16" i="13" s="1"/>
  <c r="I288" i="6"/>
  <c r="W16" i="13" s="1"/>
  <c r="D341" i="6" l="1"/>
  <c r="D26" i="13" s="1"/>
  <c r="AB26" i="13" s="1"/>
  <c r="D340" i="6"/>
  <c r="C26" i="13" s="1"/>
  <c r="AA26" i="13" s="1"/>
  <c r="D343" i="6" l="1"/>
  <c r="D342" i="6"/>
  <c r="F26" i="13" l="1"/>
  <c r="K342" i="6"/>
  <c r="AD26" i="13" s="1"/>
  <c r="I287" i="6"/>
  <c r="E82" i="6"/>
  <c r="E81" i="6"/>
  <c r="H8" i="13" s="1"/>
  <c r="E80" i="6"/>
  <c r="G8" i="13" s="1"/>
  <c r="Y16" i="13" l="1"/>
  <c r="K343" i="6"/>
  <c r="AE26" i="13" s="1"/>
  <c r="J339" i="6"/>
  <c r="K338" i="6"/>
  <c r="C338" i="6"/>
  <c r="K337" i="6"/>
  <c r="K336" i="6"/>
  <c r="K335" i="6"/>
  <c r="K334" i="6"/>
  <c r="K333" i="6"/>
  <c r="K332" i="6"/>
  <c r="K331" i="6"/>
  <c r="K330" i="6"/>
  <c r="K329" i="6"/>
  <c r="K328" i="6"/>
  <c r="K327" i="6"/>
  <c r="K326" i="6"/>
  <c r="K325" i="6"/>
  <c r="K324" i="6"/>
  <c r="K323" i="6"/>
  <c r="K322" i="6"/>
  <c r="K321" i="6"/>
  <c r="K320" i="6"/>
  <c r="K319" i="6"/>
  <c r="K318" i="6"/>
  <c r="D317" i="6"/>
  <c r="D316" i="6"/>
  <c r="F25" i="13" s="1"/>
  <c r="D315" i="6"/>
  <c r="D25" i="13" s="1"/>
  <c r="D314" i="6"/>
  <c r="C25" i="13" s="1"/>
  <c r="D291" i="6"/>
  <c r="D16" i="13"/>
  <c r="D288" i="6"/>
  <c r="C16" i="13" s="1"/>
  <c r="D265" i="6"/>
  <c r="D262" i="6"/>
  <c r="C15" i="13" s="1"/>
  <c r="D239" i="6"/>
  <c r="D238" i="6"/>
  <c r="D213" i="6"/>
  <c r="F13" i="13"/>
  <c r="C13" i="13"/>
  <c r="D187" i="6"/>
  <c r="D186" i="6"/>
  <c r="F12" i="13" s="1"/>
  <c r="D185" i="6"/>
  <c r="D12" i="13" s="1"/>
  <c r="D184" i="6"/>
  <c r="C12" i="13" s="1"/>
  <c r="D160" i="6"/>
  <c r="F11" i="13" s="1"/>
  <c r="D158" i="6"/>
  <c r="C11" i="13" s="1"/>
  <c r="D108" i="6"/>
  <c r="F9" i="13" s="1"/>
  <c r="D106" i="6"/>
  <c r="C9" i="13" s="1"/>
  <c r="D82" i="6"/>
  <c r="D81" i="6"/>
  <c r="D80" i="6"/>
  <c r="D31" i="6"/>
  <c r="D30" i="6"/>
  <c r="D28" i="6"/>
  <c r="C6" i="13" s="1"/>
  <c r="AB10" i="13" l="1"/>
  <c r="F14" i="13"/>
  <c r="F16" i="13"/>
  <c r="K341" i="6"/>
  <c r="K340" i="6"/>
  <c r="E5" i="6"/>
  <c r="D4" i="6"/>
  <c r="F7" i="13" l="1"/>
  <c r="AD7" i="13" s="1"/>
  <c r="D7" i="13"/>
  <c r="AB7" i="13" s="1"/>
  <c r="G261" i="6" l="1"/>
  <c r="Q15" i="13" s="1"/>
  <c r="F8" i="13" l="1"/>
  <c r="D8" i="13"/>
  <c r="D27" i="13" s="1"/>
  <c r="C8" i="13"/>
  <c r="C27" i="13" l="1"/>
  <c r="E316" i="6"/>
  <c r="J25" i="13" s="1"/>
  <c r="E239" i="6"/>
  <c r="I317" i="6"/>
  <c r="I316" i="6"/>
  <c r="Z25" i="13" s="1"/>
  <c r="I315" i="6"/>
  <c r="X25" i="13" s="1"/>
  <c r="I314" i="6"/>
  <c r="W25" i="13" s="1"/>
  <c r="H317" i="6"/>
  <c r="H316" i="6"/>
  <c r="V25" i="13" s="1"/>
  <c r="H315" i="6"/>
  <c r="T25" i="13" s="1"/>
  <c r="H314" i="6"/>
  <c r="S25" i="13" s="1"/>
  <c r="F317" i="6"/>
  <c r="F316" i="6"/>
  <c r="N25" i="13" s="1"/>
  <c r="F315" i="6"/>
  <c r="L25" i="13" s="1"/>
  <c r="F314" i="6"/>
  <c r="K25" i="13" s="1"/>
  <c r="E317" i="6"/>
  <c r="E315" i="6"/>
  <c r="H25" i="13" s="1"/>
  <c r="E314" i="6"/>
  <c r="G25" i="13" s="1"/>
  <c r="I291" i="6"/>
  <c r="I290" i="6"/>
  <c r="H291" i="6"/>
  <c r="H290" i="6"/>
  <c r="V16" i="13" s="1"/>
  <c r="H289" i="6"/>
  <c r="T16" i="13" s="1"/>
  <c r="H288" i="6"/>
  <c r="S16" i="13" s="1"/>
  <c r="F291" i="6"/>
  <c r="F290" i="6"/>
  <c r="N16" i="13" s="1"/>
  <c r="F289" i="6"/>
  <c r="L16" i="13" s="1"/>
  <c r="F288" i="6"/>
  <c r="K16" i="13" s="1"/>
  <c r="E291" i="6"/>
  <c r="E290" i="6"/>
  <c r="J16" i="13" s="1"/>
  <c r="E289" i="6"/>
  <c r="H16" i="13" s="1"/>
  <c r="E288" i="6"/>
  <c r="G16" i="13" s="1"/>
  <c r="AA16" i="13" s="1"/>
  <c r="I265" i="6"/>
  <c r="I264" i="6"/>
  <c r="I263" i="6"/>
  <c r="X15" i="13" s="1"/>
  <c r="I262" i="6"/>
  <c r="W15" i="13" s="1"/>
  <c r="H265" i="6"/>
  <c r="H264" i="6"/>
  <c r="H263" i="6"/>
  <c r="T15" i="13" s="1"/>
  <c r="S15" i="13"/>
  <c r="F265" i="6"/>
  <c r="F264" i="6"/>
  <c r="N15" i="13" s="1"/>
  <c r="F263" i="6"/>
  <c r="F262" i="6"/>
  <c r="K15" i="13" s="1"/>
  <c r="E265" i="6"/>
  <c r="E264" i="6"/>
  <c r="J15" i="13" s="1"/>
  <c r="E263" i="6"/>
  <c r="H15" i="13" s="1"/>
  <c r="E262" i="6"/>
  <c r="G15" i="13" s="1"/>
  <c r="I239" i="6"/>
  <c r="I238" i="6"/>
  <c r="I237" i="6"/>
  <c r="I236" i="6"/>
  <c r="W14" i="13" s="1"/>
  <c r="H239" i="6"/>
  <c r="H238" i="6"/>
  <c r="H237" i="6"/>
  <c r="T14" i="13" s="1"/>
  <c r="H236" i="6"/>
  <c r="S14" i="13" s="1"/>
  <c r="F239" i="6"/>
  <c r="F238" i="6"/>
  <c r="F237" i="6"/>
  <c r="F236" i="6"/>
  <c r="E238" i="6"/>
  <c r="E237" i="6"/>
  <c r="E236" i="6"/>
  <c r="Z13" i="13"/>
  <c r="I213" i="6"/>
  <c r="X13" i="13"/>
  <c r="W13" i="13"/>
  <c r="H213" i="6"/>
  <c r="T13" i="13"/>
  <c r="E213" i="6"/>
  <c r="H13" i="13"/>
  <c r="G13" i="13"/>
  <c r="J313" i="6"/>
  <c r="K311" i="6"/>
  <c r="K310" i="6"/>
  <c r="K309" i="6"/>
  <c r="K308" i="6"/>
  <c r="K307" i="6"/>
  <c r="K306" i="6"/>
  <c r="K305" i="6"/>
  <c r="K304" i="6"/>
  <c r="K303" i="6"/>
  <c r="K302" i="6"/>
  <c r="K301" i="6"/>
  <c r="K300" i="6"/>
  <c r="K299" i="6"/>
  <c r="K298" i="6"/>
  <c r="K297" i="6"/>
  <c r="K296" i="6"/>
  <c r="K295" i="6"/>
  <c r="K294" i="6"/>
  <c r="K293" i="6"/>
  <c r="K292" i="6"/>
  <c r="J287" i="6"/>
  <c r="H287" i="6"/>
  <c r="U16" i="13" s="1"/>
  <c r="Q16" i="13"/>
  <c r="F287" i="6"/>
  <c r="M16" i="13" s="1"/>
  <c r="E287" i="6"/>
  <c r="D287" i="6"/>
  <c r="E16" i="13" s="1"/>
  <c r="K286" i="6"/>
  <c r="C286" i="6"/>
  <c r="K285" i="6"/>
  <c r="K284" i="6"/>
  <c r="K283" i="6"/>
  <c r="K282" i="6"/>
  <c r="K281" i="6"/>
  <c r="K280" i="6"/>
  <c r="K279" i="6"/>
  <c r="K278" i="6"/>
  <c r="K277" i="6"/>
  <c r="K276" i="6"/>
  <c r="K275" i="6"/>
  <c r="K274" i="6"/>
  <c r="K273" i="6"/>
  <c r="K272" i="6"/>
  <c r="K271" i="6"/>
  <c r="K270" i="6"/>
  <c r="K269" i="6"/>
  <c r="K268" i="6"/>
  <c r="K267" i="6"/>
  <c r="K266" i="6"/>
  <c r="J261" i="6"/>
  <c r="I261" i="6"/>
  <c r="F261" i="6"/>
  <c r="E261" i="6"/>
  <c r="D261" i="6"/>
  <c r="E15" i="13" s="1"/>
  <c r="K260" i="6"/>
  <c r="C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AE24" i="13" s="1"/>
  <c r="K240" i="6"/>
  <c r="J235" i="6"/>
  <c r="Q14" i="13"/>
  <c r="K234" i="6"/>
  <c r="C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I187" i="6"/>
  <c r="I186" i="6"/>
  <c r="Z12" i="13" s="1"/>
  <c r="I185" i="6"/>
  <c r="X12" i="13" s="1"/>
  <c r="I184" i="6"/>
  <c r="W12" i="13" s="1"/>
  <c r="H187" i="6"/>
  <c r="H186" i="6"/>
  <c r="V12" i="13" s="1"/>
  <c r="H185" i="6"/>
  <c r="T12" i="13" s="1"/>
  <c r="H184" i="6"/>
  <c r="S12" i="13" s="1"/>
  <c r="G187" i="6"/>
  <c r="G186" i="6"/>
  <c r="R12" i="13" s="1"/>
  <c r="G185" i="6"/>
  <c r="P12" i="13" s="1"/>
  <c r="G184" i="6"/>
  <c r="O12" i="13" s="1"/>
  <c r="F187" i="6"/>
  <c r="F186" i="6"/>
  <c r="N12" i="13" s="1"/>
  <c r="F185" i="6"/>
  <c r="L12" i="13" s="1"/>
  <c r="F184" i="6"/>
  <c r="K12" i="13" s="1"/>
  <c r="E187" i="6"/>
  <c r="E186" i="6"/>
  <c r="J12" i="13" s="1"/>
  <c r="E185" i="6"/>
  <c r="H12" i="13" s="1"/>
  <c r="E184" i="6"/>
  <c r="G12" i="13" s="1"/>
  <c r="I161" i="6"/>
  <c r="I160" i="6"/>
  <c r="I159" i="6"/>
  <c r="I158" i="6"/>
  <c r="W11" i="13" s="1"/>
  <c r="F161" i="6"/>
  <c r="F160" i="6"/>
  <c r="N11" i="13" s="1"/>
  <c r="F159" i="6"/>
  <c r="L11" i="13" s="1"/>
  <c r="F158" i="6"/>
  <c r="K11" i="13" s="1"/>
  <c r="E161" i="6"/>
  <c r="E160" i="6"/>
  <c r="J11" i="13" s="1"/>
  <c r="E159" i="6"/>
  <c r="H11" i="13" s="1"/>
  <c r="E158" i="6"/>
  <c r="G11" i="13" s="1"/>
  <c r="AB25" i="13" l="1"/>
  <c r="AD25" i="13"/>
  <c r="AA25" i="13"/>
  <c r="AB16" i="13"/>
  <c r="K161" i="6"/>
  <c r="AE11" i="13" s="1"/>
  <c r="K235" i="6"/>
  <c r="K238" i="6"/>
  <c r="S13" i="13"/>
  <c r="AA13" i="13" s="1"/>
  <c r="X11" i="13"/>
  <c r="AB11" i="13" s="1"/>
  <c r="K159" i="6"/>
  <c r="Z11" i="13"/>
  <c r="AD11" i="13" s="1"/>
  <c r="K160" i="6"/>
  <c r="X14" i="13"/>
  <c r="K237" i="6"/>
  <c r="Y15" i="13"/>
  <c r="Y14" i="13"/>
  <c r="J14" i="13"/>
  <c r="I14" i="13"/>
  <c r="K291" i="6"/>
  <c r="AE16" i="13" s="1"/>
  <c r="K265" i="6"/>
  <c r="AE15" i="13" s="1"/>
  <c r="AB12" i="13"/>
  <c r="AA12" i="13"/>
  <c r="AB13" i="13"/>
  <c r="U15" i="13"/>
  <c r="U14" i="13"/>
  <c r="V15" i="13"/>
  <c r="K264" i="6"/>
  <c r="V13" i="13"/>
  <c r="M15" i="13"/>
  <c r="L15" i="13"/>
  <c r="AB15" i="13" s="1"/>
  <c r="K263" i="6"/>
  <c r="AA15" i="13"/>
  <c r="J13" i="13"/>
  <c r="G14" i="13"/>
  <c r="AD12" i="13"/>
  <c r="I16" i="13"/>
  <c r="AC16" i="13" s="1"/>
  <c r="I15" i="13"/>
  <c r="Z14" i="13"/>
  <c r="Z15" i="13"/>
  <c r="Z16" i="13"/>
  <c r="AD16" i="13" s="1"/>
  <c r="V14" i="13"/>
  <c r="K14" i="13"/>
  <c r="L14" i="13"/>
  <c r="N14" i="13"/>
  <c r="H14" i="13"/>
  <c r="K313" i="6"/>
  <c r="K317" i="6"/>
  <c r="K213" i="6"/>
  <c r="AE13" i="13" s="1"/>
  <c r="K288" i="6"/>
  <c r="K262" i="6"/>
  <c r="K289" i="6"/>
  <c r="K315" i="6"/>
  <c r="K290" i="6"/>
  <c r="K158" i="6"/>
  <c r="K236" i="6"/>
  <c r="K184" i="6"/>
  <c r="K187" i="6"/>
  <c r="AE12" i="13" s="1"/>
  <c r="K186" i="6"/>
  <c r="K239" i="6"/>
  <c r="AE14" i="13" s="1"/>
  <c r="K185" i="6"/>
  <c r="K314" i="6"/>
  <c r="K316" i="6"/>
  <c r="AE25" i="13" s="1"/>
  <c r="K261" i="6"/>
  <c r="K287" i="6"/>
  <c r="J209" i="6"/>
  <c r="I209" i="6"/>
  <c r="Y13" i="13" s="1"/>
  <c r="H209" i="6"/>
  <c r="U13" i="13" s="1"/>
  <c r="G209" i="6"/>
  <c r="Q13" i="13" s="1"/>
  <c r="D209" i="6"/>
  <c r="E13" i="13" s="1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J183" i="6"/>
  <c r="I183" i="6"/>
  <c r="Y12" i="13" s="1"/>
  <c r="H183" i="6"/>
  <c r="U12" i="13" s="1"/>
  <c r="G183" i="6"/>
  <c r="Q12" i="13" s="1"/>
  <c r="F183" i="6"/>
  <c r="M12" i="13" s="1"/>
  <c r="E183" i="6"/>
  <c r="I12" i="13" s="1"/>
  <c r="D183" i="6"/>
  <c r="E12" i="13" s="1"/>
  <c r="K182" i="6"/>
  <c r="C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J157" i="6"/>
  <c r="I157" i="6"/>
  <c r="Y11" i="13" s="1"/>
  <c r="H157" i="6"/>
  <c r="U11" i="13" s="1"/>
  <c r="G157" i="6"/>
  <c r="Q11" i="13" s="1"/>
  <c r="F157" i="6"/>
  <c r="M11" i="13" s="1"/>
  <c r="E157" i="6"/>
  <c r="I11" i="13" s="1"/>
  <c r="D157" i="6"/>
  <c r="E11" i="13" s="1"/>
  <c r="K156" i="6"/>
  <c r="C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AC15" i="13" l="1"/>
  <c r="AD13" i="13"/>
  <c r="AD15" i="13"/>
  <c r="AC14" i="13"/>
  <c r="AC13" i="13"/>
  <c r="AD14" i="13"/>
  <c r="AC12" i="13"/>
  <c r="AC11" i="13"/>
  <c r="AA14" i="13"/>
  <c r="AB14" i="13"/>
  <c r="K157" i="6"/>
  <c r="K209" i="6"/>
  <c r="K183" i="6"/>
  <c r="I108" i="6"/>
  <c r="Z9" i="13" s="1"/>
  <c r="I107" i="6"/>
  <c r="X9" i="13" s="1"/>
  <c r="I106" i="6"/>
  <c r="W9" i="13" s="1"/>
  <c r="H108" i="6"/>
  <c r="V9" i="13" s="1"/>
  <c r="H107" i="6"/>
  <c r="T9" i="13" s="1"/>
  <c r="H106" i="6"/>
  <c r="S9" i="13" s="1"/>
  <c r="G108" i="6"/>
  <c r="R9" i="13" s="1"/>
  <c r="G107" i="6"/>
  <c r="P9" i="13" s="1"/>
  <c r="G106" i="6"/>
  <c r="O9" i="13" s="1"/>
  <c r="F108" i="6"/>
  <c r="F107" i="6"/>
  <c r="L9" i="13" s="1"/>
  <c r="F106" i="6"/>
  <c r="K9" i="13" s="1"/>
  <c r="E108" i="6"/>
  <c r="J9" i="13" s="1"/>
  <c r="E107" i="6"/>
  <c r="H9" i="13" s="1"/>
  <c r="E106" i="6"/>
  <c r="G9" i="13" s="1"/>
  <c r="J105" i="6"/>
  <c r="I105" i="6"/>
  <c r="Y9" i="13" s="1"/>
  <c r="H105" i="6"/>
  <c r="U9" i="13" s="1"/>
  <c r="G105" i="6"/>
  <c r="Q9" i="13" s="1"/>
  <c r="F105" i="6"/>
  <c r="M9" i="13" s="1"/>
  <c r="E105" i="6"/>
  <c r="I9" i="13" s="1"/>
  <c r="D105" i="6"/>
  <c r="E9" i="13" s="1"/>
  <c r="K104" i="6"/>
  <c r="C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I83" i="6"/>
  <c r="I82" i="6"/>
  <c r="Z8" i="13" s="1"/>
  <c r="I81" i="6"/>
  <c r="X8" i="13" s="1"/>
  <c r="I80" i="6"/>
  <c r="W8" i="13" s="1"/>
  <c r="H83" i="6"/>
  <c r="H82" i="6"/>
  <c r="V8" i="13" s="1"/>
  <c r="H81" i="6"/>
  <c r="T8" i="13" s="1"/>
  <c r="H80" i="6"/>
  <c r="S8" i="13" s="1"/>
  <c r="F83" i="6"/>
  <c r="F82" i="6"/>
  <c r="N8" i="13" s="1"/>
  <c r="F81" i="6"/>
  <c r="L8" i="13" s="1"/>
  <c r="F80" i="6"/>
  <c r="K8" i="13" s="1"/>
  <c r="G83" i="6"/>
  <c r="G82" i="6"/>
  <c r="R8" i="13" s="1"/>
  <c r="G81" i="6"/>
  <c r="P8" i="13" s="1"/>
  <c r="G80" i="6"/>
  <c r="O8" i="13" s="1"/>
  <c r="G27" i="13" l="1"/>
  <c r="AA9" i="13"/>
  <c r="AA8" i="13"/>
  <c r="AC9" i="13"/>
  <c r="AB9" i="13"/>
  <c r="N9" i="13"/>
  <c r="AD9" i="13" s="1"/>
  <c r="K108" i="6"/>
  <c r="AA11" i="13"/>
  <c r="K80" i="6"/>
  <c r="J8" i="13"/>
  <c r="AD8" i="13" s="1"/>
  <c r="K82" i="6"/>
  <c r="K106" i="6"/>
  <c r="K107" i="6"/>
  <c r="K105" i="6"/>
  <c r="K83" i="6"/>
  <c r="AE8" i="13" s="1"/>
  <c r="AB8" i="13"/>
  <c r="J79" i="6"/>
  <c r="I79" i="6"/>
  <c r="Y8" i="13" s="1"/>
  <c r="Y27" i="13" s="1"/>
  <c r="H79" i="6"/>
  <c r="U8" i="13" s="1"/>
  <c r="F79" i="6"/>
  <c r="M8" i="13" s="1"/>
  <c r="E79" i="6"/>
  <c r="I8" i="13" s="1"/>
  <c r="D79" i="6"/>
  <c r="E8" i="13" s="1"/>
  <c r="K78" i="6"/>
  <c r="C78" i="6"/>
  <c r="K77" i="6"/>
  <c r="K76" i="6"/>
  <c r="K75" i="6"/>
  <c r="K58" i="6"/>
  <c r="AC8" i="13" l="1"/>
  <c r="K81" i="6"/>
  <c r="K79" i="6"/>
  <c r="J57" i="6"/>
  <c r="J56" i="6"/>
  <c r="J55" i="6"/>
  <c r="J54" i="6"/>
  <c r="J53" i="6"/>
  <c r="E7" i="13"/>
  <c r="AC7" i="13" s="1"/>
  <c r="K52" i="6"/>
  <c r="C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53" i="6" l="1"/>
  <c r="K54" i="6"/>
  <c r="AE7" i="13"/>
  <c r="K55" i="6"/>
  <c r="K56" i="6"/>
  <c r="E27" i="6" l="1"/>
  <c r="I6" i="13" s="1"/>
  <c r="I27" i="13" s="1"/>
  <c r="E29" i="6"/>
  <c r="H6" i="13" s="1"/>
  <c r="E30" i="6"/>
  <c r="J6" i="13" s="1"/>
  <c r="J27" i="13" s="1"/>
  <c r="E31" i="6"/>
  <c r="H27" i="13" l="1"/>
  <c r="J31" i="6"/>
  <c r="I31" i="6"/>
  <c r="H31" i="6"/>
  <c r="G31" i="6"/>
  <c r="F31" i="6"/>
  <c r="J30" i="6"/>
  <c r="I30" i="6"/>
  <c r="Z6" i="13" s="1"/>
  <c r="Z27" i="13" s="1"/>
  <c r="H30" i="6"/>
  <c r="V6" i="13" s="1"/>
  <c r="V27" i="13" s="1"/>
  <c r="G30" i="6"/>
  <c r="R6" i="13" s="1"/>
  <c r="R27" i="13" s="1"/>
  <c r="F30" i="6"/>
  <c r="N6" i="13" s="1"/>
  <c r="N27" i="13" s="1"/>
  <c r="J29" i="6"/>
  <c r="I29" i="6"/>
  <c r="X6" i="13" s="1"/>
  <c r="X27" i="13" s="1"/>
  <c r="H29" i="6"/>
  <c r="T6" i="13" s="1"/>
  <c r="T27" i="13" s="1"/>
  <c r="G29" i="6"/>
  <c r="P6" i="13" s="1"/>
  <c r="P27" i="13" s="1"/>
  <c r="F29" i="6"/>
  <c r="L6" i="13" s="1"/>
  <c r="J28" i="6"/>
  <c r="I28" i="6"/>
  <c r="W6" i="13" s="1"/>
  <c r="W27" i="13" s="1"/>
  <c r="H28" i="6"/>
  <c r="S6" i="13" s="1"/>
  <c r="S27" i="13" s="1"/>
  <c r="G28" i="6"/>
  <c r="O6" i="13" s="1"/>
  <c r="O27" i="13" s="1"/>
  <c r="F28" i="6"/>
  <c r="F6" i="13"/>
  <c r="F27" i="13" s="1"/>
  <c r="K10" i="6"/>
  <c r="K11" i="6"/>
  <c r="K12" i="6"/>
  <c r="K13" i="6"/>
  <c r="K14" i="6"/>
  <c r="K15" i="6"/>
  <c r="K16" i="6"/>
  <c r="K17" i="6"/>
  <c r="K18" i="6"/>
  <c r="K19" i="6"/>
  <c r="K20" i="6"/>
  <c r="K21" i="6"/>
  <c r="C26" i="6"/>
  <c r="D27" i="6"/>
  <c r="E6" i="13" s="1"/>
  <c r="F27" i="6"/>
  <c r="L27" i="13" l="1"/>
  <c r="AB6" i="13"/>
  <c r="AB27" i="13" s="1"/>
  <c r="E27" i="13"/>
  <c r="AD6" i="13"/>
  <c r="AD27" i="13" s="1"/>
  <c r="M6" i="13"/>
  <c r="M27" i="13" s="1"/>
  <c r="K6" i="13"/>
  <c r="AA6" i="13" s="1"/>
  <c r="AA27" i="13" s="1"/>
  <c r="K28" i="6"/>
  <c r="K29" i="6"/>
  <c r="K27" i="13" l="1"/>
  <c r="H27" i="6"/>
  <c r="U6" i="13" s="1"/>
  <c r="U27" i="13" s="1"/>
  <c r="G27" i="6"/>
  <c r="Q6" i="13" l="1"/>
  <c r="AC6" i="13" s="1"/>
  <c r="AC27" i="13" s="1"/>
  <c r="K27" i="6"/>
  <c r="K26" i="6"/>
  <c r="K25" i="6"/>
  <c r="K24" i="6"/>
  <c r="K23" i="6"/>
  <c r="K22" i="6"/>
  <c r="Q27" i="13" l="1"/>
  <c r="C591" i="4"/>
  <c r="C589" i="4" l="1"/>
  <c r="C588" i="4"/>
  <c r="C587" i="4"/>
  <c r="C586" i="4"/>
  <c r="C585" i="4"/>
  <c r="C584" i="4"/>
  <c r="C583" i="4"/>
  <c r="C582" i="4" l="1"/>
  <c r="C581" i="4"/>
  <c r="C580" i="4" l="1"/>
  <c r="C579" i="4" l="1"/>
  <c r="C577" i="4"/>
  <c r="C576" i="4"/>
  <c r="C578" i="4"/>
  <c r="C575" i="4"/>
  <c r="C574" i="4" l="1"/>
  <c r="C572" i="4"/>
  <c r="C573" i="4"/>
  <c r="C571" i="4"/>
  <c r="C570" i="4"/>
  <c r="C569" i="4"/>
  <c r="C568" i="4"/>
  <c r="C567" i="4"/>
  <c r="C566" i="4"/>
  <c r="C520" i="4" l="1"/>
  <c r="C519" i="4"/>
  <c r="D548" i="4"/>
  <c r="C548" i="4" s="1"/>
  <c r="C518" i="4" l="1"/>
  <c r="C565" i="4" l="1"/>
  <c r="D534" i="4" l="1"/>
  <c r="C534" i="4" l="1"/>
  <c r="E478" i="4" l="1"/>
  <c r="C478" i="4"/>
  <c r="C530" i="4" l="1"/>
  <c r="C529" i="4"/>
  <c r="C528" i="4"/>
  <c r="C527" i="4"/>
  <c r="C526" i="4"/>
  <c r="C525" i="4"/>
  <c r="C524" i="4"/>
  <c r="C523" i="4"/>
  <c r="C522" i="4"/>
  <c r="C521" i="4"/>
  <c r="C517" i="4"/>
  <c r="C516" i="4"/>
  <c r="C515" i="4"/>
  <c r="C514" i="4"/>
  <c r="C509" i="4"/>
  <c r="C508" i="4"/>
  <c r="C507" i="4"/>
  <c r="C506" i="4"/>
  <c r="C505" i="4"/>
  <c r="C504" i="4"/>
  <c r="C503" i="4"/>
  <c r="C502" i="4"/>
  <c r="C500" i="4"/>
  <c r="C499" i="4"/>
  <c r="C498" i="4"/>
  <c r="C497" i="4"/>
  <c r="C496" i="4"/>
  <c r="C495" i="4"/>
  <c r="C494" i="4"/>
  <c r="C493" i="4"/>
  <c r="C492" i="4"/>
  <c r="C491" i="4"/>
  <c r="C490" i="4"/>
  <c r="C489" i="4"/>
  <c r="C488" i="4"/>
  <c r="C487" i="4"/>
  <c r="C486" i="4"/>
  <c r="C485" i="4"/>
  <c r="C484" i="4"/>
  <c r="C483" i="4"/>
  <c r="C482" i="4"/>
  <c r="C481" i="4"/>
  <c r="C480" i="4"/>
  <c r="C479" i="4"/>
  <c r="C477" i="4"/>
  <c r="C476" i="4"/>
  <c r="C475" i="4"/>
  <c r="C474" i="4"/>
  <c r="C473" i="4"/>
  <c r="C472" i="4"/>
  <c r="C471" i="4"/>
  <c r="C470" i="4"/>
  <c r="C469" i="4"/>
  <c r="C468" i="4"/>
  <c r="C467" i="4"/>
  <c r="C466" i="4"/>
  <c r="C465" i="4"/>
  <c r="C464" i="4"/>
  <c r="C463" i="4"/>
  <c r="C462" i="4"/>
  <c r="C461" i="4"/>
  <c r="C460" i="4"/>
  <c r="C459" i="4"/>
  <c r="C458" i="4"/>
  <c r="C457" i="4"/>
  <c r="C456" i="4"/>
  <c r="C455" i="4"/>
  <c r="C454" i="4"/>
  <c r="C453" i="4"/>
  <c r="C452" i="4"/>
  <c r="C451" i="4"/>
  <c r="C450" i="4"/>
  <c r="C449" i="4"/>
  <c r="C448" i="4"/>
  <c r="C447" i="4"/>
  <c r="C446" i="4"/>
  <c r="C445" i="4"/>
  <c r="C444" i="4"/>
  <c r="C443" i="4"/>
  <c r="C442" i="4"/>
  <c r="C441" i="4"/>
  <c r="C440" i="4"/>
  <c r="C439" i="4"/>
  <c r="C438" i="4"/>
  <c r="C437" i="4"/>
  <c r="C436" i="4"/>
  <c r="C435" i="4"/>
  <c r="C434" i="4"/>
  <c r="C433" i="4"/>
  <c r="C432" i="4"/>
  <c r="C431" i="4"/>
  <c r="C430" i="4"/>
  <c r="C429" i="4"/>
  <c r="C428" i="4"/>
  <c r="C427" i="4"/>
  <c r="C426" i="4"/>
  <c r="C425" i="4"/>
  <c r="C424" i="4"/>
  <c r="C423" i="4"/>
  <c r="C422" i="4"/>
  <c r="C421" i="4"/>
  <c r="C420" i="4"/>
  <c r="C418" i="4"/>
  <c r="C417" i="4"/>
  <c r="C416" i="4"/>
  <c r="C415" i="4"/>
  <c r="C414" i="4"/>
  <c r="C413" i="4"/>
  <c r="C412" i="4"/>
  <c r="C411" i="4"/>
  <c r="C410" i="4"/>
  <c r="C409" i="4"/>
  <c r="C408" i="4"/>
  <c r="C407" i="4"/>
  <c r="C406" i="4"/>
  <c r="C403" i="4"/>
  <c r="C402" i="4"/>
  <c r="C401" i="4"/>
  <c r="C400" i="4"/>
  <c r="C399" i="4"/>
  <c r="C398" i="4"/>
  <c r="C397" i="4"/>
  <c r="C396" i="4"/>
  <c r="C395" i="4"/>
  <c r="C394" i="4"/>
  <c r="C393" i="4"/>
  <c r="C392" i="4"/>
  <c r="C391" i="4"/>
  <c r="C390" i="4"/>
  <c r="C389" i="4"/>
  <c r="C388" i="4"/>
  <c r="C387" i="4"/>
  <c r="C386" i="4"/>
  <c r="C385" i="4"/>
  <c r="C384" i="4"/>
  <c r="C383" i="4"/>
  <c r="C382" i="4"/>
  <c r="C381" i="4"/>
  <c r="C380" i="4"/>
  <c r="C379" i="4"/>
  <c r="C378" i="4"/>
  <c r="C377" i="4"/>
  <c r="C376" i="4"/>
  <c r="C375" i="4"/>
  <c r="C374" i="4"/>
  <c r="C372" i="4"/>
  <c r="C371" i="4"/>
  <c r="C370" i="4"/>
  <c r="C369" i="4"/>
  <c r="C368" i="4"/>
  <c r="C367" i="4"/>
  <c r="C366" i="4"/>
  <c r="C365" i="4"/>
  <c r="C364" i="4"/>
  <c r="C362" i="4"/>
  <c r="C361" i="4"/>
  <c r="C360" i="4"/>
  <c r="C359" i="4"/>
  <c r="C358" i="4"/>
  <c r="C357" i="4"/>
  <c r="C356" i="4"/>
  <c r="C355" i="4"/>
  <c r="C354" i="4"/>
  <c r="C352" i="4"/>
  <c r="C351" i="4"/>
  <c r="C350" i="4"/>
  <c r="C349" i="4"/>
  <c r="C348" i="4"/>
  <c r="C347" i="4"/>
  <c r="C346" i="4"/>
  <c r="C345" i="4"/>
  <c r="C344" i="4"/>
  <c r="C343" i="4"/>
  <c r="C342" i="4"/>
  <c r="C341" i="4"/>
  <c r="C340" i="4"/>
  <c r="C339" i="4"/>
  <c r="C335" i="4"/>
  <c r="C334" i="4"/>
  <c r="C333" i="4"/>
  <c r="C332" i="4"/>
  <c r="C331" i="4"/>
  <c r="C330" i="4"/>
  <c r="C328" i="4"/>
  <c r="C325" i="4"/>
  <c r="C321" i="4"/>
  <c r="C320" i="4"/>
  <c r="C319" i="4"/>
  <c r="C318" i="4"/>
  <c r="C317" i="4"/>
  <c r="C315" i="4"/>
  <c r="C314" i="4"/>
  <c r="C313" i="4"/>
  <c r="C312" i="4"/>
  <c r="C311" i="4"/>
  <c r="C310" i="4"/>
  <c r="C309" i="4"/>
  <c r="C307" i="4"/>
  <c r="C303" i="4"/>
  <c r="C302" i="4"/>
  <c r="C301" i="4"/>
  <c r="C300" i="4"/>
  <c r="C299" i="4"/>
  <c r="C298" i="4"/>
  <c r="C297" i="4"/>
  <c r="C294" i="4"/>
  <c r="C293" i="4"/>
  <c r="C292" i="4"/>
  <c r="C291" i="4"/>
  <c r="C290" i="4"/>
  <c r="C289" i="4"/>
  <c r="C288" i="4"/>
  <c r="C287" i="4"/>
  <c r="C286" i="4"/>
  <c r="C285" i="4"/>
  <c r="C282" i="4"/>
  <c r="C280" i="4"/>
  <c r="C279" i="4"/>
  <c r="C277" i="4"/>
  <c r="C276" i="4"/>
  <c r="C275" i="4"/>
  <c r="C274" i="4"/>
  <c r="C271" i="4"/>
  <c r="C268" i="4"/>
  <c r="C267" i="4"/>
  <c r="C264" i="4"/>
  <c r="C263" i="4"/>
  <c r="C262" i="4"/>
  <c r="C261" i="4"/>
  <c r="C260" i="4"/>
  <c r="C259" i="4"/>
  <c r="C258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1" i="4"/>
  <c r="C210" i="4"/>
  <c r="C209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1" i="4"/>
  <c r="C148" i="4"/>
  <c r="C144" i="4"/>
  <c r="C141" i="4"/>
  <c r="C140" i="4"/>
  <c r="C133" i="4"/>
  <c r="C132" i="4"/>
  <c r="C131" i="4"/>
  <c r="C129" i="4"/>
  <c r="C128" i="4"/>
  <c r="C124" i="4"/>
  <c r="C119" i="4"/>
  <c r="C117" i="4"/>
  <c r="C116" i="4"/>
  <c r="C115" i="4"/>
  <c r="C114" i="4"/>
  <c r="C112" i="4"/>
  <c r="C110" i="4"/>
  <c r="C109" i="4"/>
  <c r="C100" i="4"/>
  <c r="C98" i="4"/>
  <c r="C97" i="4"/>
  <c r="C96" i="4"/>
  <c r="C89" i="4"/>
  <c r="C88" i="4"/>
  <c r="C87" i="4"/>
  <c r="C85" i="4"/>
  <c r="C84" i="4"/>
  <c r="C83" i="4"/>
  <c r="C82" i="4"/>
  <c r="C81" i="4"/>
  <c r="C80" i="4"/>
  <c r="C79" i="4"/>
  <c r="C78" i="4"/>
  <c r="C77" i="4"/>
  <c r="C76" i="4"/>
  <c r="C74" i="4"/>
  <c r="C73" i="4"/>
  <c r="C72" i="4"/>
  <c r="C70" i="4"/>
  <c r="C69" i="4"/>
  <c r="C68" i="4"/>
  <c r="C67" i="4"/>
  <c r="C66" i="4"/>
  <c r="C65" i="4"/>
  <c r="C64" i="4"/>
  <c r="C59" i="4"/>
  <c r="C56" i="4"/>
  <c r="C55" i="4"/>
  <c r="C54" i="4"/>
  <c r="C53" i="4"/>
  <c r="C52" i="4"/>
  <c r="C48" i="4"/>
  <c r="C39" i="4"/>
  <c r="C34" i="4"/>
  <c r="C27" i="4"/>
  <c r="C25" i="4"/>
  <c r="C24" i="4"/>
  <c r="C22" i="4"/>
  <c r="C18" i="4"/>
  <c r="C17" i="4"/>
  <c r="C16" i="4"/>
  <c r="C13" i="4"/>
  <c r="C11" i="4"/>
  <c r="C10" i="4"/>
  <c r="C9" i="4"/>
  <c r="C7" i="4"/>
  <c r="C6" i="4"/>
  <c r="E356" i="4" l="1"/>
  <c r="D329" i="4" l="1"/>
  <c r="C329" i="4" s="1"/>
  <c r="D337" i="4" l="1"/>
  <c r="E337" i="4" l="1"/>
  <c r="C337" i="4"/>
  <c r="D323" i="4"/>
  <c r="C323" i="4" l="1"/>
  <c r="E341" i="4" l="1"/>
  <c r="D308" i="4" l="1"/>
  <c r="E308" i="4" l="1"/>
  <c r="C308" i="4"/>
  <c r="D327" i="4"/>
  <c r="E402" i="4"/>
  <c r="C327" i="4" l="1"/>
  <c r="E480" i="4" l="1"/>
  <c r="D513" i="4" l="1"/>
  <c r="C513" i="4" s="1"/>
  <c r="D512" i="4"/>
  <c r="C512" i="4" s="1"/>
  <c r="D511" i="4"/>
  <c r="C511" i="4" s="1"/>
  <c r="D510" i="4"/>
  <c r="C510" i="4" s="1"/>
  <c r="E313" i="4" l="1"/>
  <c r="D324" i="4" l="1"/>
  <c r="E324" i="4" l="1"/>
  <c r="C324" i="4"/>
  <c r="E479" i="4" l="1"/>
  <c r="D284" i="4" l="1"/>
  <c r="E284" i="4" l="1"/>
  <c r="C284" i="4"/>
  <c r="E289" i="4" l="1"/>
  <c r="J27" i="6" l="1"/>
  <c r="E361" i="4" l="1"/>
  <c r="E290" i="4" l="1"/>
  <c r="E438" i="4" l="1"/>
  <c r="E319" i="4" l="1"/>
  <c r="E482" i="4" l="1"/>
  <c r="E477" i="4"/>
  <c r="K31" i="6" l="1"/>
  <c r="AE6" i="13" s="1"/>
  <c r="AE27" i="13" s="1"/>
  <c r="K30" i="6"/>
  <c r="E262" i="4" l="1"/>
  <c r="E261" i="4" l="1"/>
  <c r="E398" i="4" l="1"/>
  <c r="E255" i="4" l="1"/>
  <c r="E254" i="4" l="1"/>
  <c r="E351" i="4" l="1"/>
  <c r="E209" i="4"/>
  <c r="D208" i="4" l="1"/>
  <c r="E210" i="4"/>
  <c r="E208" i="4" l="1"/>
  <c r="C208" i="4"/>
  <c r="E413" i="4" l="1"/>
  <c r="E474" i="4" l="1"/>
  <c r="E475" i="4" l="1"/>
  <c r="E476" i="4" l="1"/>
  <c r="E318" i="4" l="1"/>
  <c r="E376" i="4" l="1"/>
  <c r="E374" i="4" l="1"/>
  <c r="E375" i="4"/>
  <c r="E432" i="4" l="1"/>
  <c r="E429" i="4" l="1"/>
  <c r="E377" i="4" l="1"/>
  <c r="D353" i="4" l="1"/>
  <c r="D273" i="4"/>
  <c r="E454" i="4"/>
  <c r="C353" i="4" l="1"/>
  <c r="C273" i="4"/>
  <c r="E443" i="4"/>
  <c r="E277" i="4" l="1"/>
  <c r="E179" i="4" l="1"/>
  <c r="E178" i="4" l="1"/>
  <c r="E180" i="4" l="1"/>
  <c r="E177" i="4" l="1"/>
  <c r="E176" i="4" l="1"/>
  <c r="E246" i="4" l="1"/>
  <c r="E297" i="4" l="1"/>
  <c r="D363" i="4" l="1"/>
  <c r="E363" i="4" l="1"/>
  <c r="C363" i="4"/>
  <c r="E330" i="4"/>
  <c r="E331" i="4"/>
  <c r="E462" i="4" l="1"/>
  <c r="E17" i="4"/>
  <c r="D213" i="4" l="1"/>
  <c r="C213" i="4" s="1"/>
  <c r="D212" i="4"/>
  <c r="C212" i="4" s="1"/>
  <c r="D219" i="4"/>
  <c r="C219" i="4" s="1"/>
  <c r="D218" i="4"/>
  <c r="C218" i="4" s="1"/>
  <c r="D217" i="4"/>
  <c r="C217" i="4" s="1"/>
  <c r="D216" i="4"/>
  <c r="C216" i="4" s="1"/>
  <c r="D215" i="4"/>
  <c r="C215" i="4" s="1"/>
  <c r="D214" i="4"/>
  <c r="C214" i="4" s="1"/>
  <c r="E424" i="4" l="1"/>
  <c r="E484" i="4" l="1"/>
  <c r="E483" i="4"/>
  <c r="E473" i="4"/>
  <c r="E472" i="4"/>
  <c r="E471" i="4"/>
  <c r="E470" i="4"/>
  <c r="E469" i="4"/>
  <c r="E468" i="4"/>
  <c r="E467" i="4"/>
  <c r="E466" i="4"/>
  <c r="E465" i="4"/>
  <c r="E464" i="4"/>
  <c r="E463" i="4"/>
  <c r="E461" i="4"/>
  <c r="E460" i="4"/>
  <c r="E459" i="4"/>
  <c r="E458" i="4"/>
  <c r="E457" i="4"/>
  <c r="E456" i="4"/>
  <c r="E455" i="4"/>
  <c r="E453" i="4"/>
  <c r="E452" i="4"/>
  <c r="E451" i="4"/>
  <c r="E450" i="4"/>
  <c r="E449" i="4"/>
  <c r="E448" i="4"/>
  <c r="E447" i="4"/>
  <c r="E446" i="4"/>
  <c r="E445" i="4"/>
  <c r="E444" i="4"/>
  <c r="E442" i="4"/>
  <c r="E441" i="4"/>
  <c r="E440" i="4"/>
  <c r="E437" i="4"/>
  <c r="E436" i="4"/>
  <c r="E435" i="4"/>
  <c r="E434" i="4"/>
  <c r="E433" i="4"/>
  <c r="E431" i="4"/>
  <c r="E430" i="4"/>
  <c r="E428" i="4"/>
  <c r="E427" i="4"/>
  <c r="E426" i="4"/>
  <c r="E425" i="4"/>
  <c r="E423" i="4"/>
  <c r="E422" i="4"/>
  <c r="E421" i="4"/>
  <c r="E420" i="4"/>
  <c r="E418" i="4"/>
  <c r="E417" i="4"/>
  <c r="E414" i="4"/>
  <c r="E412" i="4"/>
  <c r="E411" i="4"/>
  <c r="E410" i="4"/>
  <c r="E409" i="4"/>
  <c r="E408" i="4"/>
  <c r="E407" i="4"/>
  <c r="E406" i="4"/>
  <c r="E403" i="4"/>
  <c r="E401" i="4"/>
  <c r="E400" i="4"/>
  <c r="E399" i="4"/>
  <c r="E397" i="4"/>
  <c r="E396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1" i="4"/>
  <c r="E380" i="4"/>
  <c r="E379" i="4"/>
  <c r="E378" i="4"/>
  <c r="E372" i="4"/>
  <c r="E371" i="4"/>
  <c r="E370" i="4"/>
  <c r="E369" i="4"/>
  <c r="E368" i="4"/>
  <c r="E367" i="4"/>
  <c r="E366" i="4"/>
  <c r="E365" i="4"/>
  <c r="E360" i="4"/>
  <c r="E359" i="4"/>
  <c r="E358" i="4"/>
  <c r="E357" i="4"/>
  <c r="E355" i="4"/>
  <c r="E354" i="4"/>
  <c r="E353" i="4"/>
  <c r="E352" i="4"/>
  <c r="E350" i="4"/>
  <c r="E349" i="4"/>
  <c r="E348" i="4"/>
  <c r="E347" i="4"/>
  <c r="E346" i="4"/>
  <c r="E345" i="4"/>
  <c r="E344" i="4"/>
  <c r="E343" i="4"/>
  <c r="E342" i="4"/>
  <c r="E340" i="4"/>
  <c r="E335" i="4"/>
  <c r="E334" i="4"/>
  <c r="E332" i="4"/>
  <c r="E321" i="4"/>
  <c r="E317" i="4"/>
  <c r="E311" i="4"/>
  <c r="E310" i="4"/>
  <c r="E309" i="4"/>
  <c r="E307" i="4"/>
  <c r="E303" i="4"/>
  <c r="E302" i="4"/>
  <c r="E301" i="4"/>
  <c r="E300" i="4"/>
  <c r="E299" i="4"/>
  <c r="E298" i="4"/>
  <c r="E294" i="4"/>
  <c r="E293" i="4"/>
  <c r="E292" i="4"/>
  <c r="E291" i="4"/>
  <c r="E288" i="4"/>
  <c r="E287" i="4"/>
  <c r="E286" i="4"/>
  <c r="E285" i="4"/>
  <c r="E282" i="4"/>
  <c r="E281" i="4"/>
  <c r="E280" i="4"/>
  <c r="E279" i="4"/>
  <c r="E276" i="4"/>
  <c r="E275" i="4"/>
  <c r="E274" i="4"/>
  <c r="E273" i="4"/>
  <c r="E271" i="4"/>
  <c r="E264" i="4"/>
  <c r="E263" i="4"/>
  <c r="E260" i="4"/>
  <c r="E259" i="4"/>
  <c r="E258" i="4"/>
  <c r="E256" i="4"/>
  <c r="E253" i="4"/>
  <c r="E252" i="4"/>
  <c r="E251" i="4"/>
  <c r="E250" i="4"/>
  <c r="E249" i="4"/>
  <c r="E248" i="4"/>
  <c r="E247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19" i="4"/>
  <c r="E218" i="4"/>
  <c r="E217" i="4"/>
  <c r="E216" i="4"/>
  <c r="E215" i="4"/>
  <c r="E214" i="4"/>
  <c r="E213" i="4"/>
  <c r="E212" i="4"/>
  <c r="E211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75" i="4"/>
  <c r="E174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1" i="4"/>
  <c r="E148" i="4"/>
  <c r="E144" i="4"/>
  <c r="E141" i="4"/>
  <c r="E140" i="4"/>
  <c r="E133" i="4"/>
  <c r="E132" i="4"/>
  <c r="E131" i="4"/>
  <c r="E129" i="4"/>
  <c r="E128" i="4"/>
  <c r="E124" i="4"/>
  <c r="E119" i="4"/>
  <c r="E117" i="4"/>
  <c r="E116" i="4"/>
  <c r="E115" i="4"/>
  <c r="E114" i="4"/>
  <c r="E112" i="4"/>
  <c r="E110" i="4"/>
  <c r="E109" i="4"/>
  <c r="E100" i="4"/>
  <c r="E98" i="4"/>
  <c r="E97" i="4"/>
  <c r="E96" i="4"/>
  <c r="E89" i="4"/>
  <c r="E88" i="4"/>
  <c r="E87" i="4"/>
  <c r="E85" i="4"/>
  <c r="E84" i="4"/>
  <c r="E83" i="4"/>
  <c r="E82" i="4"/>
  <c r="E81" i="4"/>
  <c r="E80" i="4"/>
  <c r="E79" i="4"/>
  <c r="E78" i="4"/>
  <c r="E77" i="4"/>
  <c r="E76" i="4"/>
  <c r="E74" i="4"/>
  <c r="E73" i="4"/>
  <c r="E72" i="4"/>
  <c r="E70" i="4"/>
  <c r="E69" i="4"/>
  <c r="E68" i="4"/>
  <c r="E67" i="4"/>
  <c r="E66" i="4"/>
  <c r="E65" i="4"/>
  <c r="E64" i="4"/>
  <c r="E59" i="4"/>
  <c r="E56" i="4"/>
  <c r="E55" i="4"/>
  <c r="E54" i="4"/>
  <c r="E53" i="4"/>
  <c r="E52" i="4"/>
  <c r="E48" i="4"/>
  <c r="E39" i="4"/>
  <c r="E34" i="4"/>
  <c r="E27" i="4"/>
  <c r="E25" i="4"/>
  <c r="E24" i="4"/>
  <c r="E22" i="4"/>
  <c r="E18" i="4"/>
  <c r="E16" i="4"/>
  <c r="E13" i="4"/>
  <c r="E11" i="4"/>
  <c r="E10" i="4"/>
  <c r="E9" i="4"/>
  <c r="E7" i="4"/>
  <c r="E6" i="4"/>
  <c r="C3" i="13" l="1"/>
  <c r="K9" i="6"/>
  <c r="K8" i="6"/>
  <c r="K7" i="6"/>
  <c r="K6" i="6"/>
  <c r="D419" i="4"/>
  <c r="D405" i="4"/>
  <c r="D404" i="4"/>
  <c r="F380" i="4"/>
  <c r="D373" i="4"/>
  <c r="E364" i="4"/>
  <c r="E362" i="4"/>
  <c r="D338" i="4"/>
  <c r="D336" i="4"/>
  <c r="E333" i="4"/>
  <c r="D326" i="4"/>
  <c r="D322" i="4"/>
  <c r="D316" i="4"/>
  <c r="D306" i="4"/>
  <c r="D305" i="4"/>
  <c r="D304" i="4"/>
  <c r="D296" i="4"/>
  <c r="D295" i="4"/>
  <c r="D283" i="4"/>
  <c r="C283" i="4" s="1"/>
  <c r="D278" i="4"/>
  <c r="D272" i="4"/>
  <c r="D270" i="4"/>
  <c r="D269" i="4"/>
  <c r="E267" i="4"/>
  <c r="D266" i="4"/>
  <c r="D265" i="4"/>
  <c r="G173" i="4"/>
  <c r="D173" i="4"/>
  <c r="D155" i="4"/>
  <c r="D154" i="4"/>
  <c r="D153" i="4"/>
  <c r="D152" i="4"/>
  <c r="D150" i="4"/>
  <c r="D149" i="4"/>
  <c r="D147" i="4"/>
  <c r="D146" i="4"/>
  <c r="D145" i="4"/>
  <c r="D143" i="4"/>
  <c r="D142" i="4"/>
  <c r="D139" i="4"/>
  <c r="D138" i="4"/>
  <c r="D137" i="4"/>
  <c r="D136" i="4"/>
  <c r="D135" i="4"/>
  <c r="D134" i="4"/>
  <c r="D130" i="4"/>
  <c r="D127" i="4"/>
  <c r="D126" i="4"/>
  <c r="D125" i="4"/>
  <c r="D123" i="4"/>
  <c r="D122" i="4"/>
  <c r="D121" i="4"/>
  <c r="D120" i="4"/>
  <c r="D118" i="4"/>
  <c r="D113" i="4"/>
  <c r="D111" i="4"/>
  <c r="D108" i="4"/>
  <c r="D107" i="4"/>
  <c r="D106" i="4"/>
  <c r="D105" i="4"/>
  <c r="D104" i="4"/>
  <c r="D103" i="4"/>
  <c r="D102" i="4"/>
  <c r="D101" i="4"/>
  <c r="D99" i="4"/>
  <c r="D95" i="4"/>
  <c r="D94" i="4"/>
  <c r="D93" i="4"/>
  <c r="D92" i="4"/>
  <c r="D91" i="4"/>
  <c r="D90" i="4"/>
  <c r="D86" i="4"/>
  <c r="D75" i="4"/>
  <c r="D71" i="4"/>
  <c r="D63" i="4"/>
  <c r="D62" i="4"/>
  <c r="D61" i="4"/>
  <c r="D60" i="4"/>
  <c r="D58" i="4"/>
  <c r="D57" i="4"/>
  <c r="D51" i="4"/>
  <c r="D50" i="4"/>
  <c r="D49" i="4"/>
  <c r="D47" i="4"/>
  <c r="D46" i="4"/>
  <c r="D45" i="4"/>
  <c r="D44" i="4"/>
  <c r="D43" i="4"/>
  <c r="D42" i="4"/>
  <c r="D41" i="4"/>
  <c r="D40" i="4"/>
  <c r="D38" i="4"/>
  <c r="D37" i="4"/>
  <c r="D36" i="4"/>
  <c r="D35" i="4"/>
  <c r="D33" i="4"/>
  <c r="D32" i="4"/>
  <c r="D31" i="4"/>
  <c r="D30" i="4"/>
  <c r="D29" i="4"/>
  <c r="D28" i="4"/>
  <c r="D26" i="4"/>
  <c r="D23" i="4"/>
  <c r="D21" i="4"/>
  <c r="D20" i="4"/>
  <c r="D19" i="4"/>
  <c r="D15" i="4"/>
  <c r="D14" i="4"/>
  <c r="D12" i="4"/>
  <c r="D8" i="4"/>
  <c r="A7" i="4"/>
  <c r="A8" i="4" s="1"/>
  <c r="A9" i="4" s="1"/>
  <c r="A10" i="4" s="1"/>
  <c r="A11" i="4" s="1"/>
  <c r="A12" i="4" s="1"/>
  <c r="A13" i="4" s="1"/>
  <c r="A14" i="4" s="1"/>
  <c r="A15" i="4" s="1"/>
  <c r="A16" i="4" s="1"/>
  <c r="C322" i="4" l="1"/>
  <c r="C336" i="4"/>
  <c r="E419" i="4"/>
  <c r="C419" i="4"/>
  <c r="E304" i="4"/>
  <c r="C304" i="4"/>
  <c r="E338" i="4"/>
  <c r="C338" i="4"/>
  <c r="C296" i="4"/>
  <c r="E269" i="4"/>
  <c r="C269" i="4"/>
  <c r="E305" i="4"/>
  <c r="C305" i="4"/>
  <c r="C266" i="4"/>
  <c r="C306" i="4"/>
  <c r="E373" i="4"/>
  <c r="C373" i="4"/>
  <c r="C316" i="4"/>
  <c r="E173" i="4"/>
  <c r="C173" i="4"/>
  <c r="C278" i="4"/>
  <c r="E270" i="4"/>
  <c r="C270" i="4"/>
  <c r="E272" i="4"/>
  <c r="C272" i="4"/>
  <c r="C326" i="4"/>
  <c r="E404" i="4"/>
  <c r="C404" i="4"/>
  <c r="E265" i="4"/>
  <c r="C265" i="4"/>
  <c r="C295" i="4"/>
  <c r="E405" i="4"/>
  <c r="C405" i="4"/>
  <c r="E145" i="4"/>
  <c r="C145" i="4"/>
  <c r="E20" i="4"/>
  <c r="C20" i="4"/>
  <c r="E51" i="4"/>
  <c r="C51" i="4"/>
  <c r="E99" i="4"/>
  <c r="C99" i="4"/>
  <c r="E125" i="4"/>
  <c r="C125" i="4"/>
  <c r="E150" i="4"/>
  <c r="C150" i="4"/>
  <c r="E57" i="4"/>
  <c r="C57" i="4"/>
  <c r="E101" i="4"/>
  <c r="C101" i="4"/>
  <c r="E126" i="4"/>
  <c r="C126" i="4"/>
  <c r="E23" i="4"/>
  <c r="C23" i="4"/>
  <c r="E35" i="4"/>
  <c r="C35" i="4"/>
  <c r="E58" i="4"/>
  <c r="C58" i="4"/>
  <c r="E102" i="4"/>
  <c r="C102" i="4"/>
  <c r="E113" i="4"/>
  <c r="C113" i="4"/>
  <c r="E127" i="4"/>
  <c r="C127" i="4"/>
  <c r="E142" i="4"/>
  <c r="C142" i="4"/>
  <c r="E153" i="4"/>
  <c r="C153" i="4"/>
  <c r="E37" i="4"/>
  <c r="C37" i="4"/>
  <c r="E61" i="4"/>
  <c r="C61" i="4"/>
  <c r="E120" i="4"/>
  <c r="C120" i="4"/>
  <c r="E75" i="4"/>
  <c r="C75" i="4"/>
  <c r="E21" i="4"/>
  <c r="C21" i="4"/>
  <c r="E86" i="4"/>
  <c r="C86" i="4"/>
  <c r="E111" i="4"/>
  <c r="C111" i="4"/>
  <c r="E152" i="4"/>
  <c r="C152" i="4"/>
  <c r="E8" i="4"/>
  <c r="C8" i="4"/>
  <c r="E26" i="4"/>
  <c r="C26" i="4"/>
  <c r="E36" i="4"/>
  <c r="C36" i="4"/>
  <c r="E60" i="4"/>
  <c r="C60" i="4"/>
  <c r="E118" i="4"/>
  <c r="C118" i="4"/>
  <c r="E130" i="4"/>
  <c r="C130" i="4"/>
  <c r="E143" i="4"/>
  <c r="C143" i="4"/>
  <c r="E154" i="4"/>
  <c r="C154" i="4"/>
  <c r="E12" i="4"/>
  <c r="C12" i="4"/>
  <c r="E155" i="4"/>
  <c r="C155" i="4"/>
  <c r="E121" i="4"/>
  <c r="C121" i="4"/>
  <c r="E146" i="4"/>
  <c r="C146" i="4"/>
  <c r="E15" i="4"/>
  <c r="C15" i="4"/>
  <c r="E49" i="4"/>
  <c r="C49" i="4"/>
  <c r="E63" i="4"/>
  <c r="C63" i="4"/>
  <c r="E122" i="4"/>
  <c r="C122" i="4"/>
  <c r="E147" i="4"/>
  <c r="C147" i="4"/>
  <c r="E14" i="4"/>
  <c r="C14" i="4"/>
  <c r="E38" i="4"/>
  <c r="C38" i="4"/>
  <c r="E62" i="4"/>
  <c r="C62" i="4"/>
  <c r="E19" i="4"/>
  <c r="C19" i="4"/>
  <c r="E50" i="4"/>
  <c r="C50" i="4"/>
  <c r="E71" i="4"/>
  <c r="C71" i="4"/>
  <c r="E123" i="4"/>
  <c r="C123" i="4"/>
  <c r="E149" i="4"/>
  <c r="C149" i="4"/>
  <c r="E42" i="4"/>
  <c r="C42" i="4"/>
  <c r="E108" i="4"/>
  <c r="C108" i="4"/>
  <c r="E138" i="4"/>
  <c r="C138" i="4"/>
  <c r="E139" i="4"/>
  <c r="C139" i="4"/>
  <c r="E32" i="4"/>
  <c r="C32" i="4"/>
  <c r="E43" i="4"/>
  <c r="C43" i="4"/>
  <c r="E91" i="4"/>
  <c r="C91" i="4"/>
  <c r="E28" i="4"/>
  <c r="C28" i="4"/>
  <c r="E46" i="4"/>
  <c r="C46" i="4"/>
  <c r="E104" i="4"/>
  <c r="C104" i="4"/>
  <c r="E134" i="4"/>
  <c r="C134" i="4"/>
  <c r="E44" i="4"/>
  <c r="C44" i="4"/>
  <c r="E103" i="4"/>
  <c r="C103" i="4"/>
  <c r="E47" i="4"/>
  <c r="C47" i="4"/>
  <c r="E105" i="4"/>
  <c r="C105" i="4"/>
  <c r="E135" i="4"/>
  <c r="C135" i="4"/>
  <c r="E45" i="4"/>
  <c r="C45" i="4"/>
  <c r="E93" i="4"/>
  <c r="C93" i="4"/>
  <c r="E30" i="4"/>
  <c r="C30" i="4"/>
  <c r="E40" i="4"/>
  <c r="C40" i="4"/>
  <c r="E94" i="4"/>
  <c r="C94" i="4"/>
  <c r="E106" i="4"/>
  <c r="C106" i="4"/>
  <c r="E136" i="4"/>
  <c r="C136" i="4"/>
  <c r="E33" i="4"/>
  <c r="C33" i="4"/>
  <c r="E90" i="4"/>
  <c r="C90" i="4"/>
  <c r="E92" i="4"/>
  <c r="C92" i="4"/>
  <c r="E29" i="4"/>
  <c r="C29" i="4"/>
  <c r="E31" i="4"/>
  <c r="C31" i="4"/>
  <c r="E41" i="4"/>
  <c r="C41" i="4"/>
  <c r="E95" i="4"/>
  <c r="C95" i="4"/>
  <c r="E107" i="4"/>
  <c r="C107" i="4"/>
  <c r="E137" i="4"/>
  <c r="C137" i="4"/>
  <c r="E306" i="4"/>
  <c r="E316" i="4"/>
  <c r="E336" i="4"/>
  <c r="C4" i="13"/>
  <c r="E295" i="4"/>
  <c r="E296" i="4"/>
  <c r="E278" i="4"/>
  <c r="E322" i="4"/>
  <c r="E283" i="4"/>
  <c r="E325" i="4"/>
  <c r="E326" i="4"/>
  <c r="E266" i="4"/>
  <c r="A17" i="4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A94" i="4" s="1"/>
  <c r="A95" i="4" s="1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A108" i="4" s="1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A120" i="4" s="1"/>
  <c r="A121" i="4" s="1"/>
  <c r="A122" i="4" s="1"/>
  <c r="A123" i="4" s="1"/>
  <c r="A124" i="4" s="1"/>
  <c r="A125" i="4" s="1"/>
  <c r="A126" i="4" s="1"/>
  <c r="A127" i="4" s="1"/>
  <c r="A128" i="4" s="1"/>
  <c r="A129" i="4" s="1"/>
  <c r="A130" i="4" s="1"/>
  <c r="A131" i="4" s="1"/>
  <c r="A132" i="4" s="1"/>
  <c r="A133" i="4" s="1"/>
  <c r="A134" i="4" s="1"/>
  <c r="A135" i="4" s="1"/>
  <c r="A136" i="4" s="1"/>
  <c r="A137" i="4" s="1"/>
  <c r="A138" i="4" s="1"/>
  <c r="A139" i="4" s="1"/>
  <c r="A140" i="4" s="1"/>
  <c r="A141" i="4" s="1"/>
  <c r="A142" i="4" s="1"/>
  <c r="A143" i="4" s="1"/>
  <c r="A144" i="4" s="1"/>
  <c r="A145" i="4" s="1"/>
  <c r="A146" i="4" s="1"/>
  <c r="A147" i="4" s="1"/>
  <c r="A148" i="4" s="1"/>
  <c r="A149" i="4" s="1"/>
  <c r="A150" i="4" s="1"/>
  <c r="A151" i="4" s="1"/>
  <c r="A152" i="4" s="1"/>
  <c r="A153" i="4" s="1"/>
  <c r="A154" i="4" s="1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A167" i="4" s="1"/>
  <c r="A168" i="4" s="1"/>
  <c r="A169" i="4" s="1"/>
  <c r="A170" i="4" s="1"/>
  <c r="A171" i="4" s="1"/>
  <c r="A172" i="4" s="1"/>
  <c r="A173" i="4" s="1"/>
  <c r="A179" i="4" s="1"/>
  <c r="A174" i="4" l="1"/>
  <c r="A177" i="4" s="1"/>
  <c r="A178" i="4"/>
  <c r="A175" i="4" l="1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A192" i="4" s="1"/>
  <c r="A193" i="4" s="1"/>
  <c r="A194" i="4" s="1"/>
  <c r="A195" i="4" s="1"/>
  <c r="A196" i="4" s="1"/>
  <c r="A197" i="4" s="1"/>
  <c r="A198" i="4" s="1"/>
  <c r="A209" i="4" s="1"/>
  <c r="A180" i="4"/>
  <c r="A176" i="4"/>
  <c r="A199" i="4" l="1"/>
  <c r="A200" i="4" s="1"/>
  <c r="A208" i="4"/>
  <c r="A201" i="4" l="1"/>
  <c r="A212" i="4" s="1"/>
  <c r="A211" i="4"/>
  <c r="A210" i="4"/>
  <c r="A202" i="4" l="1"/>
  <c r="A213" i="4" s="1"/>
  <c r="A203" i="4" l="1"/>
  <c r="A204" i="4" s="1"/>
  <c r="A214" i="4" l="1"/>
  <c r="A205" i="4"/>
  <c r="A215" i="4"/>
  <c r="A206" i="4" l="1"/>
  <c r="A216" i="4"/>
  <c r="A207" i="4" l="1"/>
  <c r="A222" i="4" s="1"/>
  <c r="A223" i="4" s="1"/>
  <c r="A224" i="4" s="1"/>
  <c r="A225" i="4" s="1"/>
  <c r="A226" i="4" s="1"/>
  <c r="A227" i="4" s="1"/>
  <c r="A228" i="4" s="1"/>
  <c r="A229" i="4" s="1"/>
  <c r="A230" i="4" s="1"/>
  <c r="A231" i="4" s="1"/>
  <c r="A232" i="4" s="1"/>
  <c r="A233" i="4" s="1"/>
  <c r="A234" i="4" s="1"/>
  <c r="A235" i="4" s="1"/>
  <c r="A236" i="4" s="1"/>
  <c r="A237" i="4" s="1"/>
  <c r="A238" i="4" s="1"/>
  <c r="A239" i="4" s="1"/>
  <c r="A240" i="4" s="1"/>
  <c r="A241" i="4" s="1"/>
  <c r="A242" i="4" s="1"/>
  <c r="A243" i="4" s="1"/>
  <c r="A244" i="4" s="1"/>
  <c r="A219" i="4"/>
  <c r="A218" i="4"/>
  <c r="A217" i="4"/>
  <c r="A245" i="4" l="1"/>
  <c r="A247" i="4" s="1"/>
  <c r="A248" i="4" s="1"/>
  <c r="A249" i="4" s="1"/>
  <c r="A250" i="4" s="1"/>
  <c r="A251" i="4" s="1"/>
  <c r="A252" i="4" s="1"/>
  <c r="A255" i="4" s="1"/>
  <c r="A246" i="4"/>
  <c r="A253" i="4" l="1"/>
  <c r="A256" i="4" s="1"/>
  <c r="A258" i="4" s="1"/>
  <c r="A262" i="4" s="1"/>
  <c r="A254" i="4"/>
  <c r="A260" i="4" l="1"/>
  <c r="A261" i="4"/>
  <c r="A259" i="4"/>
  <c r="A263" i="4" s="1"/>
  <c r="A264" i="4" s="1"/>
  <c r="A265" i="4" s="1"/>
  <c r="A266" i="4" l="1"/>
  <c r="A267" i="4" s="1"/>
  <c r="A268" i="4" s="1"/>
  <c r="A269" i="4" s="1"/>
  <c r="A270" i="4" s="1"/>
  <c r="A271" i="4" s="1"/>
  <c r="A272" i="4" s="1"/>
  <c r="A273" i="4" s="1"/>
  <c r="A274" i="4" s="1"/>
  <c r="A275" i="4" s="1"/>
  <c r="A276" i="4" s="1"/>
  <c r="A278" i="4" s="1"/>
  <c r="A279" i="4" s="1"/>
  <c r="A280" i="4" s="1"/>
  <c r="A281" i="4" s="1"/>
  <c r="A282" i="4" s="1"/>
  <c r="A283" i="4" s="1"/>
  <c r="A284" i="4" l="1"/>
  <c r="A285" i="4" s="1"/>
  <c r="A286" i="4" s="1"/>
  <c r="A287" i="4" s="1"/>
  <c r="A288" i="4" s="1"/>
  <c r="A277" i="4"/>
  <c r="A292" i="4" l="1"/>
  <c r="A289" i="4"/>
  <c r="A290" i="4" s="1"/>
  <c r="A291" i="4"/>
  <c r="A293" i="4" s="1"/>
  <c r="A294" i="4" s="1"/>
  <c r="A297" i="4" l="1"/>
  <c r="A295" i="4"/>
  <c r="A298" i="4" s="1"/>
  <c r="A300" i="4" s="1"/>
  <c r="A301" i="4" s="1"/>
  <c r="A302" i="4" s="1"/>
  <c r="A303" i="4" s="1"/>
  <c r="A304" i="4" s="1"/>
  <c r="A305" i="4" s="1"/>
  <c r="A306" i="4" s="1"/>
  <c r="A296" i="4"/>
  <c r="A299" i="4" s="1"/>
  <c r="A307" i="4" l="1"/>
  <c r="A308" i="4" s="1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A320" i="4" s="1"/>
  <c r="A321" i="4" s="1"/>
  <c r="A322" i="4" s="1"/>
  <c r="A324" i="4" s="1"/>
  <c r="A325" i="4" s="1"/>
  <c r="A326" i="4" s="1"/>
  <c r="A327" i="4" s="1"/>
  <c r="A330" i="4" s="1"/>
  <c r="A331" i="4" s="1"/>
  <c r="A332" i="4" s="1"/>
  <c r="A333" i="4" s="1"/>
  <c r="A334" i="4" s="1"/>
  <c r="A335" i="4" s="1"/>
  <c r="A336" i="4" s="1"/>
  <c r="A338" i="4" s="1"/>
  <c r="A339" i="4" s="1"/>
  <c r="A340" i="4" l="1"/>
  <c r="A341" i="4" s="1"/>
  <c r="A342" i="4" s="1"/>
  <c r="A343" i="4" s="1"/>
  <c r="A344" i="4" s="1"/>
  <c r="A345" i="4" s="1"/>
  <c r="A346" i="4" s="1"/>
  <c r="A347" i="4" s="1"/>
  <c r="A348" i="4" s="1"/>
  <c r="A349" i="4" s="1"/>
  <c r="A350" i="4" l="1"/>
  <c r="A352" i="4" s="1"/>
  <c r="A353" i="4" s="1"/>
  <c r="A354" i="4" s="1"/>
  <c r="A355" i="4" s="1"/>
  <c r="A357" i="4" s="1"/>
  <c r="A358" i="4" s="1"/>
  <c r="A359" i="4" s="1"/>
  <c r="A351" i="4"/>
  <c r="A360" i="4" l="1"/>
  <c r="A361" i="4"/>
  <c r="A362" i="4" l="1"/>
  <c r="A364" i="4" s="1"/>
  <c r="A365" i="4" s="1"/>
  <c r="A366" i="4" s="1"/>
  <c r="A367" i="4" s="1"/>
  <c r="A368" i="4" s="1"/>
  <c r="A369" i="4" s="1"/>
  <c r="A370" i="4" s="1"/>
  <c r="A363" i="4"/>
  <c r="A371" i="4" l="1"/>
  <c r="A374" i="4"/>
  <c r="A376" i="4" l="1"/>
  <c r="A372" i="4"/>
  <c r="A375" i="4"/>
  <c r="A373" i="4" l="1"/>
  <c r="A378" i="4" s="1"/>
  <c r="A379" i="4" s="1"/>
  <c r="A380" i="4" s="1"/>
  <c r="A381" i="4" s="1"/>
  <c r="A383" i="4" s="1"/>
  <c r="A384" i="4" s="1"/>
  <c r="A385" i="4" s="1"/>
  <c r="A377" i="4"/>
  <c r="A386" i="4" l="1"/>
  <c r="A388" i="4"/>
  <c r="A387" i="4" l="1"/>
  <c r="A390" i="4" s="1"/>
  <c r="A391" i="4" s="1"/>
  <c r="A392" i="4" s="1"/>
  <c r="A393" i="4" s="1"/>
  <c r="A394" i="4" s="1"/>
  <c r="A389" i="4"/>
  <c r="A395" i="4" l="1"/>
  <c r="A397" i="4" s="1"/>
  <c r="A399" i="4" s="1"/>
  <c r="A400" i="4" s="1"/>
  <c r="A401" i="4" s="1"/>
  <c r="A402" i="4" s="1"/>
  <c r="A403" i="4" s="1"/>
  <c r="A404" i="4" s="1"/>
  <c r="A405" i="4" s="1"/>
  <c r="A406" i="4" s="1"/>
  <c r="A407" i="4" s="1"/>
  <c r="A408" i="4" s="1"/>
  <c r="A409" i="4" s="1"/>
  <c r="A410" i="4" s="1"/>
  <c r="A411" i="4" s="1"/>
  <c r="A396" i="4"/>
  <c r="A398" i="4" s="1"/>
  <c r="A413" i="4" l="1"/>
  <c r="A412" i="4"/>
  <c r="A414" i="4" s="1"/>
  <c r="A417" i="4" s="1"/>
  <c r="A418" i="4" s="1"/>
  <c r="A419" i="4" l="1"/>
  <c r="A421" i="4" s="1"/>
  <c r="A422" i="4" s="1"/>
  <c r="A420" i="4"/>
  <c r="A424" i="4" l="1"/>
  <c r="A423" i="4"/>
  <c r="A425" i="4" s="1"/>
  <c r="A426" i="4" s="1"/>
  <c r="A427" i="4" s="1"/>
  <c r="A428" i="4" l="1"/>
  <c r="A430" i="4" s="1"/>
  <c r="A429" i="4"/>
  <c r="A432" i="4" l="1"/>
  <c r="A431" i="4"/>
  <c r="A433" i="4" s="1"/>
  <c r="A434" i="4" s="1"/>
  <c r="A435" i="4" s="1"/>
  <c r="A436" i="4" s="1"/>
  <c r="A437" i="4" l="1"/>
  <c r="A439" i="4" s="1"/>
  <c r="A440" i="4" s="1"/>
  <c r="A441" i="4" s="1"/>
  <c r="A438" i="4"/>
  <c r="A442" i="4" l="1"/>
  <c r="A444" i="4" s="1"/>
  <c r="A445" i="4" s="1"/>
  <c r="A446" i="4" s="1"/>
  <c r="A447" i="4" s="1"/>
  <c r="A448" i="4" s="1"/>
  <c r="A449" i="4" s="1"/>
  <c r="A450" i="4" s="1"/>
  <c r="A451" i="4" s="1"/>
  <c r="A452" i="4" s="1"/>
  <c r="A443" i="4"/>
  <c r="A454" i="4" l="1"/>
  <c r="A453" i="4"/>
  <c r="A455" i="4" s="1"/>
  <c r="A456" i="4" s="1"/>
  <c r="A458" i="4" l="1"/>
  <c r="A457" i="4"/>
  <c r="A459" i="4" s="1"/>
  <c r="A460" i="4" s="1"/>
  <c r="A462" i="4" l="1"/>
  <c r="A461" i="4"/>
  <c r="A463" i="4" s="1"/>
  <c r="A464" i="4" s="1"/>
  <c r="A465" i="4" s="1"/>
  <c r="A466" i="4" s="1"/>
  <c r="A467" i="4" s="1"/>
  <c r="A468" i="4" s="1"/>
  <c r="A469" i="4" s="1"/>
  <c r="A470" i="4" s="1"/>
  <c r="A471" i="4" s="1"/>
  <c r="A472" i="4" s="1"/>
  <c r="A473" i="4" s="1"/>
  <c r="A474" i="4" s="1"/>
  <c r="A475" i="4" s="1"/>
  <c r="A476" i="4" l="1"/>
  <c r="A478" i="4" s="1"/>
  <c r="A477" i="4"/>
  <c r="A479" i="4" s="1"/>
  <c r="A480" i="4" l="1"/>
  <c r="A482" i="4"/>
  <c r="A481" i="4"/>
  <c r="A483" i="4"/>
  <c r="A485" i="4" l="1"/>
  <c r="A484" i="4"/>
  <c r="A486" i="4" s="1"/>
  <c r="A487" i="4" s="1"/>
  <c r="A488" i="4" s="1"/>
  <c r="A489" i="4" s="1"/>
  <c r="A490" i="4" s="1"/>
  <c r="A491" i="4" s="1"/>
  <c r="A492" i="4" s="1"/>
  <c r="A493" i="4" s="1"/>
  <c r="A494" i="4" s="1"/>
  <c r="A495" i="4" s="1"/>
  <c r="A496" i="4" s="1"/>
  <c r="A497" i="4" s="1"/>
  <c r="A498" i="4" s="1"/>
  <c r="A499" i="4" s="1"/>
  <c r="A500" i="4" s="1"/>
  <c r="G3" i="13"/>
  <c r="G4" i="13" s="1"/>
  <c r="E4" i="6"/>
  <c r="F5" i="6"/>
  <c r="K3" i="13" s="1"/>
  <c r="K4" i="13" s="1"/>
  <c r="G5" i="6" l="1"/>
  <c r="G4" i="6" s="1"/>
  <c r="F4" i="6"/>
  <c r="H5" i="6" l="1"/>
  <c r="O3" i="13"/>
  <c r="O4" i="13" s="1"/>
  <c r="S3" i="13" l="1"/>
  <c r="S4" i="13" s="1"/>
  <c r="H4" i="6"/>
  <c r="I5" i="6"/>
  <c r="W3" i="13" l="1"/>
  <c r="W4" i="13" s="1"/>
  <c r="I4" i="6"/>
  <c r="J5" i="6"/>
  <c r="J4" i="6" l="1"/>
</calcChain>
</file>

<file path=xl/comments1.xml><?xml version="1.0" encoding="utf-8"?>
<comments xmlns="http://schemas.openxmlformats.org/spreadsheetml/2006/main">
  <authors>
    <author>Kim Sokha</author>
    <author>Och Chanmalen</author>
    <author>Say Mithona</author>
  </authors>
  <commentList>
    <comment ref="G170" authorId="0" shapeId="0">
      <text>
        <r>
          <rPr>
            <b/>
            <sz val="9"/>
            <color indexed="81"/>
            <rFont val="Tahoma"/>
            <family val="2"/>
          </rPr>
          <t>Kim Sokha:</t>
        </r>
        <r>
          <rPr>
            <sz val="9"/>
            <color indexed="81"/>
            <rFont val="Tahoma"/>
            <family val="2"/>
          </rPr>
          <t xml:space="preserve">
1-41.000mins
2-34.939mins</t>
        </r>
      </text>
    </comment>
    <comment ref="D222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from 10 to 11.5 on July 08, 2015</t>
        </r>
      </text>
    </comment>
    <comment ref="D223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from 10 to 11.5 on July 08, 2015</t>
        </r>
      </text>
    </comment>
    <comment ref="D224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from 10 to 11.5 on July 08, 2015</t>
        </r>
      </text>
    </comment>
    <comment ref="D251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1.68 to 1.65 June.27.2015
</t>
        </r>
      </text>
    </comment>
    <comment ref="D252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2.05 to 2 June.27.2015</t>
        </r>
      </text>
    </comment>
    <comment ref="G253" authorId="0" shapeId="0">
      <text>
        <r>
          <rPr>
            <sz val="9"/>
            <color indexed="81"/>
            <rFont val="Tahoma"/>
            <family val="2"/>
          </rPr>
          <t xml:space="preserve">SMV
1-3.672
2-3.500
3-3.250
</t>
        </r>
      </text>
    </comment>
    <comment ref="D266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267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15 to 16 June.27.2015</t>
        </r>
      </text>
    </comment>
    <comment ref="D275" authorId="0" shapeId="0">
      <text>
        <r>
          <rPr>
            <b/>
            <sz val="9"/>
            <color indexed="81"/>
            <rFont val="Tahoma"/>
            <family val="2"/>
          </rPr>
          <t xml:space="preserve">On 06.02.0216 changed 9.500 mins to 9.000mins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6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8.5 to 9 June.27.2015</t>
        </r>
      </text>
    </comment>
    <comment ref="G281" authorId="0" shapeId="0">
      <text>
        <r>
          <rPr>
            <sz val="9"/>
            <color indexed="81"/>
            <rFont val="Tahoma"/>
            <family val="2"/>
          </rPr>
          <t xml:space="preserve">Changed 11.750mins to 12.750mins by Mr. Dillard
On 18-Nov-2015
</t>
        </r>
      </text>
    </comment>
    <comment ref="D290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+Changed 23.624 to 24 June.27.2015
+Changed 24 to 21.5 Oct/23/2015
+Changed 21.5 to 24 Sept/04/2015</t>
        </r>
      </text>
    </comment>
    <comment ref="D291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+Changed 23.624 to 24 June.27.2015
+Changed 24 to 21.5 Oct/23/2015
+Changed 21.5 to 24 Sept/04/2015</t>
        </r>
      </text>
    </comment>
    <comment ref="D294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10 to 11.5 July.15.2015</t>
        </r>
      </text>
    </comment>
    <comment ref="D295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10 to 11.5 July.15.2015</t>
        </r>
      </text>
    </comment>
    <comment ref="D296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10 to 11.5 July.15.2015</t>
        </r>
      </text>
    </comment>
    <comment ref="D297" authorId="0" shapeId="0">
      <text>
        <r>
          <rPr>
            <b/>
            <sz val="9"/>
            <color indexed="81"/>
            <rFont val="Tahoma"/>
            <family val="2"/>
          </rPr>
          <t>Kim Sokha:</t>
        </r>
        <r>
          <rPr>
            <sz val="9"/>
            <color indexed="81"/>
            <rFont val="Tahoma"/>
            <family val="2"/>
          </rPr>
          <t xml:space="preserve">
1-19.000</t>
        </r>
      </text>
    </comment>
    <comment ref="D298" authorId="0" shapeId="0">
      <text>
        <r>
          <rPr>
            <b/>
            <sz val="9"/>
            <color indexed="81"/>
            <rFont val="Tahoma"/>
            <family val="2"/>
          </rPr>
          <t>Kim Sokha:</t>
        </r>
        <r>
          <rPr>
            <sz val="9"/>
            <color indexed="81"/>
            <rFont val="Tahoma"/>
            <family val="2"/>
          </rPr>
          <t xml:space="preserve">
1-12.737</t>
        </r>
      </text>
    </comment>
    <comment ref="D299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10 to 11.5 July.15.2015</t>
        </r>
      </text>
    </comment>
    <comment ref="D300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+ Changed 10 to 11.5 July.15.2015</t>
        </r>
      </text>
    </comment>
    <comment ref="D326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27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28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29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30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31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32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 to 8.5 June.27.2015</t>
        </r>
      </text>
    </comment>
    <comment ref="D333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15 to 16 June.27.2015</t>
        </r>
      </text>
    </comment>
    <comment ref="D334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15 to 16 June.27.2015</t>
        </r>
      </text>
    </comment>
    <comment ref="D351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from 12 to 11.75 on 11/02/2015
Changed from 11.75 to 12.75 on 03-12-2015</t>
        </r>
      </text>
    </comment>
    <comment ref="D352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from 12 to 11.75 on 11/02/2015
Changed from 11.75 to 12.75 on 03-12-2015</t>
        </r>
      </text>
    </comment>
    <comment ref="D355" authorId="1" shapeId="0">
      <text>
        <r>
          <rPr>
            <b/>
            <sz val="9"/>
            <color indexed="81"/>
            <rFont val="Tahoma"/>
            <family val="2"/>
          </rPr>
          <t>Och Chanmalen:</t>
        </r>
        <r>
          <rPr>
            <sz val="9"/>
            <color indexed="81"/>
            <rFont val="Tahoma"/>
            <family val="2"/>
          </rPr>
          <t xml:space="preserve">
Changed 8.5 to 9 June.27.2015</t>
        </r>
      </text>
    </comment>
    <comment ref="D368" authorId="0" shapeId="0">
      <text>
        <r>
          <rPr>
            <sz val="9"/>
            <color indexed="81"/>
            <rFont val="Tahoma"/>
            <family val="2"/>
          </rPr>
          <t xml:space="preserve">On 08-02-2016 Changed
46.000mins to 42.000mins
</t>
        </r>
      </text>
    </comment>
    <comment ref="D383" authorId="2" shapeId="0">
      <text>
        <r>
          <rPr>
            <b/>
            <sz val="9"/>
            <color indexed="81"/>
            <rFont val="Tahoma"/>
            <family val="2"/>
          </rPr>
          <t>Say Mithona:</t>
        </r>
        <r>
          <rPr>
            <sz val="9"/>
            <color indexed="81"/>
            <rFont val="Tahoma"/>
            <family val="2"/>
          </rPr>
          <t xml:space="preserve">
22 Jul 2017
</t>
        </r>
      </text>
    </comment>
    <comment ref="G393" authorId="0" shapeId="0">
      <text>
        <r>
          <rPr>
            <sz val="9"/>
            <color indexed="81"/>
            <rFont val="Tahoma"/>
            <family val="2"/>
          </rPr>
          <t xml:space="preserve">On 24.02.2016 changed
13.348 to 12.000mins
</t>
        </r>
      </text>
    </comment>
    <comment ref="G411" authorId="0" shapeId="0">
      <text>
        <r>
          <rPr>
            <b/>
            <sz val="9"/>
            <color indexed="81"/>
            <rFont val="Tahoma"/>
            <family val="2"/>
          </rPr>
          <t>B-Chomroun
13-01-2016
43.850 to 32.000mins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G418" authorId="0" shapeId="0">
      <text>
        <r>
          <rPr>
            <b/>
            <sz val="9"/>
            <color indexed="81"/>
            <rFont val="Tahoma"/>
            <family val="2"/>
          </rPr>
          <t>B-Chommroun
13-01-2016
32.000 to 48.850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423" authorId="0" shapeId="0">
      <text>
        <r>
          <rPr>
            <b/>
            <sz val="9"/>
            <color indexed="81"/>
            <rFont val="Tahoma"/>
            <family val="2"/>
          </rPr>
          <t>B-Chomroun
13-01-2016
56.000mins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Neang Vanton</author>
  </authors>
  <commentList>
    <comment ref="H6" authorId="0" shapeId="0">
      <text>
        <r>
          <rPr>
            <b/>
            <sz val="9"/>
            <color indexed="81"/>
            <rFont val="Tahoma"/>
            <family val="2"/>
          </rPr>
          <t>For Style GCPCLS320BF had 200pcs semi-finish products ,</t>
        </r>
      </text>
    </comment>
    <comment ref="L6" authorId="0" shapeId="0">
      <text>
        <r>
          <rPr>
            <b/>
            <sz val="9"/>
            <color indexed="81"/>
            <rFont val="Tahoma"/>
            <family val="2"/>
          </rPr>
          <t>For Style GCPCLS320BF had 50pcs semi-finish products ,</t>
        </r>
      </text>
    </comment>
    <comment ref="D13" authorId="0" shapeId="0">
      <text>
        <r>
          <rPr>
            <b/>
            <sz val="9"/>
            <color indexed="81"/>
            <rFont val="Tahoma"/>
            <family val="2"/>
          </rPr>
          <t>For Style GCPCLS320BF had 120pcs semi-finish products ,</t>
        </r>
      </text>
    </comment>
    <comment ref="H13" authorId="0" shapeId="0">
      <text>
        <r>
          <rPr>
            <b/>
            <sz val="9"/>
            <color indexed="81"/>
            <rFont val="Tahoma"/>
            <family val="2"/>
          </rPr>
          <t>For Style GCPCLS320BF had 270pcs semi-finish products ,</t>
        </r>
      </text>
    </comment>
    <comment ref="L13" authorId="0" shapeId="0">
      <text>
        <r>
          <rPr>
            <b/>
            <sz val="9"/>
            <color indexed="81"/>
            <rFont val="Tahoma"/>
            <family val="2"/>
          </rPr>
          <t>For Style GCRCSS320BF had 200pcs semi-finish products ,</t>
        </r>
      </text>
    </comment>
    <comment ref="AC27" authorId="0" shapeId="0">
      <text>
        <r>
          <rPr>
            <b/>
            <sz val="11"/>
            <color indexed="81"/>
            <rFont val="Khmer OS Content"/>
          </rPr>
          <t>Totals weekly  semi-finish products have 840PCS</t>
        </r>
      </text>
    </comment>
  </commentList>
</comments>
</file>

<file path=xl/sharedStrings.xml><?xml version="1.0" encoding="utf-8"?>
<sst xmlns="http://schemas.openxmlformats.org/spreadsheetml/2006/main" count="1545" uniqueCount="731">
  <si>
    <t>H208</t>
  </si>
  <si>
    <t>H101</t>
  </si>
  <si>
    <t>H261</t>
  </si>
  <si>
    <t>S524</t>
  </si>
  <si>
    <t>H209</t>
  </si>
  <si>
    <t>H225</t>
  </si>
  <si>
    <t>H727</t>
  </si>
  <si>
    <t>Berendsen SMV</t>
  </si>
  <si>
    <t>Nº</t>
  </si>
  <si>
    <t>STYLE Nº</t>
  </si>
  <si>
    <t>413-A</t>
  </si>
  <si>
    <t>H127</t>
  </si>
  <si>
    <t>H137</t>
  </si>
  <si>
    <t>H223-1</t>
  </si>
  <si>
    <t>H224</t>
  </si>
  <si>
    <t>H224-2</t>
  </si>
  <si>
    <t>H225-2</t>
  </si>
  <si>
    <t>H233</t>
  </si>
  <si>
    <t>H300</t>
  </si>
  <si>
    <t>H302</t>
  </si>
  <si>
    <t>H506</t>
  </si>
  <si>
    <t>H506-1</t>
  </si>
  <si>
    <t>H507</t>
  </si>
  <si>
    <t>H507-1</t>
  </si>
  <si>
    <t>H704</t>
  </si>
  <si>
    <t>H705</t>
  </si>
  <si>
    <t>H706</t>
  </si>
  <si>
    <t>H708</t>
  </si>
  <si>
    <t>H727-1</t>
  </si>
  <si>
    <t>H802</t>
  </si>
  <si>
    <t>H959</t>
  </si>
  <si>
    <t>R205</t>
  </si>
  <si>
    <t>R209</t>
  </si>
  <si>
    <t>R209-2</t>
  </si>
  <si>
    <t>R401</t>
  </si>
  <si>
    <t>R404</t>
  </si>
  <si>
    <t>R507</t>
  </si>
  <si>
    <t>S129-V</t>
  </si>
  <si>
    <t>S231-3</t>
  </si>
  <si>
    <t>S231-4</t>
  </si>
  <si>
    <t>S231-6</t>
  </si>
  <si>
    <t>S231-7</t>
  </si>
  <si>
    <t>S237-2</t>
  </si>
  <si>
    <t>S267-V</t>
  </si>
  <si>
    <t>S352</t>
  </si>
  <si>
    <t>S413-A</t>
  </si>
  <si>
    <t>S524-8</t>
  </si>
  <si>
    <t>S705-V</t>
  </si>
  <si>
    <t>S823-V</t>
  </si>
  <si>
    <t>T102</t>
  </si>
  <si>
    <t>T106</t>
  </si>
  <si>
    <t>S413-1</t>
  </si>
  <si>
    <t>S280-3</t>
  </si>
  <si>
    <t>S760-6</t>
  </si>
  <si>
    <t>T207</t>
  </si>
  <si>
    <t>T306</t>
  </si>
  <si>
    <t>T713</t>
  </si>
  <si>
    <t>H529</t>
  </si>
  <si>
    <t>H785-1</t>
  </si>
  <si>
    <t>R409</t>
  </si>
  <si>
    <t>H222-3</t>
  </si>
  <si>
    <t>H818-2</t>
  </si>
  <si>
    <t>H818-3</t>
  </si>
  <si>
    <t>H721-2</t>
  </si>
  <si>
    <t>R204</t>
  </si>
  <si>
    <t>H135</t>
  </si>
  <si>
    <t>H528-1</t>
  </si>
  <si>
    <t>H561</t>
  </si>
  <si>
    <t>H271</t>
  </si>
  <si>
    <t>H528</t>
  </si>
  <si>
    <t>H529-1</t>
  </si>
  <si>
    <t>R403</t>
  </si>
  <si>
    <t>H258-1</t>
  </si>
  <si>
    <t>H127-6</t>
  </si>
  <si>
    <t>H209-4</t>
  </si>
  <si>
    <t>H506-4</t>
  </si>
  <si>
    <t>H220-1</t>
  </si>
  <si>
    <t>LINE 2</t>
  </si>
  <si>
    <t>VANTAGE RIVER TEXTILES CO., LTD</t>
  </si>
  <si>
    <t>FC2</t>
  </si>
  <si>
    <t>OEEJY</t>
  </si>
  <si>
    <t>SUNLIGHT</t>
  </si>
  <si>
    <t>G201</t>
  </si>
  <si>
    <t>CC02</t>
  </si>
  <si>
    <t>CC01</t>
  </si>
  <si>
    <t>F100CARGO</t>
  </si>
  <si>
    <t>BNBAK</t>
  </si>
  <si>
    <t>CC07</t>
  </si>
  <si>
    <t>OFSM</t>
  </si>
  <si>
    <t>OM94</t>
  </si>
  <si>
    <t>OSUG</t>
  </si>
  <si>
    <t>D200</t>
  </si>
  <si>
    <t>D202</t>
  </si>
  <si>
    <t>E100</t>
  </si>
  <si>
    <t>E101</t>
  </si>
  <si>
    <t>E351</t>
  </si>
  <si>
    <t>F100</t>
  </si>
  <si>
    <t>B100</t>
  </si>
  <si>
    <t>B150</t>
  </si>
  <si>
    <t>C100</t>
  </si>
  <si>
    <t>C150</t>
  </si>
  <si>
    <t>B200</t>
  </si>
  <si>
    <t>0JLFY</t>
  </si>
  <si>
    <t>Comment</t>
  </si>
  <si>
    <t>S215</t>
  </si>
  <si>
    <t>SMV RCI</t>
  </si>
  <si>
    <t>E150</t>
  </si>
  <si>
    <t>F150</t>
  </si>
  <si>
    <t>G202</t>
  </si>
  <si>
    <t>S855</t>
  </si>
  <si>
    <t>S211</t>
  </si>
  <si>
    <t>S521</t>
  </si>
  <si>
    <t>S522</t>
  </si>
  <si>
    <t>S851-9</t>
  </si>
  <si>
    <t>S417</t>
  </si>
  <si>
    <t>Total</t>
  </si>
  <si>
    <t>S856</t>
  </si>
  <si>
    <t>H956</t>
  </si>
  <si>
    <t>S416</t>
  </si>
  <si>
    <t>S777-6</t>
  </si>
  <si>
    <t>H315</t>
  </si>
  <si>
    <t>H301</t>
  </si>
  <si>
    <t>R201</t>
  </si>
  <si>
    <t>R526</t>
  </si>
  <si>
    <t>H202-3</t>
  </si>
  <si>
    <t>S154-2</t>
  </si>
  <si>
    <t>R042</t>
  </si>
  <si>
    <t>T345-4</t>
  </si>
  <si>
    <t>H721-3</t>
  </si>
  <si>
    <t>H643-3</t>
  </si>
  <si>
    <t>H255</t>
  </si>
  <si>
    <t>H401-1</t>
  </si>
  <si>
    <t>H222-4</t>
  </si>
  <si>
    <t>H207-B</t>
  </si>
  <si>
    <t>6100CC</t>
  </si>
  <si>
    <t>5300SS</t>
  </si>
  <si>
    <t>H475</t>
  </si>
  <si>
    <t>H475-1</t>
  </si>
  <si>
    <t>New Style FOB PO</t>
  </si>
  <si>
    <t>H475-4</t>
  </si>
  <si>
    <t>H477</t>
  </si>
  <si>
    <t>H575</t>
  </si>
  <si>
    <t>H575-1</t>
  </si>
  <si>
    <t>H575-3</t>
  </si>
  <si>
    <t>H297</t>
  </si>
  <si>
    <t>H297-1</t>
  </si>
  <si>
    <t>H575-2</t>
  </si>
  <si>
    <t>H298</t>
  </si>
  <si>
    <t>H298-1</t>
  </si>
  <si>
    <t>H298-2</t>
  </si>
  <si>
    <t>H475-2</t>
  </si>
  <si>
    <t>H475-3</t>
  </si>
  <si>
    <t>H476</t>
  </si>
  <si>
    <t>F200</t>
  </si>
  <si>
    <t>H576</t>
  </si>
  <si>
    <t>GO0953</t>
  </si>
  <si>
    <t>GO1037</t>
  </si>
  <si>
    <t>GO1057</t>
  </si>
  <si>
    <t>GO1199</t>
  </si>
  <si>
    <t>GO1316</t>
  </si>
  <si>
    <t>GO1317</t>
  </si>
  <si>
    <t>GO1541</t>
  </si>
  <si>
    <t>GO1542</t>
  </si>
  <si>
    <t>Time 1.11 of BSO Minute</t>
  </si>
  <si>
    <t>H243-1</t>
  </si>
  <si>
    <t>515-1</t>
  </si>
  <si>
    <t>H313</t>
  </si>
  <si>
    <t>H314-3</t>
  </si>
  <si>
    <t>T345-7</t>
  </si>
  <si>
    <t>A0882</t>
  </si>
  <si>
    <t>A0950</t>
  </si>
  <si>
    <t>A0953</t>
  </si>
  <si>
    <t>A1037</t>
  </si>
  <si>
    <t>A1057</t>
  </si>
  <si>
    <t>A1199</t>
  </si>
  <si>
    <t>A1316</t>
  </si>
  <si>
    <t>A1317</t>
  </si>
  <si>
    <t>A1535</t>
  </si>
  <si>
    <t>A1536</t>
  </si>
  <si>
    <t>A1537</t>
  </si>
  <si>
    <t>A1541</t>
  </si>
  <si>
    <t>A1542</t>
  </si>
  <si>
    <t>A1543</t>
  </si>
  <si>
    <t>A1544</t>
  </si>
  <si>
    <t>A2317</t>
  </si>
  <si>
    <t>VRT1544</t>
  </si>
  <si>
    <t>BWUK</t>
  </si>
  <si>
    <t>B101</t>
  </si>
  <si>
    <t>A1538</t>
  </si>
  <si>
    <t>S782-6</t>
  </si>
  <si>
    <t>H256-A</t>
  </si>
  <si>
    <t>H222-6</t>
  </si>
  <si>
    <t>6280KC</t>
  </si>
  <si>
    <t>GO1544</t>
  </si>
  <si>
    <t>H721-5</t>
  </si>
  <si>
    <t>GO1543</t>
  </si>
  <si>
    <t>GO0950</t>
  </si>
  <si>
    <t>GO1537</t>
  </si>
  <si>
    <t>GO0882</t>
  </si>
  <si>
    <t>GL320</t>
  </si>
  <si>
    <t>H961-1</t>
  </si>
  <si>
    <t>GO1536</t>
  </si>
  <si>
    <t>GO1535</t>
  </si>
  <si>
    <t>H230-1</t>
  </si>
  <si>
    <t>H230</t>
  </si>
  <si>
    <t>Patronus</t>
  </si>
  <si>
    <t>Fi Lux Contrast</t>
  </si>
  <si>
    <t>Fi Lite Harness</t>
  </si>
  <si>
    <t>Contego</t>
  </si>
  <si>
    <t>Fhoss Bag</t>
  </si>
  <si>
    <t>H250</t>
  </si>
  <si>
    <t>N990</t>
  </si>
  <si>
    <t>H111-1</t>
  </si>
  <si>
    <t>DATE</t>
  </si>
  <si>
    <t>LINE</t>
  </si>
  <si>
    <t>Fi Vita Vest</t>
  </si>
  <si>
    <t>H218</t>
  </si>
  <si>
    <t>VRT1038</t>
  </si>
  <si>
    <t>LB001</t>
  </si>
  <si>
    <t>T345-8</t>
  </si>
  <si>
    <t>GP0377</t>
  </si>
  <si>
    <t>H228</t>
  </si>
  <si>
    <t>AP0113</t>
  </si>
  <si>
    <t>A050-WSP</t>
  </si>
  <si>
    <t>Optimus Jacket</t>
  </si>
  <si>
    <t>H262-6</t>
  </si>
  <si>
    <t>H139</t>
  </si>
  <si>
    <t>AP0115</t>
  </si>
  <si>
    <t>H726</t>
  </si>
  <si>
    <t>S295-5</t>
  </si>
  <si>
    <t>H262</t>
  </si>
  <si>
    <t>H238</t>
  </si>
  <si>
    <t>H250-1</t>
  </si>
  <si>
    <t>H238-1</t>
  </si>
  <si>
    <t>Salus Trouser</t>
  </si>
  <si>
    <t>H208-N</t>
  </si>
  <si>
    <t>GP0860</t>
  </si>
  <si>
    <t>GS1818</t>
  </si>
  <si>
    <t>VRT331</t>
  </si>
  <si>
    <t>VRT3313</t>
  </si>
  <si>
    <t>VRT0953</t>
  </si>
  <si>
    <t>H721-7</t>
  </si>
  <si>
    <t>H785-3</t>
  </si>
  <si>
    <t>2670ZWHT</t>
  </si>
  <si>
    <t>GO2134</t>
  </si>
  <si>
    <t>GO1539</t>
  </si>
  <si>
    <t>Fi Lux</t>
  </si>
  <si>
    <t>AP0149</t>
  </si>
  <si>
    <t>2670ZNBL</t>
  </si>
  <si>
    <t>GO1538</t>
  </si>
  <si>
    <t>WPL1124</t>
  </si>
  <si>
    <t>Fi Lux Harness</t>
  </si>
  <si>
    <t>A0953-Repair</t>
  </si>
  <si>
    <t>Optimus Contrast</t>
  </si>
  <si>
    <t>A1538-Repair</t>
  </si>
  <si>
    <t>GO1349</t>
  </si>
  <si>
    <t>GL335SS</t>
  </si>
  <si>
    <t>5353SS</t>
  </si>
  <si>
    <t>GO2488</t>
  </si>
  <si>
    <t xml:space="preserve"> FHOSS BAG</t>
  </si>
  <si>
    <t>VRT4455</t>
  </si>
  <si>
    <t>2601T</t>
  </si>
  <si>
    <t>VRT3313-Repair</t>
  </si>
  <si>
    <t>A0860</t>
  </si>
  <si>
    <t>A2134</t>
  </si>
  <si>
    <t>A1818</t>
  </si>
  <si>
    <t>BWUN</t>
  </si>
  <si>
    <t>A2488</t>
  </si>
  <si>
    <t>AP100</t>
  </si>
  <si>
    <t>A2487</t>
  </si>
  <si>
    <t>A1020</t>
  </si>
  <si>
    <t>GL323</t>
  </si>
  <si>
    <t>AP154N</t>
  </si>
  <si>
    <t>A1057-REPAIR</t>
  </si>
  <si>
    <t>A1317-REPAIR</t>
  </si>
  <si>
    <t>A1037-REPAIR</t>
  </si>
  <si>
    <t>20X20</t>
  </si>
  <si>
    <t>A0950-REPAIR</t>
  </si>
  <si>
    <t>A0860-Repair</t>
  </si>
  <si>
    <t>A1537-Repair</t>
  </si>
  <si>
    <t>GO1037-REPAIR</t>
  </si>
  <si>
    <t>VRT1124-Repair</t>
  </si>
  <si>
    <t>GCPC320</t>
  </si>
  <si>
    <t>A1544-Repair</t>
  </si>
  <si>
    <t>GCCN320</t>
  </si>
  <si>
    <t>A1199-Repair</t>
  </si>
  <si>
    <t>GO2317</t>
  </si>
  <si>
    <t>A7302</t>
  </si>
  <si>
    <t>6095KC</t>
  </si>
  <si>
    <t>A1316-REPAIR</t>
  </si>
  <si>
    <t>GO1317-REPAIR</t>
  </si>
  <si>
    <t>A108828</t>
  </si>
  <si>
    <t>GO2683</t>
  </si>
  <si>
    <t>GPPC393</t>
  </si>
  <si>
    <t>A1125</t>
  </si>
  <si>
    <t>8150CL</t>
  </si>
  <si>
    <t>6130-Set Snap</t>
  </si>
  <si>
    <t>8150CL-SET SNAP</t>
  </si>
  <si>
    <t>6095KC-SET SNAP</t>
  </si>
  <si>
    <t>6090-SET SNAP</t>
  </si>
  <si>
    <t>6095-Set Snap</t>
  </si>
  <si>
    <t>Date 09/13/2016 Change SMV(16m -&gt; 17.5m)</t>
  </si>
  <si>
    <t>6200KC</t>
  </si>
  <si>
    <t>6022KC</t>
  </si>
  <si>
    <t>6090KC</t>
  </si>
  <si>
    <t>6350KC</t>
  </si>
  <si>
    <t>A0860-LABEL</t>
  </si>
  <si>
    <t>A1537-LABEL</t>
  </si>
  <si>
    <t>A0882-LABEL</t>
  </si>
  <si>
    <t>A1317-LABEL</t>
  </si>
  <si>
    <t>1003T</t>
  </si>
  <si>
    <t>6400CC</t>
  </si>
  <si>
    <t>KP0823</t>
  </si>
  <si>
    <t>KO0835</t>
  </si>
  <si>
    <t>WPL1124-Label</t>
  </si>
  <si>
    <t>VRT1544-Label</t>
  </si>
  <si>
    <t>GSPC335-Chip</t>
  </si>
  <si>
    <t>0953SS</t>
  </si>
  <si>
    <t>0953LS</t>
  </si>
  <si>
    <t>WORKIT</t>
  </si>
  <si>
    <t>A1199-LABEL</t>
  </si>
  <si>
    <t>8100T</t>
  </si>
  <si>
    <t>6020KC</t>
  </si>
  <si>
    <t>409ZHDT</t>
  </si>
  <si>
    <t>GCPPC393</t>
  </si>
  <si>
    <t>A1544-LABEL</t>
  </si>
  <si>
    <t>GO2134-Label</t>
  </si>
  <si>
    <t>GO2488-Label</t>
  </si>
  <si>
    <t>GP0860-LABEL</t>
  </si>
  <si>
    <t>GO0882-LABEL</t>
  </si>
  <si>
    <t>GO1537-LABEL</t>
  </si>
  <si>
    <t>GO1199-LABEL</t>
  </si>
  <si>
    <t>GS1944</t>
  </si>
  <si>
    <t>OLD SMV VRT</t>
  </si>
  <si>
    <t>GSPC335</t>
  </si>
  <si>
    <t>GCPC323</t>
  </si>
  <si>
    <t>8395 WH 21X21</t>
  </si>
  <si>
    <t>GP0377-LABEL</t>
  </si>
  <si>
    <t>VRT1020</t>
  </si>
  <si>
    <t>VRT335</t>
  </si>
  <si>
    <t>VRT331377-Label</t>
  </si>
  <si>
    <t>VRT1124</t>
  </si>
  <si>
    <t>AA3045</t>
  </si>
  <si>
    <t>VRT882</t>
  </si>
  <si>
    <t>GS0876</t>
  </si>
  <si>
    <t>GP0377-LABEL&amp;LEG</t>
  </si>
  <si>
    <t>VRT331375</t>
  </si>
  <si>
    <t>GS1911</t>
  </si>
  <si>
    <t>6280-WH</t>
  </si>
  <si>
    <t>WH=WHITE 15.500mins</t>
  </si>
  <si>
    <t>RD=RED 14.000mins</t>
  </si>
  <si>
    <t>BR=BROWN 14.000mins</t>
  </si>
  <si>
    <t>GY=GREY 14.000mins</t>
  </si>
  <si>
    <t>KG=K.GREEN 14.000mins</t>
  </si>
  <si>
    <t>LB=LIGHT BLUE 14.000mins</t>
  </si>
  <si>
    <t>OR=ORANGE 14.000mins</t>
  </si>
  <si>
    <t>GL320-CHIP</t>
  </si>
  <si>
    <t>GPPC399</t>
  </si>
  <si>
    <t>A0953-LABEL</t>
  </si>
  <si>
    <t>Current SMV VRT</t>
  </si>
  <si>
    <t>New SMV VRT</t>
  </si>
  <si>
    <t>QC Cut Pcs (SMV Fix)</t>
  </si>
  <si>
    <t>Garment (SMV Fix)</t>
  </si>
  <si>
    <t>FG=FOREST GREEN 14.000mins (Removed Snap 0.822mins)</t>
  </si>
  <si>
    <t>DNV=DARK NAVY 14.000mins (Removed Snap 0.822mins)</t>
  </si>
  <si>
    <t>A1538-LABEL</t>
  </si>
  <si>
    <t>A1037-LABEL</t>
  </si>
  <si>
    <t>SPCC</t>
  </si>
  <si>
    <t>A1818-LABEL</t>
  </si>
  <si>
    <t>GS0875</t>
  </si>
  <si>
    <t>SPCCKC</t>
  </si>
  <si>
    <t>SPCC-KG</t>
  </si>
  <si>
    <t>SPCC2PKT</t>
  </si>
  <si>
    <t>SPCC-RD</t>
  </si>
  <si>
    <t>SPCC-RB</t>
  </si>
  <si>
    <t>GO0950-LABEL</t>
  </si>
  <si>
    <t>GO2488-SNAP</t>
  </si>
  <si>
    <t>HA1521NBL</t>
  </si>
  <si>
    <t>GPCC323</t>
  </si>
  <si>
    <t>Female Tunics</t>
  </si>
  <si>
    <t>1450WHTMH</t>
  </si>
  <si>
    <t>1450WHTMHS</t>
  </si>
  <si>
    <t>1450BLKMHS</t>
  </si>
  <si>
    <t>GCPC808</t>
  </si>
  <si>
    <t>GCPC393</t>
  </si>
  <si>
    <t>HA1521TAN</t>
  </si>
  <si>
    <t>HA1521MGY</t>
  </si>
  <si>
    <t>1125KWHT</t>
  </si>
  <si>
    <t>HA1521WBL</t>
  </si>
  <si>
    <t>LT 200</t>
  </si>
  <si>
    <t>VRT331377</t>
  </si>
  <si>
    <t>VRT6280</t>
  </si>
  <si>
    <t>VRT6280-Label</t>
  </si>
  <si>
    <t>VRT6280-Label/Snap</t>
  </si>
  <si>
    <t>CHEF HAT (LONG)</t>
  </si>
  <si>
    <t>AP154</t>
  </si>
  <si>
    <t>AP154P</t>
  </si>
  <si>
    <t>GCPC320-Chip/Label</t>
  </si>
  <si>
    <t>A7756</t>
  </si>
  <si>
    <t>A7303</t>
  </si>
  <si>
    <t>O1114K</t>
  </si>
  <si>
    <t>108W</t>
  </si>
  <si>
    <t>PG4119</t>
  </si>
  <si>
    <t>PG4120</t>
  </si>
  <si>
    <t>1010B</t>
  </si>
  <si>
    <t>VRT0423</t>
  </si>
  <si>
    <t xml:space="preserve">CO563 </t>
  </si>
  <si>
    <t>GSPC335LS</t>
  </si>
  <si>
    <t>-</t>
  </si>
  <si>
    <t>AP0113-Ah Tiex2</t>
  </si>
  <si>
    <t>GP1020</t>
  </si>
  <si>
    <t>GO2642</t>
  </si>
  <si>
    <t>GPN377</t>
  </si>
  <si>
    <t>MT 200</t>
  </si>
  <si>
    <t>O1115</t>
  </si>
  <si>
    <t>VRTKS62</t>
  </si>
  <si>
    <t>HA1521WHT</t>
  </si>
  <si>
    <t>GOC539</t>
  </si>
  <si>
    <t>NANP20X20BLK</t>
  </si>
  <si>
    <t>ACC1317</t>
  </si>
  <si>
    <t>O1114</t>
  </si>
  <si>
    <t>D18H</t>
  </si>
  <si>
    <t>D</t>
  </si>
  <si>
    <t>SU800</t>
  </si>
  <si>
    <t>NP0017</t>
  </si>
  <si>
    <t>VRT1199</t>
  </si>
  <si>
    <t>MT 300</t>
  </si>
  <si>
    <t>MT 400</t>
  </si>
  <si>
    <t>0912</t>
  </si>
  <si>
    <t>AR1538</t>
  </si>
  <si>
    <t>CO564</t>
  </si>
  <si>
    <t>LBC904</t>
  </si>
  <si>
    <t>LBC001</t>
  </si>
  <si>
    <t>LBC905</t>
  </si>
  <si>
    <t>LBC907</t>
  </si>
  <si>
    <t>LBC906</t>
  </si>
  <si>
    <t>AR0953</t>
  </si>
  <si>
    <t>AR2487</t>
  </si>
  <si>
    <t>GP1139</t>
  </si>
  <si>
    <t>SO802</t>
  </si>
  <si>
    <t>A050-W-SP</t>
  </si>
  <si>
    <t>P050-W-SP</t>
  </si>
  <si>
    <t>GS2524</t>
  </si>
  <si>
    <t>O1037</t>
  </si>
  <si>
    <t>Line 1</t>
  </si>
  <si>
    <t>Line 2</t>
  </si>
  <si>
    <t>Line 3</t>
  </si>
  <si>
    <t>Line 4</t>
  </si>
  <si>
    <t>Line 5</t>
  </si>
  <si>
    <t>Line 6</t>
  </si>
  <si>
    <t>Line 7</t>
  </si>
  <si>
    <t>Line 8</t>
  </si>
  <si>
    <t>Line 9</t>
  </si>
  <si>
    <t>Line 10</t>
  </si>
  <si>
    <t>Line 11</t>
  </si>
  <si>
    <t>Line 12</t>
  </si>
  <si>
    <t>Line 13</t>
  </si>
  <si>
    <t>A1409K</t>
  </si>
  <si>
    <t>1613CP</t>
  </si>
  <si>
    <t>O1114-LABEL</t>
  </si>
  <si>
    <t>4005GMRN</t>
  </si>
  <si>
    <t>A2487SS</t>
  </si>
  <si>
    <t>1611CC</t>
  </si>
  <si>
    <t>A1316-LABEL</t>
  </si>
  <si>
    <t>1610CC</t>
  </si>
  <si>
    <t>1612CC</t>
  </si>
  <si>
    <t>CP123</t>
  </si>
  <si>
    <t>CC121</t>
  </si>
  <si>
    <t>CP124</t>
  </si>
  <si>
    <t>CC126</t>
  </si>
  <si>
    <t>Line 14</t>
  </si>
  <si>
    <t>Line 15</t>
  </si>
  <si>
    <t>Line 16</t>
  </si>
  <si>
    <t>Line 17</t>
  </si>
  <si>
    <t>Line 18</t>
  </si>
  <si>
    <t>Line 19</t>
  </si>
  <si>
    <t>LINE 1</t>
  </si>
  <si>
    <t>CS122</t>
  </si>
  <si>
    <t>D18H-SNAP</t>
  </si>
  <si>
    <t>CS127</t>
  </si>
  <si>
    <t>0882</t>
  </si>
  <si>
    <t>A2050LS</t>
  </si>
  <si>
    <t>0950</t>
  </si>
  <si>
    <t>O1199</t>
  </si>
  <si>
    <t>GCPC001</t>
  </si>
  <si>
    <t>GPPC733</t>
  </si>
  <si>
    <t>1037-LABEL</t>
  </si>
  <si>
    <t>GCPCDC52</t>
  </si>
  <si>
    <t>O1113K</t>
  </si>
  <si>
    <t>O1113G</t>
  </si>
  <si>
    <t>O1544</t>
  </si>
  <si>
    <t>2090BLKNP</t>
  </si>
  <si>
    <t>1100LRT</t>
  </si>
  <si>
    <t>1200LRT</t>
  </si>
  <si>
    <t>ISOGOWNFIL001WHT</t>
  </si>
  <si>
    <t>SO803</t>
  </si>
  <si>
    <t>L2IG-W</t>
  </si>
  <si>
    <t>O1114K-LABEL</t>
  </si>
  <si>
    <t>GPPC2001</t>
  </si>
  <si>
    <t>GCPC3002</t>
  </si>
  <si>
    <t>GCPC4002</t>
  </si>
  <si>
    <t>GCPCDC52OC</t>
  </si>
  <si>
    <t>GOESD118</t>
  </si>
  <si>
    <t>GOPC511GC</t>
  </si>
  <si>
    <t>GOPC515C</t>
  </si>
  <si>
    <t>GPPC001</t>
  </si>
  <si>
    <t>GPPC2001WHB</t>
  </si>
  <si>
    <t>GSPC675NS</t>
  </si>
  <si>
    <t>GSPC676</t>
  </si>
  <si>
    <t>GSPC676C</t>
  </si>
  <si>
    <t>GSPC676GC</t>
  </si>
  <si>
    <t>GSPC676WB</t>
  </si>
  <si>
    <t>GSVC001</t>
  </si>
  <si>
    <t>DI 21</t>
  </si>
  <si>
    <t>A2642</t>
  </si>
  <si>
    <t>ISOGOWNFIL001WHT-NO CUFF</t>
  </si>
  <si>
    <t>ISOGOWNFIL001WHT-SET CUFF</t>
  </si>
  <si>
    <t>ISOGOWNFIL001WHT-SET LABEL</t>
  </si>
  <si>
    <t>GSPC676RC</t>
  </si>
  <si>
    <t>GSPC676YC</t>
  </si>
  <si>
    <t>DP805</t>
  </si>
  <si>
    <t>AP151</t>
  </si>
  <si>
    <t>P090-RB-SP</t>
  </si>
  <si>
    <t>P207</t>
  </si>
  <si>
    <t>P154</t>
  </si>
  <si>
    <t>A137-W-SP</t>
  </si>
  <si>
    <t>P050-BK-SP</t>
  </si>
  <si>
    <t>GPPC2001A</t>
  </si>
  <si>
    <t>P050-G-SP</t>
  </si>
  <si>
    <t>A090-W-SP</t>
  </si>
  <si>
    <t>P230-W-SP</t>
  </si>
  <si>
    <t>PR300-W-SP</t>
  </si>
  <si>
    <t>P318-W-SP</t>
  </si>
  <si>
    <t>PR230-W-SP</t>
  </si>
  <si>
    <t>P230-BK-SP</t>
  </si>
  <si>
    <t>A327-W-SP</t>
  </si>
  <si>
    <t>A230-W-SP</t>
  </si>
  <si>
    <t>P327-W-SP</t>
  </si>
  <si>
    <t>P330-W-SP</t>
  </si>
  <si>
    <t>P137-W-SP</t>
  </si>
  <si>
    <t>P180-BK-SP</t>
  </si>
  <si>
    <t>A323-W-SP</t>
  </si>
  <si>
    <t>A180-W-SP</t>
  </si>
  <si>
    <t>P323-W-SP</t>
  </si>
  <si>
    <t>P327-BK-SP</t>
  </si>
  <si>
    <t>A160-W-SP</t>
  </si>
  <si>
    <t>P137-BK-SP</t>
  </si>
  <si>
    <t>GSPC005</t>
  </si>
  <si>
    <t>GCPC700</t>
  </si>
  <si>
    <t>GPPC002</t>
  </si>
  <si>
    <t>GPPC2002</t>
  </si>
  <si>
    <t>GPPC2019</t>
  </si>
  <si>
    <t>GSPC006</t>
  </si>
  <si>
    <t>GSPC677</t>
  </si>
  <si>
    <t>ALA.APR005-998-A</t>
  </si>
  <si>
    <t>GOPC511</t>
  </si>
  <si>
    <t>GSPC676OC</t>
  </si>
  <si>
    <t>O1113G3P</t>
  </si>
  <si>
    <t>GSPC676WY</t>
  </si>
  <si>
    <t>GCPC002</t>
  </si>
  <si>
    <t>GCPC004</t>
  </si>
  <si>
    <t>GPPC398VT</t>
  </si>
  <si>
    <t>GPPC397VT</t>
  </si>
  <si>
    <t>GPPC395VT</t>
  </si>
  <si>
    <t>GPPC737</t>
  </si>
  <si>
    <t>GSPC675</t>
  </si>
  <si>
    <t>DI 3</t>
  </si>
  <si>
    <t>GCPC003</t>
  </si>
  <si>
    <t>1450WHTMHSC</t>
  </si>
  <si>
    <t>GASPP154</t>
  </si>
  <si>
    <t>GSPCSS340VT</t>
  </si>
  <si>
    <t>GSPCLS339VT</t>
  </si>
  <si>
    <t>CC133</t>
  </si>
  <si>
    <t>STAM808</t>
  </si>
  <si>
    <t>STAM2048</t>
  </si>
  <si>
    <t>APRONS BIB BLACK</t>
  </si>
  <si>
    <t>STAM953</t>
  </si>
  <si>
    <t>DI 3 FL</t>
  </si>
  <si>
    <t>STAM123</t>
  </si>
  <si>
    <t>DI 192</t>
  </si>
  <si>
    <t>WPL953</t>
  </si>
  <si>
    <t>LS248</t>
  </si>
  <si>
    <t>LS037C55</t>
  </si>
  <si>
    <t>MS14</t>
  </si>
  <si>
    <t>MS24</t>
  </si>
  <si>
    <t>LS03855</t>
  </si>
  <si>
    <t>DI 8 KC</t>
  </si>
  <si>
    <t>STAM909</t>
  </si>
  <si>
    <t>GSC978</t>
  </si>
  <si>
    <t>GPC978</t>
  </si>
  <si>
    <t>GO2795</t>
  </si>
  <si>
    <t>SO9885-NV</t>
  </si>
  <si>
    <t>STAM953-LABEL</t>
  </si>
  <si>
    <t>STAM123-LABEL</t>
  </si>
  <si>
    <t>A1410G</t>
  </si>
  <si>
    <t>DI 3-REPAIR</t>
  </si>
  <si>
    <t>TPS052052WHS</t>
  </si>
  <si>
    <t>TPS071071WHS</t>
  </si>
  <si>
    <t>NPS021021BYS</t>
  </si>
  <si>
    <t>GO1171</t>
  </si>
  <si>
    <t>NC011TWLETTE</t>
  </si>
  <si>
    <t>TPS061061WHS</t>
  </si>
  <si>
    <t>P050-BG-SP</t>
  </si>
  <si>
    <t>AP10928</t>
  </si>
  <si>
    <t>2090BLK-LABEL</t>
  </si>
  <si>
    <t>GPPC393SF</t>
  </si>
  <si>
    <t>GCPCLS320BF</t>
  </si>
  <si>
    <t>GCPCSS320ZF</t>
  </si>
  <si>
    <t>GCPCSS320BF</t>
  </si>
  <si>
    <t>GCPCLS320ZF</t>
  </si>
  <si>
    <t>1450WHTMHSP</t>
  </si>
  <si>
    <t>ETON COAT-WH</t>
  </si>
  <si>
    <t>P050-R-SP</t>
  </si>
  <si>
    <t>GCPCLS828VT</t>
  </si>
  <si>
    <t>P154P</t>
  </si>
  <si>
    <t>NPS021021GDS</t>
  </si>
  <si>
    <t>NPS021021PES</t>
  </si>
  <si>
    <t>DI-11V</t>
  </si>
  <si>
    <t>DI 876</t>
  </si>
  <si>
    <t>LS0953</t>
  </si>
  <si>
    <t>GCRCLS320ZF</t>
  </si>
  <si>
    <t>GPRC393SF</t>
  </si>
  <si>
    <t>DI 8V</t>
  </si>
  <si>
    <t>GCRCLS320BF</t>
  </si>
  <si>
    <t>GCRCSS320BF</t>
  </si>
  <si>
    <t>LS0882</t>
  </si>
  <si>
    <t>GPPC414VT</t>
  </si>
  <si>
    <t>A2542</t>
  </si>
  <si>
    <t>NU1544K</t>
  </si>
  <si>
    <t>GSC818</t>
    <phoneticPr fontId="44" type="noConversion"/>
  </si>
  <si>
    <t>BF133</t>
  </si>
  <si>
    <t>DF133</t>
  </si>
  <si>
    <t>GPC860</t>
  </si>
  <si>
    <t>1450WHTMHSPC</t>
  </si>
  <si>
    <t>NU4518V</t>
  </si>
  <si>
    <t>ADI WORK VEST</t>
  </si>
  <si>
    <t>P050-N-SP</t>
  </si>
  <si>
    <t>NU4458</t>
  </si>
  <si>
    <t>NU5206V</t>
  </si>
  <si>
    <t>S2121</t>
    <phoneticPr fontId="44" type="noConversion"/>
  </si>
  <si>
    <t>NU4559V</t>
  </si>
  <si>
    <t>A1020RF</t>
    <phoneticPr fontId="44" type="noConversion"/>
  </si>
  <si>
    <t>Inspect Qty</t>
  </si>
  <si>
    <t>Actual Output Qty</t>
  </si>
  <si>
    <t>Reject Qty</t>
  </si>
  <si>
    <t>Dropped Stitch</t>
  </si>
  <si>
    <t>S04</t>
  </si>
  <si>
    <t>Shading</t>
  </si>
  <si>
    <t>A06</t>
  </si>
  <si>
    <t xml:space="preserve"> Poor trimming</t>
  </si>
  <si>
    <t>A09</t>
  </si>
  <si>
    <t>Non symtric parts</t>
  </si>
  <si>
    <t>A10</t>
  </si>
  <si>
    <t xml:space="preserve">  Sweep Bowing</t>
  </si>
  <si>
    <t>S10</t>
  </si>
  <si>
    <t>Skipped stitch</t>
  </si>
  <si>
    <t>S03</t>
  </si>
  <si>
    <t>Puckering or twisted</t>
  </si>
  <si>
    <t>S07</t>
  </si>
  <si>
    <t xml:space="preserve">Broken stitch </t>
  </si>
  <si>
    <t>S02</t>
  </si>
  <si>
    <t>No Backtack</t>
  </si>
  <si>
    <t>S13</t>
  </si>
  <si>
    <t>Raw Edges</t>
  </si>
  <si>
    <t>S11</t>
  </si>
  <si>
    <t>Incorrect stitch count</t>
  </si>
  <si>
    <t>A07</t>
  </si>
  <si>
    <t>Incorrect seam allowance</t>
  </si>
  <si>
    <t>S06</t>
  </si>
  <si>
    <t>Missing ops</t>
  </si>
  <si>
    <t>A17</t>
  </si>
  <si>
    <t>Wrong label</t>
  </si>
  <si>
    <t>L01</t>
  </si>
  <si>
    <t>Head Prominent</t>
  </si>
  <si>
    <t>A15</t>
  </si>
  <si>
    <t>Double stitches</t>
  </si>
  <si>
    <t>S14</t>
  </si>
  <si>
    <t xml:space="preserve">Stain &amp; Dirty from sewing </t>
  </si>
  <si>
    <t>A11</t>
  </si>
  <si>
    <t xml:space="preserve">Stain &amp; Dirty from dyeing </t>
  </si>
  <si>
    <t>Fabric damage</t>
  </si>
  <si>
    <t>F01</t>
  </si>
  <si>
    <t>Sewing damage</t>
  </si>
  <si>
    <t>Total Rejected</t>
  </si>
  <si>
    <t>Inspected Qty</t>
  </si>
  <si>
    <t>%Total Reject</t>
  </si>
  <si>
    <t>Defect Type</t>
  </si>
  <si>
    <t>Defect Code</t>
  </si>
  <si>
    <t>LINE#</t>
  </si>
  <si>
    <t>A1</t>
  </si>
  <si>
    <t>A2</t>
  </si>
  <si>
    <t>A3</t>
  </si>
  <si>
    <t>A5</t>
  </si>
  <si>
    <t>A6</t>
  </si>
  <si>
    <t>A9</t>
  </si>
  <si>
    <t>A21</t>
  </si>
  <si>
    <t>SAMPLE LINE</t>
  </si>
  <si>
    <t>%Effeceincy</t>
  </si>
  <si>
    <t>Friday</t>
  </si>
  <si>
    <t>%Efficiency</t>
  </si>
  <si>
    <t>Total Defect by Type</t>
  </si>
  <si>
    <t>WEEKLY END-LINE INSPECTION REPORT</t>
  </si>
  <si>
    <t>Line#</t>
  </si>
  <si>
    <t>Inspected</t>
  </si>
  <si>
    <t>Rejected</t>
  </si>
  <si>
    <t>Rejected %</t>
  </si>
  <si>
    <t>Actual Output</t>
  </si>
  <si>
    <t>Average Eff (%)</t>
  </si>
  <si>
    <t>LINE 3</t>
  </si>
  <si>
    <t>LINE 5</t>
  </si>
  <si>
    <t>LINE 6</t>
  </si>
  <si>
    <t>LINE 9</t>
  </si>
  <si>
    <t>LINE 10</t>
  </si>
  <si>
    <t>LINE 11</t>
  </si>
  <si>
    <t>WEEKLY END-LINE INSPECTION SUMMARY REPORT</t>
  </si>
  <si>
    <t xml:space="preserve">SAMPIE LINE </t>
  </si>
  <si>
    <t>A4</t>
  </si>
  <si>
    <t>A7</t>
  </si>
  <si>
    <t>A8</t>
  </si>
  <si>
    <t>LINE 4</t>
  </si>
  <si>
    <t>LINE 7</t>
  </si>
  <si>
    <t>LINE 8</t>
  </si>
  <si>
    <t>A12</t>
  </si>
  <si>
    <t>LINE 12</t>
  </si>
  <si>
    <t>Tueday</t>
  </si>
  <si>
    <t>wednday</t>
  </si>
  <si>
    <t>Thursday</t>
  </si>
  <si>
    <t>Saturday</t>
  </si>
  <si>
    <t>Monday</t>
  </si>
  <si>
    <t>Totals weekly semi-finish products by line = 590pcs</t>
  </si>
  <si>
    <t>Totals weekly semi-finish products by line = 250pcs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</si>
</sst>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00"/>
    <numFmt numFmtId="165" formatCode="[$-409]d\-mmm;@"/>
    <numFmt numFmtId="166" formatCode="0\ &quot;Pcs&quot;"/>
    <numFmt numFmtId="167" formatCode="_(* #,##0_);_(* \(#,##0\);_(* &quot;-&quot;??_);_(@_)"/>
    <numFmt numFmtId="168" formatCode="0.000"/>
    <numFmt numFmtId="169" formatCode="ddd"/>
    <numFmt numFmtId="170" formatCode="0.0000"/>
  </numFmts>
  <fonts count="5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8"/>
      <color rgb="FF0070C0"/>
      <name val="Arial"/>
      <family val="2"/>
    </font>
    <font>
      <u/>
      <sz val="7.5"/>
      <color indexed="12"/>
      <name val="Arial"/>
      <family val="2"/>
    </font>
    <font>
      <sz val="12"/>
      <color rgb="FFFF0000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2"/>
      <name val="Times New Roman"/>
      <family val="1"/>
    </font>
    <font>
      <b/>
      <sz val="16"/>
      <name val="Times New Roman"/>
      <family val="1"/>
    </font>
    <font>
      <b/>
      <sz val="18"/>
      <color rgb="FF0070C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name val="Times New Roman"/>
      <family val="1"/>
    </font>
    <font>
      <b/>
      <sz val="12"/>
      <name val="Times New Roman"/>
      <family val="1"/>
    </font>
    <font>
      <sz val="12"/>
      <color rgb="FF0070C0"/>
      <name val="Times New Roman"/>
      <family val="1"/>
    </font>
    <font>
      <b/>
      <sz val="10"/>
      <name val="Times New Roman"/>
      <family val="1"/>
    </font>
    <font>
      <b/>
      <sz val="18"/>
      <color indexed="8"/>
      <name val="Times New Roman"/>
      <family val="1"/>
    </font>
    <font>
      <b/>
      <sz val="14"/>
      <color indexed="8"/>
      <name val="Times New Roman"/>
      <family val="1"/>
    </font>
    <font>
      <b/>
      <sz val="12"/>
      <color indexed="10"/>
      <name val="Times New Roman"/>
      <family val="1"/>
    </font>
    <font>
      <b/>
      <sz val="14"/>
      <color rgb="FFFF0000"/>
      <name val="Times New Roman"/>
      <family val="1"/>
    </font>
    <font>
      <b/>
      <sz val="14"/>
      <color indexed="59"/>
      <name val="Times New Roman"/>
      <family val="1"/>
    </font>
    <font>
      <b/>
      <sz val="14"/>
      <color indexed="10"/>
      <name val="Times New Roman"/>
      <family val="1"/>
    </font>
    <font>
      <b/>
      <sz val="12"/>
      <color indexed="12"/>
      <name val="Times New Roman"/>
      <family val="1"/>
    </font>
    <font>
      <b/>
      <sz val="10"/>
      <color indexed="12"/>
      <name val="Times New Roman"/>
      <family val="1"/>
    </font>
    <font>
      <b/>
      <sz val="16"/>
      <color rgb="FFFFFF00"/>
      <name val="Times New Roman"/>
      <family val="1"/>
    </font>
    <font>
      <b/>
      <sz val="20"/>
      <color rgb="FFFFFF00"/>
      <name val="Times New Roman"/>
      <family val="1"/>
    </font>
    <font>
      <b/>
      <u/>
      <sz val="32"/>
      <color rgb="FF00B050"/>
      <name val="Times New Roman"/>
      <family val="1"/>
    </font>
    <font>
      <b/>
      <sz val="16"/>
      <color indexed="8"/>
      <name val="Times New Roman"/>
      <family val="1"/>
    </font>
    <font>
      <b/>
      <sz val="16"/>
      <color indexed="59"/>
      <name val="Times New Roman"/>
      <family val="1"/>
    </font>
    <font>
      <b/>
      <sz val="16"/>
      <color indexed="10"/>
      <name val="Times New Roman"/>
      <family val="1"/>
    </font>
    <font>
      <b/>
      <sz val="18"/>
      <color rgb="FFFFFF00"/>
      <name val="Times New Roman"/>
      <family val="1"/>
    </font>
    <font>
      <sz val="11"/>
      <color rgb="FFFF0000"/>
      <name val="Times New Roman"/>
      <family val="1"/>
    </font>
    <font>
      <sz val="11"/>
      <color rgb="FF0070C0"/>
      <name val="Times New Roman"/>
      <family val="1"/>
    </font>
    <font>
      <b/>
      <sz val="28"/>
      <color rgb="FF0070C0"/>
      <name val="Times New Roman"/>
      <family val="1"/>
    </font>
    <font>
      <b/>
      <u/>
      <sz val="16"/>
      <color rgb="FF0070C0"/>
      <name val="Times New Roman"/>
      <family val="1"/>
    </font>
    <font>
      <b/>
      <sz val="14"/>
      <color rgb="FF0070C0"/>
      <name val="Times New Roman"/>
      <family val="1"/>
    </font>
    <font>
      <b/>
      <sz val="16"/>
      <color rgb="FF0070C0"/>
      <name val="Times New Roman"/>
      <family val="1"/>
    </font>
    <font>
      <b/>
      <sz val="14"/>
      <color rgb="FF00B050"/>
      <name val="Times New Roman"/>
      <family val="1"/>
    </font>
    <font>
      <b/>
      <sz val="18"/>
      <name val="Times New Roman"/>
      <family val="1"/>
    </font>
    <font>
      <b/>
      <sz val="20"/>
      <name val="Times New Roman"/>
      <family val="1"/>
    </font>
    <font>
      <b/>
      <u/>
      <sz val="32"/>
      <name val="Times New Roman"/>
      <family val="1"/>
    </font>
    <font>
      <sz val="9"/>
      <name val="Calibri"/>
      <family val="3"/>
      <charset val="134"/>
      <scheme val="minor"/>
    </font>
    <font>
      <sz val="9"/>
      <name val="宋体"/>
    </font>
    <font>
      <b/>
      <sz val="10"/>
      <name val="Arial"/>
      <family val="2"/>
    </font>
    <font>
      <b/>
      <sz val="10"/>
      <color rgb="FFFF0000"/>
      <name val="Arial"/>
      <family val="2"/>
    </font>
    <font>
      <sz val="10"/>
      <color rgb="FF00B050"/>
      <name val="Arial"/>
      <family val="2"/>
    </font>
    <font>
      <b/>
      <sz val="10"/>
      <color rgb="FF00B050"/>
      <name val="Arial"/>
      <family val="2"/>
    </font>
    <font>
      <b/>
      <sz val="16"/>
      <color rgb="FFFF0000"/>
      <name val="Times New Roman"/>
      <family val="1"/>
    </font>
    <font>
      <b/>
      <sz val="11"/>
      <color indexed="81"/>
      <name val="Khmer OS Content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7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43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45" fillId="0" borderId="0" applyFont="0" applyAlignment="0">
      <alignment vertical="center"/>
    </xf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  <xf numFmtId="9" fontId="1" fillId="0" borderId="0" applyFont="0" applyFill="0" applyBorder="0" applyAlignment="0" applyProtection="0"/>
  </cellStyleXfs>
  <cellXfs count="232">
    <xf numFmtId="0" fontId="0" fillId="0" borderId="0" xfId="0"/>
    <xf numFmtId="0" fontId="4" fillId="0" borderId="0" xfId="1" applyFont="1" applyAlignment="1">
      <alignment vertical="center"/>
    </xf>
    <xf numFmtId="0" fontId="3" fillId="0" borderId="0" xfId="1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9" fontId="4" fillId="0" borderId="0" xfId="2" applyFont="1" applyFill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4" fontId="5" fillId="0" borderId="7" xfId="0" applyNumberFormat="1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4" fontId="3" fillId="0" borderId="12" xfId="0" applyNumberFormat="1" applyFont="1" applyBorder="1" applyAlignment="1" applyProtection="1">
      <alignment horizontal="center" vertical="center"/>
      <protection hidden="1"/>
    </xf>
    <xf numFmtId="0" fontId="3" fillId="0" borderId="1" xfId="0" applyFont="1" applyBorder="1" applyAlignment="1">
      <alignment horizontal="center" vertical="center"/>
    </xf>
    <xf numFmtId="4" fontId="3" fillId="0" borderId="13" xfId="0" applyNumberFormat="1" applyFont="1" applyBorder="1" applyAlignment="1">
      <alignment horizontal="center" vertical="center"/>
    </xf>
    <xf numFmtId="4" fontId="3" fillId="0" borderId="14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4" fontId="3" fillId="0" borderId="15" xfId="0" applyNumberFormat="1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8" fillId="0" borderId="0" xfId="0" applyFont="1"/>
    <xf numFmtId="0" fontId="8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8" fillId="0" borderId="19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8" fillId="0" borderId="9" xfId="0" applyFont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8" fillId="0" borderId="16" xfId="0" applyFont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3" fillId="0" borderId="9" xfId="3" applyNumberFormat="1" applyFont="1" applyFill="1" applyBorder="1" applyAlignment="1" applyProtection="1">
      <alignment horizontal="center" vertical="center"/>
      <protection hidden="1"/>
    </xf>
    <xf numFmtId="4" fontId="3" fillId="0" borderId="10" xfId="0" applyNumberFormat="1" applyFont="1" applyBorder="1" applyAlignment="1" applyProtection="1">
      <alignment horizontal="center" vertical="center"/>
      <protection hidden="1"/>
    </xf>
    <xf numFmtId="0" fontId="3" fillId="0" borderId="1" xfId="3" applyNumberFormat="1" applyFont="1" applyFill="1" applyBorder="1" applyAlignment="1" applyProtection="1">
      <alignment horizontal="center" vertical="center"/>
      <protection hidden="1"/>
    </xf>
    <xf numFmtId="0" fontId="3" fillId="0" borderId="1" xfId="3" applyFont="1" applyFill="1" applyBorder="1" applyAlignment="1" applyProtection="1">
      <alignment horizontal="center" vertical="center"/>
      <protection hidden="1"/>
    </xf>
    <xf numFmtId="0" fontId="3" fillId="0" borderId="1" xfId="4" applyFont="1" applyBorder="1" applyAlignment="1" applyProtection="1">
      <alignment horizontal="center" vertical="center"/>
      <protection locked="0" hidden="1"/>
    </xf>
    <xf numFmtId="4" fontId="3" fillId="2" borderId="12" xfId="0" applyNumberFormat="1" applyFont="1" applyFill="1" applyBorder="1" applyAlignment="1" applyProtection="1">
      <alignment horizontal="center" vertical="center"/>
      <protection hidden="1"/>
    </xf>
    <xf numFmtId="0" fontId="3" fillId="2" borderId="1" xfId="0" applyFont="1" applyFill="1" applyBorder="1" applyAlignment="1">
      <alignment horizontal="center" vertical="center"/>
    </xf>
    <xf numFmtId="0" fontId="3" fillId="2" borderId="1" xfId="3" applyNumberFormat="1" applyFont="1" applyFill="1" applyBorder="1" applyAlignment="1" applyProtection="1">
      <alignment horizontal="center" vertical="center"/>
      <protection hidden="1"/>
    </xf>
    <xf numFmtId="0" fontId="10" fillId="0" borderId="36" xfId="0" applyFont="1" applyBorder="1" applyAlignment="1">
      <alignment horizontal="left" shrinkToFit="1"/>
    </xf>
    <xf numFmtId="0" fontId="10" fillId="0" borderId="0" xfId="0" applyFont="1" applyAlignment="1">
      <alignment horizontal="center" shrinkToFit="1"/>
    </xf>
    <xf numFmtId="0" fontId="4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4" fontId="3" fillId="0" borderId="0" xfId="0" applyNumberFormat="1" applyFont="1" applyAlignment="1">
      <alignment horizontal="center" vertical="center"/>
    </xf>
    <xf numFmtId="164" fontId="3" fillId="0" borderId="12" xfId="0" applyNumberFormat="1" applyFont="1" applyBorder="1" applyAlignment="1" applyProtection="1">
      <alignment horizontal="center" vertical="center"/>
      <protection hidden="1"/>
    </xf>
    <xf numFmtId="0" fontId="18" fillId="0" borderId="0" xfId="0" applyFont="1" applyAlignment="1">
      <alignment horizontal="center" vertical="center"/>
    </xf>
    <xf numFmtId="0" fontId="19" fillId="8" borderId="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10" fontId="26" fillId="0" borderId="0" xfId="0" applyNumberFormat="1" applyFont="1" applyAlignment="1">
      <alignment horizontal="center" vertical="center"/>
    </xf>
    <xf numFmtId="1" fontId="10" fillId="5" borderId="1" xfId="0" applyNumberFormat="1" applyFont="1" applyFill="1" applyBorder="1" applyAlignment="1">
      <alignment horizontal="center"/>
    </xf>
    <xf numFmtId="16" fontId="27" fillId="4" borderId="25" xfId="0" applyNumberFormat="1" applyFont="1" applyFill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9" fontId="24" fillId="0" borderId="1" xfId="0" applyNumberFormat="1" applyFont="1" applyBorder="1" applyAlignment="1">
      <alignment horizontal="center" vertical="center"/>
    </xf>
    <xf numFmtId="166" fontId="15" fillId="0" borderId="1" xfId="0" applyNumberFormat="1" applyFont="1" applyBorder="1" applyAlignment="1">
      <alignment horizontal="center" vertical="center"/>
    </xf>
    <xf numFmtId="0" fontId="30" fillId="8" borderId="1" xfId="0" applyFont="1" applyFill="1" applyBorder="1" applyAlignment="1">
      <alignment horizontal="center" vertical="center"/>
    </xf>
    <xf numFmtId="167" fontId="31" fillId="8" borderId="1" xfId="6" applyNumberFormat="1" applyFont="1" applyFill="1" applyBorder="1" applyAlignment="1">
      <alignment horizontal="center" vertical="center"/>
    </xf>
    <xf numFmtId="9" fontId="32" fillId="8" borderId="1" xfId="0" applyNumberFormat="1" applyFont="1" applyFill="1" applyBorder="1" applyAlignment="1">
      <alignment horizontal="center" vertical="center"/>
    </xf>
    <xf numFmtId="166" fontId="11" fillId="8" borderId="1" xfId="0" applyNumberFormat="1" applyFont="1" applyFill="1" applyBorder="1" applyAlignment="1">
      <alignment horizontal="center" vertical="center"/>
    </xf>
    <xf numFmtId="0" fontId="3" fillId="0" borderId="0" xfId="1" applyFont="1" applyAlignment="1">
      <alignment vertical="center"/>
    </xf>
    <xf numFmtId="168" fontId="3" fillId="0" borderId="0" xfId="1" applyNumberFormat="1" applyFont="1" applyAlignment="1">
      <alignment horizontal="left" vertical="center"/>
    </xf>
    <xf numFmtId="0" fontId="3" fillId="0" borderId="0" xfId="1" applyFont="1" applyAlignment="1">
      <alignment horizontal="left" vertical="center"/>
    </xf>
    <xf numFmtId="0" fontId="3" fillId="9" borderId="1" xfId="0" applyFont="1" applyFill="1" applyBorder="1" applyAlignment="1">
      <alignment horizontal="center" vertical="center"/>
    </xf>
    <xf numFmtId="164" fontId="3" fillId="9" borderId="1" xfId="0" applyNumberFormat="1" applyFont="1" applyFill="1" applyBorder="1" applyAlignment="1" applyProtection="1">
      <alignment horizontal="center" vertical="center"/>
      <protection hidden="1"/>
    </xf>
    <xf numFmtId="164" fontId="3" fillId="2" borderId="12" xfId="0" applyNumberFormat="1" applyFont="1" applyFill="1" applyBorder="1" applyAlignment="1" applyProtection="1">
      <alignment horizontal="center" vertical="center"/>
      <protection hidden="1"/>
    </xf>
    <xf numFmtId="4" fontId="3" fillId="10" borderId="12" xfId="0" applyNumberFormat="1" applyFont="1" applyFill="1" applyBorder="1" applyAlignment="1" applyProtection="1">
      <alignment horizontal="center" vertical="center"/>
      <protection hidden="1"/>
    </xf>
    <xf numFmtId="0" fontId="3" fillId="10" borderId="1" xfId="0" applyFont="1" applyFill="1" applyBorder="1" applyAlignment="1">
      <alignment horizontal="center" vertical="center"/>
    </xf>
    <xf numFmtId="164" fontId="3" fillId="9" borderId="16" xfId="0" applyNumberFormat="1" applyFont="1" applyFill="1" applyBorder="1" applyAlignment="1" applyProtection="1">
      <alignment horizontal="center" vertical="center"/>
      <protection hidden="1"/>
    </xf>
    <xf numFmtId="4" fontId="3" fillId="0" borderId="0" xfId="0" applyNumberFormat="1" applyFont="1" applyAlignment="1" applyProtection="1">
      <alignment horizontal="center" vertical="center"/>
      <protection hidden="1"/>
    </xf>
    <xf numFmtId="164" fontId="3" fillId="0" borderId="4" xfId="0" applyNumberFormat="1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 wrapText="1"/>
    </xf>
    <xf numFmtId="164" fontId="3" fillId="0" borderId="10" xfId="0" applyNumberFormat="1" applyFont="1" applyBorder="1" applyAlignment="1" applyProtection="1">
      <alignment horizontal="center" vertical="center"/>
      <protection hidden="1"/>
    </xf>
    <xf numFmtId="164" fontId="3" fillId="10" borderId="12" xfId="0" applyNumberFormat="1" applyFont="1" applyFill="1" applyBorder="1" applyAlignment="1" applyProtection="1">
      <alignment horizontal="center" vertical="center"/>
      <protection hidden="1"/>
    </xf>
    <xf numFmtId="164" fontId="3" fillId="0" borderId="14" xfId="0" applyNumberFormat="1" applyFont="1" applyBorder="1" applyAlignment="1">
      <alignment horizontal="center" vertical="center"/>
    </xf>
    <xf numFmtId="164" fontId="3" fillId="0" borderId="15" xfId="0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164" fontId="3" fillId="11" borderId="12" xfId="0" applyNumberFormat="1" applyFont="1" applyFill="1" applyBorder="1" applyAlignment="1" applyProtection="1">
      <alignment horizontal="center" vertical="center"/>
      <protection hidden="1"/>
    </xf>
    <xf numFmtId="4" fontId="3" fillId="11" borderId="12" xfId="0" applyNumberFormat="1" applyFont="1" applyFill="1" applyBorder="1" applyAlignment="1" applyProtection="1">
      <alignment horizontal="center" vertical="center"/>
      <protection hidden="1"/>
    </xf>
    <xf numFmtId="0" fontId="3" fillId="11" borderId="11" xfId="0" applyFont="1" applyFill="1" applyBorder="1" applyAlignment="1">
      <alignment horizontal="center" vertical="center"/>
    </xf>
    <xf numFmtId="4" fontId="5" fillId="0" borderId="0" xfId="0" applyNumberFormat="1" applyFont="1" applyAlignment="1">
      <alignment horizontal="center" vertical="center" wrapText="1"/>
    </xf>
    <xf numFmtId="4" fontId="3" fillId="2" borderId="0" xfId="0" applyNumberFormat="1" applyFont="1" applyFill="1" applyAlignment="1" applyProtection="1">
      <alignment horizontal="center" vertical="center"/>
      <protection hidden="1"/>
    </xf>
    <xf numFmtId="164" fontId="3" fillId="0" borderId="0" xfId="0" applyNumberFormat="1" applyFont="1" applyAlignment="1" applyProtection="1">
      <alignment horizontal="center" vertical="center"/>
      <protection hidden="1"/>
    </xf>
    <xf numFmtId="4" fontId="3" fillId="11" borderId="0" xfId="0" applyNumberFormat="1" applyFont="1" applyFill="1" applyAlignment="1" applyProtection="1">
      <alignment horizontal="center" vertical="center"/>
      <protection hidden="1"/>
    </xf>
    <xf numFmtId="4" fontId="3" fillId="10" borderId="0" xfId="0" applyNumberFormat="1" applyFont="1" applyFill="1" applyAlignment="1" applyProtection="1">
      <alignment horizontal="center" vertical="center"/>
      <protection hidden="1"/>
    </xf>
    <xf numFmtId="164" fontId="3" fillId="0" borderId="0" xfId="0" applyNumberFormat="1" applyFont="1" applyAlignment="1">
      <alignment horizontal="center" vertical="center"/>
    </xf>
    <xf numFmtId="168" fontId="17" fillId="12" borderId="9" xfId="0" applyNumberFormat="1" applyFont="1" applyFill="1" applyBorder="1" applyAlignment="1">
      <alignment horizontal="center"/>
    </xf>
    <xf numFmtId="168" fontId="17" fillId="12" borderId="19" xfId="0" applyNumberFormat="1" applyFont="1" applyFill="1" applyBorder="1" applyAlignment="1">
      <alignment horizontal="center"/>
    </xf>
    <xf numFmtId="0" fontId="34" fillId="0" borderId="0" xfId="0" applyFont="1"/>
    <xf numFmtId="0" fontId="9" fillId="0" borderId="0" xfId="0" applyFont="1"/>
    <xf numFmtId="0" fontId="35" fillId="0" borderId="0" xfId="0" applyFont="1"/>
    <xf numFmtId="9" fontId="38" fillId="0" borderId="1" xfId="0" applyNumberFormat="1" applyFont="1" applyBorder="1" applyAlignment="1">
      <alignment horizontal="center" vertical="center"/>
    </xf>
    <xf numFmtId="9" fontId="39" fillId="8" borderId="1" xfId="0" applyNumberFormat="1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 wrapText="1"/>
    </xf>
    <xf numFmtId="164" fontId="3" fillId="0" borderId="40" xfId="0" applyNumberFormat="1" applyFont="1" applyBorder="1" applyAlignment="1" applyProtection="1">
      <alignment horizontal="center" vertical="center"/>
      <protection hidden="1"/>
    </xf>
    <xf numFmtId="164" fontId="3" fillId="0" borderId="42" xfId="0" applyNumberFormat="1" applyFont="1" applyBorder="1" applyAlignment="1">
      <alignment horizontal="center" vertical="center"/>
    </xf>
    <xf numFmtId="164" fontId="3" fillId="0" borderId="43" xfId="0" applyNumberFormat="1" applyFont="1" applyBorder="1" applyAlignment="1">
      <alignment horizontal="center" vertical="center"/>
    </xf>
    <xf numFmtId="164" fontId="3" fillId="0" borderId="44" xfId="0" applyNumberFormat="1" applyFont="1" applyBorder="1" applyAlignment="1">
      <alignment horizontal="center" vertical="center"/>
    </xf>
    <xf numFmtId="164" fontId="3" fillId="0" borderId="41" xfId="0" applyNumberFormat="1" applyFont="1" applyBorder="1" applyAlignment="1" applyProtection="1">
      <alignment horizontal="center" vertical="center"/>
      <protection hidden="1"/>
    </xf>
    <xf numFmtId="0" fontId="3" fillId="0" borderId="14" xfId="0" applyFont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hidden="1"/>
    </xf>
    <xf numFmtId="164" fontId="3" fillId="0" borderId="1" xfId="0" applyNumberFormat="1" applyFont="1" applyBorder="1" applyAlignment="1">
      <alignment horizontal="center" vertical="center"/>
    </xf>
    <xf numFmtId="0" fontId="16" fillId="0" borderId="1" xfId="0" applyFont="1" applyBorder="1" applyAlignment="1">
      <alignment horizontal="center"/>
    </xf>
    <xf numFmtId="169" fontId="11" fillId="4" borderId="19" xfId="0" applyNumberFormat="1" applyFont="1" applyFill="1" applyBorder="1" applyAlignment="1">
      <alignment horizontal="center" vertical="center"/>
    </xf>
    <xf numFmtId="0" fontId="42" fillId="0" borderId="38" xfId="0" applyFont="1" applyBorder="1" applyAlignment="1">
      <alignment horizontal="left" vertical="center"/>
    </xf>
    <xf numFmtId="0" fontId="43" fillId="0" borderId="38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0" xfId="0" applyFont="1" applyAlignment="1">
      <alignment horizontal="right" vertical="center"/>
    </xf>
    <xf numFmtId="1" fontId="16" fillId="5" borderId="22" xfId="0" applyNumberFormat="1" applyFont="1" applyFill="1" applyBorder="1" applyAlignment="1">
      <alignment horizontal="center"/>
    </xf>
    <xf numFmtId="0" fontId="16" fillId="0" borderId="1" xfId="0" quotePrefix="1" applyFont="1" applyBorder="1" applyAlignment="1">
      <alignment horizontal="center"/>
    </xf>
    <xf numFmtId="0" fontId="3" fillId="0" borderId="1" xfId="0" quotePrefix="1" applyFont="1" applyBorder="1" applyAlignment="1">
      <alignment horizontal="center" vertical="center"/>
    </xf>
    <xf numFmtId="0" fontId="16" fillId="0" borderId="19" xfId="0" quotePrefix="1" applyFont="1" applyBorder="1" applyAlignment="1">
      <alignment horizontal="center"/>
    </xf>
    <xf numFmtId="0" fontId="5" fillId="0" borderId="45" xfId="0" applyFont="1" applyBorder="1" applyAlignment="1">
      <alignment horizontal="center" vertical="center" wrapText="1"/>
    </xf>
    <xf numFmtId="170" fontId="3" fillId="0" borderId="33" xfId="3" applyNumberFormat="1" applyFont="1" applyFill="1" applyBorder="1" applyAlignment="1" applyProtection="1">
      <alignment horizontal="center" vertical="center"/>
      <protection hidden="1"/>
    </xf>
    <xf numFmtId="170" fontId="3" fillId="0" borderId="0" xfId="3" applyNumberFormat="1" applyFont="1" applyFill="1" applyBorder="1" applyAlignment="1" applyProtection="1">
      <alignment horizontal="center" vertical="center"/>
      <protection hidden="1"/>
    </xf>
    <xf numFmtId="0" fontId="16" fillId="0" borderId="9" xfId="0" quotePrefix="1" applyFont="1" applyBorder="1" applyAlignment="1">
      <alignment horizontal="center"/>
    </xf>
    <xf numFmtId="0" fontId="46" fillId="12" borderId="27" xfId="0" applyFont="1" applyFill="1" applyBorder="1" applyAlignment="1">
      <alignment horizontal="center" vertical="center"/>
    </xf>
    <xf numFmtId="0" fontId="46" fillId="12" borderId="19" xfId="0" applyFont="1" applyFill="1" applyBorder="1" applyAlignment="1">
      <alignment horizontal="center" vertical="center"/>
    </xf>
    <xf numFmtId="0" fontId="46" fillId="12" borderId="20" xfId="0" applyFont="1" applyFill="1" applyBorder="1" applyAlignment="1">
      <alignment horizontal="center" vertical="center"/>
    </xf>
    <xf numFmtId="0" fontId="46" fillId="0" borderId="28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0" fontId="46" fillId="9" borderId="1" xfId="0" applyFont="1" applyFill="1" applyBorder="1" applyAlignment="1">
      <alignment horizontal="center" vertical="center"/>
    </xf>
    <xf numFmtId="0" fontId="46" fillId="12" borderId="22" xfId="0" applyFont="1" applyFill="1" applyBorder="1" applyAlignment="1">
      <alignment horizontal="center" vertical="center"/>
    </xf>
    <xf numFmtId="9" fontId="47" fillId="0" borderId="1" xfId="0" applyNumberFormat="1" applyFont="1" applyBorder="1" applyAlignment="1">
      <alignment horizontal="center" vertical="center"/>
    </xf>
    <xf numFmtId="9" fontId="47" fillId="9" borderId="1" xfId="0" applyNumberFormat="1" applyFont="1" applyFill="1" applyBorder="1" applyAlignment="1">
      <alignment horizontal="center" vertical="center"/>
    </xf>
    <xf numFmtId="9" fontId="47" fillId="12" borderId="22" xfId="0" applyNumberFormat="1" applyFont="1" applyFill="1" applyBorder="1" applyAlignment="1">
      <alignment horizontal="center" vertical="center"/>
    </xf>
    <xf numFmtId="0" fontId="46" fillId="12" borderId="29" xfId="0" applyFont="1" applyFill="1" applyBorder="1" applyAlignment="1">
      <alignment horizontal="center" vertical="center"/>
    </xf>
    <xf numFmtId="9" fontId="48" fillId="12" borderId="25" xfId="0" applyNumberFormat="1" applyFont="1" applyFill="1" applyBorder="1" applyAlignment="1">
      <alignment horizontal="center" vertical="center"/>
    </xf>
    <xf numFmtId="9" fontId="49" fillId="12" borderId="25" xfId="0" applyNumberFormat="1" applyFont="1" applyFill="1" applyBorder="1" applyAlignment="1">
      <alignment horizontal="center" vertical="center"/>
    </xf>
    <xf numFmtId="9" fontId="49" fillId="12" borderId="26" xfId="0" applyNumberFormat="1" applyFont="1" applyFill="1" applyBorder="1" applyAlignment="1">
      <alignment horizontal="center" vertical="center"/>
    </xf>
    <xf numFmtId="9" fontId="22" fillId="6" borderId="1" xfId="0" applyNumberFormat="1" applyFont="1" applyFill="1" applyBorder="1" applyAlignment="1">
      <alignment horizontal="center"/>
    </xf>
    <xf numFmtId="0" fontId="8" fillId="0" borderId="46" xfId="0" applyFont="1" applyBorder="1" applyAlignment="1">
      <alignment horizontal="center"/>
    </xf>
    <xf numFmtId="0" fontId="7" fillId="0" borderId="20" xfId="0" applyFont="1" applyBorder="1" applyAlignment="1">
      <alignment horizontal="left" shrinkToFit="1"/>
    </xf>
    <xf numFmtId="9" fontId="40" fillId="6" borderId="25" xfId="0" applyNumberFormat="1" applyFont="1" applyFill="1" applyBorder="1" applyAlignment="1">
      <alignment horizontal="center"/>
    </xf>
    <xf numFmtId="0" fontId="10" fillId="0" borderId="47" xfId="0" applyFont="1" applyBorder="1" applyAlignment="1">
      <alignment horizontal="left" shrinkToFit="1"/>
    </xf>
    <xf numFmtId="14" fontId="16" fillId="13" borderId="1" xfId="0" applyNumberFormat="1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/>
    </xf>
    <xf numFmtId="0" fontId="23" fillId="0" borderId="1" xfId="6" applyNumberFormat="1" applyFont="1" applyFill="1" applyBorder="1" applyAlignment="1">
      <alignment horizontal="center" vertical="center"/>
    </xf>
    <xf numFmtId="1" fontId="23" fillId="0" borderId="1" xfId="6" applyNumberFormat="1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/>
    </xf>
    <xf numFmtId="9" fontId="38" fillId="0" borderId="1" xfId="16" applyFont="1" applyBorder="1" applyAlignment="1">
      <alignment horizontal="center" vertical="center"/>
    </xf>
    <xf numFmtId="0" fontId="16" fillId="9" borderId="16" xfId="0" applyFont="1" applyFill="1" applyBorder="1" applyAlignment="1">
      <alignment horizontal="center"/>
    </xf>
    <xf numFmtId="0" fontId="16" fillId="9" borderId="37" xfId="0" applyFont="1" applyFill="1" applyBorder="1" applyAlignment="1">
      <alignment horizontal="center"/>
    </xf>
    <xf numFmtId="9" fontId="22" fillId="0" borderId="1" xfId="16" applyFont="1" applyBorder="1" applyAlignment="1">
      <alignment horizontal="center" vertical="center"/>
    </xf>
    <xf numFmtId="166" fontId="22" fillId="0" borderId="1" xfId="0" applyNumberFormat="1" applyFont="1" applyBorder="1" applyAlignment="1">
      <alignment horizontal="center" vertical="center"/>
    </xf>
    <xf numFmtId="9" fontId="50" fillId="8" borderId="1" xfId="16" applyFont="1" applyFill="1" applyBorder="1" applyAlignment="1">
      <alignment horizontal="center" vertical="center"/>
    </xf>
    <xf numFmtId="0" fontId="46" fillId="9" borderId="28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9" fontId="24" fillId="0" borderId="1" xfId="16" applyFont="1" applyBorder="1" applyAlignment="1">
      <alignment horizontal="center" vertical="center"/>
    </xf>
    <xf numFmtId="49" fontId="23" fillId="0" borderId="1" xfId="6" applyNumberFormat="1" applyFont="1" applyFill="1" applyBorder="1" applyAlignment="1">
      <alignment horizontal="center" vertical="center"/>
    </xf>
    <xf numFmtId="49" fontId="23" fillId="9" borderId="1" xfId="6" applyNumberFormat="1" applyFont="1" applyFill="1" applyBorder="1" applyAlignment="1">
      <alignment horizontal="center" vertical="center"/>
    </xf>
    <xf numFmtId="1" fontId="23" fillId="0" borderId="17" xfId="6" applyNumberFormat="1" applyFont="1" applyFill="1" applyBorder="1" applyAlignment="1">
      <alignment horizontal="center" vertical="center"/>
    </xf>
    <xf numFmtId="1" fontId="23" fillId="0" borderId="30" xfId="6" applyNumberFormat="1" applyFont="1" applyFill="1" applyBorder="1" applyAlignment="1">
      <alignment horizontal="center" vertical="center"/>
    </xf>
    <xf numFmtId="0" fontId="20" fillId="0" borderId="16" xfId="0" applyFont="1" applyBorder="1" applyAlignment="1">
      <alignment horizontal="center" vertical="center" shrinkToFit="1"/>
    </xf>
    <xf numFmtId="0" fontId="16" fillId="3" borderId="22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center"/>
    </xf>
    <xf numFmtId="0" fontId="16" fillId="0" borderId="36" xfId="0" applyFont="1" applyBorder="1" applyAlignment="1">
      <alignment horizontal="left" shrinkToFit="1"/>
    </xf>
    <xf numFmtId="0" fontId="11" fillId="0" borderId="0" xfId="0" applyFont="1" applyAlignment="1">
      <alignment horizontal="center" vertical="center"/>
    </xf>
    <xf numFmtId="0" fontId="46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28" fillId="4" borderId="27" xfId="0" applyFont="1" applyFill="1" applyBorder="1" applyAlignment="1">
      <alignment horizontal="center" vertical="center"/>
    </xf>
    <xf numFmtId="0" fontId="28" fillId="4" borderId="29" xfId="0" applyFont="1" applyFill="1" applyBorder="1" applyAlignment="1">
      <alignment horizontal="center" vertic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36" fillId="0" borderId="0" xfId="0" applyFont="1" applyAlignment="1">
      <alignment horizontal="center" vertical="center"/>
    </xf>
    <xf numFmtId="0" fontId="37" fillId="0" borderId="31" xfId="0" applyFont="1" applyBorder="1" applyAlignment="1">
      <alignment horizontal="center" vertical="center"/>
    </xf>
    <xf numFmtId="0" fontId="15" fillId="4" borderId="20" xfId="0" applyFont="1" applyFill="1" applyBorder="1" applyAlignment="1">
      <alignment horizontal="center" vertical="center"/>
    </xf>
    <xf numFmtId="0" fontId="15" fillId="4" borderId="26" xfId="0" applyFont="1" applyFill="1" applyBorder="1" applyAlignment="1">
      <alignment horizontal="center" vertical="center"/>
    </xf>
    <xf numFmtId="0" fontId="41" fillId="4" borderId="19" xfId="0" applyFont="1" applyFill="1" applyBorder="1" applyAlignment="1">
      <alignment horizontal="center" vertical="center"/>
    </xf>
    <xf numFmtId="0" fontId="41" fillId="4" borderId="25" xfId="0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0" fontId="9" fillId="4" borderId="25" xfId="0" applyFont="1" applyFill="1" applyBorder="1" applyAlignment="1">
      <alignment horizontal="center" vertical="center" wrapText="1"/>
    </xf>
    <xf numFmtId="0" fontId="16" fillId="4" borderId="19" xfId="0" applyFont="1" applyFill="1" applyBorder="1" applyAlignment="1">
      <alignment horizontal="center" vertical="center" wrapText="1"/>
    </xf>
    <xf numFmtId="0" fontId="16" fillId="4" borderId="25" xfId="0" applyFont="1" applyFill="1" applyBorder="1" applyAlignment="1">
      <alignment horizontal="center" vertical="center" wrapText="1"/>
    </xf>
    <xf numFmtId="0" fontId="16" fillId="0" borderId="37" xfId="0" applyFont="1" applyBorder="1" applyAlignment="1">
      <alignment horizontal="center"/>
    </xf>
    <xf numFmtId="0" fontId="16" fillId="0" borderId="24" xfId="0" applyFont="1" applyBorder="1" applyAlignment="1">
      <alignment horizontal="center"/>
    </xf>
    <xf numFmtId="0" fontId="16" fillId="0" borderId="39" xfId="0" applyFont="1" applyBorder="1" applyAlignment="1">
      <alignment horizontal="center"/>
    </xf>
    <xf numFmtId="0" fontId="12" fillId="0" borderId="18" xfId="0" applyFont="1" applyBorder="1" applyAlignment="1">
      <alignment horizontal="center" vertical="center"/>
    </xf>
    <xf numFmtId="0" fontId="12" fillId="0" borderId="21" xfId="0" applyFont="1" applyBorder="1" applyAlignment="1">
      <alignment horizontal="center" vertical="center"/>
    </xf>
    <xf numFmtId="0" fontId="12" fillId="0" borderId="23" xfId="0" applyFont="1" applyBorder="1" applyAlignment="1">
      <alignment horizontal="center" vertical="center"/>
    </xf>
    <xf numFmtId="16" fontId="21" fillId="0" borderId="0" xfId="0" applyNumberFormat="1" applyFont="1" applyAlignment="1">
      <alignment horizontal="center" vertical="center"/>
    </xf>
    <xf numFmtId="9" fontId="21" fillId="0" borderId="0" xfId="0" applyNumberFormat="1" applyFont="1" applyAlignment="1">
      <alignment horizontal="center" vertical="center"/>
    </xf>
    <xf numFmtId="165" fontId="19" fillId="7" borderId="30" xfId="0" applyNumberFormat="1" applyFont="1" applyFill="1" applyBorder="1" applyAlignment="1">
      <alignment horizontal="center" vertical="center" wrapText="1"/>
    </xf>
    <xf numFmtId="165" fontId="19" fillId="7" borderId="35" xfId="0" applyNumberFormat="1" applyFont="1" applyFill="1" applyBorder="1" applyAlignment="1">
      <alignment horizontal="center" vertical="center" wrapText="1"/>
    </xf>
    <xf numFmtId="165" fontId="19" fillId="7" borderId="9" xfId="0" applyNumberFormat="1" applyFont="1" applyFill="1" applyBorder="1" applyAlignment="1">
      <alignment horizontal="center" vertical="center" wrapText="1"/>
    </xf>
    <xf numFmtId="165" fontId="41" fillId="8" borderId="1" xfId="0" applyNumberFormat="1" applyFont="1" applyFill="1" applyBorder="1" applyAlignment="1">
      <alignment horizontal="center" vertical="center"/>
    </xf>
    <xf numFmtId="169" fontId="33" fillId="7" borderId="16" xfId="0" applyNumberFormat="1" applyFont="1" applyFill="1" applyBorder="1" applyAlignment="1">
      <alignment horizontal="center" vertical="center"/>
    </xf>
    <xf numFmtId="169" fontId="33" fillId="7" borderId="37" xfId="0" applyNumberFormat="1" applyFont="1" applyFill="1" applyBorder="1" applyAlignment="1">
      <alignment horizontal="center" vertical="center"/>
    </xf>
    <xf numFmtId="169" fontId="33" fillId="7" borderId="17" xfId="0" applyNumberFormat="1" applyFont="1" applyFill="1" applyBorder="1" applyAlignment="1">
      <alignment horizontal="center" vertical="center"/>
    </xf>
    <xf numFmtId="0" fontId="41" fillId="7" borderId="32" xfId="0" applyFont="1" applyFill="1" applyBorder="1" applyAlignment="1">
      <alignment horizontal="center" vertical="center" wrapText="1"/>
    </xf>
    <xf numFmtId="0" fontId="41" fillId="7" borderId="48" xfId="0" applyFont="1" applyFill="1" applyBorder="1" applyAlignment="1">
      <alignment horizontal="center" vertical="center" wrapText="1"/>
    </xf>
    <xf numFmtId="0" fontId="41" fillId="7" borderId="34" xfId="0" applyFont="1" applyFill="1" applyBorder="1" applyAlignment="1">
      <alignment horizontal="center" vertical="center" wrapText="1"/>
    </xf>
    <xf numFmtId="0" fontId="41" fillId="7" borderId="33" xfId="0" applyFont="1" applyFill="1" applyBorder="1" applyAlignment="1">
      <alignment horizontal="center" vertical="center" wrapText="1"/>
    </xf>
    <xf numFmtId="0" fontId="41" fillId="7" borderId="38" xfId="0" applyFont="1" applyFill="1" applyBorder="1" applyAlignment="1">
      <alignment horizontal="center" vertical="center" wrapText="1"/>
    </xf>
    <xf numFmtId="0" fontId="41" fillId="7" borderId="49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/>
    </xf>
    <xf numFmtId="0" fontId="19" fillId="7" borderId="30" xfId="0" applyFont="1" applyFill="1" applyBorder="1" applyAlignment="1">
      <alignment horizontal="center" vertical="center"/>
    </xf>
    <xf numFmtId="0" fontId="19" fillId="7" borderId="9" xfId="0" applyFont="1" applyFill="1" applyBorder="1" applyAlignment="1">
      <alignment horizontal="center" vertical="center"/>
    </xf>
  </cellXfs>
  <cellStyles count="17">
    <cellStyle name="Comma" xfId="6" builtinId="3"/>
    <cellStyle name="Comma 2" xfId="7"/>
    <cellStyle name="Currency 2" xfId="13"/>
    <cellStyle name="Hyperlink" xfId="3" builtinId="8"/>
    <cellStyle name="Hyperlink 2" xfId="10"/>
    <cellStyle name="Hyperlink 2 2" xfId="15"/>
    <cellStyle name="Normal" xfId="0" builtinId="0"/>
    <cellStyle name="Normal 2" xfId="1"/>
    <cellStyle name="Normal 3" xfId="5"/>
    <cellStyle name="Normal 3 2" xfId="11"/>
    <cellStyle name="Normal 3 3" xfId="8"/>
    <cellStyle name="Normal 4" xfId="12"/>
    <cellStyle name="Normal_Sheet1" xfId="4"/>
    <cellStyle name="Percent" xfId="16" builtinId="5"/>
    <cellStyle name="Percent 2" xfId="2"/>
    <cellStyle name="Percent 3" xfId="9"/>
    <cellStyle name="Percent 3 2" xfId="1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1701799</xdr:colOff>
      <xdr:row>1</xdr:row>
      <xdr:rowOff>69850</xdr:rowOff>
    </xdr:from>
    <xdr:to>
      <xdr:col>11</xdr:col>
      <xdr:colOff>3079750</xdr:colOff>
      <xdr:row>2</xdr:row>
      <xdr:rowOff>336550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12909549" y="270933"/>
          <a:ext cx="1377951" cy="668867"/>
        </a:xfrm>
        <a:prstGeom prst="rect">
          <a:avLst/>
        </a:prstGeom>
        <a:ln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rgbClr val="FF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With Highlight Grey Color have formula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70C0"/>
  </sheetPr>
  <dimension ref="A1:R1008"/>
  <sheetViews>
    <sheetView showGridLines="0" zoomScale="120" zoomScaleNormal="120" zoomScaleSheetLayoutView="220" workbookViewId="0">
      <pane ySplit="5" topLeftCell="A683" activePane="bottomLeft" state="frozen"/>
      <selection pane="bottomLeft" activeCell="B705" sqref="B705"/>
    </sheetView>
  </sheetViews>
  <sheetFormatPr defaultColWidth="9.140625" defaultRowHeight="12" thickBottom="1"/>
  <cols>
    <col min="1" max="1" width="7.42578125" style="16" customWidth="1"/>
    <col min="2" max="2" width="17.140625" style="14" customWidth="1"/>
    <col min="3" max="3" width="12.140625" style="14" customWidth="1"/>
    <col min="4" max="5" width="11.42578125" style="69" customWidth="1"/>
    <col min="6" max="6" width="10.7109375" style="15" customWidth="1"/>
    <col min="7" max="7" width="9.85546875" style="15" customWidth="1"/>
    <col min="8" max="8" width="12.5703125" style="39" customWidth="1"/>
    <col min="9" max="9" width="11.42578125" style="39" customWidth="1"/>
    <col min="10" max="13" width="9.85546875" style="39" customWidth="1"/>
    <col min="14" max="14" width="18.42578125" style="1" bestFit="1" customWidth="1"/>
    <col min="15" max="16" width="9.140625" style="1"/>
    <col min="17" max="17" width="13.42578125" style="1" customWidth="1"/>
    <col min="18" max="16384" width="9.140625" style="1"/>
  </cols>
  <sheetData>
    <row r="1" spans="1:18" thickBot="1">
      <c r="A1" s="37"/>
      <c r="B1" s="38"/>
      <c r="C1" s="38"/>
      <c r="D1" s="64"/>
      <c r="E1" s="79"/>
      <c r="F1" s="39"/>
      <c r="G1" s="39"/>
    </row>
    <row r="2" spans="1:18" thickBot="1">
      <c r="A2" s="37"/>
      <c r="B2" s="38"/>
      <c r="C2" s="38"/>
      <c r="D2" s="64"/>
      <c r="E2" s="79"/>
      <c r="F2" s="39"/>
      <c r="G2" s="39"/>
    </row>
    <row r="3" spans="1:18" thickBot="1">
      <c r="A3" s="37"/>
      <c r="B3" s="38"/>
      <c r="C3" s="38"/>
      <c r="D3" s="64"/>
      <c r="E3" s="79"/>
      <c r="F3" s="39"/>
      <c r="G3" s="39"/>
    </row>
    <row r="4" spans="1:18" ht="14.25" customHeight="1" thickBot="1">
      <c r="A4" s="191" t="s">
        <v>7</v>
      </c>
      <c r="B4" s="192"/>
      <c r="C4" s="192"/>
      <c r="D4" s="193"/>
      <c r="E4" s="21"/>
      <c r="F4" s="21"/>
      <c r="G4" s="21"/>
      <c r="H4" s="21"/>
      <c r="I4" s="21"/>
      <c r="J4" s="21"/>
      <c r="K4" s="21"/>
      <c r="L4" s="21"/>
      <c r="M4" s="21"/>
    </row>
    <row r="5" spans="1:18" s="3" customFormat="1" ht="30" customHeight="1" thickTop="1" thickBot="1">
      <c r="A5" s="5" t="s">
        <v>8</v>
      </c>
      <c r="B5" s="6" t="s">
        <v>9</v>
      </c>
      <c r="C5" s="106"/>
      <c r="D5" s="65" t="s">
        <v>359</v>
      </c>
      <c r="E5" s="65" t="s">
        <v>360</v>
      </c>
      <c r="F5" s="7" t="s">
        <v>333</v>
      </c>
      <c r="G5" s="7" t="s">
        <v>105</v>
      </c>
      <c r="H5" s="74" t="s">
        <v>361</v>
      </c>
      <c r="I5" s="74" t="s">
        <v>362</v>
      </c>
      <c r="J5" s="74"/>
      <c r="K5" s="74"/>
      <c r="L5" s="74"/>
      <c r="M5" s="74"/>
      <c r="N5" s="2"/>
      <c r="Q5" s="4"/>
      <c r="R5" s="4"/>
    </row>
    <row r="6" spans="1:18" ht="9.75" customHeight="1" thickTop="1">
      <c r="A6" s="8">
        <v>1</v>
      </c>
      <c r="B6" s="27">
        <v>122</v>
      </c>
      <c r="C6" s="107">
        <f>(D6*65)/100</f>
        <v>0</v>
      </c>
      <c r="D6" s="66"/>
      <c r="E6" s="66">
        <f>SUM(H6:I6)+D6</f>
        <v>0.97208978978978977</v>
      </c>
      <c r="F6" s="28"/>
      <c r="G6" s="28">
        <v>49.5</v>
      </c>
      <c r="H6" s="76">
        <v>0.25250400000000001</v>
      </c>
      <c r="I6" s="76">
        <v>0.71958578978978982</v>
      </c>
      <c r="J6" s="63"/>
      <c r="K6" s="63"/>
      <c r="L6" s="63"/>
      <c r="M6" s="63"/>
    </row>
    <row r="7" spans="1:18" ht="9.75" customHeight="1">
      <c r="A7" s="9">
        <f t="shared" ref="A7:A70" si="0">A6+1</f>
        <v>2</v>
      </c>
      <c r="B7" s="29">
        <v>267</v>
      </c>
      <c r="C7" s="107">
        <f t="shared" ref="C7:C70" si="1">(D7*65)/100</f>
        <v>0</v>
      </c>
      <c r="D7" s="40"/>
      <c r="E7" s="66">
        <f>SUM(H7:I7)+D7</f>
        <v>0.97208978978978977</v>
      </c>
      <c r="F7" s="10"/>
      <c r="G7" s="10">
        <v>31.5</v>
      </c>
      <c r="H7" s="76">
        <v>0.25250400000000001</v>
      </c>
      <c r="I7" s="76">
        <v>0.71958578978978982</v>
      </c>
      <c r="J7" s="63"/>
      <c r="K7" s="63"/>
      <c r="L7" s="63"/>
      <c r="M7" s="63"/>
    </row>
    <row r="8" spans="1:18" ht="9.75" customHeight="1">
      <c r="A8" s="9">
        <f t="shared" si="0"/>
        <v>3</v>
      </c>
      <c r="B8" s="29">
        <v>269</v>
      </c>
      <c r="C8" s="107">
        <f t="shared" si="1"/>
        <v>15.512250000000002</v>
      </c>
      <c r="D8" s="40">
        <f>G8*1.11</f>
        <v>23.865000000000002</v>
      </c>
      <c r="E8" s="66">
        <f>SUM(H8:I8)+D8</f>
        <v>24.837089789789793</v>
      </c>
      <c r="F8" s="10"/>
      <c r="G8" s="10">
        <v>21.5</v>
      </c>
      <c r="H8" s="76">
        <v>0.25250400000000001</v>
      </c>
      <c r="I8" s="76">
        <v>0.71958578978978982</v>
      </c>
      <c r="J8" s="63"/>
      <c r="K8" s="63"/>
      <c r="L8" s="63"/>
      <c r="M8" s="63"/>
      <c r="N8" s="1" t="s">
        <v>163</v>
      </c>
    </row>
    <row r="9" spans="1:18" ht="9.75" customHeight="1">
      <c r="A9" s="9">
        <f t="shared" si="0"/>
        <v>4</v>
      </c>
      <c r="B9" s="29">
        <v>706</v>
      </c>
      <c r="C9" s="107">
        <f t="shared" si="1"/>
        <v>0</v>
      </c>
      <c r="D9" s="40"/>
      <c r="E9" s="66">
        <f t="shared" ref="E9:E72" si="2">SUM(H9:I9)+D9</f>
        <v>0.97208978978978977</v>
      </c>
      <c r="F9" s="10"/>
      <c r="G9" s="10">
        <v>29</v>
      </c>
      <c r="H9" s="76">
        <v>0.25250400000000001</v>
      </c>
      <c r="I9" s="76">
        <v>0.71958578978978982</v>
      </c>
      <c r="J9" s="63"/>
      <c r="K9" s="63"/>
      <c r="L9" s="63"/>
      <c r="M9" s="63"/>
    </row>
    <row r="10" spans="1:18" ht="9.75" customHeight="1">
      <c r="A10" s="9">
        <f t="shared" si="0"/>
        <v>5</v>
      </c>
      <c r="B10" s="29">
        <v>828</v>
      </c>
      <c r="C10" s="107">
        <f t="shared" si="1"/>
        <v>0</v>
      </c>
      <c r="D10" s="40"/>
      <c r="E10" s="66">
        <f t="shared" si="2"/>
        <v>0.97208978978978977</v>
      </c>
      <c r="F10" s="10"/>
      <c r="G10" s="10">
        <v>46</v>
      </c>
      <c r="H10" s="76">
        <v>0.25250400000000001</v>
      </c>
      <c r="I10" s="76">
        <v>0.71958578978978982</v>
      </c>
      <c r="J10" s="63"/>
      <c r="K10" s="63"/>
      <c r="L10" s="63"/>
      <c r="M10" s="63"/>
    </row>
    <row r="11" spans="1:18" ht="9.75" customHeight="1">
      <c r="A11" s="9">
        <f t="shared" si="0"/>
        <v>6</v>
      </c>
      <c r="B11" s="29" t="s">
        <v>10</v>
      </c>
      <c r="C11" s="107">
        <f t="shared" si="1"/>
        <v>0</v>
      </c>
      <c r="D11" s="40"/>
      <c r="E11" s="66">
        <f t="shared" si="2"/>
        <v>0.97208978978978977</v>
      </c>
      <c r="F11" s="10"/>
      <c r="G11" s="10">
        <v>21.5</v>
      </c>
      <c r="H11" s="76">
        <v>0.25250400000000001</v>
      </c>
      <c r="I11" s="76">
        <v>0.71958578978978982</v>
      </c>
      <c r="J11" s="63"/>
      <c r="K11" s="63"/>
      <c r="L11" s="63"/>
      <c r="M11" s="63"/>
    </row>
    <row r="12" spans="1:18" ht="9.75" customHeight="1">
      <c r="A12" s="9">
        <f t="shared" si="0"/>
        <v>7</v>
      </c>
      <c r="B12" s="29" t="s">
        <v>165</v>
      </c>
      <c r="C12" s="107">
        <f t="shared" si="1"/>
        <v>17.316000000000003</v>
      </c>
      <c r="D12" s="40">
        <f>G12*1.11</f>
        <v>26.64</v>
      </c>
      <c r="E12" s="66">
        <f t="shared" si="2"/>
        <v>27.612089789789792</v>
      </c>
      <c r="F12" s="10"/>
      <c r="G12" s="10">
        <v>24</v>
      </c>
      <c r="H12" s="76">
        <v>0.25250400000000001</v>
      </c>
      <c r="I12" s="76">
        <v>0.71958578978978982</v>
      </c>
      <c r="J12" s="63"/>
      <c r="K12" s="63"/>
      <c r="L12" s="63"/>
      <c r="M12" s="63"/>
      <c r="N12" s="1" t="s">
        <v>163</v>
      </c>
    </row>
    <row r="13" spans="1:18" ht="9.75" customHeight="1">
      <c r="A13" s="9">
        <f t="shared" si="0"/>
        <v>8</v>
      </c>
      <c r="B13" s="11" t="s">
        <v>1</v>
      </c>
      <c r="C13" s="107">
        <f t="shared" si="1"/>
        <v>0</v>
      </c>
      <c r="D13" s="40"/>
      <c r="E13" s="66">
        <f t="shared" si="2"/>
        <v>0.97208978978978977</v>
      </c>
      <c r="F13" s="10"/>
      <c r="G13" s="10">
        <v>64</v>
      </c>
      <c r="H13" s="76">
        <v>0.25250400000000001</v>
      </c>
      <c r="I13" s="76">
        <v>0.71958578978978982</v>
      </c>
      <c r="J13" s="63"/>
      <c r="K13" s="63"/>
      <c r="L13" s="63"/>
      <c r="M13" s="63"/>
    </row>
    <row r="14" spans="1:18" ht="9.75" customHeight="1">
      <c r="A14" s="9">
        <f t="shared" si="0"/>
        <v>9</v>
      </c>
      <c r="B14" s="11" t="s">
        <v>212</v>
      </c>
      <c r="C14" s="107">
        <f t="shared" si="1"/>
        <v>45.815249999999999</v>
      </c>
      <c r="D14" s="40">
        <f>G14*1.11</f>
        <v>70.484999999999999</v>
      </c>
      <c r="E14" s="66">
        <f t="shared" si="2"/>
        <v>71.457089789789791</v>
      </c>
      <c r="F14" s="40"/>
      <c r="G14" s="10">
        <v>63.5</v>
      </c>
      <c r="H14" s="76">
        <v>0.25250400000000001</v>
      </c>
      <c r="I14" s="76">
        <v>0.71958578978978982</v>
      </c>
      <c r="J14" s="63"/>
      <c r="K14" s="63"/>
      <c r="L14" s="63"/>
      <c r="M14" s="63"/>
    </row>
    <row r="15" spans="1:18" ht="9.75" customHeight="1">
      <c r="A15" s="9">
        <f t="shared" si="0"/>
        <v>10</v>
      </c>
      <c r="B15" s="11" t="s">
        <v>11</v>
      </c>
      <c r="C15" s="107">
        <f t="shared" si="1"/>
        <v>28.499250000000004</v>
      </c>
      <c r="D15" s="40">
        <f>G15*1.11</f>
        <v>43.845000000000006</v>
      </c>
      <c r="E15" s="66">
        <f t="shared" si="2"/>
        <v>44.817089789789797</v>
      </c>
      <c r="F15" s="40"/>
      <c r="G15" s="10">
        <v>39.5</v>
      </c>
      <c r="H15" s="76">
        <v>0.25250400000000001</v>
      </c>
      <c r="I15" s="76">
        <v>0.71958578978978982</v>
      </c>
      <c r="J15" s="63"/>
      <c r="K15" s="63"/>
      <c r="L15" s="63"/>
      <c r="M15" s="63"/>
    </row>
    <row r="16" spans="1:18" ht="9.75" customHeight="1">
      <c r="A16" s="9">
        <f t="shared" si="0"/>
        <v>11</v>
      </c>
      <c r="B16" s="29" t="s">
        <v>73</v>
      </c>
      <c r="C16" s="107">
        <f t="shared" si="1"/>
        <v>0</v>
      </c>
      <c r="D16" s="40"/>
      <c r="E16" s="66">
        <f t="shared" si="2"/>
        <v>0.97208978978978977</v>
      </c>
      <c r="F16" s="10"/>
      <c r="G16" s="10">
        <v>43</v>
      </c>
      <c r="H16" s="76">
        <v>0.25250400000000001</v>
      </c>
      <c r="I16" s="76">
        <v>0.71958578978978982</v>
      </c>
      <c r="J16" s="63"/>
      <c r="K16" s="63"/>
      <c r="L16" s="63"/>
      <c r="M16" s="63"/>
    </row>
    <row r="17" spans="1:14" ht="9.75" customHeight="1">
      <c r="A17" s="9">
        <f>A16+1</f>
        <v>12</v>
      </c>
      <c r="B17" s="29" t="s">
        <v>65</v>
      </c>
      <c r="C17" s="107">
        <f t="shared" si="1"/>
        <v>0</v>
      </c>
      <c r="D17" s="40"/>
      <c r="E17" s="66">
        <f t="shared" si="2"/>
        <v>0.97208978978978977</v>
      </c>
      <c r="F17" s="10"/>
      <c r="G17" s="10">
        <v>67.5</v>
      </c>
      <c r="H17" s="76">
        <v>0.25250400000000001</v>
      </c>
      <c r="I17" s="76">
        <v>0.71958578978978982</v>
      </c>
      <c r="J17" s="63"/>
      <c r="K17" s="63"/>
      <c r="L17" s="63"/>
      <c r="M17" s="63"/>
    </row>
    <row r="18" spans="1:14" ht="9.75" customHeight="1">
      <c r="A18" s="9">
        <f t="shared" si="0"/>
        <v>13</v>
      </c>
      <c r="B18" s="29" t="s">
        <v>12</v>
      </c>
      <c r="C18" s="107">
        <f t="shared" si="1"/>
        <v>0</v>
      </c>
      <c r="D18" s="40"/>
      <c r="E18" s="66">
        <f t="shared" si="2"/>
        <v>0.97208978978978977</v>
      </c>
      <c r="F18" s="10"/>
      <c r="G18" s="10">
        <v>43.5</v>
      </c>
      <c r="H18" s="76">
        <v>0.25250400000000001</v>
      </c>
      <c r="I18" s="76">
        <v>0.71958578978978982</v>
      </c>
      <c r="J18" s="63"/>
      <c r="K18" s="63"/>
      <c r="L18" s="63"/>
      <c r="M18" s="63"/>
    </row>
    <row r="19" spans="1:14" ht="9.75" customHeight="1">
      <c r="A19" s="9">
        <f t="shared" si="0"/>
        <v>14</v>
      </c>
      <c r="B19" s="29" t="s">
        <v>226</v>
      </c>
      <c r="C19" s="107">
        <f t="shared" si="1"/>
        <v>30.663750000000004</v>
      </c>
      <c r="D19" s="40">
        <f>G19*1.11</f>
        <v>47.175000000000004</v>
      </c>
      <c r="E19" s="66">
        <f t="shared" si="2"/>
        <v>48.147089789789796</v>
      </c>
      <c r="F19" s="10"/>
      <c r="G19" s="10">
        <v>42.5</v>
      </c>
      <c r="H19" s="76">
        <v>0.25250400000000001</v>
      </c>
      <c r="I19" s="76">
        <v>0.71958578978978982</v>
      </c>
      <c r="J19" s="63"/>
      <c r="K19" s="63"/>
      <c r="L19" s="63"/>
      <c r="M19" s="63"/>
      <c r="N19" s="1" t="s">
        <v>163</v>
      </c>
    </row>
    <row r="20" spans="1:14" ht="9.75" customHeight="1">
      <c r="A20" s="9">
        <f t="shared" si="0"/>
        <v>15</v>
      </c>
      <c r="B20" s="29" t="s">
        <v>124</v>
      </c>
      <c r="C20" s="107">
        <f t="shared" si="1"/>
        <v>25.613250000000004</v>
      </c>
      <c r="D20" s="40">
        <f>G20*1.11</f>
        <v>39.405000000000001</v>
      </c>
      <c r="E20" s="66">
        <f t="shared" si="2"/>
        <v>40.377089789789792</v>
      </c>
      <c r="F20" s="10"/>
      <c r="G20" s="10">
        <v>35.5</v>
      </c>
      <c r="H20" s="76">
        <v>0.25250400000000001</v>
      </c>
      <c r="I20" s="76">
        <v>0.71958578978978982</v>
      </c>
      <c r="J20" s="63"/>
      <c r="K20" s="63"/>
      <c r="L20" s="63"/>
      <c r="M20" s="63"/>
      <c r="N20" s="1" t="s">
        <v>163</v>
      </c>
    </row>
    <row r="21" spans="1:14" ht="9.75" customHeight="1">
      <c r="A21" s="9">
        <f t="shared" si="0"/>
        <v>16</v>
      </c>
      <c r="B21" s="29" t="s">
        <v>133</v>
      </c>
      <c r="C21" s="107">
        <f t="shared" si="1"/>
        <v>36.435750000000006</v>
      </c>
      <c r="D21" s="40">
        <f>G21*1.11</f>
        <v>56.055000000000007</v>
      </c>
      <c r="E21" s="66">
        <f t="shared" si="2"/>
        <v>57.027089789789798</v>
      </c>
      <c r="F21" s="10"/>
      <c r="G21" s="10">
        <v>50.5</v>
      </c>
      <c r="H21" s="76">
        <v>0.25250400000000001</v>
      </c>
      <c r="I21" s="76">
        <v>0.71958578978978982</v>
      </c>
      <c r="J21" s="63"/>
      <c r="K21" s="63"/>
      <c r="L21" s="63"/>
      <c r="M21" s="63"/>
      <c r="N21" s="1" t="s">
        <v>163</v>
      </c>
    </row>
    <row r="22" spans="1:14" ht="9.75" customHeight="1">
      <c r="A22" s="9">
        <f t="shared" si="0"/>
        <v>17</v>
      </c>
      <c r="B22" s="11" t="s">
        <v>0</v>
      </c>
      <c r="C22" s="107">
        <f t="shared" si="1"/>
        <v>0</v>
      </c>
      <c r="D22" s="40"/>
      <c r="E22" s="66">
        <f t="shared" si="2"/>
        <v>0.97208978978978977</v>
      </c>
      <c r="F22" s="10"/>
      <c r="G22" s="10">
        <v>42</v>
      </c>
      <c r="H22" s="76">
        <v>0.25250400000000001</v>
      </c>
      <c r="I22" s="76">
        <v>0.71958578978978982</v>
      </c>
      <c r="J22" s="63"/>
      <c r="K22" s="63"/>
      <c r="L22" s="63"/>
      <c r="M22" s="63"/>
    </row>
    <row r="23" spans="1:14" ht="9.75" customHeight="1">
      <c r="A23" s="9">
        <f t="shared" si="0"/>
        <v>18</v>
      </c>
      <c r="B23" s="11" t="s">
        <v>235</v>
      </c>
      <c r="C23" s="107">
        <f t="shared" si="1"/>
        <v>31.746000000000002</v>
      </c>
      <c r="D23" s="40">
        <f>G23*1.11</f>
        <v>48.84</v>
      </c>
      <c r="E23" s="66">
        <f t="shared" si="2"/>
        <v>49.812089789789795</v>
      </c>
      <c r="F23" s="10"/>
      <c r="G23" s="10">
        <v>44</v>
      </c>
      <c r="H23" s="76">
        <v>0.25250400000000001</v>
      </c>
      <c r="I23" s="76">
        <v>0.71958578978978982</v>
      </c>
      <c r="J23" s="63"/>
      <c r="K23" s="63"/>
      <c r="L23" s="63"/>
      <c r="M23" s="63"/>
      <c r="N23" s="1" t="s">
        <v>163</v>
      </c>
    </row>
    <row r="24" spans="1:14" ht="9.75" customHeight="1">
      <c r="A24" s="9">
        <f t="shared" si="0"/>
        <v>19</v>
      </c>
      <c r="B24" s="29" t="s">
        <v>4</v>
      </c>
      <c r="C24" s="107">
        <f t="shared" si="1"/>
        <v>0</v>
      </c>
      <c r="D24" s="40"/>
      <c r="E24" s="66">
        <f t="shared" si="2"/>
        <v>0.97208978978978977</v>
      </c>
      <c r="F24" s="10"/>
      <c r="G24" s="10">
        <v>18.5</v>
      </c>
      <c r="H24" s="76">
        <v>0.25250400000000001</v>
      </c>
      <c r="I24" s="76">
        <v>0.71958578978978982</v>
      </c>
      <c r="J24" s="63"/>
      <c r="K24" s="63"/>
      <c r="L24" s="63"/>
      <c r="M24" s="63"/>
    </row>
    <row r="25" spans="1:14" ht="9.75" customHeight="1">
      <c r="A25" s="9">
        <f t="shared" si="0"/>
        <v>20</v>
      </c>
      <c r="B25" s="29" t="s">
        <v>74</v>
      </c>
      <c r="C25" s="107">
        <f t="shared" si="1"/>
        <v>0</v>
      </c>
      <c r="D25" s="40"/>
      <c r="E25" s="66">
        <f t="shared" si="2"/>
        <v>0.97208978978978977</v>
      </c>
      <c r="F25" s="10"/>
      <c r="G25" s="10">
        <v>27.5</v>
      </c>
      <c r="H25" s="76">
        <v>0.25250400000000001</v>
      </c>
      <c r="I25" s="76">
        <v>0.71958578978978982</v>
      </c>
      <c r="J25" s="63"/>
      <c r="K25" s="63"/>
      <c r="L25" s="63"/>
      <c r="M25" s="63"/>
    </row>
    <row r="26" spans="1:14" ht="9.75" customHeight="1">
      <c r="A26" s="9">
        <f t="shared" si="0"/>
        <v>21</v>
      </c>
      <c r="B26" s="29" t="s">
        <v>216</v>
      </c>
      <c r="C26" s="107">
        <f t="shared" si="1"/>
        <v>15.873000000000001</v>
      </c>
      <c r="D26" s="40">
        <f>G26*1.11</f>
        <v>24.42</v>
      </c>
      <c r="E26" s="66">
        <f t="shared" si="2"/>
        <v>25.392089789789793</v>
      </c>
      <c r="F26" s="10"/>
      <c r="G26" s="10">
        <v>22</v>
      </c>
      <c r="H26" s="76">
        <v>0.25250400000000001</v>
      </c>
      <c r="I26" s="76">
        <v>0.71958578978978982</v>
      </c>
      <c r="J26" s="63"/>
      <c r="K26" s="63"/>
      <c r="L26" s="63"/>
      <c r="M26" s="63"/>
      <c r="N26" s="1" t="s">
        <v>163</v>
      </c>
    </row>
    <row r="27" spans="1:14" ht="9.75" customHeight="1">
      <c r="A27" s="9">
        <f t="shared" si="0"/>
        <v>22</v>
      </c>
      <c r="B27" s="29" t="s">
        <v>76</v>
      </c>
      <c r="C27" s="107">
        <f t="shared" si="1"/>
        <v>0</v>
      </c>
      <c r="D27" s="40"/>
      <c r="E27" s="66">
        <f t="shared" si="2"/>
        <v>0.97208978978978977</v>
      </c>
      <c r="F27" s="10"/>
      <c r="G27" s="10">
        <v>46.5</v>
      </c>
      <c r="H27" s="76">
        <v>0.25250400000000001</v>
      </c>
      <c r="I27" s="76">
        <v>0.71958578978978982</v>
      </c>
      <c r="J27" s="63"/>
      <c r="K27" s="63"/>
      <c r="L27" s="63"/>
      <c r="M27" s="63"/>
    </row>
    <row r="28" spans="1:14" ht="9.75" customHeight="1">
      <c r="A28" s="9">
        <f t="shared" si="0"/>
        <v>23</v>
      </c>
      <c r="B28" s="29" t="s">
        <v>60</v>
      </c>
      <c r="C28" s="107">
        <f t="shared" si="1"/>
        <v>17.316000000000003</v>
      </c>
      <c r="D28" s="40">
        <f t="shared" ref="D28:D33" si="3">G28*1.11</f>
        <v>26.64</v>
      </c>
      <c r="E28" s="66">
        <f t="shared" si="2"/>
        <v>27.612089789789792</v>
      </c>
      <c r="F28" s="10"/>
      <c r="G28" s="10">
        <v>24</v>
      </c>
      <c r="H28" s="76">
        <v>0.25250400000000001</v>
      </c>
      <c r="I28" s="76">
        <v>0.71958578978978982</v>
      </c>
      <c r="J28" s="63"/>
      <c r="K28" s="63"/>
      <c r="L28" s="63"/>
      <c r="M28" s="63"/>
      <c r="N28" s="1" t="s">
        <v>163</v>
      </c>
    </row>
    <row r="29" spans="1:14" ht="9.75" customHeight="1">
      <c r="A29" s="9">
        <f t="shared" si="0"/>
        <v>24</v>
      </c>
      <c r="B29" s="29" t="s">
        <v>132</v>
      </c>
      <c r="C29" s="107">
        <f t="shared" si="1"/>
        <v>28.138500000000004</v>
      </c>
      <c r="D29" s="40">
        <f t="shared" si="3"/>
        <v>43.290000000000006</v>
      </c>
      <c r="E29" s="66">
        <f t="shared" si="2"/>
        <v>44.262089789789798</v>
      </c>
      <c r="F29" s="10"/>
      <c r="G29" s="10">
        <v>39</v>
      </c>
      <c r="H29" s="76">
        <v>0.25250400000000001</v>
      </c>
      <c r="I29" s="76">
        <v>0.71958578978978982</v>
      </c>
      <c r="J29" s="63"/>
      <c r="K29" s="63"/>
      <c r="L29" s="63"/>
      <c r="M29" s="63"/>
      <c r="N29" s="1" t="s">
        <v>163</v>
      </c>
    </row>
    <row r="30" spans="1:14" ht="9.75" customHeight="1">
      <c r="A30" s="9">
        <f t="shared" si="0"/>
        <v>25</v>
      </c>
      <c r="B30" s="29" t="s">
        <v>191</v>
      </c>
      <c r="C30" s="107">
        <f t="shared" si="1"/>
        <v>31.385249999999999</v>
      </c>
      <c r="D30" s="40">
        <f t="shared" si="3"/>
        <v>48.285000000000004</v>
      </c>
      <c r="E30" s="66">
        <f t="shared" si="2"/>
        <v>49.257089789789795</v>
      </c>
      <c r="F30" s="10"/>
      <c r="G30" s="10">
        <v>43.5</v>
      </c>
      <c r="H30" s="76">
        <v>0.25250400000000001</v>
      </c>
      <c r="I30" s="76">
        <v>0.71958578978978982</v>
      </c>
      <c r="J30" s="63"/>
      <c r="K30" s="63"/>
      <c r="L30" s="63"/>
      <c r="M30" s="63"/>
      <c r="N30" s="1" t="s">
        <v>163</v>
      </c>
    </row>
    <row r="31" spans="1:14" ht="9.75" customHeight="1">
      <c r="A31" s="9">
        <f t="shared" si="0"/>
        <v>26</v>
      </c>
      <c r="B31" s="29" t="s">
        <v>13</v>
      </c>
      <c r="C31" s="107">
        <f t="shared" si="1"/>
        <v>9.0187500000000007</v>
      </c>
      <c r="D31" s="40">
        <f t="shared" si="3"/>
        <v>13.875000000000002</v>
      </c>
      <c r="E31" s="66">
        <f t="shared" si="2"/>
        <v>14.847089789789791</v>
      </c>
      <c r="F31" s="10"/>
      <c r="G31" s="10">
        <v>12.5</v>
      </c>
      <c r="H31" s="76">
        <v>0.25250400000000001</v>
      </c>
      <c r="I31" s="76">
        <v>0.71958578978978982</v>
      </c>
      <c r="J31" s="63"/>
      <c r="K31" s="63"/>
      <c r="L31" s="63"/>
      <c r="M31" s="63"/>
      <c r="N31" s="1" t="s">
        <v>163</v>
      </c>
    </row>
    <row r="32" spans="1:14" ht="9.75" customHeight="1">
      <c r="A32" s="9">
        <f t="shared" si="0"/>
        <v>27</v>
      </c>
      <c r="B32" s="29" t="s">
        <v>14</v>
      </c>
      <c r="C32" s="107">
        <f t="shared" si="1"/>
        <v>12.987</v>
      </c>
      <c r="D32" s="40">
        <f t="shared" si="3"/>
        <v>19.98</v>
      </c>
      <c r="E32" s="66">
        <f t="shared" si="2"/>
        <v>20.952089789789792</v>
      </c>
      <c r="F32" s="10"/>
      <c r="G32" s="10">
        <v>18</v>
      </c>
      <c r="H32" s="76">
        <v>0.25250400000000001</v>
      </c>
      <c r="I32" s="76">
        <v>0.71958578978978982</v>
      </c>
      <c r="J32" s="63"/>
      <c r="K32" s="63"/>
      <c r="L32" s="63"/>
      <c r="M32" s="63"/>
      <c r="N32" s="1" t="s">
        <v>163</v>
      </c>
    </row>
    <row r="33" spans="1:14" ht="9.75" customHeight="1">
      <c r="A33" s="9">
        <f t="shared" si="0"/>
        <v>28</v>
      </c>
      <c r="B33" s="29" t="s">
        <v>15</v>
      </c>
      <c r="C33" s="107">
        <f t="shared" si="1"/>
        <v>17.316000000000003</v>
      </c>
      <c r="D33" s="40">
        <f t="shared" si="3"/>
        <v>26.64</v>
      </c>
      <c r="E33" s="66">
        <f t="shared" si="2"/>
        <v>27.612089789789792</v>
      </c>
      <c r="F33" s="10"/>
      <c r="G33" s="10">
        <v>24</v>
      </c>
      <c r="H33" s="76">
        <v>0.25250400000000001</v>
      </c>
      <c r="I33" s="76">
        <v>0.71958578978978982</v>
      </c>
      <c r="J33" s="63"/>
      <c r="K33" s="63"/>
      <c r="L33" s="63"/>
      <c r="M33" s="63"/>
      <c r="N33" s="1" t="s">
        <v>163</v>
      </c>
    </row>
    <row r="34" spans="1:14" ht="9.75" customHeight="1">
      <c r="A34" s="9">
        <f t="shared" si="0"/>
        <v>29</v>
      </c>
      <c r="B34" s="11" t="s">
        <v>5</v>
      </c>
      <c r="C34" s="107">
        <f t="shared" si="1"/>
        <v>0</v>
      </c>
      <c r="D34" s="40"/>
      <c r="E34" s="66">
        <f t="shared" si="2"/>
        <v>0.97208978978978977</v>
      </c>
      <c r="F34" s="10"/>
      <c r="G34" s="10">
        <v>16</v>
      </c>
      <c r="H34" s="76">
        <v>0.25250400000000001</v>
      </c>
      <c r="I34" s="76">
        <v>0.71958578978978982</v>
      </c>
      <c r="J34" s="63"/>
      <c r="K34" s="63"/>
      <c r="L34" s="63"/>
      <c r="M34" s="63"/>
    </row>
    <row r="35" spans="1:14" ht="9.75" customHeight="1">
      <c r="A35" s="9">
        <f t="shared" si="0"/>
        <v>30</v>
      </c>
      <c r="B35" s="29" t="s">
        <v>16</v>
      </c>
      <c r="C35" s="107">
        <f t="shared" si="1"/>
        <v>13.708500000000001</v>
      </c>
      <c r="D35" s="40">
        <f>G35*1.11</f>
        <v>21.090000000000003</v>
      </c>
      <c r="E35" s="66">
        <f t="shared" si="2"/>
        <v>22.062089789789795</v>
      </c>
      <c r="F35" s="10"/>
      <c r="G35" s="10">
        <v>19</v>
      </c>
      <c r="H35" s="76">
        <v>0.25250400000000001</v>
      </c>
      <c r="I35" s="76">
        <v>0.71958578978978982</v>
      </c>
      <c r="J35" s="63"/>
      <c r="K35" s="63"/>
      <c r="L35" s="63"/>
      <c r="M35" s="63"/>
      <c r="N35" s="1" t="s">
        <v>163</v>
      </c>
    </row>
    <row r="36" spans="1:14" ht="9.75" customHeight="1">
      <c r="A36" s="9">
        <f t="shared" si="0"/>
        <v>31</v>
      </c>
      <c r="B36" s="29" t="s">
        <v>221</v>
      </c>
      <c r="C36" s="107">
        <f t="shared" si="1"/>
        <v>55.555500000000009</v>
      </c>
      <c r="D36" s="40">
        <f>G36*1.11</f>
        <v>85.470000000000013</v>
      </c>
      <c r="E36" s="66">
        <f t="shared" si="2"/>
        <v>86.442089789789804</v>
      </c>
      <c r="F36" s="10"/>
      <c r="G36" s="10">
        <v>77</v>
      </c>
      <c r="H36" s="76">
        <v>0.25250400000000001</v>
      </c>
      <c r="I36" s="76">
        <v>0.71958578978978982</v>
      </c>
      <c r="J36" s="63"/>
      <c r="K36" s="63"/>
      <c r="L36" s="63"/>
      <c r="M36" s="63"/>
      <c r="N36" s="1" t="s">
        <v>163</v>
      </c>
    </row>
    <row r="37" spans="1:14" ht="9.75" customHeight="1">
      <c r="A37" s="9">
        <f t="shared" si="0"/>
        <v>32</v>
      </c>
      <c r="B37" s="29" t="s">
        <v>204</v>
      </c>
      <c r="C37" s="107">
        <f t="shared" si="1"/>
        <v>37.518000000000001</v>
      </c>
      <c r="D37" s="40">
        <f>G37*1.11</f>
        <v>57.720000000000006</v>
      </c>
      <c r="E37" s="66">
        <f t="shared" si="2"/>
        <v>58.692089789789797</v>
      </c>
      <c r="F37" s="10"/>
      <c r="G37" s="10">
        <v>52</v>
      </c>
      <c r="H37" s="76">
        <v>0.25250400000000001</v>
      </c>
      <c r="I37" s="76">
        <v>0.71958578978978982</v>
      </c>
      <c r="J37" s="63"/>
      <c r="K37" s="63"/>
      <c r="L37" s="63"/>
      <c r="M37" s="63"/>
      <c r="N37" s="1" t="s">
        <v>163</v>
      </c>
    </row>
    <row r="38" spans="1:14" ht="9.75" customHeight="1">
      <c r="A38" s="9">
        <f t="shared" si="0"/>
        <v>33</v>
      </c>
      <c r="B38" s="29" t="s">
        <v>203</v>
      </c>
      <c r="C38" s="107">
        <f t="shared" si="1"/>
        <v>36.796500000000009</v>
      </c>
      <c r="D38" s="40">
        <f>G38*1.11</f>
        <v>56.610000000000007</v>
      </c>
      <c r="E38" s="66">
        <f t="shared" si="2"/>
        <v>57.582089789789798</v>
      </c>
      <c r="F38" s="10"/>
      <c r="G38" s="10">
        <v>51</v>
      </c>
      <c r="H38" s="76">
        <v>0.25250400000000001</v>
      </c>
      <c r="I38" s="76">
        <v>0.71958578978978982</v>
      </c>
      <c r="J38" s="63"/>
      <c r="K38" s="63"/>
      <c r="L38" s="63"/>
      <c r="M38" s="63"/>
      <c r="N38" s="1" t="s">
        <v>163</v>
      </c>
    </row>
    <row r="39" spans="1:14" ht="9.75" customHeight="1">
      <c r="A39" s="9">
        <f t="shared" si="0"/>
        <v>34</v>
      </c>
      <c r="B39" s="29" t="s">
        <v>17</v>
      </c>
      <c r="C39" s="107">
        <f t="shared" si="1"/>
        <v>0</v>
      </c>
      <c r="D39" s="40"/>
      <c r="E39" s="66">
        <f t="shared" si="2"/>
        <v>0.97208978978978977</v>
      </c>
      <c r="F39" s="10"/>
      <c r="G39" s="10">
        <v>20.5</v>
      </c>
      <c r="H39" s="76">
        <v>0.25250400000000001</v>
      </c>
      <c r="I39" s="76">
        <v>0.71958578978978982</v>
      </c>
      <c r="J39" s="63"/>
      <c r="K39" s="63"/>
      <c r="L39" s="63"/>
      <c r="M39" s="63"/>
    </row>
    <row r="40" spans="1:14" ht="9.75" customHeight="1">
      <c r="A40" s="9">
        <f t="shared" si="0"/>
        <v>35</v>
      </c>
      <c r="B40" s="29" t="s">
        <v>231</v>
      </c>
      <c r="C40" s="107">
        <f t="shared" si="1"/>
        <v>36.796500000000009</v>
      </c>
      <c r="D40" s="40">
        <f t="shared" ref="D40:D47" si="4">G40*1.11</f>
        <v>56.610000000000007</v>
      </c>
      <c r="E40" s="66">
        <f t="shared" si="2"/>
        <v>57.582089789789798</v>
      </c>
      <c r="F40" s="10"/>
      <c r="G40" s="10">
        <v>51</v>
      </c>
      <c r="H40" s="76">
        <v>0.25250400000000001</v>
      </c>
      <c r="I40" s="76">
        <v>0.71958578978978982</v>
      </c>
      <c r="J40" s="63"/>
      <c r="K40" s="63"/>
      <c r="L40" s="63"/>
      <c r="M40" s="63"/>
      <c r="N40" s="1" t="s">
        <v>163</v>
      </c>
    </row>
    <row r="41" spans="1:14" ht="9.75" customHeight="1">
      <c r="A41" s="9">
        <f t="shared" si="0"/>
        <v>36</v>
      </c>
      <c r="B41" s="29" t="s">
        <v>233</v>
      </c>
      <c r="C41" s="107">
        <f t="shared" si="1"/>
        <v>36.796500000000009</v>
      </c>
      <c r="D41" s="40">
        <f t="shared" si="4"/>
        <v>56.610000000000007</v>
      </c>
      <c r="E41" s="66">
        <f t="shared" si="2"/>
        <v>57.582089789789798</v>
      </c>
      <c r="F41" s="10"/>
      <c r="G41" s="10">
        <v>51</v>
      </c>
      <c r="H41" s="76">
        <v>0.25250400000000001</v>
      </c>
      <c r="I41" s="76">
        <v>0.71958578978978982</v>
      </c>
      <c r="J41" s="63"/>
      <c r="K41" s="63"/>
      <c r="L41" s="63"/>
      <c r="M41" s="63"/>
      <c r="N41" s="1" t="s">
        <v>163</v>
      </c>
    </row>
    <row r="42" spans="1:14" ht="9.75" customHeight="1">
      <c r="A42" s="9">
        <f t="shared" si="0"/>
        <v>37</v>
      </c>
      <c r="B42" s="29" t="s">
        <v>164</v>
      </c>
      <c r="C42" s="107">
        <f t="shared" si="1"/>
        <v>12.987</v>
      </c>
      <c r="D42" s="40">
        <f t="shared" si="4"/>
        <v>19.98</v>
      </c>
      <c r="E42" s="66">
        <f t="shared" si="2"/>
        <v>20.952089789789792</v>
      </c>
      <c r="F42" s="10"/>
      <c r="G42" s="10">
        <v>18</v>
      </c>
      <c r="H42" s="76">
        <v>0.25250400000000001</v>
      </c>
      <c r="I42" s="76">
        <v>0.71958578978978982</v>
      </c>
      <c r="J42" s="63"/>
      <c r="K42" s="63"/>
      <c r="L42" s="63"/>
      <c r="M42" s="63"/>
      <c r="N42" s="1" t="s">
        <v>163</v>
      </c>
    </row>
    <row r="43" spans="1:14" ht="9.75" customHeight="1">
      <c r="A43" s="9">
        <f t="shared" si="0"/>
        <v>38</v>
      </c>
      <c r="B43" s="29" t="s">
        <v>210</v>
      </c>
      <c r="C43" s="107">
        <f t="shared" si="1"/>
        <v>47.258250000000004</v>
      </c>
      <c r="D43" s="40">
        <f t="shared" si="4"/>
        <v>72.705000000000013</v>
      </c>
      <c r="E43" s="66">
        <f t="shared" si="2"/>
        <v>73.677089789789804</v>
      </c>
      <c r="F43" s="10"/>
      <c r="G43" s="10">
        <v>65.5</v>
      </c>
      <c r="H43" s="76">
        <v>0.25250400000000001</v>
      </c>
      <c r="I43" s="76">
        <v>0.71958578978978982</v>
      </c>
      <c r="J43" s="63"/>
      <c r="K43" s="63"/>
      <c r="L43" s="63"/>
      <c r="M43" s="63"/>
      <c r="N43" s="1" t="s">
        <v>163</v>
      </c>
    </row>
    <row r="44" spans="1:14" ht="9.75" customHeight="1">
      <c r="A44" s="9">
        <f t="shared" si="0"/>
        <v>39</v>
      </c>
      <c r="B44" s="29" t="s">
        <v>232</v>
      </c>
      <c r="C44" s="107">
        <f t="shared" si="1"/>
        <v>46.176000000000002</v>
      </c>
      <c r="D44" s="40">
        <f t="shared" si="4"/>
        <v>71.040000000000006</v>
      </c>
      <c r="E44" s="66">
        <f t="shared" si="2"/>
        <v>72.012089789789798</v>
      </c>
      <c r="F44" s="10"/>
      <c r="G44" s="10">
        <v>64</v>
      </c>
      <c r="H44" s="76">
        <v>0.25250400000000001</v>
      </c>
      <c r="I44" s="76">
        <v>0.71958578978978982</v>
      </c>
      <c r="J44" s="63"/>
      <c r="K44" s="63"/>
      <c r="L44" s="63"/>
      <c r="M44" s="63"/>
      <c r="N44" s="1" t="s">
        <v>163</v>
      </c>
    </row>
    <row r="45" spans="1:14" ht="9.75" customHeight="1">
      <c r="A45" s="9">
        <f t="shared" si="0"/>
        <v>40</v>
      </c>
      <c r="B45" s="29" t="s">
        <v>130</v>
      </c>
      <c r="C45" s="107">
        <f t="shared" si="1"/>
        <v>34.992750000000008</v>
      </c>
      <c r="D45" s="40">
        <f t="shared" si="4"/>
        <v>53.835000000000008</v>
      </c>
      <c r="E45" s="66">
        <f t="shared" si="2"/>
        <v>54.807089789789799</v>
      </c>
      <c r="F45" s="10"/>
      <c r="G45" s="10">
        <v>48.5</v>
      </c>
      <c r="H45" s="76">
        <v>0.25250400000000001</v>
      </c>
      <c r="I45" s="76">
        <v>0.71958578978978982</v>
      </c>
      <c r="J45" s="63"/>
      <c r="K45" s="63"/>
      <c r="L45" s="63"/>
      <c r="M45" s="63"/>
      <c r="N45" s="1" t="s">
        <v>163</v>
      </c>
    </row>
    <row r="46" spans="1:14" ht="9.75" customHeight="1">
      <c r="A46" s="9">
        <f t="shared" si="0"/>
        <v>41</v>
      </c>
      <c r="B46" s="29" t="s">
        <v>190</v>
      </c>
      <c r="C46" s="107">
        <f t="shared" si="1"/>
        <v>40.764750000000006</v>
      </c>
      <c r="D46" s="40">
        <f t="shared" si="4"/>
        <v>62.715000000000003</v>
      </c>
      <c r="E46" s="66">
        <f t="shared" si="2"/>
        <v>63.687089789789795</v>
      </c>
      <c r="F46" s="10"/>
      <c r="G46" s="10">
        <v>56.5</v>
      </c>
      <c r="H46" s="76">
        <v>0.25250400000000001</v>
      </c>
      <c r="I46" s="76">
        <v>0.71958578978978982</v>
      </c>
      <c r="J46" s="63"/>
      <c r="K46" s="63"/>
      <c r="L46" s="63"/>
      <c r="M46" s="63"/>
      <c r="N46" s="1" t="s">
        <v>163</v>
      </c>
    </row>
    <row r="47" spans="1:14" ht="9.75" customHeight="1">
      <c r="A47" s="9">
        <f t="shared" si="0"/>
        <v>42</v>
      </c>
      <c r="B47" s="29" t="s">
        <v>72</v>
      </c>
      <c r="C47" s="107">
        <f t="shared" si="1"/>
        <v>51.226500000000009</v>
      </c>
      <c r="D47" s="40">
        <f t="shared" si="4"/>
        <v>78.81</v>
      </c>
      <c r="E47" s="66">
        <f t="shared" si="2"/>
        <v>79.782089789789794</v>
      </c>
      <c r="F47" s="10"/>
      <c r="G47" s="10">
        <v>71</v>
      </c>
      <c r="H47" s="76">
        <v>0.25250400000000001</v>
      </c>
      <c r="I47" s="76">
        <v>0.71958578978978982</v>
      </c>
      <c r="J47" s="63"/>
      <c r="K47" s="63"/>
      <c r="L47" s="63"/>
      <c r="M47" s="63"/>
      <c r="N47" s="1" t="s">
        <v>163</v>
      </c>
    </row>
    <row r="48" spans="1:14" ht="9.75" customHeight="1">
      <c r="A48" s="9">
        <f t="shared" si="0"/>
        <v>43</v>
      </c>
      <c r="B48" s="11" t="s">
        <v>2</v>
      </c>
      <c r="C48" s="107">
        <f t="shared" si="1"/>
        <v>0</v>
      </c>
      <c r="D48" s="40"/>
      <c r="E48" s="66">
        <f t="shared" si="2"/>
        <v>0.97208978978978977</v>
      </c>
      <c r="F48" s="10"/>
      <c r="G48" s="10">
        <v>32</v>
      </c>
      <c r="H48" s="76">
        <v>0.25250400000000001</v>
      </c>
      <c r="I48" s="76">
        <v>0.71958578978978982</v>
      </c>
      <c r="J48" s="63"/>
      <c r="K48" s="63"/>
      <c r="L48" s="63"/>
      <c r="M48" s="63"/>
    </row>
    <row r="49" spans="1:14" ht="9.75" customHeight="1">
      <c r="A49" s="9">
        <f t="shared" si="0"/>
        <v>44</v>
      </c>
      <c r="B49" s="11" t="s">
        <v>230</v>
      </c>
      <c r="C49" s="107">
        <f t="shared" si="1"/>
        <v>34.271250000000002</v>
      </c>
      <c r="D49" s="40">
        <f>G49*1.11</f>
        <v>52.725000000000001</v>
      </c>
      <c r="E49" s="66">
        <f t="shared" si="2"/>
        <v>53.697089789789793</v>
      </c>
      <c r="F49" s="10"/>
      <c r="G49" s="10">
        <v>47.5</v>
      </c>
      <c r="H49" s="76">
        <v>0.25250400000000001</v>
      </c>
      <c r="I49" s="76">
        <v>0.71958578978978982</v>
      </c>
      <c r="J49" s="63"/>
      <c r="K49" s="63"/>
      <c r="L49" s="63"/>
      <c r="M49" s="63"/>
      <c r="N49" s="1" t="s">
        <v>163</v>
      </c>
    </row>
    <row r="50" spans="1:14" ht="9.75" customHeight="1">
      <c r="A50" s="9">
        <f t="shared" si="0"/>
        <v>45</v>
      </c>
      <c r="B50" s="11" t="s">
        <v>225</v>
      </c>
      <c r="C50" s="107">
        <f t="shared" si="1"/>
        <v>30.663750000000004</v>
      </c>
      <c r="D50" s="40">
        <f>G50*1.11</f>
        <v>47.175000000000004</v>
      </c>
      <c r="E50" s="66">
        <f t="shared" si="2"/>
        <v>48.147089789789796</v>
      </c>
      <c r="F50" s="10"/>
      <c r="G50" s="10">
        <v>42.5</v>
      </c>
      <c r="H50" s="76">
        <v>0.25250400000000001</v>
      </c>
      <c r="I50" s="76">
        <v>0.71958578978978982</v>
      </c>
      <c r="J50" s="63"/>
      <c r="K50" s="63"/>
      <c r="L50" s="63"/>
      <c r="M50" s="63"/>
      <c r="N50" s="1" t="s">
        <v>163</v>
      </c>
    </row>
    <row r="51" spans="1:14" ht="9.75" customHeight="1">
      <c r="A51" s="9">
        <f t="shared" si="0"/>
        <v>46</v>
      </c>
      <c r="B51" s="29" t="s">
        <v>68</v>
      </c>
      <c r="C51" s="107">
        <f t="shared" si="1"/>
        <v>9.0187500000000007</v>
      </c>
      <c r="D51" s="40">
        <f>G51*1.11</f>
        <v>13.875000000000002</v>
      </c>
      <c r="E51" s="66">
        <f t="shared" si="2"/>
        <v>14.847089789789791</v>
      </c>
      <c r="F51" s="10"/>
      <c r="G51" s="10">
        <v>12.5</v>
      </c>
      <c r="H51" s="76">
        <v>0.25250400000000001</v>
      </c>
      <c r="I51" s="76">
        <v>0.71958578978978982</v>
      </c>
      <c r="J51" s="63"/>
      <c r="K51" s="63"/>
      <c r="L51" s="63"/>
      <c r="M51" s="63"/>
      <c r="N51" s="1" t="s">
        <v>163</v>
      </c>
    </row>
    <row r="52" spans="1:14" ht="9.75" customHeight="1">
      <c r="A52" s="9">
        <f t="shared" si="0"/>
        <v>47</v>
      </c>
      <c r="B52" s="34" t="s">
        <v>144</v>
      </c>
      <c r="C52" s="107">
        <f t="shared" si="1"/>
        <v>13.65</v>
      </c>
      <c r="D52" s="59">
        <v>21</v>
      </c>
      <c r="E52" s="66">
        <f t="shared" si="2"/>
        <v>21.972089789789791</v>
      </c>
      <c r="F52" s="32"/>
      <c r="G52" s="32">
        <v>30</v>
      </c>
      <c r="H52" s="76">
        <v>0.25250400000000001</v>
      </c>
      <c r="I52" s="76">
        <v>0.71958578978978982</v>
      </c>
      <c r="J52" s="75"/>
      <c r="K52" s="75"/>
      <c r="L52" s="75"/>
      <c r="M52" s="75"/>
      <c r="N52" s="1" t="s">
        <v>138</v>
      </c>
    </row>
    <row r="53" spans="1:14" ht="9.75" customHeight="1">
      <c r="A53" s="9">
        <f t="shared" si="0"/>
        <v>48</v>
      </c>
      <c r="B53" s="34" t="s">
        <v>145</v>
      </c>
      <c r="C53" s="107">
        <f t="shared" si="1"/>
        <v>15.925000000000001</v>
      </c>
      <c r="D53" s="59">
        <v>24.5</v>
      </c>
      <c r="E53" s="66">
        <f t="shared" si="2"/>
        <v>25.472089789789791</v>
      </c>
      <c r="F53" s="32"/>
      <c r="G53" s="32">
        <v>35</v>
      </c>
      <c r="H53" s="76">
        <v>0.25250400000000001</v>
      </c>
      <c r="I53" s="76">
        <v>0.71958578978978982</v>
      </c>
      <c r="J53" s="75"/>
      <c r="K53" s="75"/>
      <c r="L53" s="75"/>
      <c r="M53" s="75"/>
      <c r="N53" s="1" t="s">
        <v>138</v>
      </c>
    </row>
    <row r="54" spans="1:14" ht="9.75" customHeight="1">
      <c r="A54" s="9">
        <f t="shared" si="0"/>
        <v>49</v>
      </c>
      <c r="B54" s="34" t="s">
        <v>147</v>
      </c>
      <c r="C54" s="107">
        <f t="shared" si="1"/>
        <v>11.7</v>
      </c>
      <c r="D54" s="59">
        <v>18</v>
      </c>
      <c r="E54" s="66">
        <f t="shared" si="2"/>
        <v>18.972089789789791</v>
      </c>
      <c r="F54" s="32"/>
      <c r="G54" s="32"/>
      <c r="H54" s="76">
        <v>0.25250400000000001</v>
      </c>
      <c r="I54" s="76">
        <v>0.71958578978978982</v>
      </c>
      <c r="J54" s="75"/>
      <c r="K54" s="75"/>
      <c r="L54" s="75"/>
      <c r="M54" s="75"/>
      <c r="N54" s="1" t="s">
        <v>138</v>
      </c>
    </row>
    <row r="55" spans="1:14" ht="9.75" customHeight="1">
      <c r="A55" s="9">
        <f t="shared" si="0"/>
        <v>50</v>
      </c>
      <c r="B55" s="34" t="s">
        <v>148</v>
      </c>
      <c r="C55" s="107">
        <f t="shared" si="1"/>
        <v>11.7</v>
      </c>
      <c r="D55" s="59">
        <v>18</v>
      </c>
      <c r="E55" s="66">
        <f t="shared" si="2"/>
        <v>18.972089789789791</v>
      </c>
      <c r="F55" s="32"/>
      <c r="G55" s="32"/>
      <c r="H55" s="76">
        <v>0.25250400000000001</v>
      </c>
      <c r="I55" s="76">
        <v>0.71958578978978982</v>
      </c>
      <c r="J55" s="75"/>
      <c r="K55" s="75"/>
      <c r="L55" s="75"/>
      <c r="M55" s="75"/>
      <c r="N55" s="1" t="s">
        <v>138</v>
      </c>
    </row>
    <row r="56" spans="1:14" ht="9.75" customHeight="1">
      <c r="A56" s="9">
        <f t="shared" si="0"/>
        <v>51</v>
      </c>
      <c r="B56" s="34" t="s">
        <v>149</v>
      </c>
      <c r="C56" s="107">
        <f t="shared" si="1"/>
        <v>11.7</v>
      </c>
      <c r="D56" s="59">
        <v>18</v>
      </c>
      <c r="E56" s="66">
        <f t="shared" si="2"/>
        <v>18.972089789789791</v>
      </c>
      <c r="F56" s="32"/>
      <c r="G56" s="32"/>
      <c r="H56" s="76">
        <v>0.25250400000000001</v>
      </c>
      <c r="I56" s="76">
        <v>0.71958578978978982</v>
      </c>
      <c r="J56" s="75"/>
      <c r="K56" s="75"/>
      <c r="L56" s="75"/>
      <c r="M56" s="75"/>
      <c r="N56" s="1" t="s">
        <v>138</v>
      </c>
    </row>
    <row r="57" spans="1:14" ht="9.75" customHeight="1">
      <c r="A57" s="9">
        <f t="shared" si="0"/>
        <v>52</v>
      </c>
      <c r="B57" s="29" t="s">
        <v>18</v>
      </c>
      <c r="C57" s="107">
        <f t="shared" si="1"/>
        <v>14.069250000000002</v>
      </c>
      <c r="D57" s="40">
        <f>G57*1.11</f>
        <v>21.645000000000003</v>
      </c>
      <c r="E57" s="66">
        <f t="shared" si="2"/>
        <v>22.617089789789794</v>
      </c>
      <c r="F57" s="10"/>
      <c r="G57" s="10">
        <v>19.5</v>
      </c>
      <c r="H57" s="76">
        <v>0.25250400000000001</v>
      </c>
      <c r="I57" s="76">
        <v>0.71958578978978982</v>
      </c>
      <c r="J57" s="63"/>
      <c r="K57" s="63"/>
      <c r="L57" s="63"/>
      <c r="M57" s="63"/>
      <c r="N57" s="1" t="s">
        <v>163</v>
      </c>
    </row>
    <row r="58" spans="1:14" ht="9.75" customHeight="1">
      <c r="A58" s="9">
        <f t="shared" si="0"/>
        <v>53</v>
      </c>
      <c r="B58" s="29" t="s">
        <v>121</v>
      </c>
      <c r="C58" s="107">
        <f t="shared" si="1"/>
        <v>10.822500000000002</v>
      </c>
      <c r="D58" s="40">
        <f>G58*1.11</f>
        <v>16.650000000000002</v>
      </c>
      <c r="E58" s="66">
        <f t="shared" si="2"/>
        <v>17.622089789789793</v>
      </c>
      <c r="F58" s="10"/>
      <c r="G58" s="10">
        <v>15</v>
      </c>
      <c r="H58" s="76">
        <v>0.25250400000000001</v>
      </c>
      <c r="I58" s="76">
        <v>0.71958578978978982</v>
      </c>
      <c r="J58" s="63"/>
      <c r="K58" s="63"/>
      <c r="L58" s="63"/>
      <c r="M58" s="63"/>
      <c r="N58" s="1" t="s">
        <v>163</v>
      </c>
    </row>
    <row r="59" spans="1:14" ht="9.75" customHeight="1">
      <c r="A59" s="9">
        <f t="shared" si="0"/>
        <v>54</v>
      </c>
      <c r="B59" s="11" t="s">
        <v>19</v>
      </c>
      <c r="C59" s="107">
        <f t="shared" si="1"/>
        <v>0</v>
      </c>
      <c r="D59" s="40"/>
      <c r="E59" s="66">
        <f t="shared" si="2"/>
        <v>0.97208978978978977</v>
      </c>
      <c r="F59" s="10"/>
      <c r="G59" s="10">
        <v>22</v>
      </c>
      <c r="H59" s="76">
        <v>0.25250400000000001</v>
      </c>
      <c r="I59" s="76">
        <v>0.71958578978978982</v>
      </c>
      <c r="J59" s="63"/>
      <c r="K59" s="63"/>
      <c r="L59" s="63"/>
      <c r="M59" s="63"/>
    </row>
    <row r="60" spans="1:14" ht="9.75" customHeight="1">
      <c r="A60" s="9">
        <f t="shared" si="0"/>
        <v>55</v>
      </c>
      <c r="B60" s="11" t="s">
        <v>166</v>
      </c>
      <c r="C60" s="107">
        <f t="shared" si="1"/>
        <v>18.759</v>
      </c>
      <c r="D60" s="40">
        <f>G60*1.11</f>
        <v>28.860000000000003</v>
      </c>
      <c r="E60" s="66">
        <f t="shared" si="2"/>
        <v>29.832089789789794</v>
      </c>
      <c r="F60" s="10"/>
      <c r="G60" s="10">
        <v>26</v>
      </c>
      <c r="H60" s="76">
        <v>0.25250400000000001</v>
      </c>
      <c r="I60" s="76">
        <v>0.71958578978978982</v>
      </c>
      <c r="J60" s="63"/>
      <c r="K60" s="63"/>
      <c r="L60" s="63"/>
      <c r="M60" s="63"/>
      <c r="N60" s="1" t="s">
        <v>163</v>
      </c>
    </row>
    <row r="61" spans="1:14" ht="9.75" customHeight="1">
      <c r="A61" s="9">
        <f t="shared" si="0"/>
        <v>56</v>
      </c>
      <c r="B61" s="11" t="s">
        <v>167</v>
      </c>
      <c r="C61" s="107">
        <f t="shared" si="1"/>
        <v>20.562750000000001</v>
      </c>
      <c r="D61" s="40">
        <f>G61*1.11</f>
        <v>31.635000000000002</v>
      </c>
      <c r="E61" s="66">
        <f t="shared" si="2"/>
        <v>32.607089789789789</v>
      </c>
      <c r="F61" s="10"/>
      <c r="G61" s="10">
        <v>28.5</v>
      </c>
      <c r="H61" s="76">
        <v>0.25250400000000001</v>
      </c>
      <c r="I61" s="76">
        <v>0.71958578978978982</v>
      </c>
      <c r="J61" s="63"/>
      <c r="K61" s="63"/>
      <c r="L61" s="63"/>
      <c r="M61" s="63"/>
      <c r="N61" s="1" t="s">
        <v>163</v>
      </c>
    </row>
    <row r="62" spans="1:14" ht="9.75" customHeight="1">
      <c r="A62" s="9">
        <f t="shared" si="0"/>
        <v>57</v>
      </c>
      <c r="B62" s="29" t="s">
        <v>120</v>
      </c>
      <c r="C62" s="107">
        <f t="shared" si="1"/>
        <v>20.923500000000004</v>
      </c>
      <c r="D62" s="40">
        <f>G62*1.11</f>
        <v>32.190000000000005</v>
      </c>
      <c r="E62" s="66">
        <f t="shared" si="2"/>
        <v>33.162089789789796</v>
      </c>
      <c r="F62" s="10"/>
      <c r="G62" s="10">
        <v>29</v>
      </c>
      <c r="H62" s="76">
        <v>0.25250400000000001</v>
      </c>
      <c r="I62" s="76">
        <v>0.71958578978978982</v>
      </c>
      <c r="J62" s="63"/>
      <c r="K62" s="63"/>
      <c r="L62" s="63"/>
      <c r="M62" s="63"/>
      <c r="N62" s="1" t="s">
        <v>163</v>
      </c>
    </row>
    <row r="63" spans="1:14" ht="9.75" customHeight="1">
      <c r="A63" s="9">
        <f t="shared" si="0"/>
        <v>58</v>
      </c>
      <c r="B63" s="11" t="s">
        <v>131</v>
      </c>
      <c r="C63" s="107">
        <f t="shared" si="1"/>
        <v>19.11975</v>
      </c>
      <c r="D63" s="40">
        <f>G63*1.11</f>
        <v>29.415000000000003</v>
      </c>
      <c r="E63" s="66">
        <f t="shared" si="2"/>
        <v>30.387089789789794</v>
      </c>
      <c r="F63" s="10"/>
      <c r="G63" s="10">
        <v>26.5</v>
      </c>
      <c r="H63" s="76">
        <v>0.25250400000000001</v>
      </c>
      <c r="I63" s="76">
        <v>0.71958578978978982</v>
      </c>
      <c r="J63" s="63"/>
      <c r="K63" s="63"/>
      <c r="L63" s="63"/>
      <c r="M63" s="63"/>
      <c r="N63" s="1" t="s">
        <v>163</v>
      </c>
    </row>
    <row r="64" spans="1:14" ht="9.75" customHeight="1">
      <c r="A64" s="9">
        <f t="shared" si="0"/>
        <v>59</v>
      </c>
      <c r="B64" s="33" t="s">
        <v>136</v>
      </c>
      <c r="C64" s="107">
        <f t="shared" si="1"/>
        <v>14.3</v>
      </c>
      <c r="D64" s="59">
        <v>22</v>
      </c>
      <c r="E64" s="66">
        <f t="shared" si="2"/>
        <v>22.972089789789791</v>
      </c>
      <c r="F64" s="32"/>
      <c r="G64" s="32">
        <v>18</v>
      </c>
      <c r="H64" s="76">
        <v>0.25250400000000001</v>
      </c>
      <c r="I64" s="76">
        <v>0.71958578978978982</v>
      </c>
      <c r="J64" s="75"/>
      <c r="K64" s="75"/>
      <c r="L64" s="75"/>
      <c r="M64" s="75"/>
      <c r="N64" s="1" t="s">
        <v>138</v>
      </c>
    </row>
    <row r="65" spans="1:14" ht="9.75" customHeight="1">
      <c r="A65" s="9">
        <f t="shared" si="0"/>
        <v>60</v>
      </c>
      <c r="B65" s="33" t="s">
        <v>137</v>
      </c>
      <c r="C65" s="107">
        <f t="shared" si="1"/>
        <v>16.899999999999999</v>
      </c>
      <c r="D65" s="59">
        <v>26</v>
      </c>
      <c r="E65" s="66">
        <f t="shared" si="2"/>
        <v>26.972089789789791</v>
      </c>
      <c r="F65" s="32"/>
      <c r="G65" s="32">
        <v>25.5</v>
      </c>
      <c r="H65" s="76">
        <v>0.25250400000000001</v>
      </c>
      <c r="I65" s="76">
        <v>0.71958578978978982</v>
      </c>
      <c r="J65" s="75"/>
      <c r="K65" s="75"/>
      <c r="L65" s="75"/>
      <c r="M65" s="75"/>
      <c r="N65" s="1" t="s">
        <v>138</v>
      </c>
    </row>
    <row r="66" spans="1:14" ht="9.75" customHeight="1">
      <c r="A66" s="9">
        <f t="shared" si="0"/>
        <v>61</v>
      </c>
      <c r="B66" s="33" t="s">
        <v>150</v>
      </c>
      <c r="C66" s="107">
        <f t="shared" si="1"/>
        <v>18.850000000000001</v>
      </c>
      <c r="D66" s="59">
        <v>29</v>
      </c>
      <c r="E66" s="66">
        <f t="shared" si="2"/>
        <v>29.972089789789791</v>
      </c>
      <c r="F66" s="32"/>
      <c r="G66" s="32"/>
      <c r="H66" s="76">
        <v>0.25250400000000001</v>
      </c>
      <c r="I66" s="76">
        <v>0.71958578978978982</v>
      </c>
      <c r="J66" s="75"/>
      <c r="K66" s="75"/>
      <c r="L66" s="75"/>
      <c r="M66" s="75"/>
      <c r="N66" s="1" t="s">
        <v>138</v>
      </c>
    </row>
    <row r="67" spans="1:14" ht="9.75" customHeight="1">
      <c r="A67" s="9">
        <f t="shared" si="0"/>
        <v>62</v>
      </c>
      <c r="B67" s="33" t="s">
        <v>151</v>
      </c>
      <c r="C67" s="107">
        <f t="shared" si="1"/>
        <v>16.25</v>
      </c>
      <c r="D67" s="59">
        <v>25</v>
      </c>
      <c r="E67" s="66">
        <f t="shared" si="2"/>
        <v>25.972089789789791</v>
      </c>
      <c r="F67" s="32"/>
      <c r="G67" s="32"/>
      <c r="H67" s="76">
        <v>0.25250400000000001</v>
      </c>
      <c r="I67" s="76">
        <v>0.71958578978978982</v>
      </c>
      <c r="J67" s="75"/>
      <c r="K67" s="75"/>
      <c r="L67" s="75"/>
      <c r="M67" s="75"/>
      <c r="N67" s="1" t="s">
        <v>138</v>
      </c>
    </row>
    <row r="68" spans="1:14" ht="9.75" customHeight="1">
      <c r="A68" s="9">
        <f t="shared" si="0"/>
        <v>63</v>
      </c>
      <c r="B68" s="33" t="s">
        <v>139</v>
      </c>
      <c r="C68" s="107">
        <f t="shared" si="1"/>
        <v>15.6</v>
      </c>
      <c r="D68" s="59">
        <v>24</v>
      </c>
      <c r="E68" s="66">
        <f t="shared" si="2"/>
        <v>24.972089789789791</v>
      </c>
      <c r="F68" s="32"/>
      <c r="G68" s="32">
        <v>28.5</v>
      </c>
      <c r="H68" s="76">
        <v>0.25250400000000001</v>
      </c>
      <c r="I68" s="76">
        <v>0.71958578978978982</v>
      </c>
      <c r="J68" s="75"/>
      <c r="K68" s="75"/>
      <c r="L68" s="75"/>
      <c r="M68" s="75"/>
      <c r="N68" s="1" t="s">
        <v>138</v>
      </c>
    </row>
    <row r="69" spans="1:14" ht="9.75" customHeight="1">
      <c r="A69" s="9">
        <f t="shared" si="0"/>
        <v>64</v>
      </c>
      <c r="B69" s="33" t="s">
        <v>152</v>
      </c>
      <c r="C69" s="107">
        <f t="shared" si="1"/>
        <v>16.25</v>
      </c>
      <c r="D69" s="59">
        <v>25</v>
      </c>
      <c r="E69" s="66">
        <f t="shared" si="2"/>
        <v>25.972089789789791</v>
      </c>
      <c r="F69" s="32"/>
      <c r="G69" s="32"/>
      <c r="H69" s="76">
        <v>0.25250400000000001</v>
      </c>
      <c r="I69" s="76">
        <v>0.71958578978978982</v>
      </c>
      <c r="J69" s="75"/>
      <c r="K69" s="75"/>
      <c r="L69" s="75"/>
      <c r="M69" s="75"/>
      <c r="N69" s="1" t="s">
        <v>138</v>
      </c>
    </row>
    <row r="70" spans="1:14" ht="9.75" customHeight="1">
      <c r="A70" s="9">
        <f t="shared" si="0"/>
        <v>65</v>
      </c>
      <c r="B70" s="33" t="s">
        <v>140</v>
      </c>
      <c r="C70" s="107">
        <f t="shared" si="1"/>
        <v>14.95</v>
      </c>
      <c r="D70" s="59">
        <v>23</v>
      </c>
      <c r="E70" s="66">
        <f t="shared" si="2"/>
        <v>23.972089789789791</v>
      </c>
      <c r="F70" s="32"/>
      <c r="G70" s="32">
        <v>18.5</v>
      </c>
      <c r="H70" s="76">
        <v>0.25250400000000001</v>
      </c>
      <c r="I70" s="76">
        <v>0.71958578978978982</v>
      </c>
      <c r="J70" s="75"/>
      <c r="K70" s="75"/>
      <c r="L70" s="75"/>
      <c r="M70" s="75"/>
      <c r="N70" s="1" t="s">
        <v>138</v>
      </c>
    </row>
    <row r="71" spans="1:14" ht="9.75" customHeight="1">
      <c r="A71" s="9">
        <f t="shared" ref="A71:A134" si="5">A70+1</f>
        <v>66</v>
      </c>
      <c r="B71" s="29" t="s">
        <v>20</v>
      </c>
      <c r="C71" s="107">
        <f t="shared" ref="C71:C134" si="6">(D71*65)/100</f>
        <v>15.1515</v>
      </c>
      <c r="D71" s="40">
        <f>G71*1.11</f>
        <v>23.310000000000002</v>
      </c>
      <c r="E71" s="66">
        <f t="shared" si="2"/>
        <v>24.282089789789794</v>
      </c>
      <c r="F71" s="10"/>
      <c r="G71" s="10">
        <v>21</v>
      </c>
      <c r="H71" s="76">
        <v>0.25250400000000001</v>
      </c>
      <c r="I71" s="76">
        <v>0.71958578978978982</v>
      </c>
      <c r="J71" s="63"/>
      <c r="K71" s="63"/>
      <c r="L71" s="63"/>
      <c r="M71" s="63"/>
      <c r="N71" s="1" t="s">
        <v>163</v>
      </c>
    </row>
    <row r="72" spans="1:14" ht="9.75" customHeight="1">
      <c r="A72" s="9">
        <f t="shared" si="5"/>
        <v>67</v>
      </c>
      <c r="B72" s="29" t="s">
        <v>21</v>
      </c>
      <c r="C72" s="107">
        <f t="shared" si="6"/>
        <v>0</v>
      </c>
      <c r="D72" s="40"/>
      <c r="E72" s="66">
        <f t="shared" si="2"/>
        <v>0.97208978978978977</v>
      </c>
      <c r="F72" s="10"/>
      <c r="G72" s="10">
        <v>21.5</v>
      </c>
      <c r="H72" s="76">
        <v>0.25250400000000001</v>
      </c>
      <c r="I72" s="76">
        <v>0.71958578978978982</v>
      </c>
      <c r="J72" s="63"/>
      <c r="K72" s="63"/>
      <c r="L72" s="63"/>
      <c r="M72" s="63"/>
    </row>
    <row r="73" spans="1:14" ht="9.75" customHeight="1">
      <c r="A73" s="9">
        <f t="shared" si="5"/>
        <v>68</v>
      </c>
      <c r="B73" s="29" t="s">
        <v>75</v>
      </c>
      <c r="C73" s="107">
        <f t="shared" si="6"/>
        <v>0</v>
      </c>
      <c r="D73" s="40"/>
      <c r="E73" s="66">
        <f t="shared" ref="E73:E136" si="7">SUM(H73:I73)+D73</f>
        <v>0.97208978978978977</v>
      </c>
      <c r="F73" s="10"/>
      <c r="G73" s="10">
        <v>36.5</v>
      </c>
      <c r="H73" s="76">
        <v>0.25250400000000001</v>
      </c>
      <c r="I73" s="76">
        <v>0.71958578978978982</v>
      </c>
      <c r="J73" s="63"/>
      <c r="K73" s="63"/>
      <c r="L73" s="63"/>
      <c r="M73" s="63"/>
    </row>
    <row r="74" spans="1:14" ht="9.75" customHeight="1">
      <c r="A74" s="9">
        <f t="shared" si="5"/>
        <v>69</v>
      </c>
      <c r="B74" s="11" t="s">
        <v>22</v>
      </c>
      <c r="C74" s="107">
        <f t="shared" si="6"/>
        <v>0</v>
      </c>
      <c r="D74" s="40"/>
      <c r="E74" s="66">
        <f t="shared" si="7"/>
        <v>0.97208978978978977</v>
      </c>
      <c r="F74" s="10"/>
      <c r="G74" s="10">
        <v>21.5</v>
      </c>
      <c r="H74" s="76">
        <v>0.25250400000000001</v>
      </c>
      <c r="I74" s="76">
        <v>0.71958578978978982</v>
      </c>
      <c r="J74" s="63"/>
      <c r="K74" s="63"/>
      <c r="L74" s="63"/>
      <c r="M74" s="63"/>
    </row>
    <row r="75" spans="1:14" ht="9.75" customHeight="1">
      <c r="A75" s="9">
        <f t="shared" si="5"/>
        <v>70</v>
      </c>
      <c r="B75" s="29" t="s">
        <v>23</v>
      </c>
      <c r="C75" s="107">
        <f t="shared" si="6"/>
        <v>16.5945</v>
      </c>
      <c r="D75" s="40">
        <f>G75*1.11</f>
        <v>25.53</v>
      </c>
      <c r="E75" s="66">
        <f t="shared" si="7"/>
        <v>26.502089789789792</v>
      </c>
      <c r="F75" s="10"/>
      <c r="G75" s="10">
        <v>23</v>
      </c>
      <c r="H75" s="76">
        <v>0.25250400000000001</v>
      </c>
      <c r="I75" s="76">
        <v>0.71958578978978982</v>
      </c>
      <c r="J75" s="63"/>
      <c r="K75" s="63"/>
      <c r="L75" s="63"/>
      <c r="M75" s="63"/>
      <c r="N75" s="1" t="s">
        <v>163</v>
      </c>
    </row>
    <row r="76" spans="1:14" ht="9.75" customHeight="1">
      <c r="A76" s="9">
        <f t="shared" si="5"/>
        <v>71</v>
      </c>
      <c r="B76" s="29" t="s">
        <v>69</v>
      </c>
      <c r="C76" s="107">
        <f t="shared" si="6"/>
        <v>0</v>
      </c>
      <c r="D76" s="40"/>
      <c r="E76" s="66">
        <f t="shared" si="7"/>
        <v>0.97208978978978977</v>
      </c>
      <c r="F76" s="10"/>
      <c r="G76" s="10">
        <v>18</v>
      </c>
      <c r="H76" s="76">
        <v>0.25250400000000001</v>
      </c>
      <c r="I76" s="76">
        <v>0.71958578978978982</v>
      </c>
      <c r="J76" s="63"/>
      <c r="K76" s="63"/>
      <c r="L76" s="63"/>
      <c r="M76" s="63"/>
    </row>
    <row r="77" spans="1:14" ht="9.75" customHeight="1">
      <c r="A77" s="9">
        <f t="shared" si="5"/>
        <v>72</v>
      </c>
      <c r="B77" s="29" t="s">
        <v>66</v>
      </c>
      <c r="C77" s="107">
        <f t="shared" si="6"/>
        <v>0</v>
      </c>
      <c r="D77" s="40"/>
      <c r="E77" s="66">
        <f t="shared" si="7"/>
        <v>0.97208978978978977</v>
      </c>
      <c r="F77" s="10"/>
      <c r="G77" s="10">
        <v>20</v>
      </c>
      <c r="H77" s="76">
        <v>0.25250400000000001</v>
      </c>
      <c r="I77" s="76">
        <v>0.71958578978978982</v>
      </c>
      <c r="J77" s="63"/>
      <c r="K77" s="63"/>
      <c r="L77" s="63"/>
      <c r="M77" s="63"/>
    </row>
    <row r="78" spans="1:14" ht="9.75" customHeight="1">
      <c r="A78" s="9">
        <f t="shared" si="5"/>
        <v>73</v>
      </c>
      <c r="B78" s="30" t="s">
        <v>57</v>
      </c>
      <c r="C78" s="107">
        <f t="shared" si="6"/>
        <v>0</v>
      </c>
      <c r="D78" s="40"/>
      <c r="E78" s="66">
        <f t="shared" si="7"/>
        <v>0.97208978978978977</v>
      </c>
      <c r="F78" s="10"/>
      <c r="G78" s="10">
        <v>22.5</v>
      </c>
      <c r="H78" s="76">
        <v>0.25250400000000001</v>
      </c>
      <c r="I78" s="76">
        <v>0.71958578978978982</v>
      </c>
      <c r="J78" s="63"/>
      <c r="K78" s="63"/>
      <c r="L78" s="63"/>
      <c r="M78" s="63"/>
    </row>
    <row r="79" spans="1:14" ht="9.75" customHeight="1">
      <c r="A79" s="9">
        <f t="shared" si="5"/>
        <v>74</v>
      </c>
      <c r="B79" s="29" t="s">
        <v>70</v>
      </c>
      <c r="C79" s="107">
        <f t="shared" si="6"/>
        <v>0</v>
      </c>
      <c r="D79" s="40"/>
      <c r="E79" s="66">
        <f t="shared" si="7"/>
        <v>0.97208978978978977</v>
      </c>
      <c r="F79" s="10"/>
      <c r="G79" s="10">
        <v>24.5</v>
      </c>
      <c r="H79" s="76">
        <v>0.25250400000000001</v>
      </c>
      <c r="I79" s="76">
        <v>0.71958578978978982</v>
      </c>
      <c r="J79" s="63"/>
      <c r="K79" s="63"/>
      <c r="L79" s="63"/>
      <c r="M79" s="63"/>
    </row>
    <row r="80" spans="1:14" ht="9.75" customHeight="1">
      <c r="A80" s="9">
        <f t="shared" si="5"/>
        <v>75</v>
      </c>
      <c r="B80" s="29" t="s">
        <v>67</v>
      </c>
      <c r="C80" s="107">
        <f t="shared" si="6"/>
        <v>0</v>
      </c>
      <c r="D80" s="40"/>
      <c r="E80" s="66">
        <f t="shared" si="7"/>
        <v>0.97208978978978977</v>
      </c>
      <c r="F80" s="10"/>
      <c r="G80" s="10">
        <v>25</v>
      </c>
      <c r="H80" s="76">
        <v>0.25250400000000001</v>
      </c>
      <c r="I80" s="76">
        <v>0.71958578978978982</v>
      </c>
      <c r="J80" s="63"/>
      <c r="K80" s="63"/>
      <c r="L80" s="63"/>
      <c r="M80" s="63"/>
    </row>
    <row r="81" spans="1:14" ht="9.75" customHeight="1">
      <c r="A81" s="9">
        <f t="shared" si="5"/>
        <v>76</v>
      </c>
      <c r="B81" s="34" t="s">
        <v>141</v>
      </c>
      <c r="C81" s="107">
        <f t="shared" si="6"/>
        <v>14.3</v>
      </c>
      <c r="D81" s="59">
        <v>22</v>
      </c>
      <c r="E81" s="66">
        <f t="shared" si="7"/>
        <v>22.972089789789791</v>
      </c>
      <c r="F81" s="32"/>
      <c r="G81" s="32">
        <v>24.5</v>
      </c>
      <c r="H81" s="76">
        <v>0.25250400000000001</v>
      </c>
      <c r="I81" s="76">
        <v>0.71958578978978982</v>
      </c>
      <c r="J81" s="75"/>
      <c r="K81" s="75"/>
      <c r="L81" s="75"/>
      <c r="M81" s="75"/>
      <c r="N81" s="1" t="s">
        <v>138</v>
      </c>
    </row>
    <row r="82" spans="1:14" ht="9.75" customHeight="1">
      <c r="A82" s="9">
        <f t="shared" si="5"/>
        <v>77</v>
      </c>
      <c r="B82" s="34" t="s">
        <v>142</v>
      </c>
      <c r="C82" s="107">
        <f t="shared" si="6"/>
        <v>16.899999999999999</v>
      </c>
      <c r="D82" s="59">
        <v>26</v>
      </c>
      <c r="E82" s="66">
        <f t="shared" si="7"/>
        <v>26.972089789789791</v>
      </c>
      <c r="F82" s="32"/>
      <c r="G82" s="32">
        <v>20</v>
      </c>
      <c r="H82" s="76">
        <v>0.25250400000000001</v>
      </c>
      <c r="I82" s="76">
        <v>0.71958578978978982</v>
      </c>
      <c r="J82" s="75"/>
      <c r="K82" s="75"/>
      <c r="L82" s="75"/>
      <c r="M82" s="75"/>
      <c r="N82" s="1" t="s">
        <v>138</v>
      </c>
    </row>
    <row r="83" spans="1:14" ht="9.75" customHeight="1">
      <c r="A83" s="9">
        <f t="shared" si="5"/>
        <v>78</v>
      </c>
      <c r="B83" s="34" t="s">
        <v>146</v>
      </c>
      <c r="C83" s="107">
        <f t="shared" si="6"/>
        <v>18.850000000000001</v>
      </c>
      <c r="D83" s="59">
        <v>29</v>
      </c>
      <c r="E83" s="66">
        <f t="shared" si="7"/>
        <v>29.972089789789791</v>
      </c>
      <c r="F83" s="32"/>
      <c r="G83" s="32">
        <v>32</v>
      </c>
      <c r="H83" s="76">
        <v>0.25250400000000001</v>
      </c>
      <c r="I83" s="76">
        <v>0.71958578978978982</v>
      </c>
      <c r="J83" s="75"/>
      <c r="K83" s="75"/>
      <c r="L83" s="75"/>
      <c r="M83" s="75"/>
      <c r="N83" s="1" t="s">
        <v>138</v>
      </c>
    </row>
    <row r="84" spans="1:14" ht="11.25">
      <c r="A84" s="9">
        <f t="shared" si="5"/>
        <v>79</v>
      </c>
      <c r="B84" s="34" t="s">
        <v>143</v>
      </c>
      <c r="C84" s="107">
        <f t="shared" si="6"/>
        <v>16.25</v>
      </c>
      <c r="D84" s="59">
        <v>25</v>
      </c>
      <c r="E84" s="66">
        <f t="shared" si="7"/>
        <v>25.972089789789791</v>
      </c>
      <c r="F84" s="32"/>
      <c r="G84" s="32">
        <v>27</v>
      </c>
      <c r="H84" s="76">
        <v>0.25250400000000001</v>
      </c>
      <c r="I84" s="76">
        <v>0.71958578978978982</v>
      </c>
      <c r="J84" s="75"/>
      <c r="K84" s="75"/>
      <c r="L84" s="75"/>
      <c r="M84" s="75"/>
      <c r="N84" s="1" t="s">
        <v>138</v>
      </c>
    </row>
    <row r="85" spans="1:14" ht="11.25">
      <c r="A85" s="9">
        <f t="shared" si="5"/>
        <v>80</v>
      </c>
      <c r="B85" s="34" t="s">
        <v>154</v>
      </c>
      <c r="C85" s="107">
        <f t="shared" si="6"/>
        <v>16.25</v>
      </c>
      <c r="D85" s="59">
        <v>25</v>
      </c>
      <c r="E85" s="66">
        <f t="shared" si="7"/>
        <v>25.972089789789791</v>
      </c>
      <c r="F85" s="32"/>
      <c r="G85" s="32">
        <v>27</v>
      </c>
      <c r="H85" s="76">
        <v>0.25250400000000001</v>
      </c>
      <c r="I85" s="76">
        <v>0.71958578978978982</v>
      </c>
      <c r="J85" s="75"/>
      <c r="K85" s="75"/>
      <c r="L85" s="75"/>
      <c r="M85" s="75"/>
    </row>
    <row r="86" spans="1:14" ht="11.25">
      <c r="A86" s="9">
        <f t="shared" si="5"/>
        <v>81</v>
      </c>
      <c r="B86" s="29" t="s">
        <v>129</v>
      </c>
      <c r="C86" s="107">
        <f t="shared" si="6"/>
        <v>18.037500000000001</v>
      </c>
      <c r="D86" s="40">
        <f>G86*1.11</f>
        <v>27.750000000000004</v>
      </c>
      <c r="E86" s="66">
        <f t="shared" si="7"/>
        <v>28.722089789789795</v>
      </c>
      <c r="F86" s="10"/>
      <c r="G86" s="10">
        <v>25</v>
      </c>
      <c r="H86" s="76">
        <v>0.25250400000000001</v>
      </c>
      <c r="I86" s="76">
        <v>0.71958578978978982</v>
      </c>
      <c r="J86" s="63"/>
      <c r="K86" s="63"/>
      <c r="L86" s="63"/>
      <c r="M86" s="63"/>
      <c r="N86" s="1" t="s">
        <v>163</v>
      </c>
    </row>
    <row r="87" spans="1:14" ht="11.25">
      <c r="A87" s="9">
        <f t="shared" si="5"/>
        <v>82</v>
      </c>
      <c r="B87" s="29" t="s">
        <v>24</v>
      </c>
      <c r="C87" s="107">
        <f t="shared" si="6"/>
        <v>0</v>
      </c>
      <c r="D87" s="40"/>
      <c r="E87" s="66">
        <f t="shared" si="7"/>
        <v>0.97208978978978977</v>
      </c>
      <c r="F87" s="10"/>
      <c r="G87" s="10">
        <v>45.5</v>
      </c>
      <c r="H87" s="76">
        <v>0.25250400000000001</v>
      </c>
      <c r="I87" s="76">
        <v>0.71958578978978982</v>
      </c>
      <c r="J87" s="63"/>
      <c r="K87" s="63"/>
      <c r="L87" s="63"/>
      <c r="M87" s="63"/>
    </row>
    <row r="88" spans="1:14" ht="11.25">
      <c r="A88" s="9">
        <f t="shared" si="5"/>
        <v>83</v>
      </c>
      <c r="B88" s="11" t="s">
        <v>25</v>
      </c>
      <c r="C88" s="107">
        <f t="shared" si="6"/>
        <v>0</v>
      </c>
      <c r="D88" s="40"/>
      <c r="E88" s="66">
        <f t="shared" si="7"/>
        <v>0.97208978978978977</v>
      </c>
      <c r="F88" s="10"/>
      <c r="G88" s="10">
        <v>56</v>
      </c>
      <c r="H88" s="76">
        <v>0.25250400000000001</v>
      </c>
      <c r="I88" s="76">
        <v>0.71958578978978982</v>
      </c>
      <c r="J88" s="63"/>
      <c r="K88" s="63"/>
      <c r="L88" s="63"/>
      <c r="M88" s="63"/>
    </row>
    <row r="89" spans="1:14" ht="11.25">
      <c r="A89" s="9">
        <f t="shared" si="5"/>
        <v>84</v>
      </c>
      <c r="B89" s="29" t="s">
        <v>26</v>
      </c>
      <c r="C89" s="107">
        <f t="shared" si="6"/>
        <v>0</v>
      </c>
      <c r="D89" s="40"/>
      <c r="E89" s="66">
        <f t="shared" si="7"/>
        <v>0.97208978978978977</v>
      </c>
      <c r="F89" s="10"/>
      <c r="G89" s="10">
        <v>32</v>
      </c>
      <c r="H89" s="76">
        <v>0.25250400000000001</v>
      </c>
      <c r="I89" s="76">
        <v>0.71958578978978982</v>
      </c>
      <c r="J89" s="63"/>
      <c r="K89" s="63"/>
      <c r="L89" s="63"/>
      <c r="M89" s="63"/>
    </row>
    <row r="90" spans="1:14" ht="11.25">
      <c r="A90" s="9">
        <f t="shared" si="5"/>
        <v>85</v>
      </c>
      <c r="B90" s="29" t="s">
        <v>27</v>
      </c>
      <c r="C90" s="107">
        <f t="shared" si="6"/>
        <v>17.316000000000003</v>
      </c>
      <c r="D90" s="40">
        <f t="shared" ref="D90:D95" si="8">G90*1.11</f>
        <v>26.64</v>
      </c>
      <c r="E90" s="66">
        <f t="shared" si="7"/>
        <v>27.612089789789792</v>
      </c>
      <c r="F90" s="10"/>
      <c r="G90" s="10">
        <v>24</v>
      </c>
      <c r="H90" s="76">
        <v>0.25250400000000001</v>
      </c>
      <c r="I90" s="76">
        <v>0.71958578978978982</v>
      </c>
      <c r="J90" s="63"/>
      <c r="K90" s="63"/>
      <c r="L90" s="63"/>
      <c r="M90" s="63"/>
      <c r="N90" s="1" t="s">
        <v>163</v>
      </c>
    </row>
    <row r="91" spans="1:14" ht="11.25">
      <c r="A91" s="9">
        <f t="shared" si="5"/>
        <v>86</v>
      </c>
      <c r="B91" s="29" t="s">
        <v>63</v>
      </c>
      <c r="C91" s="107">
        <f t="shared" si="6"/>
        <v>27.417000000000002</v>
      </c>
      <c r="D91" s="40">
        <f t="shared" si="8"/>
        <v>42.180000000000007</v>
      </c>
      <c r="E91" s="66">
        <f t="shared" si="7"/>
        <v>43.152089789789798</v>
      </c>
      <c r="F91" s="10"/>
      <c r="G91" s="10">
        <v>38</v>
      </c>
      <c r="H91" s="76">
        <v>0.25250400000000001</v>
      </c>
      <c r="I91" s="76">
        <v>0.71958578978978982</v>
      </c>
      <c r="J91" s="63"/>
      <c r="K91" s="63"/>
      <c r="L91" s="63"/>
      <c r="M91" s="63"/>
      <c r="N91" s="1" t="s">
        <v>163</v>
      </c>
    </row>
    <row r="92" spans="1:14" ht="11.25">
      <c r="A92" s="9">
        <f t="shared" si="5"/>
        <v>87</v>
      </c>
      <c r="B92" s="29" t="s">
        <v>128</v>
      </c>
      <c r="C92" s="107">
        <f t="shared" si="6"/>
        <v>36.075000000000003</v>
      </c>
      <c r="D92" s="40">
        <f t="shared" si="8"/>
        <v>55.500000000000007</v>
      </c>
      <c r="E92" s="66">
        <f t="shared" si="7"/>
        <v>56.472089789789798</v>
      </c>
      <c r="F92" s="10"/>
      <c r="G92" s="10">
        <v>50</v>
      </c>
      <c r="H92" s="76">
        <v>0.25250400000000001</v>
      </c>
      <c r="I92" s="76">
        <v>0.71958578978978982</v>
      </c>
      <c r="J92" s="63"/>
      <c r="K92" s="63"/>
      <c r="L92" s="63"/>
      <c r="M92" s="63"/>
      <c r="N92" s="1" t="s">
        <v>163</v>
      </c>
    </row>
    <row r="93" spans="1:14" ht="11.25">
      <c r="A93" s="9">
        <f t="shared" si="5"/>
        <v>88</v>
      </c>
      <c r="B93" s="29" t="s">
        <v>194</v>
      </c>
      <c r="C93" s="107">
        <f t="shared" si="6"/>
        <v>28.499250000000004</v>
      </c>
      <c r="D93" s="40">
        <f t="shared" si="8"/>
        <v>43.845000000000006</v>
      </c>
      <c r="E93" s="66">
        <f t="shared" si="7"/>
        <v>44.817089789789797</v>
      </c>
      <c r="F93" s="10"/>
      <c r="G93" s="10">
        <v>39.5</v>
      </c>
      <c r="H93" s="76">
        <v>0.25250400000000001</v>
      </c>
      <c r="I93" s="76">
        <v>0.71958578978978982</v>
      </c>
      <c r="J93" s="63"/>
      <c r="K93" s="63"/>
      <c r="L93" s="63"/>
      <c r="M93" s="63"/>
      <c r="N93" s="1" t="s">
        <v>163</v>
      </c>
    </row>
    <row r="94" spans="1:14" ht="11.25">
      <c r="A94" s="9">
        <f t="shared" si="5"/>
        <v>89</v>
      </c>
      <c r="B94" s="29" t="s">
        <v>241</v>
      </c>
      <c r="C94" s="107">
        <f t="shared" si="6"/>
        <v>22.186125000000001</v>
      </c>
      <c r="D94" s="40">
        <f t="shared" si="8"/>
        <v>34.1325</v>
      </c>
      <c r="E94" s="66">
        <f t="shared" si="7"/>
        <v>35.104589789789792</v>
      </c>
      <c r="F94" s="10"/>
      <c r="G94" s="10">
        <v>30.75</v>
      </c>
      <c r="H94" s="76">
        <v>0.25250400000000001</v>
      </c>
      <c r="I94" s="76">
        <v>0.71958578978978982</v>
      </c>
      <c r="J94" s="63"/>
      <c r="K94" s="63"/>
      <c r="L94" s="63"/>
      <c r="M94" s="63"/>
      <c r="N94" s="1" t="s">
        <v>163</v>
      </c>
    </row>
    <row r="95" spans="1:14" ht="11.25">
      <c r="A95" s="9">
        <f t="shared" si="5"/>
        <v>90</v>
      </c>
      <c r="B95" s="29" t="s">
        <v>228</v>
      </c>
      <c r="C95" s="107">
        <f t="shared" si="6"/>
        <v>40.764750000000006</v>
      </c>
      <c r="D95" s="40">
        <f t="shared" si="8"/>
        <v>62.715000000000003</v>
      </c>
      <c r="E95" s="66">
        <f t="shared" si="7"/>
        <v>63.687089789789795</v>
      </c>
      <c r="F95" s="10"/>
      <c r="G95" s="10">
        <v>56.5</v>
      </c>
      <c r="H95" s="76">
        <v>0.25250400000000001</v>
      </c>
      <c r="I95" s="76">
        <v>0.71958578978978982</v>
      </c>
      <c r="J95" s="63"/>
      <c r="K95" s="63"/>
      <c r="L95" s="63"/>
      <c r="M95" s="63"/>
      <c r="N95" s="1" t="s">
        <v>163</v>
      </c>
    </row>
    <row r="96" spans="1:14" ht="11.25">
      <c r="A96" s="9">
        <f t="shared" si="5"/>
        <v>91</v>
      </c>
      <c r="B96" s="29" t="s">
        <v>6</v>
      </c>
      <c r="C96" s="107">
        <f t="shared" si="6"/>
        <v>0</v>
      </c>
      <c r="D96" s="40"/>
      <c r="E96" s="66">
        <f t="shared" si="7"/>
        <v>0.97208978978978977</v>
      </c>
      <c r="F96" s="10"/>
      <c r="G96" s="10">
        <v>49.5</v>
      </c>
      <c r="H96" s="76">
        <v>0.25250400000000001</v>
      </c>
      <c r="I96" s="76">
        <v>0.71958578978978982</v>
      </c>
      <c r="J96" s="63"/>
      <c r="K96" s="63"/>
      <c r="L96" s="63"/>
      <c r="M96" s="63"/>
    </row>
    <row r="97" spans="1:14" ht="11.25">
      <c r="A97" s="9">
        <f t="shared" si="5"/>
        <v>92</v>
      </c>
      <c r="B97" s="29" t="s">
        <v>28</v>
      </c>
      <c r="C97" s="107">
        <f t="shared" si="6"/>
        <v>0</v>
      </c>
      <c r="D97" s="40"/>
      <c r="E97" s="66">
        <f t="shared" si="7"/>
        <v>0.97208978978978977</v>
      </c>
      <c r="F97" s="10"/>
      <c r="G97" s="10">
        <v>51</v>
      </c>
      <c r="H97" s="76">
        <v>0.25250400000000001</v>
      </c>
      <c r="I97" s="76">
        <v>0.71958578978978982</v>
      </c>
      <c r="J97" s="63"/>
      <c r="K97" s="63"/>
      <c r="L97" s="63"/>
      <c r="M97" s="63"/>
    </row>
    <row r="98" spans="1:14" ht="11.25">
      <c r="A98" s="9">
        <f t="shared" si="5"/>
        <v>93</v>
      </c>
      <c r="B98" s="29" t="s">
        <v>58</v>
      </c>
      <c r="C98" s="107">
        <f t="shared" si="6"/>
        <v>0</v>
      </c>
      <c r="D98" s="40"/>
      <c r="E98" s="66">
        <f t="shared" si="7"/>
        <v>0.97208978978978977</v>
      </c>
      <c r="F98" s="10"/>
      <c r="G98" s="10">
        <v>49.5</v>
      </c>
      <c r="H98" s="76">
        <v>0.25250400000000001</v>
      </c>
      <c r="I98" s="76">
        <v>0.71958578978978982</v>
      </c>
      <c r="J98" s="63"/>
      <c r="K98" s="63"/>
      <c r="L98" s="63"/>
      <c r="M98" s="63"/>
    </row>
    <row r="99" spans="1:14" ht="11.25">
      <c r="A99" s="9">
        <f t="shared" si="5"/>
        <v>94</v>
      </c>
      <c r="B99" s="29" t="s">
        <v>242</v>
      </c>
      <c r="C99" s="107">
        <f t="shared" si="6"/>
        <v>34.271250000000002</v>
      </c>
      <c r="D99" s="40">
        <f>G99*1.11</f>
        <v>52.725000000000001</v>
      </c>
      <c r="E99" s="66">
        <f t="shared" si="7"/>
        <v>53.697089789789793</v>
      </c>
      <c r="F99" s="10"/>
      <c r="G99" s="10">
        <v>47.5</v>
      </c>
      <c r="H99" s="76">
        <v>0.25250400000000001</v>
      </c>
      <c r="I99" s="76">
        <v>0.71958578978978982</v>
      </c>
      <c r="J99" s="63"/>
      <c r="K99" s="63"/>
      <c r="L99" s="63"/>
      <c r="M99" s="63"/>
      <c r="N99" s="1" t="s">
        <v>163</v>
      </c>
    </row>
    <row r="100" spans="1:14" ht="11.25">
      <c r="A100" s="9">
        <f t="shared" si="5"/>
        <v>95</v>
      </c>
      <c r="B100" s="29" t="s">
        <v>29</v>
      </c>
      <c r="C100" s="107">
        <f t="shared" si="6"/>
        <v>0</v>
      </c>
      <c r="D100" s="40"/>
      <c r="E100" s="66">
        <f t="shared" si="7"/>
        <v>0.97208978978978977</v>
      </c>
      <c r="F100" s="10"/>
      <c r="G100" s="10">
        <v>72</v>
      </c>
      <c r="H100" s="76">
        <v>0.25250400000000001</v>
      </c>
      <c r="I100" s="76">
        <v>0.71958578978978982</v>
      </c>
      <c r="J100" s="63"/>
      <c r="K100" s="63"/>
      <c r="L100" s="63"/>
      <c r="M100" s="63"/>
    </row>
    <row r="101" spans="1:14" ht="11.25">
      <c r="A101" s="9">
        <f t="shared" si="5"/>
        <v>96</v>
      </c>
      <c r="B101" s="29" t="s">
        <v>61</v>
      </c>
      <c r="C101" s="107">
        <f t="shared" si="6"/>
        <v>38.600250000000003</v>
      </c>
      <c r="D101" s="40">
        <f>G101*1.11</f>
        <v>59.385000000000005</v>
      </c>
      <c r="E101" s="66">
        <f t="shared" si="7"/>
        <v>60.357089789789796</v>
      </c>
      <c r="F101" s="10"/>
      <c r="G101" s="10">
        <v>53.5</v>
      </c>
      <c r="H101" s="76">
        <v>0.25250400000000001</v>
      </c>
      <c r="I101" s="76">
        <v>0.71958578978978982</v>
      </c>
      <c r="J101" s="63"/>
      <c r="K101" s="63"/>
      <c r="L101" s="63"/>
      <c r="M101" s="63"/>
      <c r="N101" s="1" t="s">
        <v>163</v>
      </c>
    </row>
    <row r="102" spans="1:14" ht="11.25">
      <c r="A102" s="9">
        <f t="shared" si="5"/>
        <v>97</v>
      </c>
      <c r="B102" s="29" t="s">
        <v>62</v>
      </c>
      <c r="C102" s="107">
        <f t="shared" si="6"/>
        <v>41.847000000000008</v>
      </c>
      <c r="D102" s="40">
        <f>G102*1.11</f>
        <v>64.38000000000001</v>
      </c>
      <c r="E102" s="66">
        <f t="shared" si="7"/>
        <v>65.352089789789801</v>
      </c>
      <c r="F102" s="10"/>
      <c r="G102" s="10">
        <v>58</v>
      </c>
      <c r="H102" s="76">
        <v>0.25250400000000001</v>
      </c>
      <c r="I102" s="76">
        <v>0.71958578978978982</v>
      </c>
      <c r="J102" s="63"/>
      <c r="K102" s="63"/>
      <c r="L102" s="63"/>
      <c r="M102" s="63"/>
      <c r="N102" s="1" t="s">
        <v>163</v>
      </c>
    </row>
    <row r="103" spans="1:14" ht="11.25">
      <c r="A103" s="9">
        <f t="shared" si="5"/>
        <v>98</v>
      </c>
      <c r="B103" s="29" t="s">
        <v>117</v>
      </c>
      <c r="C103" s="107">
        <f t="shared" si="6"/>
        <v>12.265499999999999</v>
      </c>
      <c r="D103" s="40">
        <f t="shared" ref="D103:D108" si="9">G103*1.11</f>
        <v>18.87</v>
      </c>
      <c r="E103" s="66">
        <f t="shared" si="7"/>
        <v>19.842089789789792</v>
      </c>
      <c r="F103" s="10"/>
      <c r="G103" s="10">
        <v>17</v>
      </c>
      <c r="H103" s="76">
        <v>0.25250400000000001</v>
      </c>
      <c r="I103" s="76">
        <v>0.71958578978978982</v>
      </c>
      <c r="J103" s="63"/>
      <c r="K103" s="63"/>
      <c r="L103" s="63"/>
      <c r="M103" s="63"/>
      <c r="N103" s="1" t="s">
        <v>163</v>
      </c>
    </row>
    <row r="104" spans="1:14" ht="11.25">
      <c r="A104" s="9">
        <f t="shared" si="5"/>
        <v>99</v>
      </c>
      <c r="B104" s="29" t="s">
        <v>30</v>
      </c>
      <c r="C104" s="107">
        <f t="shared" si="6"/>
        <v>26.695500000000003</v>
      </c>
      <c r="D104" s="40">
        <f t="shared" si="9"/>
        <v>41.07</v>
      </c>
      <c r="E104" s="66">
        <f t="shared" si="7"/>
        <v>42.042089789789792</v>
      </c>
      <c r="F104" s="10"/>
      <c r="G104" s="10">
        <v>37</v>
      </c>
      <c r="H104" s="76">
        <v>0.25250400000000001</v>
      </c>
      <c r="I104" s="76">
        <v>0.71958578978978982</v>
      </c>
      <c r="J104" s="63"/>
      <c r="K104" s="63"/>
      <c r="L104" s="63"/>
      <c r="M104" s="63"/>
      <c r="N104" s="1" t="s">
        <v>163</v>
      </c>
    </row>
    <row r="105" spans="1:14" ht="11.25">
      <c r="A105" s="9">
        <f t="shared" si="5"/>
        <v>100</v>
      </c>
      <c r="B105" s="29" t="s">
        <v>200</v>
      </c>
      <c r="C105" s="107">
        <f t="shared" si="6"/>
        <v>31.746000000000002</v>
      </c>
      <c r="D105" s="40">
        <f t="shared" si="9"/>
        <v>48.84</v>
      </c>
      <c r="E105" s="66">
        <f t="shared" si="7"/>
        <v>49.812089789789795</v>
      </c>
      <c r="F105" s="10"/>
      <c r="G105" s="10">
        <v>44</v>
      </c>
      <c r="H105" s="76">
        <v>0.25250400000000001</v>
      </c>
      <c r="I105" s="76">
        <v>0.71958578978978982</v>
      </c>
      <c r="J105" s="63"/>
      <c r="K105" s="63"/>
      <c r="L105" s="63"/>
      <c r="M105" s="63"/>
      <c r="N105" s="1" t="s">
        <v>163</v>
      </c>
    </row>
    <row r="106" spans="1:14" ht="11.25">
      <c r="A106" s="9">
        <f t="shared" si="5"/>
        <v>101</v>
      </c>
      <c r="B106" s="29" t="s">
        <v>211</v>
      </c>
      <c r="C106" s="107">
        <f t="shared" si="6"/>
        <v>28.860000000000003</v>
      </c>
      <c r="D106" s="40">
        <f t="shared" si="9"/>
        <v>44.400000000000006</v>
      </c>
      <c r="E106" s="66">
        <f t="shared" si="7"/>
        <v>45.372089789789797</v>
      </c>
      <c r="F106" s="10"/>
      <c r="G106" s="10">
        <v>40</v>
      </c>
      <c r="H106" s="76">
        <v>0.25250400000000001</v>
      </c>
      <c r="I106" s="76">
        <v>0.71958578978978982</v>
      </c>
      <c r="J106" s="63"/>
      <c r="K106" s="63"/>
      <c r="L106" s="63"/>
      <c r="M106" s="63"/>
      <c r="N106" s="1" t="s">
        <v>163</v>
      </c>
    </row>
    <row r="107" spans="1:14" ht="11.25">
      <c r="A107" s="9">
        <f t="shared" si="5"/>
        <v>102</v>
      </c>
      <c r="B107" s="29" t="s">
        <v>126</v>
      </c>
      <c r="C107" s="107">
        <f t="shared" si="6"/>
        <v>3.6075000000000004</v>
      </c>
      <c r="D107" s="40">
        <f t="shared" si="9"/>
        <v>5.5500000000000007</v>
      </c>
      <c r="E107" s="66">
        <f t="shared" si="7"/>
        <v>6.5220897897897903</v>
      </c>
      <c r="F107" s="10"/>
      <c r="G107" s="10">
        <v>5</v>
      </c>
      <c r="H107" s="76">
        <v>0.25250400000000001</v>
      </c>
      <c r="I107" s="76">
        <v>0.71958578978978982</v>
      </c>
      <c r="J107" s="63"/>
      <c r="K107" s="63"/>
      <c r="L107" s="63"/>
      <c r="M107" s="63"/>
      <c r="N107" s="1" t="s">
        <v>163</v>
      </c>
    </row>
    <row r="108" spans="1:14" ht="11.25">
      <c r="A108" s="9">
        <f t="shared" si="5"/>
        <v>103</v>
      </c>
      <c r="B108" s="29" t="s">
        <v>122</v>
      </c>
      <c r="C108" s="107">
        <f t="shared" si="6"/>
        <v>10.101000000000001</v>
      </c>
      <c r="D108" s="40">
        <f t="shared" si="9"/>
        <v>15.540000000000001</v>
      </c>
      <c r="E108" s="66">
        <f t="shared" si="7"/>
        <v>16.51208978978979</v>
      </c>
      <c r="F108" s="10"/>
      <c r="G108" s="10">
        <v>14</v>
      </c>
      <c r="H108" s="76">
        <v>0.25250400000000001</v>
      </c>
      <c r="I108" s="76">
        <v>0.71958578978978982</v>
      </c>
      <c r="J108" s="63"/>
      <c r="K108" s="63"/>
      <c r="L108" s="63"/>
      <c r="M108" s="63"/>
      <c r="N108" s="1" t="s">
        <v>163</v>
      </c>
    </row>
    <row r="109" spans="1:14" ht="11.25">
      <c r="A109" s="9">
        <f t="shared" si="5"/>
        <v>104</v>
      </c>
      <c r="B109" s="29" t="s">
        <v>64</v>
      </c>
      <c r="C109" s="107">
        <f t="shared" si="6"/>
        <v>0</v>
      </c>
      <c r="D109" s="40"/>
      <c r="E109" s="66">
        <f t="shared" si="7"/>
        <v>0.97208978978978977</v>
      </c>
      <c r="F109" s="10"/>
      <c r="G109" s="10">
        <v>25.5</v>
      </c>
      <c r="H109" s="76">
        <v>0.25250400000000001</v>
      </c>
      <c r="I109" s="76">
        <v>0.71958578978978982</v>
      </c>
      <c r="J109" s="63"/>
      <c r="K109" s="63"/>
      <c r="L109" s="63"/>
      <c r="M109" s="63"/>
    </row>
    <row r="110" spans="1:14" ht="11.25">
      <c r="A110" s="9">
        <f t="shared" si="5"/>
        <v>105</v>
      </c>
      <c r="B110" s="29" t="s">
        <v>31</v>
      </c>
      <c r="C110" s="107">
        <f t="shared" si="6"/>
        <v>0</v>
      </c>
      <c r="D110" s="40"/>
      <c r="E110" s="66">
        <f t="shared" si="7"/>
        <v>0.97208978978978977</v>
      </c>
      <c r="F110" s="10"/>
      <c r="G110" s="10">
        <v>25.5</v>
      </c>
      <c r="H110" s="76">
        <v>0.25250400000000001</v>
      </c>
      <c r="I110" s="76">
        <v>0.71958578978978982</v>
      </c>
      <c r="J110" s="63"/>
      <c r="K110" s="63"/>
      <c r="L110" s="63"/>
      <c r="M110" s="63"/>
    </row>
    <row r="111" spans="1:14" ht="11.25">
      <c r="A111" s="9">
        <f t="shared" si="5"/>
        <v>106</v>
      </c>
      <c r="B111" s="29" t="s">
        <v>32</v>
      </c>
      <c r="C111" s="107">
        <f t="shared" si="6"/>
        <v>18.398250000000004</v>
      </c>
      <c r="D111" s="40">
        <f>G111*1.11</f>
        <v>28.305000000000003</v>
      </c>
      <c r="E111" s="66">
        <f t="shared" si="7"/>
        <v>29.277089789789795</v>
      </c>
      <c r="F111" s="10"/>
      <c r="G111" s="10">
        <v>25.5</v>
      </c>
      <c r="H111" s="76">
        <v>0.25250400000000001</v>
      </c>
      <c r="I111" s="76">
        <v>0.71958578978978982</v>
      </c>
      <c r="J111" s="63"/>
      <c r="K111" s="63"/>
      <c r="L111" s="63"/>
      <c r="M111" s="63"/>
      <c r="N111" s="1" t="s">
        <v>163</v>
      </c>
    </row>
    <row r="112" spans="1:14" ht="11.25">
      <c r="A112" s="9">
        <f t="shared" si="5"/>
        <v>107</v>
      </c>
      <c r="B112" s="29" t="s">
        <v>33</v>
      </c>
      <c r="C112" s="107">
        <f t="shared" si="6"/>
        <v>0</v>
      </c>
      <c r="D112" s="40"/>
      <c r="E112" s="66">
        <f t="shared" si="7"/>
        <v>0.97208978978978977</v>
      </c>
      <c r="F112" s="10"/>
      <c r="G112" s="10">
        <v>25.5</v>
      </c>
      <c r="H112" s="76">
        <v>0.25250400000000001</v>
      </c>
      <c r="I112" s="76">
        <v>0.71958578978978982</v>
      </c>
      <c r="J112" s="63"/>
      <c r="K112" s="63"/>
      <c r="L112" s="63"/>
      <c r="M112" s="63"/>
    </row>
    <row r="113" spans="1:14" ht="11.25">
      <c r="A113" s="9">
        <f t="shared" si="5"/>
        <v>108</v>
      </c>
      <c r="B113" s="29" t="s">
        <v>34</v>
      </c>
      <c r="C113" s="107">
        <f t="shared" si="6"/>
        <v>27.056250000000006</v>
      </c>
      <c r="D113" s="40">
        <f>G113*1.11</f>
        <v>41.625000000000007</v>
      </c>
      <c r="E113" s="66">
        <f t="shared" si="7"/>
        <v>42.597089789789798</v>
      </c>
      <c r="F113" s="10"/>
      <c r="G113" s="10">
        <v>37.5</v>
      </c>
      <c r="H113" s="76">
        <v>0.25250400000000001</v>
      </c>
      <c r="I113" s="76">
        <v>0.71958578978978982</v>
      </c>
      <c r="J113" s="63"/>
      <c r="K113" s="63"/>
      <c r="L113" s="63"/>
      <c r="M113" s="63"/>
      <c r="N113" s="1" t="s">
        <v>163</v>
      </c>
    </row>
    <row r="114" spans="1:14" ht="11.25">
      <c r="A114" s="9">
        <f t="shared" si="5"/>
        <v>109</v>
      </c>
      <c r="B114" s="29" t="s">
        <v>71</v>
      </c>
      <c r="C114" s="107">
        <f t="shared" si="6"/>
        <v>0</v>
      </c>
      <c r="D114" s="40"/>
      <c r="E114" s="66">
        <f t="shared" si="7"/>
        <v>0.97208978978978977</v>
      </c>
      <c r="F114" s="10"/>
      <c r="G114" s="10">
        <v>40</v>
      </c>
      <c r="H114" s="76">
        <v>0.25250400000000001</v>
      </c>
      <c r="I114" s="76">
        <v>0.71958578978978982</v>
      </c>
      <c r="J114" s="63"/>
      <c r="K114" s="63"/>
      <c r="L114" s="63"/>
      <c r="M114" s="63"/>
    </row>
    <row r="115" spans="1:14" ht="11.25">
      <c r="A115" s="9">
        <f t="shared" si="5"/>
        <v>110</v>
      </c>
      <c r="B115" s="11" t="s">
        <v>35</v>
      </c>
      <c r="C115" s="107">
        <f t="shared" si="6"/>
        <v>0</v>
      </c>
      <c r="D115" s="40"/>
      <c r="E115" s="66">
        <f t="shared" si="7"/>
        <v>0.97208978978978977</v>
      </c>
      <c r="F115" s="10"/>
      <c r="G115" s="10">
        <v>39.5</v>
      </c>
      <c r="H115" s="76">
        <v>0.25250400000000001</v>
      </c>
      <c r="I115" s="76">
        <v>0.71958578978978982</v>
      </c>
      <c r="J115" s="63"/>
      <c r="K115" s="63"/>
      <c r="L115" s="63"/>
      <c r="M115" s="63"/>
    </row>
    <row r="116" spans="1:14" ht="11.25">
      <c r="A116" s="9">
        <f t="shared" si="5"/>
        <v>111</v>
      </c>
      <c r="B116" s="29" t="s">
        <v>59</v>
      </c>
      <c r="C116" s="107">
        <f t="shared" si="6"/>
        <v>0</v>
      </c>
      <c r="D116" s="40"/>
      <c r="E116" s="66">
        <f t="shared" si="7"/>
        <v>0.97208978978978977</v>
      </c>
      <c r="F116" s="10"/>
      <c r="G116" s="10">
        <v>21.5</v>
      </c>
      <c r="H116" s="76">
        <v>0.25250400000000001</v>
      </c>
      <c r="I116" s="76">
        <v>0.71958578978978982</v>
      </c>
      <c r="J116" s="63"/>
      <c r="K116" s="63"/>
      <c r="L116" s="63"/>
      <c r="M116" s="63"/>
    </row>
    <row r="117" spans="1:14" ht="11.25">
      <c r="A117" s="9">
        <f t="shared" si="5"/>
        <v>112</v>
      </c>
      <c r="B117" s="31" t="s">
        <v>36</v>
      </c>
      <c r="C117" s="107">
        <f t="shared" si="6"/>
        <v>0</v>
      </c>
      <c r="D117" s="40"/>
      <c r="E117" s="66">
        <f t="shared" si="7"/>
        <v>0.97208978978978977</v>
      </c>
      <c r="F117" s="10"/>
      <c r="G117" s="10">
        <v>22.5</v>
      </c>
      <c r="H117" s="76">
        <v>0.25250400000000001</v>
      </c>
      <c r="I117" s="76">
        <v>0.71958578978978982</v>
      </c>
      <c r="J117" s="63"/>
      <c r="K117" s="63"/>
      <c r="L117" s="63"/>
      <c r="M117" s="63"/>
    </row>
    <row r="118" spans="1:14" ht="11.25">
      <c r="A118" s="9">
        <f t="shared" si="5"/>
        <v>113</v>
      </c>
      <c r="B118" s="29" t="s">
        <v>123</v>
      </c>
      <c r="C118" s="107">
        <f t="shared" si="6"/>
        <v>15.512250000000002</v>
      </c>
      <c r="D118" s="40">
        <f>G118*1.11</f>
        <v>23.865000000000002</v>
      </c>
      <c r="E118" s="66">
        <f t="shared" si="7"/>
        <v>24.837089789789793</v>
      </c>
      <c r="F118" s="10"/>
      <c r="G118" s="10">
        <v>21.5</v>
      </c>
      <c r="H118" s="76">
        <v>0.25250400000000001</v>
      </c>
      <c r="I118" s="76">
        <v>0.71958578978978982</v>
      </c>
      <c r="J118" s="63"/>
      <c r="K118" s="63"/>
      <c r="L118" s="63"/>
      <c r="M118" s="63"/>
      <c r="N118" s="1" t="s">
        <v>163</v>
      </c>
    </row>
    <row r="119" spans="1:14" ht="11.25">
      <c r="A119" s="9">
        <f t="shared" si="5"/>
        <v>114</v>
      </c>
      <c r="B119" s="29" t="s">
        <v>37</v>
      </c>
      <c r="C119" s="107">
        <f t="shared" si="6"/>
        <v>0</v>
      </c>
      <c r="D119" s="40"/>
      <c r="E119" s="66">
        <f t="shared" si="7"/>
        <v>0.97208978978978977</v>
      </c>
      <c r="F119" s="10"/>
      <c r="G119" s="10">
        <v>69.5</v>
      </c>
      <c r="H119" s="76">
        <v>0.25250400000000001</v>
      </c>
      <c r="I119" s="76">
        <v>0.71958578978978982</v>
      </c>
      <c r="J119" s="63"/>
      <c r="K119" s="63"/>
      <c r="L119" s="63"/>
      <c r="M119" s="63"/>
    </row>
    <row r="120" spans="1:14" ht="11.25">
      <c r="A120" s="9">
        <f t="shared" si="5"/>
        <v>115</v>
      </c>
      <c r="B120" s="29" t="s">
        <v>125</v>
      </c>
      <c r="C120" s="107">
        <f t="shared" si="6"/>
        <v>14.790750000000003</v>
      </c>
      <c r="D120" s="40">
        <f>G120*1.11</f>
        <v>22.755000000000003</v>
      </c>
      <c r="E120" s="66">
        <f t="shared" si="7"/>
        <v>23.727089789789794</v>
      </c>
      <c r="F120" s="10"/>
      <c r="G120" s="10">
        <v>20.5</v>
      </c>
      <c r="H120" s="76">
        <v>0.25250400000000001</v>
      </c>
      <c r="I120" s="76">
        <v>0.71958578978978982</v>
      </c>
      <c r="J120" s="63"/>
      <c r="K120" s="63"/>
      <c r="L120" s="63"/>
      <c r="M120" s="63"/>
      <c r="N120" s="1" t="s">
        <v>163</v>
      </c>
    </row>
    <row r="121" spans="1:14" ht="11.25">
      <c r="A121" s="9">
        <f t="shared" si="5"/>
        <v>116</v>
      </c>
      <c r="B121" s="29" t="s">
        <v>110</v>
      </c>
      <c r="C121" s="107">
        <f t="shared" si="6"/>
        <v>15.1515</v>
      </c>
      <c r="D121" s="40">
        <f>G121*1.11</f>
        <v>23.310000000000002</v>
      </c>
      <c r="E121" s="66">
        <f t="shared" si="7"/>
        <v>24.282089789789794</v>
      </c>
      <c r="F121" s="10"/>
      <c r="G121" s="10">
        <v>21</v>
      </c>
      <c r="H121" s="76">
        <v>0.25250400000000001</v>
      </c>
      <c r="I121" s="76">
        <v>0.71958578978978982</v>
      </c>
      <c r="J121" s="63"/>
      <c r="K121" s="63"/>
      <c r="L121" s="63"/>
      <c r="M121" s="63"/>
      <c r="N121" s="1" t="s">
        <v>163</v>
      </c>
    </row>
    <row r="122" spans="1:14" ht="11.25">
      <c r="A122" s="9">
        <f t="shared" si="5"/>
        <v>117</v>
      </c>
      <c r="B122" s="29" t="s">
        <v>104</v>
      </c>
      <c r="C122" s="107">
        <f t="shared" si="6"/>
        <v>9.3795000000000002</v>
      </c>
      <c r="D122" s="40">
        <f>G122*1.11</f>
        <v>14.430000000000001</v>
      </c>
      <c r="E122" s="66">
        <f t="shared" si="7"/>
        <v>15.402089789789791</v>
      </c>
      <c r="F122" s="10"/>
      <c r="G122" s="10">
        <v>13</v>
      </c>
      <c r="H122" s="76">
        <v>0.25250400000000001</v>
      </c>
      <c r="I122" s="76">
        <v>0.71958578978978982</v>
      </c>
      <c r="J122" s="63"/>
      <c r="K122" s="63"/>
      <c r="L122" s="63"/>
      <c r="M122" s="63"/>
      <c r="N122" s="1" t="s">
        <v>163</v>
      </c>
    </row>
    <row r="123" spans="1:14" ht="11.25">
      <c r="A123" s="9">
        <f t="shared" si="5"/>
        <v>118</v>
      </c>
      <c r="B123" s="29" t="s">
        <v>38</v>
      </c>
      <c r="C123" s="107">
        <f t="shared" si="6"/>
        <v>14.430000000000001</v>
      </c>
      <c r="D123" s="40">
        <f>G123*1.11</f>
        <v>22.200000000000003</v>
      </c>
      <c r="E123" s="66">
        <f t="shared" si="7"/>
        <v>23.172089789789794</v>
      </c>
      <c r="F123" s="10"/>
      <c r="G123" s="10">
        <v>20</v>
      </c>
      <c r="H123" s="76">
        <v>0.25250400000000001</v>
      </c>
      <c r="I123" s="76">
        <v>0.71958578978978982</v>
      </c>
      <c r="J123" s="63"/>
      <c r="K123" s="63"/>
      <c r="L123" s="63"/>
      <c r="M123" s="63"/>
      <c r="N123" s="1" t="s">
        <v>163</v>
      </c>
    </row>
    <row r="124" spans="1:14" ht="11.25">
      <c r="A124" s="9">
        <f t="shared" si="5"/>
        <v>119</v>
      </c>
      <c r="B124" s="29" t="s">
        <v>39</v>
      </c>
      <c r="C124" s="107">
        <f t="shared" si="6"/>
        <v>0</v>
      </c>
      <c r="D124" s="40"/>
      <c r="E124" s="66">
        <f t="shared" si="7"/>
        <v>0.97208978978978977</v>
      </c>
      <c r="F124" s="10"/>
      <c r="G124" s="10">
        <v>21.5</v>
      </c>
      <c r="H124" s="76">
        <v>0.25250400000000001</v>
      </c>
      <c r="I124" s="76">
        <v>0.71958578978978982</v>
      </c>
      <c r="J124" s="63"/>
      <c r="K124" s="63"/>
      <c r="L124" s="63"/>
      <c r="M124" s="63"/>
    </row>
    <row r="125" spans="1:14" ht="11.25">
      <c r="A125" s="9">
        <f t="shared" si="5"/>
        <v>120</v>
      </c>
      <c r="B125" s="29" t="s">
        <v>40</v>
      </c>
      <c r="C125" s="107">
        <f t="shared" si="6"/>
        <v>17.676750000000002</v>
      </c>
      <c r="D125" s="40">
        <f>G125*1.11</f>
        <v>27.195000000000004</v>
      </c>
      <c r="E125" s="66">
        <f t="shared" si="7"/>
        <v>28.167089789789795</v>
      </c>
      <c r="F125" s="10"/>
      <c r="G125" s="10">
        <v>24.5</v>
      </c>
      <c r="H125" s="76">
        <v>0.25250400000000001</v>
      </c>
      <c r="I125" s="76">
        <v>0.71958578978978982</v>
      </c>
      <c r="J125" s="63"/>
      <c r="K125" s="63"/>
      <c r="L125" s="63"/>
      <c r="M125" s="63"/>
      <c r="N125" s="1" t="s">
        <v>163</v>
      </c>
    </row>
    <row r="126" spans="1:14" ht="11.25">
      <c r="A126" s="9">
        <f t="shared" si="5"/>
        <v>121</v>
      </c>
      <c r="B126" s="29" t="s">
        <v>41</v>
      </c>
      <c r="C126" s="107">
        <f t="shared" si="6"/>
        <v>17.676750000000002</v>
      </c>
      <c r="D126" s="40">
        <f>G126*1.11</f>
        <v>27.195000000000004</v>
      </c>
      <c r="E126" s="66">
        <f t="shared" si="7"/>
        <v>28.167089789789795</v>
      </c>
      <c r="F126" s="10"/>
      <c r="G126" s="10">
        <v>24.5</v>
      </c>
      <c r="H126" s="76">
        <v>0.25250400000000001</v>
      </c>
      <c r="I126" s="76">
        <v>0.71958578978978982</v>
      </c>
      <c r="J126" s="63"/>
      <c r="K126" s="63"/>
      <c r="L126" s="63"/>
      <c r="M126" s="63"/>
      <c r="N126" s="1" t="s">
        <v>163</v>
      </c>
    </row>
    <row r="127" spans="1:14" ht="11.25">
      <c r="A127" s="9">
        <f t="shared" si="5"/>
        <v>122</v>
      </c>
      <c r="B127" s="29" t="s">
        <v>42</v>
      </c>
      <c r="C127" s="107">
        <f t="shared" si="6"/>
        <v>14.069250000000002</v>
      </c>
      <c r="D127" s="40">
        <f>G127*1.11</f>
        <v>21.645000000000003</v>
      </c>
      <c r="E127" s="66">
        <f t="shared" si="7"/>
        <v>22.617089789789794</v>
      </c>
      <c r="F127" s="10"/>
      <c r="G127" s="10">
        <v>19.5</v>
      </c>
      <c r="H127" s="76">
        <v>0.25250400000000001</v>
      </c>
      <c r="I127" s="76">
        <v>0.71958578978978982</v>
      </c>
      <c r="J127" s="63"/>
      <c r="K127" s="63"/>
      <c r="L127" s="63"/>
      <c r="M127" s="63"/>
      <c r="N127" s="1" t="s">
        <v>163</v>
      </c>
    </row>
    <row r="128" spans="1:14" ht="11.25">
      <c r="A128" s="9">
        <f t="shared" si="5"/>
        <v>123</v>
      </c>
      <c r="B128" s="29" t="s">
        <v>43</v>
      </c>
      <c r="C128" s="107">
        <f t="shared" si="6"/>
        <v>0</v>
      </c>
      <c r="D128" s="40"/>
      <c r="E128" s="66">
        <f t="shared" si="7"/>
        <v>0.97208978978978977</v>
      </c>
      <c r="F128" s="10"/>
      <c r="G128" s="10">
        <v>45</v>
      </c>
      <c r="H128" s="76">
        <v>0.25250400000000001</v>
      </c>
      <c r="I128" s="76">
        <v>0.71958578978978982</v>
      </c>
      <c r="J128" s="63"/>
      <c r="K128" s="63"/>
      <c r="L128" s="63"/>
      <c r="M128" s="63"/>
    </row>
    <row r="129" spans="1:14" ht="11.25">
      <c r="A129" s="9">
        <f t="shared" si="5"/>
        <v>124</v>
      </c>
      <c r="B129" s="29" t="s">
        <v>52</v>
      </c>
      <c r="C129" s="107">
        <f t="shared" si="6"/>
        <v>0</v>
      </c>
      <c r="D129" s="40"/>
      <c r="E129" s="66">
        <f t="shared" si="7"/>
        <v>0.97208978978978977</v>
      </c>
      <c r="F129" s="10"/>
      <c r="G129" s="10">
        <v>44.5</v>
      </c>
      <c r="H129" s="76">
        <v>0.25250400000000001</v>
      </c>
      <c r="I129" s="76">
        <v>0.71958578978978982</v>
      </c>
      <c r="J129" s="63"/>
      <c r="K129" s="63"/>
      <c r="L129" s="63"/>
      <c r="M129" s="63"/>
    </row>
    <row r="130" spans="1:14" ht="11.25">
      <c r="A130" s="9">
        <f t="shared" si="5"/>
        <v>125</v>
      </c>
      <c r="B130" s="29" t="s">
        <v>229</v>
      </c>
      <c r="C130" s="107">
        <f t="shared" si="6"/>
        <v>28.499250000000004</v>
      </c>
      <c r="D130" s="40">
        <f>G130*1.11</f>
        <v>43.845000000000006</v>
      </c>
      <c r="E130" s="66">
        <f t="shared" si="7"/>
        <v>44.817089789789797</v>
      </c>
      <c r="F130" s="10"/>
      <c r="G130" s="10">
        <v>39.5</v>
      </c>
      <c r="H130" s="76">
        <v>0.25250400000000001</v>
      </c>
      <c r="I130" s="76">
        <v>0.71958578978978982</v>
      </c>
      <c r="J130" s="63"/>
      <c r="K130" s="63"/>
      <c r="L130" s="63"/>
      <c r="M130" s="63"/>
      <c r="N130" s="1" t="s">
        <v>163</v>
      </c>
    </row>
    <row r="131" spans="1:14" ht="11.25">
      <c r="A131" s="9">
        <f t="shared" si="5"/>
        <v>126</v>
      </c>
      <c r="B131" s="29" t="s">
        <v>44</v>
      </c>
      <c r="C131" s="107">
        <f t="shared" si="6"/>
        <v>0</v>
      </c>
      <c r="D131" s="40"/>
      <c r="E131" s="66">
        <f t="shared" si="7"/>
        <v>0.97208978978978977</v>
      </c>
      <c r="F131" s="10"/>
      <c r="G131" s="10">
        <v>16</v>
      </c>
      <c r="H131" s="76">
        <v>0.25250400000000001</v>
      </c>
      <c r="I131" s="76">
        <v>0.71958578978978982</v>
      </c>
      <c r="J131" s="63"/>
      <c r="K131" s="63"/>
      <c r="L131" s="63"/>
      <c r="M131" s="63"/>
    </row>
    <row r="132" spans="1:14" ht="11.25">
      <c r="A132" s="9">
        <f t="shared" si="5"/>
        <v>127</v>
      </c>
      <c r="B132" s="29" t="s">
        <v>51</v>
      </c>
      <c r="C132" s="107">
        <f t="shared" si="6"/>
        <v>0</v>
      </c>
      <c r="D132" s="40"/>
      <c r="E132" s="66">
        <f t="shared" si="7"/>
        <v>0.97208978978978977</v>
      </c>
      <c r="F132" s="10"/>
      <c r="G132" s="10">
        <v>18.5</v>
      </c>
      <c r="H132" s="76">
        <v>0.25250400000000001</v>
      </c>
      <c r="I132" s="76">
        <v>0.71958578978978982</v>
      </c>
      <c r="J132" s="63"/>
      <c r="K132" s="63"/>
      <c r="L132" s="63"/>
      <c r="M132" s="63"/>
    </row>
    <row r="133" spans="1:14" ht="11.25">
      <c r="A133" s="9">
        <f t="shared" si="5"/>
        <v>128</v>
      </c>
      <c r="B133" s="29" t="s">
        <v>45</v>
      </c>
      <c r="C133" s="107">
        <f t="shared" si="6"/>
        <v>0</v>
      </c>
      <c r="D133" s="40"/>
      <c r="E133" s="66">
        <f t="shared" si="7"/>
        <v>0.97208978978978977</v>
      </c>
      <c r="F133" s="10"/>
      <c r="G133" s="10">
        <v>21.5</v>
      </c>
      <c r="H133" s="76">
        <v>0.25250400000000001</v>
      </c>
      <c r="I133" s="76">
        <v>0.71958578978978982</v>
      </c>
      <c r="J133" s="63"/>
      <c r="K133" s="63"/>
      <c r="L133" s="63"/>
      <c r="M133" s="63"/>
    </row>
    <row r="134" spans="1:14" ht="11.25">
      <c r="A134" s="9">
        <f t="shared" si="5"/>
        <v>129</v>
      </c>
      <c r="B134" s="29" t="s">
        <v>118</v>
      </c>
      <c r="C134" s="107">
        <f t="shared" si="6"/>
        <v>13.708500000000001</v>
      </c>
      <c r="D134" s="40">
        <f t="shared" ref="D134:D139" si="10">G134*1.11</f>
        <v>21.090000000000003</v>
      </c>
      <c r="E134" s="66">
        <f t="shared" si="7"/>
        <v>22.062089789789795</v>
      </c>
      <c r="F134" s="10"/>
      <c r="G134" s="10">
        <v>19</v>
      </c>
      <c r="H134" s="76">
        <v>0.25250400000000001</v>
      </c>
      <c r="I134" s="76">
        <v>0.71958578978978982</v>
      </c>
      <c r="J134" s="63"/>
      <c r="K134" s="63"/>
      <c r="L134" s="63"/>
      <c r="M134" s="63"/>
      <c r="N134" s="1" t="s">
        <v>163</v>
      </c>
    </row>
    <row r="135" spans="1:14" ht="11.25">
      <c r="A135" s="9">
        <f t="shared" ref="A135:A203" si="11">A134+1</f>
        <v>130</v>
      </c>
      <c r="B135" s="29" t="s">
        <v>114</v>
      </c>
      <c r="C135" s="107">
        <f t="shared" ref="C135:C198" si="12">(D135*65)/100</f>
        <v>13.347750000000001</v>
      </c>
      <c r="D135" s="40">
        <f t="shared" si="10"/>
        <v>20.535</v>
      </c>
      <c r="E135" s="66">
        <f t="shared" si="7"/>
        <v>21.507089789789791</v>
      </c>
      <c r="F135" s="10"/>
      <c r="G135" s="10">
        <v>18.5</v>
      </c>
      <c r="H135" s="76">
        <v>0.25250400000000001</v>
      </c>
      <c r="I135" s="76">
        <v>0.71958578978978982</v>
      </c>
      <c r="J135" s="63"/>
      <c r="K135" s="63"/>
      <c r="L135" s="63"/>
      <c r="M135" s="63"/>
      <c r="N135" s="1" t="s">
        <v>163</v>
      </c>
    </row>
    <row r="136" spans="1:14" ht="11.25">
      <c r="A136" s="9">
        <f t="shared" si="11"/>
        <v>131</v>
      </c>
      <c r="B136" s="29" t="s">
        <v>111</v>
      </c>
      <c r="C136" s="107">
        <f t="shared" si="12"/>
        <v>15.1515</v>
      </c>
      <c r="D136" s="40">
        <f t="shared" si="10"/>
        <v>23.310000000000002</v>
      </c>
      <c r="E136" s="66">
        <f t="shared" si="7"/>
        <v>24.282089789789794</v>
      </c>
      <c r="F136" s="10"/>
      <c r="G136" s="10">
        <v>21</v>
      </c>
      <c r="H136" s="76">
        <v>0.25250400000000001</v>
      </c>
      <c r="I136" s="76">
        <v>0.71958578978978982</v>
      </c>
      <c r="J136" s="63"/>
      <c r="K136" s="63"/>
      <c r="L136" s="63"/>
      <c r="M136" s="63"/>
      <c r="N136" s="1" t="s">
        <v>163</v>
      </c>
    </row>
    <row r="137" spans="1:14" ht="11.25">
      <c r="A137" s="9">
        <f t="shared" si="11"/>
        <v>132</v>
      </c>
      <c r="B137" s="29" t="s">
        <v>112</v>
      </c>
      <c r="C137" s="107">
        <f t="shared" si="12"/>
        <v>18.398250000000004</v>
      </c>
      <c r="D137" s="40">
        <f t="shared" si="10"/>
        <v>28.305000000000003</v>
      </c>
      <c r="E137" s="66">
        <f t="shared" ref="E137:E205" si="13">SUM(H137:I137)+D137</f>
        <v>29.277089789789795</v>
      </c>
      <c r="F137" s="10"/>
      <c r="G137" s="10">
        <v>25.5</v>
      </c>
      <c r="H137" s="76">
        <v>0.25250400000000001</v>
      </c>
      <c r="I137" s="76">
        <v>0.71958578978978982</v>
      </c>
      <c r="J137" s="63"/>
      <c r="K137" s="63"/>
      <c r="L137" s="63"/>
      <c r="M137" s="63"/>
      <c r="N137" s="1" t="s">
        <v>163</v>
      </c>
    </row>
    <row r="138" spans="1:14" ht="11.25">
      <c r="A138" s="9">
        <f t="shared" si="11"/>
        <v>133</v>
      </c>
      <c r="B138" s="29" t="s">
        <v>3</v>
      </c>
      <c r="C138" s="107">
        <f t="shared" si="12"/>
        <v>18.037500000000001</v>
      </c>
      <c r="D138" s="40">
        <f t="shared" si="10"/>
        <v>27.750000000000004</v>
      </c>
      <c r="E138" s="66">
        <f t="shared" si="13"/>
        <v>28.722089789789795</v>
      </c>
      <c r="F138" s="10"/>
      <c r="G138" s="10">
        <v>25</v>
      </c>
      <c r="H138" s="76">
        <v>0.25250400000000001</v>
      </c>
      <c r="I138" s="76">
        <v>0.71958578978978982</v>
      </c>
      <c r="J138" s="63"/>
      <c r="K138" s="63"/>
      <c r="L138" s="63"/>
      <c r="M138" s="63"/>
      <c r="N138" s="1" t="s">
        <v>163</v>
      </c>
    </row>
    <row r="139" spans="1:14" ht="11.25">
      <c r="A139" s="9">
        <f t="shared" si="11"/>
        <v>134</v>
      </c>
      <c r="B139" s="29" t="s">
        <v>46</v>
      </c>
      <c r="C139" s="107">
        <f t="shared" si="12"/>
        <v>19.841250000000002</v>
      </c>
      <c r="D139" s="40">
        <f t="shared" si="10"/>
        <v>30.525000000000002</v>
      </c>
      <c r="E139" s="66">
        <f t="shared" si="13"/>
        <v>31.497089789789793</v>
      </c>
      <c r="F139" s="10"/>
      <c r="G139" s="10">
        <v>27.5</v>
      </c>
      <c r="H139" s="76">
        <v>0.25250400000000001</v>
      </c>
      <c r="I139" s="76">
        <v>0.71958578978978982</v>
      </c>
      <c r="J139" s="63"/>
      <c r="K139" s="63"/>
      <c r="L139" s="63"/>
      <c r="M139" s="63"/>
      <c r="N139" s="1" t="s">
        <v>163</v>
      </c>
    </row>
    <row r="140" spans="1:14" ht="11.25">
      <c r="A140" s="9">
        <f t="shared" si="11"/>
        <v>135</v>
      </c>
      <c r="B140" s="11" t="s">
        <v>47</v>
      </c>
      <c r="C140" s="107">
        <f t="shared" si="12"/>
        <v>0</v>
      </c>
      <c r="D140" s="40"/>
      <c r="E140" s="66">
        <f t="shared" si="13"/>
        <v>0.97208978978978977</v>
      </c>
      <c r="F140" s="10"/>
      <c r="G140" s="10">
        <v>46</v>
      </c>
      <c r="H140" s="76">
        <v>0.25250400000000001</v>
      </c>
      <c r="I140" s="76">
        <v>0.71958578978978982</v>
      </c>
      <c r="J140" s="63"/>
      <c r="K140" s="63"/>
      <c r="L140" s="63"/>
      <c r="M140" s="63"/>
    </row>
    <row r="141" spans="1:14" ht="11.25">
      <c r="A141" s="9">
        <f t="shared" si="11"/>
        <v>136</v>
      </c>
      <c r="B141" s="29" t="s">
        <v>53</v>
      </c>
      <c r="C141" s="107">
        <f t="shared" si="12"/>
        <v>0</v>
      </c>
      <c r="D141" s="40"/>
      <c r="E141" s="66">
        <f t="shared" si="13"/>
        <v>0.97208978978978977</v>
      </c>
      <c r="F141" s="10"/>
      <c r="G141" s="10">
        <v>44</v>
      </c>
      <c r="H141" s="76">
        <v>0.25250400000000001</v>
      </c>
      <c r="I141" s="76">
        <v>0.71958578978978982</v>
      </c>
      <c r="J141" s="63"/>
      <c r="K141" s="63"/>
      <c r="L141" s="63"/>
      <c r="M141" s="63"/>
    </row>
    <row r="142" spans="1:14" ht="11.25">
      <c r="A142" s="9">
        <f t="shared" si="11"/>
        <v>137</v>
      </c>
      <c r="B142" s="29" t="s">
        <v>119</v>
      </c>
      <c r="C142" s="107">
        <f t="shared" si="12"/>
        <v>23.088000000000001</v>
      </c>
      <c r="D142" s="40">
        <f>G142*1.11</f>
        <v>35.520000000000003</v>
      </c>
      <c r="E142" s="66">
        <f t="shared" si="13"/>
        <v>36.492089789789794</v>
      </c>
      <c r="F142" s="10"/>
      <c r="G142" s="10">
        <v>32</v>
      </c>
      <c r="H142" s="76">
        <v>0.25250400000000001</v>
      </c>
      <c r="I142" s="76">
        <v>0.71958578978978982</v>
      </c>
      <c r="J142" s="63"/>
      <c r="K142" s="63"/>
      <c r="L142" s="63"/>
      <c r="M142" s="63"/>
      <c r="N142" s="1" t="s">
        <v>163</v>
      </c>
    </row>
    <row r="143" spans="1:14" ht="11.25">
      <c r="A143" s="9">
        <f t="shared" si="11"/>
        <v>138</v>
      </c>
      <c r="B143" s="29" t="s">
        <v>189</v>
      </c>
      <c r="C143" s="107">
        <f t="shared" si="12"/>
        <v>50.865750000000006</v>
      </c>
      <c r="D143" s="40">
        <f>G143*1.11</f>
        <v>78.25500000000001</v>
      </c>
      <c r="E143" s="66">
        <f t="shared" si="13"/>
        <v>79.227089789789801</v>
      </c>
      <c r="F143" s="10"/>
      <c r="G143" s="10">
        <v>70.5</v>
      </c>
      <c r="H143" s="76">
        <v>0.25250400000000001</v>
      </c>
      <c r="I143" s="76">
        <v>0.71958578978978982</v>
      </c>
      <c r="J143" s="63"/>
      <c r="K143" s="63"/>
      <c r="L143" s="63"/>
      <c r="M143" s="63"/>
      <c r="N143" s="1" t="s">
        <v>163</v>
      </c>
    </row>
    <row r="144" spans="1:14" ht="11.25">
      <c r="A144" s="9">
        <f t="shared" si="11"/>
        <v>139</v>
      </c>
      <c r="B144" s="29" t="s">
        <v>48</v>
      </c>
      <c r="C144" s="107">
        <f t="shared" si="12"/>
        <v>0</v>
      </c>
      <c r="D144" s="40"/>
      <c r="E144" s="66">
        <f t="shared" si="13"/>
        <v>0.97208978978978977</v>
      </c>
      <c r="F144" s="10"/>
      <c r="G144" s="10">
        <v>92.5</v>
      </c>
      <c r="H144" s="76">
        <v>0.25250400000000001</v>
      </c>
      <c r="I144" s="76">
        <v>0.71958578978978982</v>
      </c>
      <c r="J144" s="63"/>
      <c r="K144" s="63"/>
      <c r="L144" s="63"/>
      <c r="M144" s="63"/>
    </row>
    <row r="145" spans="1:14" ht="11.25">
      <c r="A145" s="9">
        <f t="shared" si="11"/>
        <v>140</v>
      </c>
      <c r="B145" s="29" t="s">
        <v>113</v>
      </c>
      <c r="C145" s="107">
        <f t="shared" si="12"/>
        <v>41.847000000000008</v>
      </c>
      <c r="D145" s="40">
        <f>G145*1.11</f>
        <v>64.38000000000001</v>
      </c>
      <c r="E145" s="66">
        <f t="shared" si="13"/>
        <v>65.352089789789801</v>
      </c>
      <c r="F145" s="10"/>
      <c r="G145" s="10">
        <v>58</v>
      </c>
      <c r="H145" s="76">
        <v>0.25250400000000001</v>
      </c>
      <c r="I145" s="76">
        <v>0.71958578978978982</v>
      </c>
      <c r="J145" s="63"/>
      <c r="K145" s="63"/>
      <c r="L145" s="63"/>
      <c r="M145" s="63"/>
      <c r="N145" s="1" t="s">
        <v>163</v>
      </c>
    </row>
    <row r="146" spans="1:14" ht="11.25">
      <c r="A146" s="9">
        <f t="shared" si="11"/>
        <v>141</v>
      </c>
      <c r="B146" s="29" t="s">
        <v>109</v>
      </c>
      <c r="C146" s="107">
        <f t="shared" si="12"/>
        <v>22.366500000000002</v>
      </c>
      <c r="D146" s="40">
        <f>G146*1.11</f>
        <v>34.410000000000004</v>
      </c>
      <c r="E146" s="66">
        <f t="shared" si="13"/>
        <v>35.382089789789795</v>
      </c>
      <c r="F146" s="10"/>
      <c r="G146" s="10">
        <v>31</v>
      </c>
      <c r="H146" s="76">
        <v>0.25250400000000001</v>
      </c>
      <c r="I146" s="76">
        <v>0.71958578978978982</v>
      </c>
      <c r="J146" s="63"/>
      <c r="K146" s="63"/>
      <c r="L146" s="63"/>
      <c r="M146" s="63"/>
      <c r="N146" s="1" t="s">
        <v>163</v>
      </c>
    </row>
    <row r="147" spans="1:14" ht="11.25">
      <c r="A147" s="9">
        <f t="shared" si="11"/>
        <v>142</v>
      </c>
      <c r="B147" s="29" t="s">
        <v>116</v>
      </c>
      <c r="C147" s="107">
        <f t="shared" si="12"/>
        <v>18.398250000000004</v>
      </c>
      <c r="D147" s="40">
        <f>G147*1.11</f>
        <v>28.305000000000003</v>
      </c>
      <c r="E147" s="66">
        <f t="shared" si="13"/>
        <v>29.277089789789795</v>
      </c>
      <c r="F147" s="10"/>
      <c r="G147" s="10">
        <v>25.5</v>
      </c>
      <c r="H147" s="76">
        <v>0.25250400000000001</v>
      </c>
      <c r="I147" s="76">
        <v>0.71958578978978982</v>
      </c>
      <c r="J147" s="63"/>
      <c r="K147" s="63"/>
      <c r="L147" s="63"/>
      <c r="M147" s="63"/>
      <c r="N147" s="1" t="s">
        <v>163</v>
      </c>
    </row>
    <row r="148" spans="1:14" ht="11.25">
      <c r="A148" s="9">
        <f t="shared" si="11"/>
        <v>143</v>
      </c>
      <c r="B148" s="29" t="s">
        <v>49</v>
      </c>
      <c r="C148" s="107">
        <f t="shared" si="12"/>
        <v>0</v>
      </c>
      <c r="D148" s="40"/>
      <c r="E148" s="66">
        <f t="shared" si="13"/>
        <v>0.97208978978978977</v>
      </c>
      <c r="F148" s="10"/>
      <c r="G148" s="10">
        <v>25</v>
      </c>
      <c r="H148" s="76">
        <v>0.25250400000000001</v>
      </c>
      <c r="I148" s="76">
        <v>0.71958578978978982</v>
      </c>
      <c r="J148" s="63"/>
      <c r="K148" s="63"/>
      <c r="L148" s="63"/>
      <c r="M148" s="63"/>
    </row>
    <row r="149" spans="1:14" ht="11.25">
      <c r="A149" s="9">
        <f t="shared" si="11"/>
        <v>144</v>
      </c>
      <c r="B149" s="29" t="s">
        <v>50</v>
      </c>
      <c r="C149" s="107">
        <f t="shared" si="12"/>
        <v>24.170249999999999</v>
      </c>
      <c r="D149" s="40">
        <f>G149*1.11</f>
        <v>37.185000000000002</v>
      </c>
      <c r="E149" s="66">
        <f t="shared" si="13"/>
        <v>38.157089789789794</v>
      </c>
      <c r="F149" s="10"/>
      <c r="G149" s="10">
        <v>33.5</v>
      </c>
      <c r="H149" s="76">
        <v>0.25250400000000001</v>
      </c>
      <c r="I149" s="76">
        <v>0.71958578978978982</v>
      </c>
      <c r="J149" s="63"/>
      <c r="K149" s="63"/>
      <c r="L149" s="63"/>
      <c r="M149" s="63"/>
      <c r="N149" s="1" t="s">
        <v>163</v>
      </c>
    </row>
    <row r="150" spans="1:14" ht="11.25">
      <c r="A150" s="9">
        <f t="shared" si="11"/>
        <v>145</v>
      </c>
      <c r="B150" s="29" t="s">
        <v>54</v>
      </c>
      <c r="C150" s="107">
        <f t="shared" si="12"/>
        <v>21.645000000000003</v>
      </c>
      <c r="D150" s="40">
        <f>G150*1.11</f>
        <v>33.300000000000004</v>
      </c>
      <c r="E150" s="66">
        <f t="shared" si="13"/>
        <v>34.272089789789796</v>
      </c>
      <c r="F150" s="10"/>
      <c r="G150" s="10">
        <v>30</v>
      </c>
      <c r="H150" s="76">
        <v>0.25250400000000001</v>
      </c>
      <c r="I150" s="76">
        <v>0.71958578978978982</v>
      </c>
      <c r="J150" s="63"/>
      <c r="K150" s="63"/>
      <c r="L150" s="63"/>
      <c r="M150" s="63"/>
      <c r="N150" s="1" t="s">
        <v>163</v>
      </c>
    </row>
    <row r="151" spans="1:14" ht="11.25">
      <c r="A151" s="9">
        <f t="shared" si="11"/>
        <v>146</v>
      </c>
      <c r="B151" s="29" t="s">
        <v>55</v>
      </c>
      <c r="C151" s="107">
        <f t="shared" si="12"/>
        <v>0</v>
      </c>
      <c r="D151" s="40"/>
      <c r="E151" s="66">
        <f t="shared" si="13"/>
        <v>0.97208978978978977</v>
      </c>
      <c r="F151" s="10"/>
      <c r="G151" s="10">
        <v>30</v>
      </c>
      <c r="H151" s="76">
        <v>0.25250400000000001</v>
      </c>
      <c r="I151" s="76">
        <v>0.71958578978978982</v>
      </c>
      <c r="J151" s="63"/>
      <c r="K151" s="63"/>
      <c r="L151" s="63"/>
      <c r="M151" s="63"/>
    </row>
    <row r="152" spans="1:14" ht="11.25">
      <c r="A152" s="9">
        <f t="shared" si="11"/>
        <v>147</v>
      </c>
      <c r="B152" s="29" t="s">
        <v>127</v>
      </c>
      <c r="C152" s="107">
        <f t="shared" si="12"/>
        <v>18.037500000000001</v>
      </c>
      <c r="D152" s="40">
        <f>G152*1.11</f>
        <v>27.750000000000004</v>
      </c>
      <c r="E152" s="66">
        <f t="shared" si="13"/>
        <v>28.722089789789795</v>
      </c>
      <c r="F152" s="10"/>
      <c r="G152" s="10">
        <v>25</v>
      </c>
      <c r="H152" s="76">
        <v>0.25250400000000001</v>
      </c>
      <c r="I152" s="76">
        <v>0.71958578978978982</v>
      </c>
      <c r="J152" s="63"/>
      <c r="K152" s="63"/>
      <c r="L152" s="63"/>
      <c r="M152" s="63"/>
      <c r="N152" s="1" t="s">
        <v>163</v>
      </c>
    </row>
    <row r="153" spans="1:14" ht="11.25">
      <c r="A153" s="9">
        <f t="shared" si="11"/>
        <v>148</v>
      </c>
      <c r="B153" s="29" t="s">
        <v>168</v>
      </c>
      <c r="C153" s="107">
        <f t="shared" si="12"/>
        <v>19.841250000000002</v>
      </c>
      <c r="D153" s="40">
        <f>G153*1.11</f>
        <v>30.525000000000002</v>
      </c>
      <c r="E153" s="66">
        <f t="shared" si="13"/>
        <v>31.497089789789793</v>
      </c>
      <c r="F153" s="10"/>
      <c r="G153" s="10">
        <v>27.5</v>
      </c>
      <c r="H153" s="76">
        <v>0.25250400000000001</v>
      </c>
      <c r="I153" s="76">
        <v>0.71958578978978982</v>
      </c>
      <c r="J153" s="63"/>
      <c r="K153" s="63"/>
      <c r="L153" s="63"/>
      <c r="M153" s="63"/>
      <c r="N153" s="1" t="s">
        <v>163</v>
      </c>
    </row>
    <row r="154" spans="1:14" ht="11.25">
      <c r="A154" s="9">
        <f t="shared" si="11"/>
        <v>149</v>
      </c>
      <c r="B154" s="29" t="s">
        <v>219</v>
      </c>
      <c r="C154" s="107">
        <f t="shared" si="12"/>
        <v>19.480500000000003</v>
      </c>
      <c r="D154" s="40">
        <f>G154*1.11</f>
        <v>29.970000000000002</v>
      </c>
      <c r="E154" s="66">
        <f t="shared" si="13"/>
        <v>30.942089789789794</v>
      </c>
      <c r="F154" s="10"/>
      <c r="G154" s="10">
        <v>27</v>
      </c>
      <c r="H154" s="76">
        <v>0.25250400000000001</v>
      </c>
      <c r="I154" s="76">
        <v>0.71958578978978982</v>
      </c>
      <c r="J154" s="63"/>
      <c r="K154" s="63"/>
      <c r="L154" s="63"/>
      <c r="M154" s="63"/>
      <c r="N154" s="1" t="s">
        <v>163</v>
      </c>
    </row>
    <row r="155" spans="1:14" ht="11.25">
      <c r="A155" s="9">
        <f t="shared" si="11"/>
        <v>150</v>
      </c>
      <c r="B155" s="29" t="s">
        <v>56</v>
      </c>
      <c r="C155" s="107">
        <f t="shared" si="12"/>
        <v>13.708500000000001</v>
      </c>
      <c r="D155" s="40">
        <f>G155*1.11</f>
        <v>21.090000000000003</v>
      </c>
      <c r="E155" s="66">
        <f t="shared" si="13"/>
        <v>22.062089789789795</v>
      </c>
      <c r="F155" s="10"/>
      <c r="G155" s="10">
        <v>19</v>
      </c>
      <c r="H155" s="76">
        <v>0.25250400000000001</v>
      </c>
      <c r="I155" s="76">
        <v>0.71958578978978982</v>
      </c>
      <c r="J155" s="63"/>
      <c r="K155" s="63"/>
      <c r="L155" s="63"/>
      <c r="M155" s="63"/>
      <c r="N155" s="1" t="s">
        <v>163</v>
      </c>
    </row>
    <row r="156" spans="1:14" ht="11.25">
      <c r="A156" s="9">
        <f t="shared" si="11"/>
        <v>151</v>
      </c>
      <c r="B156" s="29"/>
      <c r="C156" s="107">
        <f t="shared" si="12"/>
        <v>0</v>
      </c>
      <c r="D156" s="40"/>
      <c r="E156" s="66">
        <f t="shared" si="13"/>
        <v>0.97208978978978977</v>
      </c>
      <c r="F156" s="10"/>
      <c r="G156" s="10"/>
      <c r="H156" s="76">
        <v>0.25250400000000001</v>
      </c>
      <c r="I156" s="76">
        <v>0.71958578978978982</v>
      </c>
      <c r="J156" s="63"/>
      <c r="K156" s="63"/>
      <c r="L156" s="63"/>
      <c r="M156" s="63"/>
    </row>
    <row r="157" spans="1:14" ht="11.25">
      <c r="A157" s="9">
        <f t="shared" si="11"/>
        <v>152</v>
      </c>
      <c r="B157" s="29" t="s">
        <v>80</v>
      </c>
      <c r="C157" s="107">
        <f t="shared" si="12"/>
        <v>14.3</v>
      </c>
      <c r="D157" s="59">
        <v>22</v>
      </c>
      <c r="E157" s="66">
        <f t="shared" si="13"/>
        <v>22.972089789789791</v>
      </c>
      <c r="F157" s="32"/>
      <c r="G157" s="10"/>
      <c r="H157" s="76">
        <v>0.25250400000000001</v>
      </c>
      <c r="I157" s="76">
        <v>0.71958578978978982</v>
      </c>
      <c r="J157" s="63"/>
      <c r="K157" s="63"/>
      <c r="L157" s="63"/>
      <c r="M157" s="63"/>
      <c r="N157" s="1" t="s">
        <v>81</v>
      </c>
    </row>
    <row r="158" spans="1:14" ht="11.25">
      <c r="A158" s="9">
        <f t="shared" si="11"/>
        <v>153</v>
      </c>
      <c r="B158" s="29" t="s">
        <v>82</v>
      </c>
      <c r="C158" s="107">
        <f t="shared" si="12"/>
        <v>10.179</v>
      </c>
      <c r="D158" s="40">
        <v>15.66</v>
      </c>
      <c r="E158" s="66">
        <f t="shared" si="13"/>
        <v>16.632089789789791</v>
      </c>
      <c r="F158" s="10"/>
      <c r="G158" s="10"/>
      <c r="H158" s="76">
        <v>0.25250400000000001</v>
      </c>
      <c r="I158" s="76">
        <v>0.71958578978978982</v>
      </c>
      <c r="J158" s="63"/>
      <c r="K158" s="63"/>
      <c r="L158" s="63"/>
      <c r="M158" s="63"/>
      <c r="N158" s="1" t="s">
        <v>81</v>
      </c>
    </row>
    <row r="159" spans="1:14" ht="11.25">
      <c r="A159" s="9">
        <f t="shared" si="11"/>
        <v>154</v>
      </c>
      <c r="B159" s="29" t="s">
        <v>83</v>
      </c>
      <c r="C159" s="107">
        <f t="shared" si="12"/>
        <v>0</v>
      </c>
      <c r="D159" s="40"/>
      <c r="E159" s="66">
        <f t="shared" si="13"/>
        <v>0.97208978978978977</v>
      </c>
      <c r="F159" s="10"/>
      <c r="G159" s="10"/>
      <c r="H159" s="76">
        <v>0.25250400000000001</v>
      </c>
      <c r="I159" s="76">
        <v>0.71958578978978982</v>
      </c>
      <c r="J159" s="63"/>
      <c r="K159" s="63"/>
      <c r="L159" s="63"/>
      <c r="M159" s="63"/>
      <c r="N159" s="1" t="s">
        <v>81</v>
      </c>
    </row>
    <row r="160" spans="1:14" ht="11.25">
      <c r="A160" s="9">
        <f t="shared" si="11"/>
        <v>155</v>
      </c>
      <c r="B160" s="29" t="s">
        <v>84</v>
      </c>
      <c r="C160" s="107">
        <f t="shared" si="12"/>
        <v>0</v>
      </c>
      <c r="D160" s="40"/>
      <c r="E160" s="66">
        <f t="shared" si="13"/>
        <v>0.97208978978978977</v>
      </c>
      <c r="F160" s="10"/>
      <c r="G160" s="10"/>
      <c r="H160" s="76">
        <v>0.25250400000000001</v>
      </c>
      <c r="I160" s="76">
        <v>0.71958578978978982</v>
      </c>
      <c r="J160" s="63"/>
      <c r="K160" s="63"/>
      <c r="L160" s="63"/>
      <c r="M160" s="63"/>
      <c r="N160" s="1" t="s">
        <v>81</v>
      </c>
    </row>
    <row r="161" spans="1:14" ht="11.25">
      <c r="A161" s="9">
        <f t="shared" si="11"/>
        <v>156</v>
      </c>
      <c r="B161" s="29" t="s">
        <v>85</v>
      </c>
      <c r="C161" s="107">
        <f t="shared" si="12"/>
        <v>0</v>
      </c>
      <c r="D161" s="40"/>
      <c r="E161" s="66">
        <f t="shared" si="13"/>
        <v>0.97208978978978977</v>
      </c>
      <c r="F161" s="10"/>
      <c r="G161" s="10"/>
      <c r="H161" s="76">
        <v>0.25250400000000001</v>
      </c>
      <c r="I161" s="76">
        <v>0.71958578978978982</v>
      </c>
      <c r="J161" s="63"/>
      <c r="K161" s="63"/>
      <c r="L161" s="63"/>
      <c r="M161" s="63"/>
      <c r="N161" s="1" t="s">
        <v>81</v>
      </c>
    </row>
    <row r="162" spans="1:14" ht="11.25">
      <c r="A162" s="9">
        <f t="shared" si="11"/>
        <v>157</v>
      </c>
      <c r="B162" s="29" t="s">
        <v>86</v>
      </c>
      <c r="C162" s="107">
        <f t="shared" si="12"/>
        <v>19.37</v>
      </c>
      <c r="D162" s="40">
        <v>29.8</v>
      </c>
      <c r="E162" s="66">
        <f t="shared" si="13"/>
        <v>30.772089789789792</v>
      </c>
      <c r="F162" s="10"/>
      <c r="G162" s="10"/>
      <c r="H162" s="76">
        <v>0.25250400000000001</v>
      </c>
      <c r="I162" s="76">
        <v>0.71958578978978982</v>
      </c>
      <c r="J162" s="63"/>
      <c r="K162" s="63"/>
      <c r="L162" s="63"/>
      <c r="M162" s="63"/>
      <c r="N162" s="1" t="s">
        <v>81</v>
      </c>
    </row>
    <row r="163" spans="1:14" ht="11.25">
      <c r="A163" s="9">
        <f t="shared" si="11"/>
        <v>158</v>
      </c>
      <c r="B163" s="29" t="s">
        <v>87</v>
      </c>
      <c r="C163" s="107">
        <f t="shared" si="12"/>
        <v>0</v>
      </c>
      <c r="D163" s="40"/>
      <c r="E163" s="66">
        <f t="shared" si="13"/>
        <v>0.97208978978978977</v>
      </c>
      <c r="F163" s="10"/>
      <c r="G163" s="10"/>
      <c r="H163" s="76">
        <v>0.25250400000000001</v>
      </c>
      <c r="I163" s="76">
        <v>0.71958578978978982</v>
      </c>
      <c r="J163" s="63"/>
      <c r="K163" s="63"/>
      <c r="L163" s="63"/>
      <c r="M163" s="63"/>
      <c r="N163" s="1" t="s">
        <v>81</v>
      </c>
    </row>
    <row r="164" spans="1:14" ht="11.25">
      <c r="A164" s="9">
        <f t="shared" si="11"/>
        <v>159</v>
      </c>
      <c r="B164" s="29" t="s">
        <v>88</v>
      </c>
      <c r="C164" s="107">
        <f t="shared" si="12"/>
        <v>14.3</v>
      </c>
      <c r="D164" s="59">
        <v>22</v>
      </c>
      <c r="E164" s="66">
        <f t="shared" si="13"/>
        <v>22.972089789789791</v>
      </c>
      <c r="F164" s="32"/>
      <c r="G164" s="10"/>
      <c r="H164" s="76">
        <v>0.25250400000000001</v>
      </c>
      <c r="I164" s="76">
        <v>0.71958578978978982</v>
      </c>
      <c r="J164" s="63"/>
      <c r="K164" s="63"/>
      <c r="L164" s="63"/>
      <c r="M164" s="63"/>
      <c r="N164" s="1" t="s">
        <v>81</v>
      </c>
    </row>
    <row r="165" spans="1:14" ht="11.25">
      <c r="A165" s="9">
        <f t="shared" si="11"/>
        <v>160</v>
      </c>
      <c r="B165" s="29" t="s">
        <v>89</v>
      </c>
      <c r="C165" s="107">
        <f t="shared" si="12"/>
        <v>10.224500000000001</v>
      </c>
      <c r="D165" s="40">
        <v>15.73</v>
      </c>
      <c r="E165" s="66">
        <f t="shared" si="13"/>
        <v>16.702089789789792</v>
      </c>
      <c r="F165" s="10"/>
      <c r="G165" s="10"/>
      <c r="H165" s="76">
        <v>0.25250400000000001</v>
      </c>
      <c r="I165" s="76">
        <v>0.71958578978978982</v>
      </c>
      <c r="J165" s="63"/>
      <c r="K165" s="63"/>
      <c r="L165" s="63"/>
      <c r="M165" s="63"/>
      <c r="N165" s="1" t="s">
        <v>81</v>
      </c>
    </row>
    <row r="166" spans="1:14" ht="11.25">
      <c r="A166" s="9">
        <f t="shared" si="11"/>
        <v>161</v>
      </c>
      <c r="B166" s="29" t="s">
        <v>90</v>
      </c>
      <c r="C166" s="107">
        <f t="shared" si="12"/>
        <v>13.52</v>
      </c>
      <c r="D166" s="59">
        <v>20.8</v>
      </c>
      <c r="E166" s="66">
        <f t="shared" si="13"/>
        <v>21.772089789789792</v>
      </c>
      <c r="F166" s="32"/>
      <c r="G166" s="10"/>
      <c r="H166" s="76">
        <v>0.25250400000000001</v>
      </c>
      <c r="I166" s="76">
        <v>0.71958578978978982</v>
      </c>
      <c r="J166" s="63"/>
      <c r="K166" s="63"/>
      <c r="L166" s="63"/>
      <c r="M166" s="63"/>
      <c r="N166" s="1" t="s">
        <v>81</v>
      </c>
    </row>
    <row r="167" spans="1:14" ht="11.25">
      <c r="A167" s="9">
        <f t="shared" si="11"/>
        <v>162</v>
      </c>
      <c r="B167" s="29" t="s">
        <v>91</v>
      </c>
      <c r="C167" s="107">
        <f t="shared" si="12"/>
        <v>11.83</v>
      </c>
      <c r="D167" s="40">
        <v>18.2</v>
      </c>
      <c r="E167" s="66">
        <f t="shared" si="13"/>
        <v>19.172089789789791</v>
      </c>
      <c r="F167" s="10"/>
      <c r="G167" s="10"/>
      <c r="H167" s="76">
        <v>0.25250400000000001</v>
      </c>
      <c r="I167" s="76">
        <v>0.71958578978978982</v>
      </c>
      <c r="J167" s="63"/>
      <c r="K167" s="63"/>
      <c r="L167" s="63"/>
      <c r="M167" s="63"/>
      <c r="N167" s="1" t="s">
        <v>81</v>
      </c>
    </row>
    <row r="168" spans="1:14" ht="11.25">
      <c r="A168" s="9">
        <f t="shared" si="11"/>
        <v>163</v>
      </c>
      <c r="B168" s="29" t="s">
        <v>92</v>
      </c>
      <c r="C168" s="107">
        <f t="shared" si="12"/>
        <v>0</v>
      </c>
      <c r="D168" s="40"/>
      <c r="E168" s="66">
        <f t="shared" si="13"/>
        <v>0.97208978978978977</v>
      </c>
      <c r="F168" s="10"/>
      <c r="G168" s="10"/>
      <c r="H168" s="76">
        <v>0.25250400000000001</v>
      </c>
      <c r="I168" s="76">
        <v>0.71958578978978982</v>
      </c>
      <c r="J168" s="63"/>
      <c r="K168" s="63"/>
      <c r="L168" s="63"/>
      <c r="M168" s="63"/>
      <c r="N168" s="1" t="s">
        <v>81</v>
      </c>
    </row>
    <row r="169" spans="1:14" ht="11.25">
      <c r="A169" s="9">
        <f t="shared" si="11"/>
        <v>164</v>
      </c>
      <c r="B169" s="29" t="s">
        <v>93</v>
      </c>
      <c r="C169" s="107">
        <f t="shared" si="12"/>
        <v>19.1295</v>
      </c>
      <c r="D169" s="40">
        <v>29.43</v>
      </c>
      <c r="E169" s="66">
        <f t="shared" si="13"/>
        <v>30.402089789789791</v>
      </c>
      <c r="F169" s="10"/>
      <c r="G169" s="10"/>
      <c r="H169" s="76">
        <v>0.25250400000000001</v>
      </c>
      <c r="I169" s="76">
        <v>0.71958578978978982</v>
      </c>
      <c r="J169" s="63"/>
      <c r="K169" s="63"/>
      <c r="L169" s="63"/>
      <c r="M169" s="63"/>
      <c r="N169" s="1" t="s">
        <v>81</v>
      </c>
    </row>
    <row r="170" spans="1:14" ht="11.25">
      <c r="A170" s="9">
        <f t="shared" si="11"/>
        <v>165</v>
      </c>
      <c r="B170" s="29">
        <v>1001</v>
      </c>
      <c r="C170" s="107">
        <f t="shared" si="12"/>
        <v>21.45</v>
      </c>
      <c r="D170" s="40">
        <v>33</v>
      </c>
      <c r="E170" s="66">
        <f t="shared" si="13"/>
        <v>33.972089789789791</v>
      </c>
      <c r="F170" s="40"/>
      <c r="G170" s="10">
        <v>41</v>
      </c>
      <c r="H170" s="76">
        <v>0.25250400000000001</v>
      </c>
      <c r="I170" s="76">
        <v>0.71958578978978982</v>
      </c>
      <c r="J170" s="63"/>
      <c r="K170" s="63"/>
      <c r="L170" s="63"/>
      <c r="M170" s="63"/>
      <c r="N170" s="1" t="s">
        <v>319</v>
      </c>
    </row>
    <row r="171" spans="1:14" ht="11.25">
      <c r="A171" s="9">
        <f t="shared" si="11"/>
        <v>166</v>
      </c>
      <c r="B171" s="29">
        <v>1002</v>
      </c>
      <c r="C171" s="107">
        <f t="shared" si="12"/>
        <v>25.0471</v>
      </c>
      <c r="D171" s="40">
        <v>38.533999999999999</v>
      </c>
      <c r="E171" s="66">
        <f t="shared" si="13"/>
        <v>39.50608978978979</v>
      </c>
      <c r="F171" s="40"/>
      <c r="G171" s="10">
        <v>43</v>
      </c>
      <c r="H171" s="76">
        <v>0.25250400000000001</v>
      </c>
      <c r="I171" s="76">
        <v>0.71958578978978982</v>
      </c>
      <c r="J171" s="63"/>
      <c r="K171" s="63"/>
      <c r="L171" s="63"/>
      <c r="M171" s="63"/>
      <c r="N171" s="1" t="s">
        <v>319</v>
      </c>
    </row>
    <row r="172" spans="1:14" ht="11.25">
      <c r="A172" s="9">
        <f t="shared" si="11"/>
        <v>167</v>
      </c>
      <c r="B172" s="29">
        <v>1003</v>
      </c>
      <c r="C172" s="107">
        <f t="shared" si="12"/>
        <v>52.235950000000003</v>
      </c>
      <c r="D172" s="40">
        <v>80.363</v>
      </c>
      <c r="E172" s="66">
        <f t="shared" si="13"/>
        <v>81.335089789789791</v>
      </c>
      <c r="F172" s="40"/>
      <c r="G172" s="40">
        <v>92.441000000000003</v>
      </c>
      <c r="H172" s="76">
        <v>0.25250400000000001</v>
      </c>
      <c r="I172" s="76">
        <v>0.71958578978978982</v>
      </c>
      <c r="J172" s="76"/>
      <c r="K172" s="76"/>
      <c r="L172" s="76"/>
      <c r="M172" s="76"/>
      <c r="N172" s="1" t="s">
        <v>319</v>
      </c>
    </row>
    <row r="173" spans="1:14" ht="11.25">
      <c r="A173" s="9">
        <f t="shared" si="11"/>
        <v>168</v>
      </c>
      <c r="B173" s="29" t="s">
        <v>310</v>
      </c>
      <c r="C173" s="107">
        <f t="shared" si="12"/>
        <v>54.510950000000001</v>
      </c>
      <c r="D173" s="40">
        <f>80.363+3.5</f>
        <v>83.863</v>
      </c>
      <c r="E173" s="66">
        <f t="shared" si="13"/>
        <v>84.835089789789791</v>
      </c>
      <c r="F173" s="40"/>
      <c r="G173" s="40">
        <f>92.441+3.5</f>
        <v>95.941000000000003</v>
      </c>
      <c r="H173" s="76">
        <v>0.25250400000000001</v>
      </c>
      <c r="I173" s="76">
        <v>0.71958578978978982</v>
      </c>
      <c r="J173" s="76"/>
      <c r="K173" s="76"/>
      <c r="L173" s="76"/>
      <c r="M173" s="76"/>
      <c r="N173" s="1" t="s">
        <v>319</v>
      </c>
    </row>
    <row r="174" spans="1:14" ht="11.25">
      <c r="A174" s="9">
        <f t="shared" si="11"/>
        <v>169</v>
      </c>
      <c r="B174" s="29">
        <v>2007</v>
      </c>
      <c r="C174" s="107">
        <f t="shared" si="12"/>
        <v>25.348699999999997</v>
      </c>
      <c r="D174" s="40">
        <v>38.997999999999998</v>
      </c>
      <c r="E174" s="66">
        <f t="shared" si="13"/>
        <v>39.970089789789789</v>
      </c>
      <c r="F174" s="10"/>
      <c r="G174" s="40">
        <v>38.997999999999998</v>
      </c>
      <c r="H174" s="76">
        <v>0.25250400000000001</v>
      </c>
      <c r="I174" s="76">
        <v>0.71958578978978982</v>
      </c>
      <c r="J174" s="76"/>
      <c r="K174" s="76"/>
      <c r="L174" s="76"/>
      <c r="M174" s="76"/>
      <c r="N174" s="1" t="s">
        <v>319</v>
      </c>
    </row>
    <row r="175" spans="1:14" ht="11.25">
      <c r="A175" s="9">
        <f t="shared" si="11"/>
        <v>170</v>
      </c>
      <c r="B175" s="29">
        <v>2004</v>
      </c>
      <c r="C175" s="107">
        <f t="shared" si="12"/>
        <v>27.95</v>
      </c>
      <c r="D175" s="40">
        <v>43</v>
      </c>
      <c r="E175" s="66">
        <f t="shared" si="13"/>
        <v>43.972089789789791</v>
      </c>
      <c r="F175" s="10"/>
      <c r="G175" s="10"/>
      <c r="H175" s="76">
        <v>0.25250400000000001</v>
      </c>
      <c r="I175" s="76">
        <v>0.71958578978978982</v>
      </c>
      <c r="J175" s="63"/>
      <c r="K175" s="63"/>
      <c r="L175" s="63"/>
      <c r="M175" s="63"/>
      <c r="N175" s="1" t="s">
        <v>319</v>
      </c>
    </row>
    <row r="176" spans="1:14" ht="11.25">
      <c r="A176" s="9">
        <f>A174+1</f>
        <v>170</v>
      </c>
      <c r="B176" s="29" t="s">
        <v>367</v>
      </c>
      <c r="C176" s="107">
        <f t="shared" si="12"/>
        <v>9.1</v>
      </c>
      <c r="D176" s="40">
        <v>14</v>
      </c>
      <c r="E176" s="66">
        <f>SUM(H176:I176)+D176</f>
        <v>14.97208978978979</v>
      </c>
      <c r="F176" s="10"/>
      <c r="G176" s="10"/>
      <c r="H176" s="76">
        <v>0.25250400000000001</v>
      </c>
      <c r="I176" s="76">
        <v>0.71958578978978982</v>
      </c>
      <c r="J176" s="63"/>
      <c r="K176" s="63"/>
      <c r="L176" s="63"/>
      <c r="M176" s="63"/>
    </row>
    <row r="177" spans="1:14" ht="11.25">
      <c r="A177" s="9">
        <f>A174+1</f>
        <v>170</v>
      </c>
      <c r="B177" s="29" t="s">
        <v>370</v>
      </c>
      <c r="C177" s="107">
        <f t="shared" si="12"/>
        <v>9.9774999999999991</v>
      </c>
      <c r="D177" s="40">
        <v>15.35</v>
      </c>
      <c r="E177" s="66">
        <f>SUM(H177:I177)+D177</f>
        <v>16.322089789789789</v>
      </c>
      <c r="F177" s="10"/>
      <c r="G177" s="10"/>
      <c r="H177" s="76">
        <v>0.25250400000000001</v>
      </c>
      <c r="I177" s="76">
        <v>0.71958578978978982</v>
      </c>
      <c r="J177" s="63"/>
      <c r="K177" s="63"/>
      <c r="L177" s="63"/>
      <c r="M177" s="63"/>
    </row>
    <row r="178" spans="1:14" ht="11.25">
      <c r="A178" s="9">
        <f>A173+1</f>
        <v>169</v>
      </c>
      <c r="B178" s="29" t="s">
        <v>371</v>
      </c>
      <c r="C178" s="107">
        <f t="shared" si="12"/>
        <v>9.4250000000000007</v>
      </c>
      <c r="D178" s="40">
        <v>14.5</v>
      </c>
      <c r="E178" s="66">
        <f>SUM(H178:I178)+D178</f>
        <v>15.47208978978979</v>
      </c>
      <c r="F178" s="10"/>
      <c r="G178" s="10"/>
      <c r="H178" s="76">
        <v>0.25250400000000001</v>
      </c>
      <c r="I178" s="76">
        <v>0.71958578978978982</v>
      </c>
      <c r="J178" s="63"/>
      <c r="K178" s="63"/>
      <c r="L178" s="63"/>
      <c r="M178" s="63"/>
    </row>
    <row r="179" spans="1:14" ht="11.25">
      <c r="A179" s="9">
        <f>A173+1</f>
        <v>169</v>
      </c>
      <c r="B179" s="29" t="s">
        <v>373</v>
      </c>
      <c r="C179" s="107">
        <f t="shared" si="12"/>
        <v>9.4250000000000007</v>
      </c>
      <c r="D179" s="40">
        <v>14.5</v>
      </c>
      <c r="E179" s="66">
        <f>SUM(H179:I179)+D179</f>
        <v>15.47208978978979</v>
      </c>
      <c r="F179" s="10"/>
      <c r="G179" s="10"/>
      <c r="H179" s="76">
        <v>0.25250400000000001</v>
      </c>
      <c r="I179" s="76">
        <v>0.71958578978978982</v>
      </c>
      <c r="J179" s="63"/>
      <c r="K179" s="63"/>
      <c r="L179" s="63"/>
      <c r="M179" s="63"/>
    </row>
    <row r="180" spans="1:14" ht="11.25">
      <c r="A180" s="9">
        <f>A174+1</f>
        <v>170</v>
      </c>
      <c r="B180" s="29" t="s">
        <v>374</v>
      </c>
      <c r="C180" s="107">
        <f t="shared" si="12"/>
        <v>9.4250000000000007</v>
      </c>
      <c r="D180" s="40">
        <v>14.5</v>
      </c>
      <c r="E180" s="66">
        <f>SUM(H180:I180)+D180</f>
        <v>15.47208978978979</v>
      </c>
      <c r="F180" s="10"/>
      <c r="G180" s="10"/>
      <c r="H180" s="76">
        <v>0.25250400000000001</v>
      </c>
      <c r="I180" s="76">
        <v>0.71958578978978982</v>
      </c>
      <c r="J180" s="63"/>
      <c r="K180" s="63"/>
      <c r="L180" s="63"/>
      <c r="M180" s="63"/>
    </row>
    <row r="181" spans="1:14" ht="11.25">
      <c r="A181" s="9">
        <f>A175+1</f>
        <v>171</v>
      </c>
      <c r="B181" s="29" t="s">
        <v>372</v>
      </c>
      <c r="C181" s="107">
        <f t="shared" si="12"/>
        <v>10.43055</v>
      </c>
      <c r="D181" s="40">
        <v>16.047000000000001</v>
      </c>
      <c r="E181" s="66">
        <f t="shared" si="13"/>
        <v>17.019089789789792</v>
      </c>
      <c r="F181" s="10"/>
      <c r="G181" s="10"/>
      <c r="H181" s="76">
        <v>0.25250400000000001</v>
      </c>
      <c r="I181" s="76">
        <v>0.71958578978978982</v>
      </c>
      <c r="J181" s="63"/>
      <c r="K181" s="63"/>
      <c r="L181" s="63"/>
      <c r="M181" s="63"/>
    </row>
    <row r="182" spans="1:14" ht="11.25">
      <c r="A182" s="9">
        <f t="shared" si="11"/>
        <v>172</v>
      </c>
      <c r="B182" s="29" t="s">
        <v>94</v>
      </c>
      <c r="C182" s="107">
        <f t="shared" si="12"/>
        <v>0</v>
      </c>
      <c r="D182" s="40"/>
      <c r="E182" s="66">
        <f t="shared" si="13"/>
        <v>0.97208978978978977</v>
      </c>
      <c r="F182" s="10"/>
      <c r="G182" s="10"/>
      <c r="H182" s="76">
        <v>0.25250400000000001</v>
      </c>
      <c r="I182" s="76">
        <v>0.71958578978978982</v>
      </c>
      <c r="J182" s="63"/>
      <c r="K182" s="63"/>
      <c r="L182" s="63"/>
      <c r="M182" s="63"/>
      <c r="N182" s="1" t="s">
        <v>81</v>
      </c>
    </row>
    <row r="183" spans="1:14" ht="11.25">
      <c r="A183" s="9">
        <f t="shared" si="11"/>
        <v>173</v>
      </c>
      <c r="B183" s="29" t="s">
        <v>95</v>
      </c>
      <c r="C183" s="107">
        <f t="shared" si="12"/>
        <v>0</v>
      </c>
      <c r="D183" s="40"/>
      <c r="E183" s="66">
        <f t="shared" si="13"/>
        <v>0.97208978978978977</v>
      </c>
      <c r="F183" s="10"/>
      <c r="G183" s="10"/>
      <c r="H183" s="76">
        <v>0.25250400000000001</v>
      </c>
      <c r="I183" s="76">
        <v>0.71958578978978982</v>
      </c>
      <c r="J183" s="63"/>
      <c r="K183" s="63"/>
      <c r="L183" s="63"/>
      <c r="M183" s="63"/>
      <c r="N183" s="1" t="s">
        <v>81</v>
      </c>
    </row>
    <row r="184" spans="1:14" ht="11.25">
      <c r="A184" s="9">
        <f t="shared" si="11"/>
        <v>174</v>
      </c>
      <c r="B184" s="29" t="s">
        <v>96</v>
      </c>
      <c r="C184" s="107">
        <f t="shared" si="12"/>
        <v>13</v>
      </c>
      <c r="D184" s="59">
        <v>20</v>
      </c>
      <c r="E184" s="66">
        <f t="shared" si="13"/>
        <v>20.972089789789791</v>
      </c>
      <c r="F184" s="32"/>
      <c r="G184" s="10"/>
      <c r="H184" s="76">
        <v>0.25250400000000001</v>
      </c>
      <c r="I184" s="76">
        <v>0.71958578978978982</v>
      </c>
      <c r="J184" s="63"/>
      <c r="K184" s="63"/>
      <c r="L184" s="63"/>
      <c r="M184" s="63"/>
      <c r="N184" s="1" t="s">
        <v>81</v>
      </c>
    </row>
    <row r="185" spans="1:14" ht="11.25">
      <c r="A185" s="9">
        <f t="shared" si="11"/>
        <v>175</v>
      </c>
      <c r="B185" s="29" t="s">
        <v>153</v>
      </c>
      <c r="C185" s="107">
        <f t="shared" si="12"/>
        <v>13</v>
      </c>
      <c r="D185" s="59">
        <v>20</v>
      </c>
      <c r="E185" s="66">
        <f t="shared" si="13"/>
        <v>20.972089789789791</v>
      </c>
      <c r="F185" s="32"/>
      <c r="G185" s="10"/>
      <c r="H185" s="76">
        <v>0.25250400000000001</v>
      </c>
      <c r="I185" s="76">
        <v>0.71958578978978982</v>
      </c>
      <c r="J185" s="63"/>
      <c r="K185" s="63"/>
      <c r="L185" s="63"/>
      <c r="M185" s="63"/>
      <c r="N185" s="1" t="s">
        <v>81</v>
      </c>
    </row>
    <row r="186" spans="1:14" ht="11.25">
      <c r="A186" s="9">
        <f t="shared" si="11"/>
        <v>176</v>
      </c>
      <c r="B186" s="29" t="s">
        <v>107</v>
      </c>
      <c r="C186" s="107">
        <f t="shared" si="12"/>
        <v>13</v>
      </c>
      <c r="D186" s="59">
        <v>20</v>
      </c>
      <c r="E186" s="66">
        <f t="shared" si="13"/>
        <v>20.972089789789791</v>
      </c>
      <c r="F186" s="32"/>
      <c r="G186" s="10"/>
      <c r="H186" s="76">
        <v>0.25250400000000001</v>
      </c>
      <c r="I186" s="76">
        <v>0.71958578978978982</v>
      </c>
      <c r="J186" s="63"/>
      <c r="K186" s="63"/>
      <c r="L186" s="63"/>
      <c r="M186" s="63"/>
      <c r="N186" s="1" t="s">
        <v>81</v>
      </c>
    </row>
    <row r="187" spans="1:14" ht="11.25">
      <c r="A187" s="9">
        <f t="shared" si="11"/>
        <v>177</v>
      </c>
      <c r="B187" s="11" t="s">
        <v>79</v>
      </c>
      <c r="C187" s="107">
        <f t="shared" si="12"/>
        <v>13.65</v>
      </c>
      <c r="D187" s="59">
        <v>21</v>
      </c>
      <c r="E187" s="66">
        <f t="shared" si="13"/>
        <v>21.972089789789791</v>
      </c>
      <c r="F187" s="32"/>
      <c r="G187" s="10"/>
      <c r="H187" s="76">
        <v>0.25250400000000001</v>
      </c>
      <c r="I187" s="76">
        <v>0.71958578978978982</v>
      </c>
      <c r="J187" s="63"/>
      <c r="K187" s="63"/>
      <c r="L187" s="63"/>
      <c r="M187" s="63"/>
      <c r="N187" s="1" t="s">
        <v>81</v>
      </c>
    </row>
    <row r="188" spans="1:14" ht="11.25">
      <c r="A188" s="9">
        <f t="shared" si="11"/>
        <v>178</v>
      </c>
      <c r="B188" s="29" t="s">
        <v>97</v>
      </c>
      <c r="C188" s="107">
        <f t="shared" si="12"/>
        <v>26</v>
      </c>
      <c r="D188" s="59">
        <v>40</v>
      </c>
      <c r="E188" s="66">
        <f t="shared" si="13"/>
        <v>40.972089789789791</v>
      </c>
      <c r="F188" s="32"/>
      <c r="G188" s="10"/>
      <c r="H188" s="76">
        <v>0.25250400000000001</v>
      </c>
      <c r="I188" s="76">
        <v>0.71958578978978982</v>
      </c>
      <c r="J188" s="63"/>
      <c r="K188" s="63"/>
      <c r="L188" s="63"/>
      <c r="M188" s="63"/>
      <c r="N188" s="1" t="s">
        <v>81</v>
      </c>
    </row>
    <row r="189" spans="1:14" ht="11.25">
      <c r="A189" s="9">
        <f t="shared" si="11"/>
        <v>179</v>
      </c>
      <c r="B189" s="29" t="s">
        <v>98</v>
      </c>
      <c r="C189" s="107">
        <f t="shared" si="12"/>
        <v>26</v>
      </c>
      <c r="D189" s="59">
        <v>40</v>
      </c>
      <c r="E189" s="66">
        <f t="shared" si="13"/>
        <v>40.972089789789791</v>
      </c>
      <c r="F189" s="32"/>
      <c r="G189" s="10"/>
      <c r="H189" s="76">
        <v>0.25250400000000001</v>
      </c>
      <c r="I189" s="76">
        <v>0.71958578978978982</v>
      </c>
      <c r="J189" s="63"/>
      <c r="K189" s="63"/>
      <c r="L189" s="63"/>
      <c r="M189" s="63"/>
      <c r="N189" s="1" t="s">
        <v>81</v>
      </c>
    </row>
    <row r="190" spans="1:14" ht="11.25">
      <c r="A190" s="9">
        <f t="shared" si="11"/>
        <v>180</v>
      </c>
      <c r="B190" s="29" t="s">
        <v>187</v>
      </c>
      <c r="C190" s="107">
        <f t="shared" si="12"/>
        <v>20.149999999999999</v>
      </c>
      <c r="D190" s="59">
        <v>31</v>
      </c>
      <c r="E190" s="66">
        <f t="shared" si="13"/>
        <v>31.972089789789791</v>
      </c>
      <c r="F190" s="32"/>
      <c r="G190" s="10"/>
      <c r="H190" s="76">
        <v>0.25250400000000001</v>
      </c>
      <c r="I190" s="76">
        <v>0.71958578978978982</v>
      </c>
      <c r="J190" s="63"/>
      <c r="K190" s="63"/>
      <c r="L190" s="63"/>
      <c r="M190" s="63"/>
      <c r="N190" s="1" t="s">
        <v>81</v>
      </c>
    </row>
    <row r="191" spans="1:14" ht="11.25">
      <c r="A191" s="9">
        <f t="shared" si="11"/>
        <v>181</v>
      </c>
      <c r="B191" s="11" t="s">
        <v>99</v>
      </c>
      <c r="C191" s="107">
        <f t="shared" si="12"/>
        <v>14.3</v>
      </c>
      <c r="D191" s="59">
        <v>22</v>
      </c>
      <c r="E191" s="66">
        <f t="shared" si="13"/>
        <v>22.972089789789791</v>
      </c>
      <c r="F191" s="32"/>
      <c r="G191" s="10"/>
      <c r="H191" s="76">
        <v>0.25250400000000001</v>
      </c>
      <c r="I191" s="76">
        <v>0.71958578978978982</v>
      </c>
      <c r="J191" s="63"/>
      <c r="K191" s="63"/>
      <c r="L191" s="63"/>
      <c r="M191" s="63"/>
      <c r="N191" s="1" t="s">
        <v>81</v>
      </c>
    </row>
    <row r="192" spans="1:14" ht="11.25">
      <c r="A192" s="9">
        <f t="shared" si="11"/>
        <v>182</v>
      </c>
      <c r="B192" s="11" t="s">
        <v>100</v>
      </c>
      <c r="C192" s="107">
        <f t="shared" si="12"/>
        <v>14.3</v>
      </c>
      <c r="D192" s="59">
        <v>22</v>
      </c>
      <c r="E192" s="66">
        <f t="shared" si="13"/>
        <v>22.972089789789791</v>
      </c>
      <c r="F192" s="32"/>
      <c r="G192" s="10"/>
      <c r="H192" s="76">
        <v>0.25250400000000001</v>
      </c>
      <c r="I192" s="76">
        <v>0.71958578978978982</v>
      </c>
      <c r="J192" s="63"/>
      <c r="K192" s="63"/>
      <c r="L192" s="63"/>
      <c r="M192" s="63"/>
      <c r="N192" s="1" t="s">
        <v>81</v>
      </c>
    </row>
    <row r="193" spans="1:14" ht="11.25">
      <c r="A193" s="9">
        <f t="shared" si="11"/>
        <v>183</v>
      </c>
      <c r="B193" s="11" t="s">
        <v>101</v>
      </c>
      <c r="C193" s="107">
        <f t="shared" si="12"/>
        <v>18.850000000000001</v>
      </c>
      <c r="D193" s="40">
        <v>29</v>
      </c>
      <c r="E193" s="66">
        <f t="shared" si="13"/>
        <v>29.972089789789791</v>
      </c>
      <c r="F193" s="10"/>
      <c r="G193" s="10"/>
      <c r="H193" s="76">
        <v>0.25250400000000001</v>
      </c>
      <c r="I193" s="76">
        <v>0.71958578978978982</v>
      </c>
      <c r="J193" s="63"/>
      <c r="K193" s="63"/>
      <c r="L193" s="63"/>
      <c r="M193" s="63"/>
      <c r="N193" s="1" t="s">
        <v>81</v>
      </c>
    </row>
    <row r="194" spans="1:14" ht="11.25">
      <c r="A194" s="9">
        <f t="shared" si="11"/>
        <v>184</v>
      </c>
      <c r="B194" s="11" t="s">
        <v>102</v>
      </c>
      <c r="C194" s="107">
        <f t="shared" si="12"/>
        <v>13.65</v>
      </c>
      <c r="D194" s="59">
        <v>21</v>
      </c>
      <c r="E194" s="66">
        <f t="shared" si="13"/>
        <v>21.972089789789791</v>
      </c>
      <c r="F194" s="32"/>
      <c r="G194" s="10"/>
      <c r="H194" s="76">
        <v>0.25250400000000001</v>
      </c>
      <c r="I194" s="76">
        <v>0.71958578978978982</v>
      </c>
      <c r="J194" s="63"/>
      <c r="K194" s="63"/>
      <c r="L194" s="63"/>
      <c r="M194" s="63"/>
      <c r="N194" s="1" t="s">
        <v>81</v>
      </c>
    </row>
    <row r="195" spans="1:14" ht="11.25">
      <c r="A195" s="9">
        <f t="shared" si="11"/>
        <v>185</v>
      </c>
      <c r="B195" s="11" t="s">
        <v>106</v>
      </c>
      <c r="C195" s="107">
        <f t="shared" si="12"/>
        <v>19.1295</v>
      </c>
      <c r="D195" s="40">
        <v>29.43</v>
      </c>
      <c r="E195" s="66">
        <f t="shared" si="13"/>
        <v>30.402089789789791</v>
      </c>
      <c r="F195" s="10"/>
      <c r="G195" s="10"/>
      <c r="H195" s="76">
        <v>0.25250400000000001</v>
      </c>
      <c r="I195" s="76">
        <v>0.71958578978978982</v>
      </c>
      <c r="J195" s="63"/>
      <c r="K195" s="63"/>
      <c r="L195" s="63"/>
      <c r="M195" s="63"/>
    </row>
    <row r="196" spans="1:14" ht="11.25">
      <c r="A196" s="9">
        <f t="shared" si="11"/>
        <v>186</v>
      </c>
      <c r="B196" s="11" t="s">
        <v>276</v>
      </c>
      <c r="C196" s="107">
        <f t="shared" si="12"/>
        <v>0.39</v>
      </c>
      <c r="D196" s="40">
        <v>0.6</v>
      </c>
      <c r="E196" s="66">
        <f t="shared" si="13"/>
        <v>1.5720897897897896</v>
      </c>
      <c r="F196" s="10"/>
      <c r="G196" s="10"/>
      <c r="H196" s="76">
        <v>0.25250400000000001</v>
      </c>
      <c r="I196" s="76">
        <v>0.71958578978978982</v>
      </c>
      <c r="J196" s="63"/>
      <c r="K196" s="63"/>
      <c r="L196" s="63"/>
      <c r="M196" s="63"/>
    </row>
    <row r="197" spans="1:14" ht="11.25">
      <c r="A197" s="9">
        <f t="shared" si="11"/>
        <v>187</v>
      </c>
      <c r="B197" s="11" t="s">
        <v>108</v>
      </c>
      <c r="C197" s="107">
        <f t="shared" si="12"/>
        <v>10.425999999999998</v>
      </c>
      <c r="D197" s="40">
        <v>16.04</v>
      </c>
      <c r="E197" s="66">
        <f t="shared" si="13"/>
        <v>17.01208978978979</v>
      </c>
      <c r="F197" s="10"/>
      <c r="G197" s="10">
        <v>10.432</v>
      </c>
      <c r="H197" s="76">
        <v>0.25250400000000001</v>
      </c>
      <c r="I197" s="76">
        <v>0.71958578978978982</v>
      </c>
      <c r="J197" s="63"/>
      <c r="K197" s="63"/>
      <c r="L197" s="63"/>
      <c r="M197" s="63"/>
    </row>
    <row r="198" spans="1:14" ht="11.25">
      <c r="A198" s="9">
        <f t="shared" si="11"/>
        <v>188</v>
      </c>
      <c r="B198" s="11" t="s">
        <v>186</v>
      </c>
      <c r="C198" s="107">
        <f t="shared" si="12"/>
        <v>1.885</v>
      </c>
      <c r="D198" s="40">
        <v>2.9</v>
      </c>
      <c r="E198" s="66">
        <f t="shared" si="13"/>
        <v>3.8720897897897899</v>
      </c>
      <c r="F198" s="10"/>
      <c r="G198" s="10"/>
      <c r="H198" s="76">
        <v>0.25250400000000001</v>
      </c>
      <c r="I198" s="76">
        <v>0.71958578978978982</v>
      </c>
      <c r="J198" s="63"/>
      <c r="K198" s="63"/>
      <c r="L198" s="63"/>
      <c r="M198" s="63"/>
    </row>
    <row r="199" spans="1:14" ht="11.25">
      <c r="A199" s="9">
        <f t="shared" si="11"/>
        <v>189</v>
      </c>
      <c r="B199" s="11" t="s">
        <v>268</v>
      </c>
      <c r="C199" s="107">
        <f t="shared" ref="C199:C263" si="14">(D199*65)/100</f>
        <v>1.95</v>
      </c>
      <c r="D199" s="40">
        <v>3</v>
      </c>
      <c r="E199" s="66">
        <f t="shared" si="13"/>
        <v>3.9720897897897895</v>
      </c>
      <c r="F199" s="10"/>
      <c r="G199" s="10"/>
      <c r="H199" s="76">
        <v>0.25250400000000001</v>
      </c>
      <c r="I199" s="76">
        <v>0.71958578978978982</v>
      </c>
      <c r="J199" s="63"/>
      <c r="K199" s="63"/>
      <c r="L199" s="63"/>
      <c r="M199" s="63"/>
    </row>
    <row r="200" spans="1:14" ht="11.25">
      <c r="A200" s="9">
        <f t="shared" si="11"/>
        <v>190</v>
      </c>
      <c r="B200" s="11">
        <v>5300</v>
      </c>
      <c r="C200" s="107">
        <f t="shared" si="14"/>
        <v>12.025</v>
      </c>
      <c r="D200" s="40">
        <v>18.5</v>
      </c>
      <c r="E200" s="66">
        <f t="shared" si="13"/>
        <v>19.472089789789791</v>
      </c>
      <c r="F200" s="10"/>
      <c r="G200" s="10">
        <v>11.834</v>
      </c>
      <c r="H200" s="76">
        <v>0.25250400000000001</v>
      </c>
      <c r="I200" s="76">
        <v>0.71958578978978982</v>
      </c>
      <c r="J200" s="63"/>
      <c r="K200" s="63"/>
      <c r="L200" s="63"/>
      <c r="M200" s="63"/>
    </row>
    <row r="201" spans="1:14" ht="11.25">
      <c r="A201" s="9">
        <f t="shared" si="11"/>
        <v>191</v>
      </c>
      <c r="B201" s="11">
        <v>5353</v>
      </c>
      <c r="C201" s="107">
        <f t="shared" si="14"/>
        <v>12.025</v>
      </c>
      <c r="D201" s="40">
        <v>18.5</v>
      </c>
      <c r="E201" s="66">
        <f t="shared" si="13"/>
        <v>19.472089789789791</v>
      </c>
      <c r="F201" s="10"/>
      <c r="G201" s="10">
        <v>13.764100000000001</v>
      </c>
      <c r="H201" s="76">
        <v>0.25250400000000001</v>
      </c>
      <c r="I201" s="76">
        <v>0.71958578978978982</v>
      </c>
      <c r="J201" s="63"/>
      <c r="K201" s="63"/>
      <c r="L201" s="63"/>
      <c r="M201" s="63"/>
    </row>
    <row r="202" spans="1:14" ht="11.25">
      <c r="A202" s="9">
        <f t="shared" si="11"/>
        <v>192</v>
      </c>
      <c r="B202" s="11">
        <v>6020</v>
      </c>
      <c r="C202" s="107">
        <f t="shared" si="14"/>
        <v>11.375</v>
      </c>
      <c r="D202" s="40">
        <v>17.5</v>
      </c>
      <c r="E202" s="66">
        <f t="shared" si="13"/>
        <v>18.472089789789791</v>
      </c>
      <c r="F202" s="10"/>
      <c r="G202" s="10">
        <v>14.507</v>
      </c>
      <c r="H202" s="76">
        <v>0.25250400000000001</v>
      </c>
      <c r="I202" s="76">
        <v>0.71958578978978982</v>
      </c>
      <c r="J202" s="63"/>
      <c r="K202" s="63"/>
      <c r="L202" s="63"/>
      <c r="M202" s="63"/>
      <c r="N202" s="1" t="s">
        <v>301</v>
      </c>
    </row>
    <row r="203" spans="1:14" ht="11.25">
      <c r="A203" s="9">
        <f t="shared" si="11"/>
        <v>193</v>
      </c>
      <c r="B203" s="11" t="s">
        <v>322</v>
      </c>
      <c r="C203" s="107">
        <f t="shared" si="14"/>
        <v>11.375</v>
      </c>
      <c r="D203" s="40">
        <v>17.5</v>
      </c>
      <c r="E203" s="66">
        <f t="shared" si="13"/>
        <v>18.472089789789791</v>
      </c>
      <c r="F203" s="10"/>
      <c r="G203" s="10">
        <v>14.507</v>
      </c>
      <c r="H203" s="76">
        <v>0.25250400000000001</v>
      </c>
      <c r="I203" s="76">
        <v>0.71958578978978982</v>
      </c>
      <c r="J203" s="63"/>
      <c r="K203" s="63"/>
      <c r="L203" s="63"/>
      <c r="M203" s="63"/>
      <c r="N203" s="1" t="s">
        <v>301</v>
      </c>
    </row>
    <row r="204" spans="1:14" ht="11.25">
      <c r="A204" s="9">
        <f t="shared" ref="A204:A289" si="15">A203+1</f>
        <v>194</v>
      </c>
      <c r="B204" s="11">
        <v>6022</v>
      </c>
      <c r="C204" s="107">
        <f t="shared" si="14"/>
        <v>10.4</v>
      </c>
      <c r="D204" s="40">
        <v>16</v>
      </c>
      <c r="E204" s="66">
        <f t="shared" si="13"/>
        <v>16.972089789789791</v>
      </c>
      <c r="F204" s="10"/>
      <c r="G204" s="10"/>
      <c r="H204" s="76">
        <v>0.25250400000000001</v>
      </c>
      <c r="I204" s="76">
        <v>0.71958578978978982</v>
      </c>
      <c r="J204" s="63"/>
      <c r="K204" s="63"/>
      <c r="L204" s="63"/>
      <c r="M204" s="63"/>
      <c r="N204" s="1" t="s">
        <v>301</v>
      </c>
    </row>
    <row r="205" spans="1:14" ht="11.25">
      <c r="A205" s="9">
        <f t="shared" si="15"/>
        <v>195</v>
      </c>
      <c r="B205" s="11" t="s">
        <v>303</v>
      </c>
      <c r="C205" s="107">
        <f t="shared" si="14"/>
        <v>10.965499999999999</v>
      </c>
      <c r="D205" s="40">
        <v>16.87</v>
      </c>
      <c r="E205" s="66">
        <f t="shared" si="13"/>
        <v>17.842089789789792</v>
      </c>
      <c r="F205" s="10"/>
      <c r="G205" s="10"/>
      <c r="H205" s="76">
        <v>0.25250400000000001</v>
      </c>
      <c r="I205" s="76">
        <v>0.71958578978978982</v>
      </c>
      <c r="J205" s="63"/>
      <c r="K205" s="63"/>
      <c r="L205" s="63"/>
      <c r="M205" s="63"/>
      <c r="N205" s="1" t="s">
        <v>301</v>
      </c>
    </row>
    <row r="206" spans="1:14" ht="11.25">
      <c r="A206" s="9">
        <f t="shared" si="15"/>
        <v>196</v>
      </c>
      <c r="B206" s="11">
        <v>6023</v>
      </c>
      <c r="C206" s="107">
        <f t="shared" si="14"/>
        <v>11.375</v>
      </c>
      <c r="D206" s="40">
        <v>17.5</v>
      </c>
      <c r="E206" s="66">
        <f t="shared" ref="E206:E280" si="16">SUM(H206:I206)+D206</f>
        <v>18.472089789789791</v>
      </c>
      <c r="F206" s="10"/>
      <c r="G206" s="10">
        <v>14.507</v>
      </c>
      <c r="H206" s="76">
        <v>0.25250400000000001</v>
      </c>
      <c r="I206" s="76">
        <v>0.71958578978978982</v>
      </c>
      <c r="J206" s="63"/>
      <c r="K206" s="63"/>
      <c r="L206" s="63"/>
      <c r="M206" s="63"/>
    </row>
    <row r="207" spans="1:14" ht="11.25">
      <c r="A207" s="9">
        <f t="shared" si="15"/>
        <v>197</v>
      </c>
      <c r="B207" s="11">
        <v>6279</v>
      </c>
      <c r="C207" s="107">
        <f t="shared" si="14"/>
        <v>10.712</v>
      </c>
      <c r="D207" s="40">
        <v>16.48</v>
      </c>
      <c r="E207" s="66">
        <f t="shared" si="16"/>
        <v>17.452089789789792</v>
      </c>
      <c r="F207" s="10"/>
      <c r="G207" s="10">
        <v>12.619</v>
      </c>
      <c r="H207" s="76">
        <v>0.25250400000000001</v>
      </c>
      <c r="I207" s="76">
        <v>0.71958578978978982</v>
      </c>
      <c r="J207" s="63"/>
      <c r="K207" s="63"/>
      <c r="L207" s="63"/>
      <c r="M207" s="63"/>
    </row>
    <row r="208" spans="1:14" ht="11.25">
      <c r="A208" s="73">
        <f>A198+1</f>
        <v>189</v>
      </c>
      <c r="B208" s="70" t="s">
        <v>391</v>
      </c>
      <c r="C208" s="107">
        <f t="shared" si="14"/>
        <v>8.4499999999999993</v>
      </c>
      <c r="D208" s="71">
        <f t="shared" ref="D208:D219" si="17">13.178-0.178</f>
        <v>13</v>
      </c>
      <c r="E208" s="66">
        <f t="shared" si="16"/>
        <v>13.97208978978979</v>
      </c>
      <c r="F208" s="72">
        <v>15.5</v>
      </c>
      <c r="G208" s="72">
        <v>16</v>
      </c>
      <c r="H208" s="76">
        <v>0.25250400000000001</v>
      </c>
      <c r="I208" s="76">
        <v>0.71958578978978982</v>
      </c>
      <c r="J208" s="77"/>
      <c r="K208" s="77"/>
      <c r="L208" s="77"/>
      <c r="M208" s="77"/>
      <c r="N208" s="1" t="s">
        <v>349</v>
      </c>
    </row>
    <row r="209" spans="1:14" ht="11.25">
      <c r="A209" s="73">
        <f t="shared" ref="A209:A217" si="18">A198+1</f>
        <v>189</v>
      </c>
      <c r="B209" s="70" t="s">
        <v>392</v>
      </c>
      <c r="C209" s="107">
        <f t="shared" si="14"/>
        <v>1.625</v>
      </c>
      <c r="D209" s="71">
        <v>2.5</v>
      </c>
      <c r="E209" s="66">
        <f>SUM(H209:I209)+D209</f>
        <v>3.4720897897897895</v>
      </c>
      <c r="F209" s="72">
        <v>15.5</v>
      </c>
      <c r="G209" s="72">
        <v>16</v>
      </c>
      <c r="H209" s="76">
        <v>0.25250400000000001</v>
      </c>
      <c r="I209" s="76">
        <v>0.71958578978978982</v>
      </c>
      <c r="J209" s="77"/>
      <c r="K209" s="77"/>
      <c r="L209" s="77"/>
      <c r="M209" s="77"/>
      <c r="N209" s="1" t="s">
        <v>349</v>
      </c>
    </row>
    <row r="210" spans="1:14" ht="11.25">
      <c r="A210" s="73">
        <f t="shared" si="18"/>
        <v>190</v>
      </c>
      <c r="B210" s="70" t="s">
        <v>393</v>
      </c>
      <c r="C210" s="107">
        <f t="shared" si="14"/>
        <v>2.2749999999999999</v>
      </c>
      <c r="D210" s="71">
        <v>3.5</v>
      </c>
      <c r="E210" s="66">
        <f>SUM(H210:I210)+D210</f>
        <v>4.4720897897897895</v>
      </c>
      <c r="F210" s="72">
        <v>15.5</v>
      </c>
      <c r="G210" s="72">
        <v>16</v>
      </c>
      <c r="H210" s="76">
        <v>0.25250400000000001</v>
      </c>
      <c r="I210" s="76">
        <v>0.71958578978978982</v>
      </c>
      <c r="J210" s="77"/>
      <c r="K210" s="77"/>
      <c r="L210" s="77"/>
      <c r="M210" s="77"/>
      <c r="N210" s="1" t="s">
        <v>349</v>
      </c>
    </row>
    <row r="211" spans="1:14" ht="11.25">
      <c r="A211" s="73">
        <f t="shared" si="18"/>
        <v>191</v>
      </c>
      <c r="B211" s="70" t="s">
        <v>348</v>
      </c>
      <c r="C211" s="107">
        <f t="shared" si="14"/>
        <v>10.074999999999999</v>
      </c>
      <c r="D211" s="71">
        <v>15.5</v>
      </c>
      <c r="E211" s="66">
        <f t="shared" si="16"/>
        <v>16.472089789789791</v>
      </c>
      <c r="F211" s="72">
        <v>15.5</v>
      </c>
      <c r="G211" s="72">
        <v>16</v>
      </c>
      <c r="H211" s="76">
        <v>0.25250400000000001</v>
      </c>
      <c r="I211" s="76">
        <v>0.71958578978978982</v>
      </c>
      <c r="J211" s="77"/>
      <c r="K211" s="77"/>
      <c r="L211" s="77"/>
      <c r="M211" s="77"/>
      <c r="N211" s="1" t="s">
        <v>349</v>
      </c>
    </row>
    <row r="212" spans="1:14" ht="11.25">
      <c r="A212" s="73">
        <f t="shared" si="18"/>
        <v>192</v>
      </c>
      <c r="B212" s="70">
        <v>6280</v>
      </c>
      <c r="C212" s="107">
        <f t="shared" si="14"/>
        <v>8.4499999999999993</v>
      </c>
      <c r="D212" s="71">
        <f t="shared" si="17"/>
        <v>13</v>
      </c>
      <c r="E212" s="66">
        <f t="shared" si="16"/>
        <v>13.97208978978979</v>
      </c>
      <c r="F212" s="72">
        <v>15.5</v>
      </c>
      <c r="G212" s="72">
        <v>16</v>
      </c>
      <c r="H212" s="76">
        <v>0.25250400000000001</v>
      </c>
      <c r="I212" s="76">
        <v>0.71958578978978982</v>
      </c>
      <c r="J212" s="77"/>
      <c r="K212" s="77"/>
      <c r="L212" s="77"/>
      <c r="M212" s="77"/>
      <c r="N212" s="1" t="s">
        <v>350</v>
      </c>
    </row>
    <row r="213" spans="1:14" ht="11.25">
      <c r="A213" s="73">
        <f t="shared" si="18"/>
        <v>193</v>
      </c>
      <c r="B213" s="70">
        <v>6280</v>
      </c>
      <c r="C213" s="107">
        <f t="shared" si="14"/>
        <v>8.4499999999999993</v>
      </c>
      <c r="D213" s="71">
        <f t="shared" si="17"/>
        <v>13</v>
      </c>
      <c r="E213" s="66">
        <f t="shared" si="16"/>
        <v>13.97208978978979</v>
      </c>
      <c r="F213" s="72">
        <v>15.5</v>
      </c>
      <c r="G213" s="72">
        <v>16</v>
      </c>
      <c r="H213" s="76">
        <v>0.25250400000000001</v>
      </c>
      <c r="I213" s="76">
        <v>0.71958578978978982</v>
      </c>
      <c r="J213" s="77"/>
      <c r="K213" s="77"/>
      <c r="L213" s="77"/>
      <c r="M213" s="77"/>
      <c r="N213" s="1" t="s">
        <v>351</v>
      </c>
    </row>
    <row r="214" spans="1:14" ht="11.25">
      <c r="A214" s="73">
        <f t="shared" si="18"/>
        <v>194</v>
      </c>
      <c r="B214" s="70">
        <v>6280</v>
      </c>
      <c r="C214" s="107">
        <f t="shared" si="14"/>
        <v>8.4499999999999993</v>
      </c>
      <c r="D214" s="71">
        <f t="shared" si="17"/>
        <v>13</v>
      </c>
      <c r="E214" s="66">
        <f t="shared" si="16"/>
        <v>13.97208978978979</v>
      </c>
      <c r="F214" s="72">
        <v>15.5</v>
      </c>
      <c r="G214" s="72">
        <v>16</v>
      </c>
      <c r="H214" s="76">
        <v>0.25250400000000001</v>
      </c>
      <c r="I214" s="76">
        <v>0.71958578978978982</v>
      </c>
      <c r="J214" s="77"/>
      <c r="K214" s="77"/>
      <c r="L214" s="77"/>
      <c r="M214" s="77"/>
      <c r="N214" s="1" t="s">
        <v>364</v>
      </c>
    </row>
    <row r="215" spans="1:14" ht="11.25">
      <c r="A215" s="73">
        <f t="shared" si="18"/>
        <v>195</v>
      </c>
      <c r="B215" s="70">
        <v>6280</v>
      </c>
      <c r="C215" s="107">
        <f t="shared" si="14"/>
        <v>8.4499999999999993</v>
      </c>
      <c r="D215" s="71">
        <f t="shared" si="17"/>
        <v>13</v>
      </c>
      <c r="E215" s="66">
        <f t="shared" si="16"/>
        <v>13.97208978978979</v>
      </c>
      <c r="F215" s="72">
        <v>15.5</v>
      </c>
      <c r="G215" s="72">
        <v>16</v>
      </c>
      <c r="H215" s="76">
        <v>0.25250400000000001</v>
      </c>
      <c r="I215" s="76">
        <v>0.71958578978978982</v>
      </c>
      <c r="J215" s="77"/>
      <c r="K215" s="77"/>
      <c r="L215" s="77"/>
      <c r="M215" s="77"/>
      <c r="N215" s="1" t="s">
        <v>363</v>
      </c>
    </row>
    <row r="216" spans="1:14" ht="11.25">
      <c r="A216" s="73">
        <f t="shared" si="18"/>
        <v>196</v>
      </c>
      <c r="B216" s="70">
        <v>6280</v>
      </c>
      <c r="C216" s="107">
        <f t="shared" si="14"/>
        <v>8.4499999999999993</v>
      </c>
      <c r="D216" s="71">
        <f t="shared" si="17"/>
        <v>13</v>
      </c>
      <c r="E216" s="66">
        <f t="shared" si="16"/>
        <v>13.97208978978979</v>
      </c>
      <c r="F216" s="72">
        <v>15.5</v>
      </c>
      <c r="G216" s="72">
        <v>16</v>
      </c>
      <c r="H216" s="76">
        <v>0.25250400000000001</v>
      </c>
      <c r="I216" s="76">
        <v>0.71958578978978982</v>
      </c>
      <c r="J216" s="77"/>
      <c r="K216" s="77"/>
      <c r="L216" s="77"/>
      <c r="M216" s="77"/>
      <c r="N216" s="1" t="s">
        <v>352</v>
      </c>
    </row>
    <row r="217" spans="1:14" ht="11.25">
      <c r="A217" s="73">
        <f t="shared" si="18"/>
        <v>197</v>
      </c>
      <c r="B217" s="70">
        <v>6280</v>
      </c>
      <c r="C217" s="107">
        <f t="shared" si="14"/>
        <v>8.4499999999999993</v>
      </c>
      <c r="D217" s="71">
        <f t="shared" si="17"/>
        <v>13</v>
      </c>
      <c r="E217" s="66">
        <f t="shared" si="16"/>
        <v>13.97208978978979</v>
      </c>
      <c r="F217" s="72">
        <v>15.5</v>
      </c>
      <c r="G217" s="72">
        <v>16</v>
      </c>
      <c r="H217" s="76">
        <v>0.25250400000000001</v>
      </c>
      <c r="I217" s="76">
        <v>0.71958578978978982</v>
      </c>
      <c r="J217" s="77"/>
      <c r="K217" s="77"/>
      <c r="L217" s="77"/>
      <c r="M217" s="77"/>
      <c r="N217" s="1" t="s">
        <v>353</v>
      </c>
    </row>
    <row r="218" spans="1:14" ht="11.25">
      <c r="A218" s="73">
        <f>A206+1</f>
        <v>197</v>
      </c>
      <c r="B218" s="70">
        <v>6280</v>
      </c>
      <c r="C218" s="107">
        <f t="shared" si="14"/>
        <v>8.4499999999999993</v>
      </c>
      <c r="D218" s="71">
        <f t="shared" si="17"/>
        <v>13</v>
      </c>
      <c r="E218" s="66">
        <f t="shared" si="16"/>
        <v>13.97208978978979</v>
      </c>
      <c r="F218" s="72">
        <v>15.5</v>
      </c>
      <c r="G218" s="72">
        <v>16</v>
      </c>
      <c r="H218" s="76">
        <v>0.25250400000000001</v>
      </c>
      <c r="I218" s="76">
        <v>0.71958578978978982</v>
      </c>
      <c r="J218" s="77"/>
      <c r="K218" s="77"/>
      <c r="L218" s="77"/>
      <c r="M218" s="77"/>
      <c r="N218" s="1" t="s">
        <v>354</v>
      </c>
    </row>
    <row r="219" spans="1:14" ht="11.25">
      <c r="A219" s="73">
        <f>A206+1</f>
        <v>197</v>
      </c>
      <c r="B219" s="70">
        <v>6280</v>
      </c>
      <c r="C219" s="107">
        <f t="shared" si="14"/>
        <v>8.4499999999999993</v>
      </c>
      <c r="D219" s="71">
        <f t="shared" si="17"/>
        <v>13</v>
      </c>
      <c r="E219" s="66">
        <f t="shared" si="16"/>
        <v>13.97208978978979</v>
      </c>
      <c r="F219" s="72">
        <v>15.5</v>
      </c>
      <c r="G219" s="72">
        <v>16</v>
      </c>
      <c r="H219" s="76">
        <v>0.25250400000000001</v>
      </c>
      <c r="I219" s="76">
        <v>0.71958578978978982</v>
      </c>
      <c r="J219" s="77"/>
      <c r="K219" s="77"/>
      <c r="L219" s="77"/>
      <c r="M219" s="77"/>
      <c r="N219" s="1" t="s">
        <v>355</v>
      </c>
    </row>
    <row r="220" spans="1:14" ht="11.25">
      <c r="A220" s="73">
        <v>198</v>
      </c>
      <c r="B220" s="70">
        <v>6280</v>
      </c>
      <c r="C220" s="107">
        <f t="shared" si="14"/>
        <v>8.4499999999999993</v>
      </c>
      <c r="D220" s="71">
        <v>13</v>
      </c>
      <c r="E220" s="66">
        <v>13.97208978978979</v>
      </c>
      <c r="F220" s="72">
        <v>15.5</v>
      </c>
      <c r="G220" s="72">
        <v>16</v>
      </c>
      <c r="H220" s="76">
        <v>0.25250400000000001</v>
      </c>
      <c r="I220" s="76">
        <v>0.71958578978978982</v>
      </c>
      <c r="J220" s="77"/>
      <c r="K220" s="77"/>
      <c r="L220" s="77"/>
      <c r="M220" s="77"/>
      <c r="N220" s="1" t="s">
        <v>355</v>
      </c>
    </row>
    <row r="221" spans="1:14" ht="11.25">
      <c r="A221" s="73">
        <v>198</v>
      </c>
      <c r="B221" s="70">
        <v>6280</v>
      </c>
      <c r="C221" s="107">
        <f t="shared" si="14"/>
        <v>8.4499999999999993</v>
      </c>
      <c r="D221" s="71">
        <v>13</v>
      </c>
      <c r="E221" s="66">
        <v>13.97208978978979</v>
      </c>
      <c r="F221" s="72">
        <v>15.5</v>
      </c>
      <c r="G221" s="72">
        <v>16</v>
      </c>
      <c r="H221" s="76">
        <v>0.25250400000000001</v>
      </c>
      <c r="I221" s="76">
        <v>0.71958578978978982</v>
      </c>
      <c r="J221" s="77"/>
      <c r="K221" s="77"/>
      <c r="L221" s="77"/>
      <c r="M221" s="77"/>
      <c r="N221" s="1" t="s">
        <v>355</v>
      </c>
    </row>
    <row r="222" spans="1:14" ht="11.25">
      <c r="A222" s="9">
        <f t="shared" si="15"/>
        <v>199</v>
      </c>
      <c r="B222" s="11">
        <v>2200</v>
      </c>
      <c r="C222" s="107">
        <f t="shared" si="14"/>
        <v>7.4749999999999996</v>
      </c>
      <c r="D222" s="40">
        <v>11.5</v>
      </c>
      <c r="E222" s="66">
        <f t="shared" si="16"/>
        <v>12.47208978978979</v>
      </c>
      <c r="F222" s="10"/>
      <c r="G222" s="10">
        <v>10.045</v>
      </c>
      <c r="H222" s="76">
        <v>0.25250400000000001</v>
      </c>
      <c r="I222" s="76">
        <v>0.71958578978978982</v>
      </c>
      <c r="J222" s="63"/>
      <c r="K222" s="63"/>
      <c r="L222" s="63"/>
      <c r="M222" s="63"/>
      <c r="N222" s="1">
        <v>11.5</v>
      </c>
    </row>
    <row r="223" spans="1:14" ht="11.25">
      <c r="A223" s="9">
        <f t="shared" si="15"/>
        <v>200</v>
      </c>
      <c r="B223" s="11">
        <v>2210</v>
      </c>
      <c r="C223" s="107">
        <f t="shared" si="14"/>
        <v>7.4749999999999996</v>
      </c>
      <c r="D223" s="40">
        <v>11.5</v>
      </c>
      <c r="E223" s="66">
        <f t="shared" si="16"/>
        <v>12.47208978978979</v>
      </c>
      <c r="F223" s="10"/>
      <c r="G223" s="10"/>
      <c r="H223" s="76">
        <v>0.25250400000000001</v>
      </c>
      <c r="I223" s="76">
        <v>0.71958578978978982</v>
      </c>
      <c r="J223" s="63"/>
      <c r="K223" s="63"/>
      <c r="L223" s="63"/>
      <c r="M223" s="63"/>
      <c r="N223" s="1">
        <v>11.5</v>
      </c>
    </row>
    <row r="224" spans="1:14" ht="11.25">
      <c r="A224" s="9">
        <f t="shared" si="15"/>
        <v>201</v>
      </c>
      <c r="B224" s="11">
        <v>2220</v>
      </c>
      <c r="C224" s="107">
        <f t="shared" si="14"/>
        <v>7.4749999999999996</v>
      </c>
      <c r="D224" s="40">
        <v>11.5</v>
      </c>
      <c r="E224" s="66">
        <f t="shared" si="16"/>
        <v>12.47208978978979</v>
      </c>
      <c r="F224" s="10"/>
      <c r="G224" s="10"/>
      <c r="H224" s="76">
        <v>0.25250400000000001</v>
      </c>
      <c r="I224" s="76">
        <v>0.71958578978978982</v>
      </c>
      <c r="J224" s="63"/>
      <c r="K224" s="63"/>
      <c r="L224" s="63"/>
      <c r="M224" s="63"/>
      <c r="N224" s="1">
        <v>11.5</v>
      </c>
    </row>
    <row r="225" spans="1:14" ht="11.25">
      <c r="A225" s="9">
        <f t="shared" si="15"/>
        <v>202</v>
      </c>
      <c r="B225" s="11" t="s">
        <v>134</v>
      </c>
      <c r="C225" s="107">
        <f t="shared" si="14"/>
        <v>11.05</v>
      </c>
      <c r="D225" s="40">
        <v>17</v>
      </c>
      <c r="E225" s="66">
        <f t="shared" si="16"/>
        <v>17.972089789789791</v>
      </c>
      <c r="F225" s="10"/>
      <c r="G225" s="10">
        <v>17.5</v>
      </c>
      <c r="H225" s="76">
        <v>0.25250400000000001</v>
      </c>
      <c r="I225" s="76">
        <v>0.71958578978978982</v>
      </c>
      <c r="J225" s="63"/>
      <c r="K225" s="63"/>
      <c r="L225" s="63"/>
      <c r="M225" s="63"/>
      <c r="N225" s="1" t="s">
        <v>301</v>
      </c>
    </row>
    <row r="226" spans="1:14" ht="11.25">
      <c r="A226" s="9">
        <f t="shared" si="15"/>
        <v>203</v>
      </c>
      <c r="B226" s="11">
        <v>6130</v>
      </c>
      <c r="C226" s="107">
        <f t="shared" si="14"/>
        <v>15.925000000000001</v>
      </c>
      <c r="D226" s="40">
        <v>24.5</v>
      </c>
      <c r="E226" s="66">
        <f t="shared" si="16"/>
        <v>25.472089789789791</v>
      </c>
      <c r="F226" s="10"/>
      <c r="G226" s="10"/>
      <c r="H226" s="76">
        <v>0.25250400000000001</v>
      </c>
      <c r="I226" s="76">
        <v>0.71958578978978982</v>
      </c>
      <c r="J226" s="63"/>
      <c r="K226" s="63"/>
      <c r="L226" s="63"/>
      <c r="M226" s="63"/>
    </row>
    <row r="227" spans="1:14" ht="11.25">
      <c r="A227" s="9">
        <f t="shared" si="15"/>
        <v>204</v>
      </c>
      <c r="B227" s="11">
        <v>6132</v>
      </c>
      <c r="C227" s="107">
        <f t="shared" si="14"/>
        <v>15.095599999999999</v>
      </c>
      <c r="D227" s="40">
        <v>23.224</v>
      </c>
      <c r="E227" s="66">
        <f t="shared" si="16"/>
        <v>24.196089789789792</v>
      </c>
      <c r="F227" s="10"/>
      <c r="G227" s="10"/>
      <c r="H227" s="76">
        <v>0.25250400000000001</v>
      </c>
      <c r="I227" s="76">
        <v>0.71958578978978982</v>
      </c>
      <c r="J227" s="63"/>
      <c r="K227" s="63"/>
      <c r="L227" s="63"/>
      <c r="M227" s="63"/>
    </row>
    <row r="228" spans="1:14" ht="11.25">
      <c r="A228" s="9">
        <f t="shared" si="15"/>
        <v>205</v>
      </c>
      <c r="B228" s="11" t="s">
        <v>296</v>
      </c>
      <c r="C228" s="107">
        <f t="shared" si="14"/>
        <v>1.8395000000000001</v>
      </c>
      <c r="D228" s="40">
        <v>2.83</v>
      </c>
      <c r="E228" s="66">
        <f t="shared" si="16"/>
        <v>3.8020897897897896</v>
      </c>
      <c r="F228" s="10"/>
      <c r="G228" s="10"/>
      <c r="H228" s="76">
        <v>0.25250400000000001</v>
      </c>
      <c r="I228" s="76">
        <v>0.71958578978978982</v>
      </c>
      <c r="J228" s="63"/>
      <c r="K228" s="63"/>
      <c r="L228" s="63"/>
      <c r="M228" s="63"/>
    </row>
    <row r="229" spans="1:14" ht="11.25">
      <c r="A229" s="9">
        <f t="shared" si="15"/>
        <v>206</v>
      </c>
      <c r="B229" s="11">
        <v>6090</v>
      </c>
      <c r="C229" s="107">
        <f t="shared" si="14"/>
        <v>10.965499999999999</v>
      </c>
      <c r="D229" s="40">
        <v>16.87</v>
      </c>
      <c r="E229" s="66">
        <f t="shared" si="16"/>
        <v>17.842089789789792</v>
      </c>
      <c r="F229" s="10"/>
      <c r="G229" s="10"/>
      <c r="H229" s="76">
        <v>0.25250400000000001</v>
      </c>
      <c r="I229" s="76">
        <v>0.71958578978978982</v>
      </c>
      <c r="J229" s="63"/>
      <c r="K229" s="63"/>
      <c r="L229" s="63"/>
      <c r="M229" s="63"/>
    </row>
    <row r="230" spans="1:14" ht="11.25">
      <c r="A230" s="9">
        <f t="shared" si="15"/>
        <v>207</v>
      </c>
      <c r="B230" s="11" t="s">
        <v>304</v>
      </c>
      <c r="C230" s="107">
        <f t="shared" si="14"/>
        <v>10.965499999999999</v>
      </c>
      <c r="D230" s="40">
        <v>16.87</v>
      </c>
      <c r="E230" s="66">
        <f t="shared" si="16"/>
        <v>17.842089789789792</v>
      </c>
      <c r="F230" s="10"/>
      <c r="G230" s="10"/>
      <c r="H230" s="76">
        <v>0.25250400000000001</v>
      </c>
      <c r="I230" s="76">
        <v>0.71958578978978982</v>
      </c>
      <c r="J230" s="63"/>
      <c r="K230" s="63"/>
      <c r="L230" s="63"/>
      <c r="M230" s="63"/>
    </row>
    <row r="231" spans="1:14" ht="11.25">
      <c r="A231" s="9">
        <f t="shared" si="15"/>
        <v>208</v>
      </c>
      <c r="B231" s="11" t="s">
        <v>299</v>
      </c>
      <c r="C231" s="107">
        <f t="shared" si="14"/>
        <v>1.625</v>
      </c>
      <c r="D231" s="40">
        <v>2.5</v>
      </c>
      <c r="E231" s="66">
        <f t="shared" si="16"/>
        <v>3.4720897897897895</v>
      </c>
      <c r="F231" s="10"/>
      <c r="G231" s="10"/>
      <c r="H231" s="76">
        <v>0.25250400000000001</v>
      </c>
      <c r="I231" s="76">
        <v>0.71958578978978982</v>
      </c>
      <c r="J231" s="63"/>
      <c r="K231" s="63"/>
      <c r="L231" s="63"/>
      <c r="M231" s="63"/>
    </row>
    <row r="232" spans="1:14" ht="11.25">
      <c r="A232" s="9">
        <f t="shared" si="15"/>
        <v>209</v>
      </c>
      <c r="B232" s="11">
        <v>6095</v>
      </c>
      <c r="C232" s="107">
        <f t="shared" si="14"/>
        <v>10.4</v>
      </c>
      <c r="D232" s="40">
        <v>16</v>
      </c>
      <c r="E232" s="66">
        <f t="shared" si="16"/>
        <v>16.972089789789791</v>
      </c>
      <c r="F232" s="10"/>
      <c r="G232" s="10"/>
      <c r="H232" s="76">
        <v>0.25250400000000001</v>
      </c>
      <c r="I232" s="76">
        <v>0.71958578978978982</v>
      </c>
      <c r="J232" s="63"/>
      <c r="K232" s="63"/>
      <c r="L232" s="63"/>
      <c r="M232" s="63"/>
    </row>
    <row r="233" spans="1:14" ht="11.25">
      <c r="A233" s="9">
        <f t="shared" si="15"/>
        <v>210</v>
      </c>
      <c r="B233" s="11" t="s">
        <v>300</v>
      </c>
      <c r="C233" s="107">
        <f t="shared" si="14"/>
        <v>1.625</v>
      </c>
      <c r="D233" s="40">
        <v>2.5</v>
      </c>
      <c r="E233" s="66">
        <f t="shared" si="16"/>
        <v>3.4720897897897895</v>
      </c>
      <c r="F233" s="10"/>
      <c r="G233" s="10"/>
      <c r="H233" s="76">
        <v>0.25250400000000001</v>
      </c>
      <c r="I233" s="76">
        <v>0.71958578978978982</v>
      </c>
      <c r="J233" s="63"/>
      <c r="K233" s="63"/>
      <c r="L233" s="63"/>
      <c r="M233" s="63"/>
    </row>
    <row r="234" spans="1:14" ht="11.25">
      <c r="A234" s="9">
        <f t="shared" si="15"/>
        <v>211</v>
      </c>
      <c r="B234" s="11" t="s">
        <v>288</v>
      </c>
      <c r="C234" s="107">
        <f t="shared" si="14"/>
        <v>10.4</v>
      </c>
      <c r="D234" s="40">
        <v>16</v>
      </c>
      <c r="E234" s="66">
        <f t="shared" si="16"/>
        <v>16.972089789789791</v>
      </c>
      <c r="F234" s="10"/>
      <c r="G234" s="10"/>
      <c r="H234" s="76">
        <v>0.25250400000000001</v>
      </c>
      <c r="I234" s="76">
        <v>0.71958578978978982</v>
      </c>
      <c r="J234" s="63"/>
      <c r="K234" s="63"/>
      <c r="L234" s="63"/>
      <c r="M234" s="63"/>
    </row>
    <row r="235" spans="1:14" ht="11.25">
      <c r="A235" s="9">
        <f t="shared" si="15"/>
        <v>212</v>
      </c>
      <c r="B235" s="11" t="s">
        <v>298</v>
      </c>
      <c r="C235" s="107">
        <f t="shared" si="14"/>
        <v>1.625</v>
      </c>
      <c r="D235" s="40">
        <v>2.5</v>
      </c>
      <c r="E235" s="66">
        <f t="shared" si="16"/>
        <v>3.4720897897897895</v>
      </c>
      <c r="F235" s="10"/>
      <c r="G235" s="10"/>
      <c r="H235" s="76">
        <v>0.25250400000000001</v>
      </c>
      <c r="I235" s="76">
        <v>0.71958578978978982</v>
      </c>
      <c r="J235" s="63"/>
      <c r="K235" s="63"/>
      <c r="L235" s="63"/>
      <c r="M235" s="63"/>
    </row>
    <row r="236" spans="1:14" ht="11.25">
      <c r="A236" s="9">
        <f t="shared" si="15"/>
        <v>213</v>
      </c>
      <c r="B236" s="11">
        <v>6400</v>
      </c>
      <c r="C236" s="107">
        <f t="shared" si="14"/>
        <v>11.375</v>
      </c>
      <c r="D236" s="40">
        <v>17.5</v>
      </c>
      <c r="E236" s="66">
        <f t="shared" si="16"/>
        <v>18.472089789789791</v>
      </c>
      <c r="F236" s="10"/>
      <c r="G236" s="10"/>
      <c r="H236" s="76">
        <v>0.25250400000000001</v>
      </c>
      <c r="I236" s="76">
        <v>0.71958578978978982</v>
      </c>
      <c r="J236" s="63"/>
      <c r="K236" s="63"/>
      <c r="L236" s="63"/>
      <c r="M236" s="63"/>
      <c r="N236" s="1" t="s">
        <v>301</v>
      </c>
    </row>
    <row r="237" spans="1:14" ht="11.25">
      <c r="A237" s="9">
        <f t="shared" si="15"/>
        <v>214</v>
      </c>
      <c r="B237" s="11" t="s">
        <v>311</v>
      </c>
      <c r="C237" s="107">
        <f t="shared" si="14"/>
        <v>11.375</v>
      </c>
      <c r="D237" s="40">
        <v>17.5</v>
      </c>
      <c r="E237" s="66">
        <f t="shared" si="16"/>
        <v>18.472089789789791</v>
      </c>
      <c r="F237" s="10"/>
      <c r="G237" s="10"/>
      <c r="H237" s="76">
        <v>0.25250400000000001</v>
      </c>
      <c r="I237" s="76">
        <v>0.71958578978978982</v>
      </c>
      <c r="J237" s="63"/>
      <c r="K237" s="63"/>
      <c r="L237" s="63"/>
      <c r="M237" s="63"/>
    </row>
    <row r="238" spans="1:14" ht="11.25">
      <c r="A238" s="9">
        <f t="shared" si="15"/>
        <v>215</v>
      </c>
      <c r="B238" s="11" t="s">
        <v>135</v>
      </c>
      <c r="C238" s="107">
        <f t="shared" si="14"/>
        <v>12.025</v>
      </c>
      <c r="D238" s="40">
        <v>18.5</v>
      </c>
      <c r="E238" s="66">
        <f t="shared" si="16"/>
        <v>19.472089789789791</v>
      </c>
      <c r="F238" s="10"/>
      <c r="G238" s="10"/>
      <c r="H238" s="76">
        <v>0.25250400000000001</v>
      </c>
      <c r="I238" s="76">
        <v>0.71958578978978982</v>
      </c>
      <c r="J238" s="63"/>
      <c r="K238" s="63"/>
      <c r="L238" s="63"/>
      <c r="M238" s="63"/>
    </row>
    <row r="239" spans="1:14" ht="11.25">
      <c r="A239" s="9">
        <f t="shared" si="15"/>
        <v>216</v>
      </c>
      <c r="B239" s="11">
        <v>1625</v>
      </c>
      <c r="C239" s="107">
        <f t="shared" si="14"/>
        <v>6.5</v>
      </c>
      <c r="D239" s="40">
        <v>10</v>
      </c>
      <c r="E239" s="66">
        <f t="shared" si="16"/>
        <v>10.97208978978979</v>
      </c>
      <c r="F239" s="10"/>
      <c r="G239" s="10"/>
      <c r="H239" s="76">
        <v>0.25250400000000001</v>
      </c>
      <c r="I239" s="76">
        <v>0.71958578978978982</v>
      </c>
      <c r="J239" s="63"/>
      <c r="K239" s="63"/>
      <c r="L239" s="63"/>
      <c r="M239" s="63"/>
    </row>
    <row r="240" spans="1:14" ht="11.25">
      <c r="A240" s="9">
        <f t="shared" si="15"/>
        <v>217</v>
      </c>
      <c r="B240" s="11">
        <v>1626</v>
      </c>
      <c r="C240" s="107">
        <f t="shared" si="14"/>
        <v>6.5</v>
      </c>
      <c r="D240" s="40">
        <v>10</v>
      </c>
      <c r="E240" s="66">
        <f t="shared" si="16"/>
        <v>10.97208978978979</v>
      </c>
      <c r="F240" s="10"/>
      <c r="G240" s="10"/>
      <c r="H240" s="76">
        <v>0.25250400000000001</v>
      </c>
      <c r="I240" s="76">
        <v>0.71958578978978982</v>
      </c>
      <c r="J240" s="63"/>
      <c r="K240" s="63"/>
      <c r="L240" s="63"/>
      <c r="M240" s="63"/>
    </row>
    <row r="241" spans="1:14" ht="11.25">
      <c r="A241" s="9">
        <f t="shared" si="15"/>
        <v>218</v>
      </c>
      <c r="B241" s="11" t="s">
        <v>192</v>
      </c>
      <c r="C241" s="107">
        <f t="shared" si="14"/>
        <v>9.75</v>
      </c>
      <c r="D241" s="40">
        <v>15</v>
      </c>
      <c r="E241" s="66">
        <f t="shared" si="16"/>
        <v>15.97208978978979</v>
      </c>
      <c r="F241" s="10"/>
      <c r="G241" s="10">
        <v>16</v>
      </c>
      <c r="H241" s="76">
        <v>0.25250400000000001</v>
      </c>
      <c r="I241" s="76">
        <v>0.71958578978978982</v>
      </c>
      <c r="J241" s="63"/>
      <c r="K241" s="63"/>
      <c r="L241" s="63"/>
      <c r="M241" s="63"/>
    </row>
    <row r="242" spans="1:14" ht="11.25">
      <c r="A242" s="9">
        <f t="shared" si="15"/>
        <v>219</v>
      </c>
      <c r="B242" s="11">
        <v>6200</v>
      </c>
      <c r="C242" s="107">
        <f t="shared" si="14"/>
        <v>11.375</v>
      </c>
      <c r="D242" s="40">
        <v>17.5</v>
      </c>
      <c r="E242" s="66">
        <f t="shared" si="16"/>
        <v>18.472089789789791</v>
      </c>
      <c r="F242" s="10"/>
      <c r="G242" s="10"/>
      <c r="H242" s="76">
        <v>0.25250400000000001</v>
      </c>
      <c r="I242" s="76">
        <v>0.71958578978978982</v>
      </c>
      <c r="J242" s="63"/>
      <c r="K242" s="63"/>
      <c r="L242" s="63"/>
      <c r="M242" s="63"/>
      <c r="N242" s="1" t="s">
        <v>301</v>
      </c>
    </row>
    <row r="243" spans="1:14" ht="11.25">
      <c r="A243" s="9">
        <f t="shared" si="15"/>
        <v>220</v>
      </c>
      <c r="B243" s="11" t="s">
        <v>302</v>
      </c>
      <c r="C243" s="107">
        <f t="shared" si="14"/>
        <v>11.375</v>
      </c>
      <c r="D243" s="40">
        <v>17.5</v>
      </c>
      <c r="E243" s="66">
        <f t="shared" si="16"/>
        <v>18.472089789789791</v>
      </c>
      <c r="F243" s="10"/>
      <c r="G243" s="10"/>
      <c r="H243" s="76">
        <v>0.25250400000000001</v>
      </c>
      <c r="I243" s="76">
        <v>0.71958578978978982</v>
      </c>
      <c r="J243" s="63"/>
      <c r="K243" s="63"/>
      <c r="L243" s="63"/>
      <c r="M243" s="63"/>
    </row>
    <row r="244" spans="1:14" ht="11.25">
      <c r="A244" s="9">
        <f t="shared" si="15"/>
        <v>221</v>
      </c>
      <c r="B244" s="11">
        <v>2013</v>
      </c>
      <c r="C244" s="107">
        <f t="shared" si="14"/>
        <v>27.95</v>
      </c>
      <c r="D244" s="40">
        <v>43</v>
      </c>
      <c r="E244" s="66">
        <f t="shared" si="16"/>
        <v>43.972089789789791</v>
      </c>
      <c r="F244" s="10"/>
      <c r="G244" s="40">
        <v>56.387999999999998</v>
      </c>
      <c r="H244" s="76">
        <v>0.25250400000000001</v>
      </c>
      <c r="I244" s="76">
        <v>0.71958578978978982</v>
      </c>
      <c r="J244" s="76"/>
      <c r="K244" s="76"/>
      <c r="L244" s="76"/>
      <c r="M244" s="76"/>
    </row>
    <row r="245" spans="1:14" ht="11.25">
      <c r="A245" s="9">
        <f t="shared" si="15"/>
        <v>222</v>
      </c>
      <c r="B245" s="11">
        <v>3040</v>
      </c>
      <c r="C245" s="107">
        <f t="shared" si="14"/>
        <v>9.75</v>
      </c>
      <c r="D245" s="40">
        <v>15</v>
      </c>
      <c r="E245" s="66">
        <f t="shared" si="16"/>
        <v>15.97208978978979</v>
      </c>
      <c r="F245" s="10"/>
      <c r="G245" s="10"/>
      <c r="H245" s="76">
        <v>0.25250400000000001</v>
      </c>
      <c r="I245" s="76">
        <v>0.71958578978978982</v>
      </c>
      <c r="J245" s="63"/>
      <c r="K245" s="63"/>
      <c r="L245" s="63"/>
      <c r="M245" s="63"/>
    </row>
    <row r="246" spans="1:14" ht="11.25">
      <c r="A246" s="9">
        <f>A244+1</f>
        <v>222</v>
      </c>
      <c r="B246" s="11">
        <v>2460</v>
      </c>
      <c r="C246" s="107">
        <f t="shared" si="14"/>
        <v>8.7750000000000004</v>
      </c>
      <c r="D246" s="40">
        <v>13.5</v>
      </c>
      <c r="E246" s="66">
        <f>SUM(H246:I246)+D246</f>
        <v>14.47208978978979</v>
      </c>
      <c r="F246" s="10"/>
      <c r="G246" s="10"/>
      <c r="H246" s="76">
        <v>0.25250400000000001</v>
      </c>
      <c r="I246" s="76">
        <v>0.71958578978978982</v>
      </c>
      <c r="J246" s="63"/>
      <c r="K246" s="63"/>
      <c r="L246" s="63"/>
      <c r="M246" s="63"/>
    </row>
    <row r="247" spans="1:14" ht="11.25">
      <c r="A247" s="9">
        <f>A245+1</f>
        <v>223</v>
      </c>
      <c r="B247" s="11">
        <v>2360</v>
      </c>
      <c r="C247" s="107">
        <f t="shared" si="14"/>
        <v>8.7750000000000004</v>
      </c>
      <c r="D247" s="40">
        <v>13.5</v>
      </c>
      <c r="E247" s="66">
        <f t="shared" si="16"/>
        <v>14.47208978978979</v>
      </c>
      <c r="F247" s="10"/>
      <c r="G247" s="10"/>
      <c r="H247" s="76">
        <v>0.25250400000000001</v>
      </c>
      <c r="I247" s="76">
        <v>0.71958578978978982</v>
      </c>
      <c r="J247" s="63"/>
      <c r="K247" s="63"/>
      <c r="L247" s="63"/>
      <c r="M247" s="63"/>
    </row>
    <row r="248" spans="1:14" ht="11.25">
      <c r="A248" s="9">
        <f t="shared" si="15"/>
        <v>224</v>
      </c>
      <c r="B248" s="11">
        <v>2310</v>
      </c>
      <c r="C248" s="107">
        <f t="shared" si="14"/>
        <v>9.1149500000000003</v>
      </c>
      <c r="D248" s="40">
        <v>14.023</v>
      </c>
      <c r="E248" s="66">
        <f t="shared" si="16"/>
        <v>14.995089789789789</v>
      </c>
      <c r="F248" s="10"/>
      <c r="G248" s="10"/>
      <c r="H248" s="76">
        <v>0.25250400000000001</v>
      </c>
      <c r="I248" s="76">
        <v>0.71958578978978982</v>
      </c>
      <c r="J248" s="63"/>
      <c r="K248" s="63"/>
      <c r="L248" s="63"/>
      <c r="M248" s="63"/>
    </row>
    <row r="249" spans="1:14" ht="11.25">
      <c r="A249" s="9">
        <f t="shared" si="15"/>
        <v>225</v>
      </c>
      <c r="B249" s="11" t="s">
        <v>317</v>
      </c>
      <c r="C249" s="107">
        <f t="shared" si="14"/>
        <v>7.8</v>
      </c>
      <c r="D249" s="40">
        <v>12</v>
      </c>
      <c r="E249" s="66">
        <f t="shared" si="16"/>
        <v>12.97208978978979</v>
      </c>
      <c r="F249" s="10"/>
      <c r="G249" s="10"/>
      <c r="H249" s="76">
        <v>0.25250400000000001</v>
      </c>
      <c r="I249" s="76">
        <v>0.71958578978978982</v>
      </c>
      <c r="J249" s="63"/>
      <c r="K249" s="63"/>
      <c r="L249" s="63"/>
      <c r="M249" s="63"/>
      <c r="N249" s="1">
        <v>1.65</v>
      </c>
    </row>
    <row r="250" spans="1:14" ht="11.25">
      <c r="A250" s="9">
        <f t="shared" si="15"/>
        <v>226</v>
      </c>
      <c r="B250" s="11" t="s">
        <v>318</v>
      </c>
      <c r="C250" s="107">
        <f t="shared" si="14"/>
        <v>7.8</v>
      </c>
      <c r="D250" s="40">
        <v>12</v>
      </c>
      <c r="E250" s="66">
        <f t="shared" si="16"/>
        <v>12.97208978978979</v>
      </c>
      <c r="F250" s="10"/>
      <c r="G250" s="10"/>
      <c r="H250" s="76">
        <v>0.25250400000000001</v>
      </c>
      <c r="I250" s="76">
        <v>0.71958578978978982</v>
      </c>
      <c r="J250" s="63"/>
      <c r="K250" s="63"/>
      <c r="L250" s="63"/>
      <c r="M250" s="63"/>
      <c r="N250" s="1">
        <v>1.65</v>
      </c>
    </row>
    <row r="251" spans="1:14" ht="11.25">
      <c r="A251" s="9">
        <f t="shared" si="15"/>
        <v>227</v>
      </c>
      <c r="B251" s="11" t="s">
        <v>222</v>
      </c>
      <c r="C251" s="107">
        <f t="shared" si="14"/>
        <v>1.04</v>
      </c>
      <c r="D251" s="40">
        <v>1.6</v>
      </c>
      <c r="E251" s="66">
        <f t="shared" si="16"/>
        <v>1.6</v>
      </c>
      <c r="F251" s="10"/>
      <c r="G251" s="10"/>
      <c r="H251" s="76"/>
      <c r="I251" s="76"/>
      <c r="J251" s="63"/>
      <c r="K251" s="63"/>
      <c r="L251" s="63"/>
      <c r="M251" s="63"/>
      <c r="N251" s="1">
        <v>1.65</v>
      </c>
    </row>
    <row r="252" spans="1:14" ht="11.25">
      <c r="A252" s="9">
        <f t="shared" si="15"/>
        <v>228</v>
      </c>
      <c r="B252" s="11" t="s">
        <v>227</v>
      </c>
      <c r="C252" s="107">
        <f t="shared" si="14"/>
        <v>1.3</v>
      </c>
      <c r="D252" s="40">
        <v>2</v>
      </c>
      <c r="E252" s="66">
        <f t="shared" si="16"/>
        <v>2</v>
      </c>
      <c r="F252" s="10"/>
      <c r="G252" s="10"/>
      <c r="H252" s="76"/>
      <c r="I252" s="76"/>
      <c r="J252" s="63"/>
      <c r="K252" s="63"/>
      <c r="L252" s="63"/>
      <c r="M252" s="63"/>
      <c r="N252" s="1">
        <v>2</v>
      </c>
    </row>
    <row r="253" spans="1:14" ht="11.25">
      <c r="A253" s="9">
        <f t="shared" si="15"/>
        <v>229</v>
      </c>
      <c r="B253" s="61" t="s">
        <v>247</v>
      </c>
      <c r="C253" s="107">
        <f t="shared" si="14"/>
        <v>2.0150000000000001</v>
      </c>
      <c r="D253" s="67">
        <v>3.1</v>
      </c>
      <c r="E253" s="66">
        <f t="shared" si="16"/>
        <v>3.1</v>
      </c>
      <c r="F253" s="60"/>
      <c r="G253" s="60">
        <v>3.25</v>
      </c>
      <c r="H253" s="76"/>
      <c r="I253" s="76"/>
      <c r="J253" s="78"/>
      <c r="K253" s="78"/>
      <c r="L253" s="78"/>
      <c r="M253" s="78"/>
    </row>
    <row r="254" spans="1:14" ht="11.25">
      <c r="A254" s="9">
        <f>A252+1</f>
        <v>229</v>
      </c>
      <c r="B254" s="11" t="s">
        <v>395</v>
      </c>
      <c r="C254" s="107">
        <f t="shared" si="14"/>
        <v>1.292135</v>
      </c>
      <c r="D254" s="40">
        <v>1.9879</v>
      </c>
      <c r="E254" s="66">
        <f>SUM(H254:I254)+D254</f>
        <v>2.9599897897897898</v>
      </c>
      <c r="F254" s="10"/>
      <c r="G254" s="10">
        <v>3.6720000000000002</v>
      </c>
      <c r="H254" s="76">
        <v>0.25250400000000001</v>
      </c>
      <c r="I254" s="76">
        <v>0.71958578978978982</v>
      </c>
      <c r="J254" s="63"/>
      <c r="K254" s="63"/>
      <c r="L254" s="63"/>
      <c r="M254" s="63"/>
    </row>
    <row r="255" spans="1:14" ht="11.25">
      <c r="A255" s="9">
        <f>A252+1</f>
        <v>229</v>
      </c>
      <c r="B255" s="11" t="s">
        <v>272</v>
      </c>
      <c r="C255" s="107">
        <f t="shared" si="14"/>
        <v>1.6952</v>
      </c>
      <c r="D255" s="40">
        <v>2.6080000000000001</v>
      </c>
      <c r="E255" s="66">
        <f>SUM(H255:I255)+D255</f>
        <v>3.5800897897897901</v>
      </c>
      <c r="F255" s="10"/>
      <c r="G255" s="10">
        <v>3.6720000000000002</v>
      </c>
      <c r="H255" s="76">
        <v>0.25250400000000001</v>
      </c>
      <c r="I255" s="76">
        <v>0.71958578978978982</v>
      </c>
      <c r="J255" s="63"/>
      <c r="K255" s="63"/>
      <c r="L255" s="63"/>
      <c r="M255" s="63"/>
    </row>
    <row r="256" spans="1:14" ht="11.25">
      <c r="A256" s="9">
        <f>A253+1</f>
        <v>230</v>
      </c>
      <c r="B256" s="11" t="s">
        <v>396</v>
      </c>
      <c r="C256" s="107">
        <f t="shared" si="14"/>
        <v>1.7460560000000001</v>
      </c>
      <c r="D256" s="40">
        <v>2.6862400000000002</v>
      </c>
      <c r="E256" s="66">
        <f t="shared" si="16"/>
        <v>3.6583297897897902</v>
      </c>
      <c r="F256" s="10"/>
      <c r="G256" s="10">
        <v>3.6720000000000002</v>
      </c>
      <c r="H256" s="76">
        <v>0.25250400000000001</v>
      </c>
      <c r="I256" s="76">
        <v>0.71958578978978982</v>
      </c>
      <c r="J256" s="63"/>
      <c r="K256" s="63"/>
      <c r="L256" s="63"/>
      <c r="M256" s="63"/>
    </row>
    <row r="257" spans="1:14" ht="11.25">
      <c r="A257" s="9"/>
      <c r="B257" s="11" t="s">
        <v>524</v>
      </c>
      <c r="C257" s="107">
        <v>1.292135</v>
      </c>
      <c r="D257" s="40">
        <v>1.9879</v>
      </c>
      <c r="E257" s="66"/>
      <c r="F257" s="10"/>
      <c r="G257" s="10"/>
      <c r="H257" s="76"/>
      <c r="I257" s="76"/>
      <c r="J257" s="63"/>
      <c r="K257" s="63"/>
      <c r="L257" s="63"/>
      <c r="M257" s="63"/>
    </row>
    <row r="258" spans="1:14" ht="11.25">
      <c r="A258" s="9">
        <f>A256+1</f>
        <v>231</v>
      </c>
      <c r="B258" s="11">
        <v>8100</v>
      </c>
      <c r="C258" s="107">
        <f t="shared" si="14"/>
        <v>1.3325</v>
      </c>
      <c r="D258" s="40">
        <v>2.0499999999999998</v>
      </c>
      <c r="E258" s="66">
        <f t="shared" si="16"/>
        <v>3.0220897897897894</v>
      </c>
      <c r="F258" s="10"/>
      <c r="G258" s="10"/>
      <c r="H258" s="76">
        <v>0.25250400000000001</v>
      </c>
      <c r="I258" s="76">
        <v>0.71958578978978982</v>
      </c>
      <c r="J258" s="63"/>
      <c r="K258" s="63"/>
      <c r="L258" s="63"/>
      <c r="M258" s="63"/>
    </row>
    <row r="259" spans="1:14" ht="11.25">
      <c r="A259" s="9">
        <f t="shared" si="15"/>
        <v>232</v>
      </c>
      <c r="B259" s="11">
        <v>8102</v>
      </c>
      <c r="C259" s="107">
        <f t="shared" si="14"/>
        <v>2.4212500000000001</v>
      </c>
      <c r="D259" s="40">
        <v>3.7250000000000001</v>
      </c>
      <c r="E259" s="66">
        <f t="shared" si="16"/>
        <v>4.6970897897897901</v>
      </c>
      <c r="F259" s="10"/>
      <c r="G259" s="10"/>
      <c r="H259" s="76">
        <v>0.25250400000000001</v>
      </c>
      <c r="I259" s="76">
        <v>0.71958578978978982</v>
      </c>
      <c r="J259" s="63"/>
      <c r="K259" s="63"/>
      <c r="L259" s="63"/>
      <c r="M259" s="63"/>
    </row>
    <row r="260" spans="1:14" ht="11.25">
      <c r="A260" s="9">
        <f>A258+1</f>
        <v>232</v>
      </c>
      <c r="B260" s="11">
        <v>8110</v>
      </c>
      <c r="C260" s="107">
        <f t="shared" si="14"/>
        <v>1.4137500000000001</v>
      </c>
      <c r="D260" s="40">
        <v>2.1749999999999998</v>
      </c>
      <c r="E260" s="66">
        <f t="shared" si="16"/>
        <v>3.1470897897897894</v>
      </c>
      <c r="F260" s="10"/>
      <c r="G260" s="10"/>
      <c r="H260" s="76">
        <v>0.25250400000000001</v>
      </c>
      <c r="I260" s="76">
        <v>0.71958578978978982</v>
      </c>
      <c r="J260" s="63"/>
      <c r="K260" s="63"/>
      <c r="L260" s="63"/>
      <c r="M260" s="63"/>
    </row>
    <row r="261" spans="1:14" ht="11.25">
      <c r="A261" s="9">
        <f>A258+1</f>
        <v>232</v>
      </c>
      <c r="B261" s="11">
        <v>8145</v>
      </c>
      <c r="C261" s="107">
        <f t="shared" si="14"/>
        <v>1.2837499999999999</v>
      </c>
      <c r="D261" s="40">
        <v>1.9749999999999999</v>
      </c>
      <c r="E261" s="66">
        <f>SUM(H261:I261)+D261</f>
        <v>2.9470897897897896</v>
      </c>
      <c r="F261" s="10"/>
      <c r="G261" s="10"/>
      <c r="H261" s="76">
        <v>0.25250400000000001</v>
      </c>
      <c r="I261" s="76">
        <v>0.71958578978978982</v>
      </c>
      <c r="J261" s="63"/>
      <c r="K261" s="63"/>
      <c r="L261" s="63"/>
      <c r="M261" s="63"/>
    </row>
    <row r="262" spans="1:14" ht="11.25">
      <c r="A262" s="9">
        <f>A258+1</f>
        <v>232</v>
      </c>
      <c r="B262" s="11">
        <v>8170</v>
      </c>
      <c r="C262" s="107">
        <f t="shared" si="14"/>
        <v>0.86840000000000006</v>
      </c>
      <c r="D262" s="40">
        <v>1.3360000000000001</v>
      </c>
      <c r="E262" s="66">
        <f>SUM(H262:I262)+D262</f>
        <v>2.3080897897897898</v>
      </c>
      <c r="F262" s="10"/>
      <c r="G262" s="10"/>
      <c r="H262" s="76">
        <v>0.25250400000000001</v>
      </c>
      <c r="I262" s="76">
        <v>0.71958578978978982</v>
      </c>
      <c r="J262" s="63"/>
      <c r="K262" s="63"/>
      <c r="L262" s="63"/>
      <c r="M262" s="63"/>
    </row>
    <row r="263" spans="1:14" ht="11.25">
      <c r="A263" s="9">
        <f>A259+1</f>
        <v>233</v>
      </c>
      <c r="B263" s="11">
        <v>8190</v>
      </c>
      <c r="C263" s="107">
        <f t="shared" si="14"/>
        <v>2.3867999999999996</v>
      </c>
      <c r="D263" s="40">
        <v>3.6719999999999997</v>
      </c>
      <c r="E263" s="66">
        <f t="shared" si="16"/>
        <v>4.6440897897897893</v>
      </c>
      <c r="F263" s="10"/>
      <c r="G263" s="10"/>
      <c r="H263" s="76">
        <v>0.25250400000000001</v>
      </c>
      <c r="I263" s="76">
        <v>0.71958578978978982</v>
      </c>
      <c r="J263" s="63"/>
      <c r="K263" s="63"/>
      <c r="L263" s="63"/>
      <c r="M263" s="63"/>
    </row>
    <row r="264" spans="1:14" ht="11.25">
      <c r="A264" s="9">
        <f t="shared" si="15"/>
        <v>234</v>
      </c>
      <c r="B264" s="11" t="s">
        <v>321</v>
      </c>
      <c r="C264" s="107">
        <f t="shared" ref="C264:C327" si="19">(D264*65)/100</f>
        <v>1.7875000000000001</v>
      </c>
      <c r="D264" s="40">
        <v>2.75</v>
      </c>
      <c r="E264" s="66">
        <f t="shared" si="16"/>
        <v>3.7220897897897895</v>
      </c>
      <c r="F264" s="10"/>
      <c r="G264" s="10"/>
      <c r="H264" s="76">
        <v>0.25250400000000001</v>
      </c>
      <c r="I264" s="76">
        <v>0.71958578978978982</v>
      </c>
      <c r="J264" s="63"/>
      <c r="K264" s="63"/>
      <c r="L264" s="63"/>
      <c r="M264" s="63"/>
    </row>
    <row r="265" spans="1:14" ht="11.25">
      <c r="A265" s="9">
        <f t="shared" si="15"/>
        <v>235</v>
      </c>
      <c r="B265" s="11" t="s">
        <v>155</v>
      </c>
      <c r="C265" s="107">
        <f t="shared" si="19"/>
        <v>7.4285714285714288</v>
      </c>
      <c r="D265" s="40">
        <f>12/1.05</f>
        <v>11.428571428571429</v>
      </c>
      <c r="E265" s="66">
        <f t="shared" si="16"/>
        <v>12.400661218361218</v>
      </c>
      <c r="F265" s="10"/>
      <c r="G265" s="10">
        <v>11.875999999999999</v>
      </c>
      <c r="H265" s="76">
        <v>0.25250400000000001</v>
      </c>
      <c r="I265" s="76">
        <v>0.71958578978978982</v>
      </c>
      <c r="J265" s="63"/>
      <c r="K265" s="63"/>
      <c r="L265" s="63"/>
      <c r="M265" s="63"/>
    </row>
    <row r="266" spans="1:14" ht="11.25">
      <c r="A266" s="9">
        <f t="shared" si="15"/>
        <v>236</v>
      </c>
      <c r="B266" s="11" t="s">
        <v>156</v>
      </c>
      <c r="C266" s="107">
        <f t="shared" si="19"/>
        <v>5.2619047619047619</v>
      </c>
      <c r="D266" s="40">
        <f>8.5/1.05</f>
        <v>8.0952380952380949</v>
      </c>
      <c r="E266" s="66">
        <f t="shared" si="16"/>
        <v>9.0673278850278844</v>
      </c>
      <c r="F266" s="10"/>
      <c r="G266" s="10">
        <v>7.6639999999999997</v>
      </c>
      <c r="H266" s="76">
        <v>0.25250400000000001</v>
      </c>
      <c r="I266" s="76">
        <v>0.71958578978978982</v>
      </c>
      <c r="J266" s="63"/>
      <c r="K266" s="63"/>
      <c r="L266" s="63"/>
      <c r="M266" s="63"/>
      <c r="N266" s="1">
        <v>8.5</v>
      </c>
    </row>
    <row r="267" spans="1:14" ht="11.25">
      <c r="A267" s="9">
        <f>A266+1</f>
        <v>237</v>
      </c>
      <c r="B267" s="11" t="s">
        <v>157</v>
      </c>
      <c r="C267" s="107">
        <f t="shared" si="19"/>
        <v>9.5797000000000008</v>
      </c>
      <c r="D267" s="40">
        <v>14.738</v>
      </c>
      <c r="E267" s="66">
        <f t="shared" si="16"/>
        <v>15.710089789789789</v>
      </c>
      <c r="F267" s="10"/>
      <c r="G267" s="10">
        <v>11.661999999999999</v>
      </c>
      <c r="H267" s="76">
        <v>0.25250400000000001</v>
      </c>
      <c r="I267" s="76">
        <v>0.71958578978978982</v>
      </c>
      <c r="J267" s="63"/>
      <c r="K267" s="63"/>
      <c r="L267" s="63"/>
      <c r="M267" s="63"/>
      <c r="N267" s="1">
        <v>16</v>
      </c>
    </row>
    <row r="268" spans="1:14" ht="11.25">
      <c r="A268" s="9">
        <f t="shared" si="15"/>
        <v>238</v>
      </c>
      <c r="B268" s="11" t="s">
        <v>331</v>
      </c>
      <c r="C268" s="107">
        <f t="shared" si="19"/>
        <v>1.625</v>
      </c>
      <c r="D268" s="40">
        <v>2.5</v>
      </c>
      <c r="E268" s="66" t="s">
        <v>422</v>
      </c>
      <c r="F268" s="10"/>
      <c r="G268" s="10">
        <v>9.8109999999999999</v>
      </c>
      <c r="H268" s="76">
        <v>0.25250400000000001</v>
      </c>
      <c r="I268" s="76">
        <v>0.71958578978978982</v>
      </c>
      <c r="J268" s="63"/>
      <c r="K268" s="63"/>
      <c r="L268" s="63"/>
      <c r="M268" s="63"/>
    </row>
    <row r="269" spans="1:14" ht="11.25">
      <c r="A269" s="9">
        <f t="shared" si="15"/>
        <v>239</v>
      </c>
      <c r="B269" s="11" t="s">
        <v>158</v>
      </c>
      <c r="C269" s="107">
        <f t="shared" si="19"/>
        <v>6.8095238095238093</v>
      </c>
      <c r="D269" s="40">
        <f>11/1.05</f>
        <v>10.476190476190476</v>
      </c>
      <c r="E269" s="66">
        <f t="shared" si="16"/>
        <v>11.448280265980266</v>
      </c>
      <c r="F269" s="10"/>
      <c r="G269" s="10">
        <v>9.8109999999999999</v>
      </c>
      <c r="H269" s="76">
        <v>0.25250400000000001</v>
      </c>
      <c r="I269" s="76">
        <v>0.71958578978978982</v>
      </c>
      <c r="J269" s="63"/>
      <c r="K269" s="63"/>
      <c r="L269" s="63"/>
      <c r="M269" s="63"/>
    </row>
    <row r="270" spans="1:14" ht="11.25">
      <c r="A270" s="9">
        <f t="shared" si="15"/>
        <v>240</v>
      </c>
      <c r="B270" s="11" t="s">
        <v>159</v>
      </c>
      <c r="C270" s="107">
        <f t="shared" si="19"/>
        <v>7.4285714285714288</v>
      </c>
      <c r="D270" s="40">
        <f>12/1.05</f>
        <v>11.428571428571429</v>
      </c>
      <c r="E270" s="66">
        <f t="shared" si="16"/>
        <v>12.400661218361218</v>
      </c>
      <c r="F270" s="10"/>
      <c r="G270" s="10">
        <v>10.792000000000002</v>
      </c>
      <c r="H270" s="76">
        <v>0.25250400000000001</v>
      </c>
      <c r="I270" s="76">
        <v>0.71958578978978982</v>
      </c>
      <c r="J270" s="63"/>
      <c r="K270" s="63"/>
      <c r="L270" s="63"/>
      <c r="M270" s="63"/>
    </row>
    <row r="271" spans="1:14" ht="11.25">
      <c r="A271" s="9">
        <f t="shared" si="15"/>
        <v>241</v>
      </c>
      <c r="B271" s="61" t="s">
        <v>160</v>
      </c>
      <c r="C271" s="107">
        <f t="shared" si="19"/>
        <v>5.5575000000000001</v>
      </c>
      <c r="D271" s="67">
        <v>8.5500000000000007</v>
      </c>
      <c r="E271" s="66">
        <f t="shared" si="16"/>
        <v>9.5220897897897903</v>
      </c>
      <c r="F271" s="60"/>
      <c r="G271" s="60">
        <v>8.609</v>
      </c>
      <c r="H271" s="76">
        <v>0.25250400000000001</v>
      </c>
      <c r="I271" s="76">
        <v>0.71958578978978982</v>
      </c>
      <c r="J271" s="78"/>
      <c r="K271" s="78"/>
      <c r="L271" s="78"/>
      <c r="M271" s="78"/>
    </row>
    <row r="272" spans="1:14" ht="11.25">
      <c r="A272" s="9">
        <f t="shared" si="15"/>
        <v>242</v>
      </c>
      <c r="B272" s="11" t="s">
        <v>255</v>
      </c>
      <c r="C272" s="107">
        <f t="shared" si="19"/>
        <v>5.8809523809523805</v>
      </c>
      <c r="D272" s="40">
        <f>9.5/1.05</f>
        <v>9.0476190476190474</v>
      </c>
      <c r="E272" s="66">
        <f t="shared" si="16"/>
        <v>10.019708837408837</v>
      </c>
      <c r="F272" s="10"/>
      <c r="G272" s="10"/>
      <c r="H272" s="76">
        <v>0.25250400000000001</v>
      </c>
      <c r="I272" s="76">
        <v>0.71958578978978982</v>
      </c>
      <c r="J272" s="63"/>
      <c r="K272" s="63"/>
      <c r="L272" s="63"/>
      <c r="M272" s="63"/>
    </row>
    <row r="273" spans="1:14" ht="11.25">
      <c r="A273" s="9">
        <f t="shared" si="15"/>
        <v>243</v>
      </c>
      <c r="B273" s="61" t="s">
        <v>161</v>
      </c>
      <c r="C273" s="107">
        <f t="shared" si="19"/>
        <v>7.085</v>
      </c>
      <c r="D273" s="67">
        <f>11.4-0.5</f>
        <v>10.9</v>
      </c>
      <c r="E273" s="66">
        <f t="shared" si="16"/>
        <v>11.87208978978979</v>
      </c>
      <c r="F273" s="60">
        <v>11.4</v>
      </c>
      <c r="G273" s="60">
        <v>10.019</v>
      </c>
      <c r="H273" s="76">
        <v>0.25250400000000001</v>
      </c>
      <c r="I273" s="76">
        <v>0.71958578978978982</v>
      </c>
      <c r="J273" s="78"/>
      <c r="K273" s="78"/>
      <c r="L273" s="78"/>
      <c r="M273" s="78"/>
    </row>
    <row r="274" spans="1:14" ht="11.25">
      <c r="A274" s="9">
        <f t="shared" si="15"/>
        <v>244</v>
      </c>
      <c r="B274" s="61" t="s">
        <v>162</v>
      </c>
      <c r="C274" s="107">
        <f t="shared" si="19"/>
        <v>7.41</v>
      </c>
      <c r="D274" s="67">
        <v>11.4</v>
      </c>
      <c r="E274" s="66">
        <f t="shared" si="16"/>
        <v>12.37208978978979</v>
      </c>
      <c r="F274" s="60"/>
      <c r="G274" s="60">
        <v>10.854000000000001</v>
      </c>
      <c r="H274" s="76">
        <v>0.25250400000000001</v>
      </c>
      <c r="I274" s="76">
        <v>0.71958578978978982</v>
      </c>
      <c r="J274" s="78"/>
      <c r="K274" s="78"/>
      <c r="L274" s="78"/>
      <c r="M274" s="78"/>
    </row>
    <row r="275" spans="1:14" ht="11.25">
      <c r="A275" s="9">
        <f t="shared" si="15"/>
        <v>245</v>
      </c>
      <c r="B275" s="61" t="s">
        <v>193</v>
      </c>
      <c r="C275" s="107">
        <f t="shared" si="19"/>
        <v>5.5575000000000001</v>
      </c>
      <c r="D275" s="67">
        <v>8.5500000000000007</v>
      </c>
      <c r="E275" s="66">
        <f t="shared" si="16"/>
        <v>9.5220897897897903</v>
      </c>
      <c r="F275" s="60"/>
      <c r="G275" s="60">
        <v>9.5</v>
      </c>
      <c r="H275" s="76">
        <v>0.25250400000000001</v>
      </c>
      <c r="I275" s="76">
        <v>0.71958578978978982</v>
      </c>
      <c r="J275" s="78"/>
      <c r="K275" s="78"/>
      <c r="L275" s="78"/>
      <c r="M275" s="78"/>
    </row>
    <row r="276" spans="1:14" ht="11.25">
      <c r="A276" s="9">
        <f t="shared" si="15"/>
        <v>246</v>
      </c>
      <c r="B276" s="61" t="s">
        <v>195</v>
      </c>
      <c r="C276" s="107">
        <f t="shared" si="19"/>
        <v>5.5575000000000001</v>
      </c>
      <c r="D276" s="67">
        <v>8.5500000000000007</v>
      </c>
      <c r="E276" s="66">
        <f t="shared" si="16"/>
        <v>9.5220897897897903</v>
      </c>
      <c r="F276" s="60"/>
      <c r="G276" s="60"/>
      <c r="H276" s="76">
        <v>0.25250400000000001</v>
      </c>
      <c r="I276" s="76">
        <v>0.71958578978978982</v>
      </c>
      <c r="J276" s="78"/>
      <c r="K276" s="78"/>
      <c r="L276" s="78"/>
      <c r="M276" s="78"/>
      <c r="N276" s="1">
        <v>9</v>
      </c>
    </row>
    <row r="277" spans="1:14" ht="11.25">
      <c r="A277" s="9">
        <f>A275+1</f>
        <v>246</v>
      </c>
      <c r="B277" s="11" t="s">
        <v>375</v>
      </c>
      <c r="C277" s="107">
        <f t="shared" si="19"/>
        <v>1.625</v>
      </c>
      <c r="D277" s="40">
        <v>2.5</v>
      </c>
      <c r="E277" s="66">
        <f>SUM(H277:I277)+D277</f>
        <v>3.4720897897897895</v>
      </c>
      <c r="F277" s="10"/>
      <c r="G277" s="10"/>
      <c r="H277" s="76">
        <v>0.25250400000000001</v>
      </c>
      <c r="I277" s="76">
        <v>0.71958578978978982</v>
      </c>
      <c r="J277" s="63"/>
      <c r="K277" s="63"/>
      <c r="L277" s="63"/>
      <c r="M277" s="63"/>
    </row>
    <row r="278" spans="1:14" ht="11.25">
      <c r="A278" s="9">
        <f>A276+1</f>
        <v>247</v>
      </c>
      <c r="B278" s="11" t="s">
        <v>196</v>
      </c>
      <c r="C278" s="107">
        <f t="shared" si="19"/>
        <v>6.8095238095238093</v>
      </c>
      <c r="D278" s="40">
        <f>11/1.05</f>
        <v>10.476190476190476</v>
      </c>
      <c r="E278" s="66">
        <f t="shared" si="16"/>
        <v>11.448280265980266</v>
      </c>
      <c r="F278" s="10"/>
      <c r="G278" s="10"/>
      <c r="H278" s="76">
        <v>0.25250400000000001</v>
      </c>
      <c r="I278" s="76">
        <v>0.71958578978978982</v>
      </c>
      <c r="J278" s="63"/>
      <c r="K278" s="63"/>
      <c r="L278" s="63"/>
      <c r="M278" s="63"/>
    </row>
    <row r="279" spans="1:14" ht="11.25">
      <c r="A279" s="9">
        <f t="shared" si="15"/>
        <v>248</v>
      </c>
      <c r="B279" s="11" t="s">
        <v>330</v>
      </c>
      <c r="C279" s="107">
        <f t="shared" si="19"/>
        <v>1.625</v>
      </c>
      <c r="D279" s="40">
        <v>2.5</v>
      </c>
      <c r="E279" s="66">
        <f t="shared" si="16"/>
        <v>3.4720897897897895</v>
      </c>
      <c r="F279" s="10"/>
      <c r="G279" s="10"/>
      <c r="H279" s="76">
        <v>0.25250400000000001</v>
      </c>
      <c r="I279" s="76">
        <v>0.71958578978978982</v>
      </c>
      <c r="J279" s="63"/>
      <c r="K279" s="63"/>
      <c r="L279" s="63"/>
      <c r="M279" s="63"/>
    </row>
    <row r="280" spans="1:14" ht="11.25">
      <c r="A280" s="9">
        <f t="shared" si="15"/>
        <v>249</v>
      </c>
      <c r="B280" s="61" t="s">
        <v>197</v>
      </c>
      <c r="C280" s="107">
        <f t="shared" si="19"/>
        <v>8.32</v>
      </c>
      <c r="D280" s="67">
        <v>12.8</v>
      </c>
      <c r="E280" s="66">
        <f t="shared" si="16"/>
        <v>13.77208978978979</v>
      </c>
      <c r="F280" s="60"/>
      <c r="G280" s="60"/>
      <c r="H280" s="76">
        <v>0.25250400000000001</v>
      </c>
      <c r="I280" s="76">
        <v>0.71958578978978982</v>
      </c>
      <c r="J280" s="78"/>
      <c r="K280" s="78"/>
      <c r="L280" s="78"/>
      <c r="M280" s="78"/>
    </row>
    <row r="281" spans="1:14" ht="11.25">
      <c r="A281" s="9">
        <f t="shared" si="15"/>
        <v>250</v>
      </c>
      <c r="B281" s="61" t="s">
        <v>249</v>
      </c>
      <c r="C281" s="107">
        <v>7.71875</v>
      </c>
      <c r="D281" s="67">
        <v>11.875</v>
      </c>
      <c r="E281" s="66">
        <f t="shared" ref="E281:E368" si="20">SUM(H281:I281)+D281</f>
        <v>12.84708978978979</v>
      </c>
      <c r="F281" s="60"/>
      <c r="G281" s="60">
        <v>11.75</v>
      </c>
      <c r="H281" s="76">
        <v>0.25250400000000001</v>
      </c>
      <c r="I281" s="76">
        <v>0.71958578978978982</v>
      </c>
      <c r="J281" s="78"/>
      <c r="K281" s="78"/>
      <c r="L281" s="78"/>
      <c r="M281" s="78"/>
    </row>
    <row r="282" spans="1:14" ht="11.25">
      <c r="A282" s="9">
        <f t="shared" si="15"/>
        <v>251</v>
      </c>
      <c r="B282" s="11" t="s">
        <v>329</v>
      </c>
      <c r="C282" s="107">
        <f t="shared" si="19"/>
        <v>1.625</v>
      </c>
      <c r="D282" s="40">
        <v>2.5</v>
      </c>
      <c r="E282" s="66">
        <f t="shared" si="20"/>
        <v>3.4720897897897895</v>
      </c>
      <c r="F282" s="10"/>
      <c r="G282" s="10"/>
      <c r="H282" s="76">
        <v>0.25250400000000001</v>
      </c>
      <c r="I282" s="76">
        <v>0.71958578978978982</v>
      </c>
      <c r="J282" s="63"/>
      <c r="K282" s="63"/>
      <c r="L282" s="63"/>
      <c r="M282" s="63"/>
    </row>
    <row r="283" spans="1:14" ht="11.25">
      <c r="A283" s="9">
        <f t="shared" si="15"/>
        <v>252</v>
      </c>
      <c r="B283" s="11" t="s">
        <v>198</v>
      </c>
      <c r="C283" s="107">
        <f t="shared" si="19"/>
        <v>6.8095238095238093</v>
      </c>
      <c r="D283" s="40">
        <f>11/1.05</f>
        <v>10.476190476190476</v>
      </c>
      <c r="E283" s="66">
        <f t="shared" si="20"/>
        <v>11.448280265980266</v>
      </c>
      <c r="F283" s="10"/>
      <c r="G283" s="10"/>
      <c r="H283" s="76">
        <v>0.25250400000000001</v>
      </c>
      <c r="I283" s="76">
        <v>0.71958578978978982</v>
      </c>
      <c r="J283" s="63"/>
      <c r="K283" s="63"/>
      <c r="L283" s="63"/>
      <c r="M283" s="63"/>
    </row>
    <row r="284" spans="1:14" ht="11.25">
      <c r="A284" s="9">
        <f t="shared" si="15"/>
        <v>253</v>
      </c>
      <c r="B284" s="11" t="s">
        <v>417</v>
      </c>
      <c r="C284" s="107">
        <f t="shared" si="19"/>
        <v>6.8095238095238093</v>
      </c>
      <c r="D284" s="40">
        <f>11/1.05</f>
        <v>10.476190476190476</v>
      </c>
      <c r="E284" s="66">
        <f>SUM(H284:I284)+D284</f>
        <v>11.448280265980266</v>
      </c>
      <c r="F284" s="10"/>
      <c r="G284" s="10"/>
      <c r="H284" s="76">
        <v>0.25250400000000001</v>
      </c>
      <c r="I284" s="76">
        <v>0.71958578978978982</v>
      </c>
      <c r="J284" s="63"/>
      <c r="K284" s="63"/>
      <c r="L284" s="63"/>
      <c r="M284" s="63"/>
    </row>
    <row r="285" spans="1:14" ht="11.25">
      <c r="A285" s="9">
        <f t="shared" si="15"/>
        <v>254</v>
      </c>
      <c r="B285" s="61" t="s">
        <v>201</v>
      </c>
      <c r="C285" s="107">
        <f t="shared" si="19"/>
        <v>8.0274999999999999</v>
      </c>
      <c r="D285" s="67">
        <v>12.35</v>
      </c>
      <c r="E285" s="66">
        <f t="shared" si="20"/>
        <v>13.322089789789789</v>
      </c>
      <c r="F285" s="60"/>
      <c r="G285" s="60"/>
      <c r="H285" s="76">
        <v>0.25250400000000001</v>
      </c>
      <c r="I285" s="76">
        <v>0.71958578978978982</v>
      </c>
      <c r="J285" s="78"/>
      <c r="K285" s="78"/>
      <c r="L285" s="78"/>
      <c r="M285" s="78"/>
    </row>
    <row r="286" spans="1:14" ht="11.25">
      <c r="A286" s="9">
        <f t="shared" si="15"/>
        <v>255</v>
      </c>
      <c r="B286" s="61" t="s">
        <v>202</v>
      </c>
      <c r="C286" s="107">
        <f t="shared" si="19"/>
        <v>8.0274999999999999</v>
      </c>
      <c r="D286" s="67">
        <v>12.35</v>
      </c>
      <c r="E286" s="66">
        <f t="shared" si="20"/>
        <v>13.322089789789789</v>
      </c>
      <c r="F286" s="60"/>
      <c r="G286" s="60"/>
      <c r="H286" s="76">
        <v>0.25250400000000001</v>
      </c>
      <c r="I286" s="76">
        <v>0.71958578978978982</v>
      </c>
      <c r="J286" s="78"/>
      <c r="K286" s="78"/>
      <c r="L286" s="78"/>
      <c r="M286" s="78"/>
    </row>
    <row r="287" spans="1:14" ht="11.25">
      <c r="A287" s="9">
        <f t="shared" si="15"/>
        <v>256</v>
      </c>
      <c r="B287" s="11" t="s">
        <v>313</v>
      </c>
      <c r="C287" s="107">
        <f t="shared" si="19"/>
        <v>8.9420500000000001</v>
      </c>
      <c r="D287" s="40">
        <v>13.757</v>
      </c>
      <c r="E287" s="66">
        <f t="shared" si="20"/>
        <v>14.729089789789789</v>
      </c>
      <c r="F287" s="10"/>
      <c r="G287" s="10"/>
      <c r="H287" s="76">
        <v>0.25250400000000001</v>
      </c>
      <c r="I287" s="76">
        <v>0.71958578978978982</v>
      </c>
      <c r="J287" s="63"/>
      <c r="K287" s="63"/>
      <c r="L287" s="63"/>
      <c r="M287" s="63"/>
      <c r="N287" s="1">
        <v>24</v>
      </c>
    </row>
    <row r="288" spans="1:14" ht="11.25">
      <c r="A288" s="9">
        <f t="shared" si="15"/>
        <v>257</v>
      </c>
      <c r="B288" s="11" t="s">
        <v>312</v>
      </c>
      <c r="C288" s="107">
        <f t="shared" si="19"/>
        <v>10.3233</v>
      </c>
      <c r="D288" s="40">
        <v>15.882</v>
      </c>
      <c r="E288" s="66">
        <f t="shared" si="20"/>
        <v>16.854089789789789</v>
      </c>
      <c r="F288" s="10"/>
      <c r="G288" s="10"/>
      <c r="H288" s="76">
        <v>0.25250400000000001</v>
      </c>
      <c r="I288" s="76">
        <v>0.71958578978978982</v>
      </c>
      <c r="J288" s="63"/>
      <c r="K288" s="63"/>
      <c r="L288" s="63"/>
      <c r="M288" s="63"/>
      <c r="N288" s="1">
        <v>24</v>
      </c>
    </row>
    <row r="289" spans="1:14" ht="11.25">
      <c r="A289" s="9">
        <f t="shared" si="15"/>
        <v>258</v>
      </c>
      <c r="B289" s="11" t="s">
        <v>412</v>
      </c>
      <c r="C289" s="107">
        <f t="shared" si="19"/>
        <v>17.04365</v>
      </c>
      <c r="D289" s="40">
        <v>26.221</v>
      </c>
      <c r="E289" s="66">
        <f t="shared" si="20"/>
        <v>27.193089789789791</v>
      </c>
      <c r="F289" s="10"/>
      <c r="G289" s="10"/>
      <c r="H289" s="76">
        <v>0.25250400000000001</v>
      </c>
      <c r="I289" s="76">
        <v>0.71958578978978982</v>
      </c>
      <c r="J289" s="63"/>
      <c r="K289" s="63"/>
      <c r="L289" s="63"/>
      <c r="M289" s="63"/>
      <c r="N289" s="1">
        <v>24</v>
      </c>
    </row>
    <row r="290" spans="1:14" ht="11.25">
      <c r="A290" s="9">
        <f>A289+1</f>
        <v>259</v>
      </c>
      <c r="B290" s="11" t="s">
        <v>220</v>
      </c>
      <c r="C290" s="107">
        <f t="shared" si="19"/>
        <v>15.6</v>
      </c>
      <c r="D290" s="40">
        <v>24</v>
      </c>
      <c r="E290" s="66">
        <f>SUM(H290:I290)+D290</f>
        <v>24.972089789789791</v>
      </c>
      <c r="F290" s="10"/>
      <c r="G290" s="10">
        <v>23.623999999999999</v>
      </c>
      <c r="H290" s="76">
        <v>0.25250400000000001</v>
      </c>
      <c r="I290" s="76">
        <v>0.71958578978978982</v>
      </c>
      <c r="J290" s="63"/>
      <c r="K290" s="63"/>
      <c r="L290" s="63"/>
      <c r="M290" s="63"/>
      <c r="N290" s="1">
        <v>24</v>
      </c>
    </row>
    <row r="291" spans="1:14" ht="11.25">
      <c r="A291" s="9">
        <f>A288+1</f>
        <v>258</v>
      </c>
      <c r="B291" s="11" t="s">
        <v>410</v>
      </c>
      <c r="C291" s="107">
        <f t="shared" si="19"/>
        <v>11.05</v>
      </c>
      <c r="D291" s="40">
        <v>17</v>
      </c>
      <c r="E291" s="66">
        <f t="shared" si="20"/>
        <v>17.972089789789791</v>
      </c>
      <c r="F291" s="10"/>
      <c r="G291" s="10">
        <v>23.623999999999999</v>
      </c>
      <c r="H291" s="76">
        <v>0.25250400000000001</v>
      </c>
      <c r="I291" s="76">
        <v>0.71958578978978982</v>
      </c>
      <c r="J291" s="63"/>
      <c r="K291" s="63"/>
      <c r="L291" s="63"/>
      <c r="M291" s="63"/>
      <c r="N291" s="1">
        <v>24</v>
      </c>
    </row>
    <row r="292" spans="1:14" ht="11.25">
      <c r="A292" s="9">
        <f>A288+1</f>
        <v>258</v>
      </c>
      <c r="B292" s="33" t="s">
        <v>337</v>
      </c>
      <c r="C292" s="107">
        <f t="shared" si="19"/>
        <v>1.625</v>
      </c>
      <c r="D292" s="59">
        <v>2.5</v>
      </c>
      <c r="E292" s="66">
        <f t="shared" si="20"/>
        <v>3.4720897897897895</v>
      </c>
      <c r="F292" s="10"/>
      <c r="G292" s="10"/>
      <c r="H292" s="76">
        <v>0.25250400000000001</v>
      </c>
      <c r="I292" s="76">
        <v>0.71958578978978982</v>
      </c>
      <c r="J292" s="63"/>
      <c r="K292" s="63"/>
      <c r="L292" s="63"/>
      <c r="M292" s="63"/>
    </row>
    <row r="293" spans="1:14" ht="11.25">
      <c r="A293" s="9">
        <f>A291+1</f>
        <v>259</v>
      </c>
      <c r="B293" s="33" t="s">
        <v>345</v>
      </c>
      <c r="C293" s="107">
        <f t="shared" si="19"/>
        <v>2.6</v>
      </c>
      <c r="D293" s="59">
        <v>4</v>
      </c>
      <c r="E293" s="66">
        <f t="shared" si="20"/>
        <v>4.9720897897897895</v>
      </c>
      <c r="F293" s="10"/>
      <c r="G293" s="10"/>
      <c r="H293" s="76">
        <v>0.25250400000000001</v>
      </c>
      <c r="I293" s="76">
        <v>0.71958578978978982</v>
      </c>
      <c r="J293" s="63"/>
      <c r="K293" s="63"/>
      <c r="L293" s="63"/>
      <c r="M293" s="63"/>
    </row>
    <row r="294" spans="1:14" ht="11.25">
      <c r="A294" s="9">
        <f t="shared" ref="A294:A384" si="21">A293+1</f>
        <v>260</v>
      </c>
      <c r="B294" s="11" t="s">
        <v>328</v>
      </c>
      <c r="C294" s="107">
        <f t="shared" si="19"/>
        <v>1.625</v>
      </c>
      <c r="D294" s="40">
        <v>2.5</v>
      </c>
      <c r="E294" s="66">
        <f t="shared" si="20"/>
        <v>3.4720897897897895</v>
      </c>
      <c r="F294" s="10"/>
      <c r="G294" s="10"/>
      <c r="H294" s="76">
        <v>0.25250400000000001</v>
      </c>
      <c r="I294" s="76">
        <v>0.71958578978978982</v>
      </c>
      <c r="J294" s="63"/>
      <c r="K294" s="63"/>
      <c r="L294" s="63"/>
      <c r="M294" s="63"/>
    </row>
    <row r="295" spans="1:14" ht="11.25">
      <c r="A295" s="9">
        <f t="shared" si="21"/>
        <v>261</v>
      </c>
      <c r="B295" s="11" t="s">
        <v>236</v>
      </c>
      <c r="C295" s="107">
        <f t="shared" si="19"/>
        <v>7.1190476190476195</v>
      </c>
      <c r="D295" s="40">
        <f>11.5/1.05</f>
        <v>10.952380952380953</v>
      </c>
      <c r="E295" s="66">
        <f t="shared" si="20"/>
        <v>11.924470742170742</v>
      </c>
      <c r="F295" s="10"/>
      <c r="G295" s="10"/>
      <c r="H295" s="76">
        <v>0.25250400000000001</v>
      </c>
      <c r="I295" s="76">
        <v>0.71958578978978982</v>
      </c>
      <c r="J295" s="63"/>
      <c r="K295" s="63"/>
      <c r="L295" s="63"/>
      <c r="M295" s="63"/>
    </row>
    <row r="296" spans="1:14" ht="11.25">
      <c r="A296" s="9">
        <f>A294+1</f>
        <v>261</v>
      </c>
      <c r="B296" s="11" t="s">
        <v>237</v>
      </c>
      <c r="C296" s="107">
        <f t="shared" si="19"/>
        <v>7.1190476190476195</v>
      </c>
      <c r="D296" s="40">
        <f>11.5/1.05</f>
        <v>10.952380952380953</v>
      </c>
      <c r="E296" s="66">
        <f t="shared" si="20"/>
        <v>11.924470742170742</v>
      </c>
      <c r="F296" s="10"/>
      <c r="G296" s="10">
        <v>10</v>
      </c>
      <c r="H296" s="76">
        <v>0.25250400000000001</v>
      </c>
      <c r="I296" s="76">
        <v>0.71958578978978982</v>
      </c>
      <c r="J296" s="63"/>
      <c r="K296" s="63"/>
      <c r="L296" s="63"/>
      <c r="M296" s="63"/>
    </row>
    <row r="297" spans="1:14" ht="11.25">
      <c r="A297" s="9">
        <f>A294+1</f>
        <v>261</v>
      </c>
      <c r="B297" s="11" t="s">
        <v>369</v>
      </c>
      <c r="C297" s="107">
        <f t="shared" si="19"/>
        <v>9.1</v>
      </c>
      <c r="D297" s="40">
        <v>14</v>
      </c>
      <c r="E297" s="66">
        <f>SUM(H297:I297)+D297</f>
        <v>14.97208978978979</v>
      </c>
      <c r="F297" s="10"/>
      <c r="G297" s="10">
        <v>10</v>
      </c>
      <c r="H297" s="76">
        <v>0.25250400000000001</v>
      </c>
      <c r="I297" s="76">
        <v>0.71958578978978982</v>
      </c>
      <c r="J297" s="63"/>
      <c r="K297" s="63"/>
      <c r="L297" s="63"/>
      <c r="M297" s="63"/>
    </row>
    <row r="298" spans="1:14" ht="11.25">
      <c r="A298" s="9">
        <f>A295+1</f>
        <v>262</v>
      </c>
      <c r="B298" s="11" t="s">
        <v>344</v>
      </c>
      <c r="C298" s="107">
        <f t="shared" si="19"/>
        <v>6.8250000000000002</v>
      </c>
      <c r="D298" s="40">
        <v>10.5</v>
      </c>
      <c r="E298" s="66">
        <f t="shared" si="20"/>
        <v>11.47208978978979</v>
      </c>
      <c r="F298" s="10"/>
      <c r="G298" s="10">
        <v>10</v>
      </c>
      <c r="H298" s="76">
        <v>0.25250400000000001</v>
      </c>
      <c r="I298" s="76">
        <v>0.71958578978978982</v>
      </c>
      <c r="J298" s="63"/>
      <c r="K298" s="63"/>
      <c r="L298" s="63"/>
      <c r="M298" s="63"/>
    </row>
    <row r="299" spans="1:14" ht="11.25">
      <c r="A299" s="9">
        <f>A296+1</f>
        <v>262</v>
      </c>
      <c r="B299" s="11" t="s">
        <v>347</v>
      </c>
      <c r="C299" s="107">
        <f t="shared" si="19"/>
        <v>5.9357999999999995</v>
      </c>
      <c r="D299" s="40">
        <v>9.1319999999999997</v>
      </c>
      <c r="E299" s="66">
        <f t="shared" si="20"/>
        <v>10.104089789789789</v>
      </c>
      <c r="F299" s="10"/>
      <c r="G299" s="10"/>
      <c r="H299" s="76">
        <v>0.25250400000000001</v>
      </c>
      <c r="I299" s="76">
        <v>0.71958578978978982</v>
      </c>
      <c r="J299" s="63"/>
      <c r="K299" s="63"/>
      <c r="L299" s="63"/>
      <c r="M299" s="63"/>
    </row>
    <row r="300" spans="1:14" ht="11.25">
      <c r="A300" s="9">
        <f>A298+1</f>
        <v>263</v>
      </c>
      <c r="B300" s="11" t="s">
        <v>332</v>
      </c>
      <c r="C300" s="107">
        <f t="shared" si="19"/>
        <v>6.4863499999999998</v>
      </c>
      <c r="D300" s="40">
        <v>9.9789999999999992</v>
      </c>
      <c r="E300" s="66">
        <f t="shared" si="20"/>
        <v>10.951089789789789</v>
      </c>
      <c r="F300" s="10"/>
      <c r="G300" s="10"/>
      <c r="H300" s="76">
        <v>0.25250400000000001</v>
      </c>
      <c r="I300" s="76">
        <v>0.71958578978978982</v>
      </c>
      <c r="J300" s="63"/>
      <c r="K300" s="63"/>
      <c r="L300" s="63"/>
      <c r="M300" s="63"/>
    </row>
    <row r="301" spans="1:14" ht="11.25">
      <c r="A301" s="9">
        <f t="shared" si="21"/>
        <v>264</v>
      </c>
      <c r="B301" s="11" t="s">
        <v>244</v>
      </c>
      <c r="C301" s="107">
        <f t="shared" si="19"/>
        <v>6.5</v>
      </c>
      <c r="D301" s="40">
        <v>10</v>
      </c>
      <c r="E301" s="66">
        <f t="shared" si="20"/>
        <v>10.97208978978979</v>
      </c>
      <c r="F301" s="10"/>
      <c r="G301" s="10"/>
      <c r="H301" s="76">
        <v>0.25250400000000001</v>
      </c>
      <c r="I301" s="76">
        <v>0.71958578978978982</v>
      </c>
      <c r="J301" s="63"/>
      <c r="K301" s="63"/>
      <c r="L301" s="63"/>
      <c r="M301" s="63"/>
    </row>
    <row r="302" spans="1:14" ht="11.25">
      <c r="A302" s="9">
        <f t="shared" si="21"/>
        <v>265</v>
      </c>
      <c r="B302" s="11" t="s">
        <v>326</v>
      </c>
      <c r="C302" s="107">
        <f t="shared" si="19"/>
        <v>1.625</v>
      </c>
      <c r="D302" s="40">
        <v>2.5</v>
      </c>
      <c r="E302" s="66">
        <f t="shared" si="20"/>
        <v>3.4720897897897895</v>
      </c>
      <c r="F302" s="10"/>
      <c r="G302" s="10"/>
      <c r="H302" s="76">
        <v>0.25250400000000001</v>
      </c>
      <c r="I302" s="76">
        <v>0.71958578978978982</v>
      </c>
      <c r="J302" s="63"/>
      <c r="K302" s="63"/>
      <c r="L302" s="63"/>
      <c r="M302" s="63"/>
    </row>
    <row r="303" spans="1:14" ht="11.25">
      <c r="A303" s="9">
        <f t="shared" si="21"/>
        <v>266</v>
      </c>
      <c r="B303" s="61" t="s">
        <v>245</v>
      </c>
      <c r="C303" s="107">
        <f t="shared" si="19"/>
        <v>10.5625</v>
      </c>
      <c r="D303" s="67">
        <v>16.25</v>
      </c>
      <c r="E303" s="66">
        <f t="shared" si="20"/>
        <v>17.222089789789791</v>
      </c>
      <c r="F303" s="60"/>
      <c r="G303" s="60"/>
      <c r="H303" s="76">
        <v>0.25250400000000001</v>
      </c>
      <c r="I303" s="76">
        <v>0.71958578978978982</v>
      </c>
      <c r="J303" s="78"/>
      <c r="K303" s="78"/>
      <c r="L303" s="78"/>
      <c r="M303" s="78"/>
    </row>
    <row r="304" spans="1:14" ht="11.25">
      <c r="A304" s="9">
        <f t="shared" si="21"/>
        <v>267</v>
      </c>
      <c r="B304" s="11">
        <v>108828</v>
      </c>
      <c r="C304" s="107">
        <f t="shared" si="19"/>
        <v>18.571428571428569</v>
      </c>
      <c r="D304" s="40">
        <f>30/1.05</f>
        <v>28.571428571428569</v>
      </c>
      <c r="E304" s="66">
        <f t="shared" si="20"/>
        <v>29.543518361218361</v>
      </c>
      <c r="F304" s="10"/>
      <c r="G304" s="10">
        <v>25</v>
      </c>
      <c r="H304" s="76">
        <v>0.25250400000000001</v>
      </c>
      <c r="I304" s="76">
        <v>0.71958578978978982</v>
      </c>
      <c r="J304" s="63"/>
      <c r="K304" s="63"/>
      <c r="L304" s="63"/>
      <c r="M304" s="63"/>
    </row>
    <row r="305" spans="1:13" ht="11.25">
      <c r="A305" s="9">
        <f t="shared" si="21"/>
        <v>268</v>
      </c>
      <c r="B305" s="11" t="s">
        <v>291</v>
      </c>
      <c r="C305" s="107">
        <f t="shared" si="19"/>
        <v>18.571428571428569</v>
      </c>
      <c r="D305" s="40">
        <f>30/1.05</f>
        <v>28.571428571428569</v>
      </c>
      <c r="E305" s="66">
        <f t="shared" si="20"/>
        <v>29.543518361218361</v>
      </c>
      <c r="F305" s="10"/>
      <c r="G305" s="10">
        <v>25</v>
      </c>
      <c r="H305" s="76">
        <v>0.25250400000000001</v>
      </c>
      <c r="I305" s="76">
        <v>0.71958578978978982</v>
      </c>
      <c r="J305" s="63"/>
      <c r="K305" s="63"/>
      <c r="L305" s="63"/>
      <c r="M305" s="63"/>
    </row>
    <row r="306" spans="1:13" ht="11.25">
      <c r="A306" s="9">
        <f t="shared" si="21"/>
        <v>269</v>
      </c>
      <c r="B306" s="11" t="s">
        <v>169</v>
      </c>
      <c r="C306" s="107">
        <f t="shared" si="19"/>
        <v>6.8095238095238093</v>
      </c>
      <c r="D306" s="40">
        <f>11/1.05</f>
        <v>10.476190476190476</v>
      </c>
      <c r="E306" s="66">
        <f t="shared" si="20"/>
        <v>11.448280265980266</v>
      </c>
      <c r="F306" s="10"/>
      <c r="G306" s="10"/>
      <c r="H306" s="76">
        <v>0.25250400000000001</v>
      </c>
      <c r="I306" s="76">
        <v>0.71958578978978982</v>
      </c>
      <c r="J306" s="63"/>
      <c r="K306" s="63"/>
      <c r="L306" s="63"/>
      <c r="M306" s="63"/>
    </row>
    <row r="307" spans="1:13" ht="11.25">
      <c r="A307" s="9">
        <f t="shared" si="21"/>
        <v>270</v>
      </c>
      <c r="B307" s="11" t="s">
        <v>308</v>
      </c>
      <c r="C307" s="107">
        <f t="shared" si="19"/>
        <v>0.31655</v>
      </c>
      <c r="D307" s="40">
        <v>0.48699999999999999</v>
      </c>
      <c r="E307" s="66">
        <f t="shared" si="20"/>
        <v>1.4590897897897896</v>
      </c>
      <c r="F307" s="10"/>
      <c r="G307" s="10"/>
      <c r="H307" s="76">
        <v>0.25250400000000001</v>
      </c>
      <c r="I307" s="76">
        <v>0.71958578978978982</v>
      </c>
      <c r="J307" s="63"/>
      <c r="K307" s="63"/>
      <c r="L307" s="63"/>
      <c r="M307" s="63"/>
    </row>
    <row r="308" spans="1:13" ht="11.25">
      <c r="A308" s="9">
        <f t="shared" si="21"/>
        <v>271</v>
      </c>
      <c r="B308" s="104" t="s">
        <v>480</v>
      </c>
      <c r="C308" s="107">
        <f t="shared" si="19"/>
        <v>6.8095238095238093</v>
      </c>
      <c r="D308" s="40">
        <f>11/1.05</f>
        <v>10.476190476190476</v>
      </c>
      <c r="E308" s="66">
        <f>SUM(H308:I308)+D308</f>
        <v>11.448280265980266</v>
      </c>
      <c r="F308" s="10"/>
      <c r="G308" s="10"/>
      <c r="H308" s="76">
        <v>0.25250400000000001</v>
      </c>
      <c r="I308" s="76">
        <v>0.71958578978978982</v>
      </c>
      <c r="J308" s="63"/>
      <c r="K308" s="63"/>
      <c r="L308" s="63"/>
      <c r="M308" s="63"/>
    </row>
    <row r="309" spans="1:13" ht="11.25">
      <c r="A309" s="9">
        <f t="shared" si="21"/>
        <v>272</v>
      </c>
      <c r="B309" s="11" t="s">
        <v>287</v>
      </c>
      <c r="C309" s="107">
        <f t="shared" si="19"/>
        <v>1.0075000000000001</v>
      </c>
      <c r="D309" s="40">
        <v>1.55</v>
      </c>
      <c r="E309" s="66">
        <f t="shared" si="20"/>
        <v>2.5220897897897898</v>
      </c>
      <c r="F309" s="10"/>
      <c r="G309" s="10"/>
      <c r="H309" s="76">
        <v>0.25250400000000001</v>
      </c>
      <c r="I309" s="76">
        <v>0.71958578978978982</v>
      </c>
      <c r="J309" s="63"/>
      <c r="K309" s="63"/>
      <c r="L309" s="63"/>
      <c r="M309" s="63"/>
    </row>
    <row r="310" spans="1:13" ht="11.25">
      <c r="A310" s="9">
        <f t="shared" si="21"/>
        <v>273</v>
      </c>
      <c r="B310" s="11" t="s">
        <v>267</v>
      </c>
      <c r="C310" s="107">
        <f t="shared" si="19"/>
        <v>11.05</v>
      </c>
      <c r="D310" s="40">
        <v>17</v>
      </c>
      <c r="E310" s="66">
        <f t="shared" si="20"/>
        <v>17.972089789789791</v>
      </c>
      <c r="F310" s="10"/>
      <c r="G310" s="10">
        <v>21</v>
      </c>
      <c r="H310" s="76">
        <v>0.25250400000000001</v>
      </c>
      <c r="I310" s="76">
        <v>0.71958578978978982</v>
      </c>
      <c r="J310" s="63"/>
      <c r="K310" s="63"/>
      <c r="L310" s="63"/>
      <c r="M310" s="63"/>
    </row>
    <row r="311" spans="1:13" ht="11.25">
      <c r="A311" s="9">
        <f t="shared" si="21"/>
        <v>274</v>
      </c>
      <c r="B311" s="11" t="s">
        <v>269</v>
      </c>
      <c r="C311" s="107">
        <f t="shared" si="19"/>
        <v>14.3</v>
      </c>
      <c r="D311" s="40">
        <v>22</v>
      </c>
      <c r="E311" s="66">
        <f t="shared" si="20"/>
        <v>22.972089789789791</v>
      </c>
      <c r="F311" s="10"/>
      <c r="G311" s="10"/>
      <c r="H311" s="76">
        <v>0.25250400000000001</v>
      </c>
      <c r="I311" s="76">
        <v>0.71958578978978982</v>
      </c>
      <c r="J311" s="63"/>
      <c r="K311" s="63"/>
      <c r="L311" s="63"/>
      <c r="M311" s="63"/>
    </row>
    <row r="312" spans="1:13" ht="11.25">
      <c r="A312" s="9">
        <f t="shared" si="21"/>
        <v>275</v>
      </c>
      <c r="B312" s="11" t="s">
        <v>461</v>
      </c>
      <c r="C312" s="107">
        <f t="shared" si="19"/>
        <v>13.324999999999999</v>
      </c>
      <c r="D312" s="40">
        <v>20.5</v>
      </c>
      <c r="E312" s="66"/>
      <c r="F312" s="10"/>
      <c r="G312" s="10"/>
      <c r="H312" s="76"/>
      <c r="I312" s="76"/>
      <c r="J312" s="63"/>
      <c r="K312" s="63"/>
      <c r="L312" s="63"/>
      <c r="M312" s="63"/>
    </row>
    <row r="313" spans="1:13" ht="11.25">
      <c r="A313" s="9">
        <f t="shared" si="21"/>
        <v>276</v>
      </c>
      <c r="B313" s="11" t="s">
        <v>437</v>
      </c>
      <c r="C313" s="107">
        <f t="shared" si="19"/>
        <v>14.3</v>
      </c>
      <c r="D313" s="40">
        <v>22</v>
      </c>
      <c r="E313" s="66">
        <f t="shared" si="20"/>
        <v>22</v>
      </c>
      <c r="F313" s="10"/>
      <c r="G313" s="10"/>
      <c r="H313" s="76"/>
      <c r="I313" s="76"/>
      <c r="J313" s="63"/>
      <c r="K313" s="63"/>
      <c r="L313" s="63"/>
      <c r="M313" s="63"/>
    </row>
    <row r="314" spans="1:13" ht="11.25">
      <c r="A314" s="9">
        <f t="shared" si="21"/>
        <v>277</v>
      </c>
      <c r="B314" s="11" t="s">
        <v>462</v>
      </c>
      <c r="C314" s="107">
        <f t="shared" si="19"/>
        <v>14.3</v>
      </c>
      <c r="D314" s="40">
        <v>22</v>
      </c>
      <c r="E314" s="66"/>
      <c r="F314" s="10"/>
      <c r="G314" s="10"/>
      <c r="H314" s="76"/>
      <c r="I314" s="76"/>
      <c r="J314" s="63"/>
      <c r="K314" s="63"/>
      <c r="L314" s="63"/>
      <c r="M314" s="63"/>
    </row>
    <row r="315" spans="1:13" ht="11.25">
      <c r="A315" s="9">
        <f t="shared" si="21"/>
        <v>278</v>
      </c>
      <c r="B315" s="11" t="s">
        <v>464</v>
      </c>
      <c r="C315" s="107">
        <f t="shared" si="19"/>
        <v>7.4285714285714288</v>
      </c>
      <c r="D315" s="40">
        <v>11.428571428571429</v>
      </c>
      <c r="E315" s="66"/>
      <c r="F315" s="10"/>
      <c r="G315" s="10"/>
      <c r="H315" s="76"/>
      <c r="I315" s="76"/>
      <c r="J315" s="63"/>
      <c r="K315" s="63"/>
      <c r="L315" s="63"/>
      <c r="M315" s="63"/>
    </row>
    <row r="316" spans="1:13" ht="11.25">
      <c r="A316" s="9">
        <f t="shared" si="21"/>
        <v>279</v>
      </c>
      <c r="B316" s="11" t="s">
        <v>263</v>
      </c>
      <c r="C316" s="107">
        <f t="shared" si="19"/>
        <v>7.1190476190476195</v>
      </c>
      <c r="D316" s="40">
        <f>11.5/1.05</f>
        <v>10.952380952380953</v>
      </c>
      <c r="E316" s="66">
        <f t="shared" si="20"/>
        <v>11.924470742170742</v>
      </c>
      <c r="F316" s="10"/>
      <c r="G316" s="10"/>
      <c r="H316" s="76">
        <v>0.25250400000000001</v>
      </c>
      <c r="I316" s="76">
        <v>0.71958578978978982</v>
      </c>
      <c r="J316" s="63"/>
      <c r="K316" s="63"/>
      <c r="L316" s="63"/>
      <c r="M316" s="63"/>
    </row>
    <row r="317" spans="1:13" ht="11.25">
      <c r="A317" s="9">
        <f t="shared" si="21"/>
        <v>280</v>
      </c>
      <c r="B317" s="11" t="s">
        <v>306</v>
      </c>
      <c r="C317" s="107">
        <f t="shared" si="19"/>
        <v>1.625</v>
      </c>
      <c r="D317" s="40">
        <v>2.5</v>
      </c>
      <c r="E317" s="66">
        <f t="shared" si="20"/>
        <v>3.4720897897897895</v>
      </c>
      <c r="F317" s="10"/>
      <c r="G317" s="10"/>
      <c r="H317" s="76">
        <v>0.25250400000000001</v>
      </c>
      <c r="I317" s="76">
        <v>0.71958578978978982</v>
      </c>
      <c r="J317" s="63"/>
      <c r="K317" s="63"/>
      <c r="L317" s="63"/>
      <c r="M317" s="63"/>
    </row>
    <row r="318" spans="1:13" ht="11.25">
      <c r="A318" s="9">
        <f t="shared" si="21"/>
        <v>281</v>
      </c>
      <c r="B318" s="11" t="s">
        <v>457</v>
      </c>
      <c r="C318" s="107">
        <f t="shared" si="19"/>
        <v>16.25</v>
      </c>
      <c r="D318" s="40">
        <v>25</v>
      </c>
      <c r="E318" s="66">
        <f>SUM(H318:I318)+D318</f>
        <v>25.972089789789791</v>
      </c>
      <c r="F318" s="10"/>
      <c r="G318" s="10"/>
      <c r="H318" s="76">
        <v>0.25250400000000001</v>
      </c>
      <c r="I318" s="76">
        <v>0.71958578978978982</v>
      </c>
      <c r="J318" s="63"/>
      <c r="K318" s="63"/>
      <c r="L318" s="63"/>
      <c r="M318" s="63"/>
    </row>
    <row r="319" spans="1:13" ht="11.25">
      <c r="A319" s="9">
        <f t="shared" si="21"/>
        <v>282</v>
      </c>
      <c r="B319" s="11" t="s">
        <v>270</v>
      </c>
      <c r="C319" s="107">
        <f t="shared" si="19"/>
        <v>11.05</v>
      </c>
      <c r="D319" s="40">
        <v>17</v>
      </c>
      <c r="E319" s="66">
        <f>SUM(H319:I319)+D319</f>
        <v>17.972089789789791</v>
      </c>
      <c r="F319" s="10">
        <v>17.597000000000001</v>
      </c>
      <c r="G319" s="10"/>
      <c r="H319" s="76">
        <v>0.25250400000000001</v>
      </c>
      <c r="I319" s="76">
        <v>0.71958578978978982</v>
      </c>
      <c r="J319" s="63"/>
      <c r="K319" s="63"/>
      <c r="L319" s="63"/>
      <c r="M319" s="63"/>
    </row>
    <row r="320" spans="1:13" ht="11.25">
      <c r="A320" s="9">
        <f t="shared" si="21"/>
        <v>283</v>
      </c>
      <c r="B320" s="11" t="s">
        <v>458</v>
      </c>
      <c r="C320" s="107">
        <f t="shared" si="19"/>
        <v>11.05</v>
      </c>
      <c r="D320" s="40">
        <v>17</v>
      </c>
      <c r="E320" s="66"/>
      <c r="F320" s="10"/>
      <c r="G320" s="10"/>
      <c r="H320" s="76"/>
      <c r="I320" s="76"/>
      <c r="J320" s="63"/>
      <c r="K320" s="63"/>
      <c r="L320" s="63"/>
      <c r="M320" s="63"/>
    </row>
    <row r="321" spans="1:13" ht="11.25">
      <c r="A321" s="9">
        <f t="shared" si="21"/>
        <v>284</v>
      </c>
      <c r="B321" s="11" t="s">
        <v>264</v>
      </c>
      <c r="C321" s="107">
        <f t="shared" si="19"/>
        <v>6.5</v>
      </c>
      <c r="D321" s="40">
        <v>10</v>
      </c>
      <c r="E321" s="66">
        <f t="shared" si="20"/>
        <v>10.97208978978979</v>
      </c>
      <c r="F321" s="10"/>
      <c r="G321" s="10"/>
      <c r="H321" s="76">
        <v>0.25250400000000001</v>
      </c>
      <c r="I321" s="76">
        <v>0.71958578978978982</v>
      </c>
      <c r="J321" s="63"/>
      <c r="K321" s="63"/>
      <c r="L321" s="63"/>
      <c r="M321" s="63"/>
    </row>
    <row r="322" spans="1:13" ht="11.25">
      <c r="A322" s="9">
        <f t="shared" si="21"/>
        <v>285</v>
      </c>
      <c r="B322" s="11" t="s">
        <v>170</v>
      </c>
      <c r="C322" s="107">
        <f t="shared" si="19"/>
        <v>6.8095238095238093</v>
      </c>
      <c r="D322" s="40">
        <f>11/1.05</f>
        <v>10.476190476190476</v>
      </c>
      <c r="E322" s="66">
        <f t="shared" si="20"/>
        <v>11.448280265980266</v>
      </c>
      <c r="F322" s="10"/>
      <c r="G322" s="10"/>
      <c r="H322" s="76">
        <v>0.25250400000000001</v>
      </c>
      <c r="I322" s="76">
        <v>0.71958578978978982</v>
      </c>
      <c r="J322" s="63"/>
      <c r="K322" s="63"/>
      <c r="L322" s="63"/>
      <c r="M322" s="63"/>
    </row>
    <row r="323" spans="1:13" ht="11.25">
      <c r="A323" s="9"/>
      <c r="B323" s="104" t="s">
        <v>482</v>
      </c>
      <c r="C323" s="107">
        <f t="shared" si="19"/>
        <v>6.8095238095238093</v>
      </c>
      <c r="D323" s="40">
        <f>11/1.05</f>
        <v>10.476190476190476</v>
      </c>
      <c r="E323" s="66"/>
      <c r="F323" s="10"/>
      <c r="G323" s="10"/>
      <c r="H323" s="76"/>
      <c r="I323" s="76"/>
      <c r="J323" s="63"/>
      <c r="K323" s="63"/>
      <c r="L323" s="63"/>
      <c r="M323" s="63"/>
    </row>
    <row r="324" spans="1:13" ht="11.25">
      <c r="A324" s="9">
        <f>A322+1</f>
        <v>286</v>
      </c>
      <c r="B324" s="11" t="s">
        <v>171</v>
      </c>
      <c r="C324" s="107">
        <f t="shared" si="19"/>
        <v>7.4285714285714288</v>
      </c>
      <c r="D324" s="40">
        <f>12/1.05</f>
        <v>11.428571428571429</v>
      </c>
      <c r="E324" s="66">
        <f>SUM(H324:I324)+D324</f>
        <v>11.428571428571429</v>
      </c>
      <c r="F324" s="10"/>
      <c r="G324" s="10"/>
      <c r="H324" s="76"/>
      <c r="I324" s="76"/>
      <c r="J324" s="63"/>
      <c r="K324" s="63"/>
      <c r="L324" s="63"/>
      <c r="M324" s="63"/>
    </row>
    <row r="325" spans="1:13" ht="11.25">
      <c r="A325" s="9">
        <f t="shared" si="21"/>
        <v>287</v>
      </c>
      <c r="B325" s="11" t="s">
        <v>436</v>
      </c>
      <c r="C325" s="107">
        <f t="shared" si="19"/>
        <v>8.0135714285714297</v>
      </c>
      <c r="D325" s="40">
        <v>12.328571428571429</v>
      </c>
      <c r="E325" s="66">
        <f t="shared" si="20"/>
        <v>13.300661218361219</v>
      </c>
      <c r="F325" s="10"/>
      <c r="G325" s="10"/>
      <c r="H325" s="76">
        <v>0.25250400000000001</v>
      </c>
      <c r="I325" s="76">
        <v>0.71958578978978982</v>
      </c>
      <c r="J325" s="63"/>
      <c r="K325" s="63"/>
      <c r="L325" s="63"/>
      <c r="M325" s="63"/>
    </row>
    <row r="326" spans="1:13" ht="11.25">
      <c r="A326" s="9">
        <f t="shared" si="21"/>
        <v>288</v>
      </c>
      <c r="B326" s="11" t="s">
        <v>172</v>
      </c>
      <c r="C326" s="107">
        <f t="shared" si="19"/>
        <v>5.2619047619047619</v>
      </c>
      <c r="D326" s="40">
        <f>8.5/1.05</f>
        <v>8.0952380952380949</v>
      </c>
      <c r="E326" s="66">
        <f t="shared" si="20"/>
        <v>9.0673278850278844</v>
      </c>
      <c r="F326" s="10"/>
      <c r="G326" s="10"/>
      <c r="H326" s="76">
        <v>0.25250400000000001</v>
      </c>
      <c r="I326" s="76">
        <v>0.71958578978978982</v>
      </c>
      <c r="J326" s="63"/>
      <c r="K326" s="63"/>
      <c r="L326" s="63"/>
      <c r="M326" s="63"/>
    </row>
    <row r="327" spans="1:13" ht="11.25">
      <c r="A327" s="9">
        <f t="shared" si="21"/>
        <v>289</v>
      </c>
      <c r="B327" s="11">
        <v>1037</v>
      </c>
      <c r="C327" s="107">
        <f t="shared" si="19"/>
        <v>5.2619047619047619</v>
      </c>
      <c r="D327" s="40">
        <f>8.5/1.05</f>
        <v>8.0952380952380949</v>
      </c>
      <c r="E327" s="66"/>
      <c r="F327" s="10"/>
      <c r="G327" s="10"/>
      <c r="H327" s="76"/>
      <c r="I327" s="76"/>
      <c r="J327" s="63"/>
      <c r="K327" s="63"/>
      <c r="L327" s="63"/>
      <c r="M327" s="63"/>
    </row>
    <row r="328" spans="1:13" ht="11.25">
      <c r="A328" s="9"/>
      <c r="B328" s="11" t="s">
        <v>486</v>
      </c>
      <c r="C328" s="107">
        <f t="shared" ref="C328:C391" si="22">(D328*65)/100</f>
        <v>1.625</v>
      </c>
      <c r="D328" s="40">
        <v>2.5</v>
      </c>
      <c r="E328" s="66"/>
      <c r="F328" s="10"/>
      <c r="G328" s="10"/>
      <c r="H328" s="76"/>
      <c r="I328" s="76"/>
      <c r="J328" s="63"/>
      <c r="K328" s="63"/>
      <c r="L328" s="63"/>
      <c r="M328" s="63"/>
    </row>
    <row r="329" spans="1:13" ht="11.25">
      <c r="A329" s="9"/>
      <c r="B329" s="11" t="s">
        <v>443</v>
      </c>
      <c r="C329" s="107">
        <f t="shared" si="22"/>
        <v>5.2619047619047619</v>
      </c>
      <c r="D329" s="40">
        <f>8.5/1.05</f>
        <v>8.0952380952380949</v>
      </c>
      <c r="E329" s="66"/>
      <c r="F329" s="10"/>
      <c r="G329" s="10"/>
      <c r="H329" s="76"/>
      <c r="I329" s="76"/>
      <c r="J329" s="63"/>
      <c r="K329" s="63"/>
      <c r="L329" s="63"/>
      <c r="M329" s="63"/>
    </row>
    <row r="330" spans="1:13" ht="11.25">
      <c r="A330" s="9">
        <f>A327+1</f>
        <v>290</v>
      </c>
      <c r="B330" s="11" t="s">
        <v>275</v>
      </c>
      <c r="C330" s="107">
        <f t="shared" si="22"/>
        <v>1.625</v>
      </c>
      <c r="D330" s="40">
        <v>2.5</v>
      </c>
      <c r="E330" s="66">
        <f>SUM(H330:I330)+D330</f>
        <v>3.4720897897897895</v>
      </c>
      <c r="F330" s="10"/>
      <c r="G330" s="10"/>
      <c r="H330" s="76">
        <v>0.25250400000000001</v>
      </c>
      <c r="I330" s="76">
        <v>0.71958578978978982</v>
      </c>
      <c r="J330" s="63"/>
      <c r="K330" s="63"/>
      <c r="L330" s="63"/>
      <c r="M330" s="63"/>
    </row>
    <row r="331" spans="1:13" ht="11.25">
      <c r="A331" s="9">
        <f t="shared" si="21"/>
        <v>291</v>
      </c>
      <c r="B331" s="11" t="s">
        <v>366</v>
      </c>
      <c r="C331" s="107">
        <f t="shared" si="22"/>
        <v>1.625</v>
      </c>
      <c r="D331" s="40">
        <v>2.5</v>
      </c>
      <c r="E331" s="66">
        <f t="shared" si="20"/>
        <v>3.4720897897897895</v>
      </c>
      <c r="F331" s="10"/>
      <c r="G331" s="10"/>
      <c r="H331" s="76">
        <v>0.25250400000000001</v>
      </c>
      <c r="I331" s="76">
        <v>0.71958578978978982</v>
      </c>
      <c r="J331" s="63"/>
      <c r="K331" s="63"/>
      <c r="L331" s="63"/>
      <c r="M331" s="63"/>
    </row>
    <row r="332" spans="1:13" ht="11.25">
      <c r="A332" s="9">
        <f t="shared" si="21"/>
        <v>292</v>
      </c>
      <c r="B332" s="11" t="s">
        <v>280</v>
      </c>
      <c r="C332" s="107">
        <f t="shared" si="22"/>
        <v>1.625</v>
      </c>
      <c r="D332" s="40">
        <v>2.5</v>
      </c>
      <c r="E332" s="66">
        <f t="shared" si="20"/>
        <v>3.4720897897897895</v>
      </c>
      <c r="F332" s="10"/>
      <c r="G332" s="10"/>
      <c r="H332" s="76">
        <v>0.25250400000000001</v>
      </c>
      <c r="I332" s="76">
        <v>0.71958578978978982</v>
      </c>
      <c r="J332" s="63"/>
      <c r="K332" s="63"/>
      <c r="L332" s="63"/>
      <c r="M332" s="63"/>
    </row>
    <row r="333" spans="1:13" ht="11.25">
      <c r="A333" s="9">
        <f t="shared" si="21"/>
        <v>293</v>
      </c>
      <c r="B333" s="11" t="s">
        <v>173</v>
      </c>
      <c r="C333" s="107">
        <f t="shared" si="22"/>
        <v>9.5797000000000008</v>
      </c>
      <c r="D333" s="40">
        <v>14.738</v>
      </c>
      <c r="E333" s="66">
        <f t="shared" si="20"/>
        <v>15.710089789789789</v>
      </c>
      <c r="F333" s="10"/>
      <c r="G333" s="10"/>
      <c r="H333" s="76">
        <v>0.25250400000000001</v>
      </c>
      <c r="I333" s="76">
        <v>0.71958578978978982</v>
      </c>
      <c r="J333" s="63"/>
      <c r="K333" s="63"/>
      <c r="L333" s="63"/>
      <c r="M333" s="63"/>
    </row>
    <row r="334" spans="1:13" ht="11.25">
      <c r="A334" s="9">
        <f t="shared" si="21"/>
        <v>294</v>
      </c>
      <c r="B334" s="11" t="s">
        <v>273</v>
      </c>
      <c r="C334" s="107">
        <f t="shared" si="22"/>
        <v>1.625</v>
      </c>
      <c r="D334" s="40">
        <v>2.5</v>
      </c>
      <c r="E334" s="66">
        <f t="shared" si="20"/>
        <v>3.4720897897897895</v>
      </c>
      <c r="F334" s="10"/>
      <c r="G334" s="10"/>
      <c r="H334" s="76">
        <v>0.25250400000000001</v>
      </c>
      <c r="I334" s="76">
        <v>0.71958578978978982</v>
      </c>
      <c r="J334" s="63"/>
      <c r="K334" s="63"/>
      <c r="L334" s="63"/>
      <c r="M334" s="63"/>
    </row>
    <row r="335" spans="1:13" ht="11.25">
      <c r="A335" s="9">
        <f t="shared" si="21"/>
        <v>295</v>
      </c>
      <c r="B335" s="11" t="s">
        <v>320</v>
      </c>
      <c r="C335" s="107">
        <f t="shared" si="22"/>
        <v>1.625</v>
      </c>
      <c r="D335" s="40">
        <v>2.5</v>
      </c>
      <c r="E335" s="66">
        <f t="shared" si="20"/>
        <v>3.4720897897897895</v>
      </c>
      <c r="F335" s="10"/>
      <c r="G335" s="10"/>
      <c r="H335" s="76">
        <v>0.25250400000000001</v>
      </c>
      <c r="I335" s="76">
        <v>0.71958578978978982</v>
      </c>
      <c r="J335" s="63"/>
      <c r="K335" s="63"/>
      <c r="L335" s="63"/>
      <c r="M335" s="63"/>
    </row>
    <row r="336" spans="1:13" ht="11.25">
      <c r="A336" s="9">
        <f t="shared" si="21"/>
        <v>296</v>
      </c>
      <c r="B336" s="11" t="s">
        <v>174</v>
      </c>
      <c r="C336" s="107">
        <f t="shared" si="22"/>
        <v>6.8095238095238093</v>
      </c>
      <c r="D336" s="40">
        <f>11/1.05</f>
        <v>10.476190476190476</v>
      </c>
      <c r="E336" s="66">
        <f t="shared" si="20"/>
        <v>11.448280265980266</v>
      </c>
      <c r="F336" s="10"/>
      <c r="G336" s="10"/>
      <c r="H336" s="76">
        <v>0.25250400000000001</v>
      </c>
      <c r="I336" s="76">
        <v>0.71958578978978982</v>
      </c>
      <c r="J336" s="63"/>
      <c r="K336" s="63"/>
      <c r="L336" s="63"/>
      <c r="M336" s="63"/>
    </row>
    <row r="337" spans="1:13" ht="11.25">
      <c r="A337" s="9"/>
      <c r="B337" s="11" t="s">
        <v>483</v>
      </c>
      <c r="C337" s="107">
        <f t="shared" si="22"/>
        <v>6.8095238095238093</v>
      </c>
      <c r="D337" s="40">
        <f>11/1.05</f>
        <v>10.476190476190476</v>
      </c>
      <c r="E337" s="66">
        <f>SUM(H337:I337)+D337</f>
        <v>11.448280265980266</v>
      </c>
      <c r="F337" s="10"/>
      <c r="G337" s="10"/>
      <c r="H337" s="76">
        <v>0.25250400000000001</v>
      </c>
      <c r="I337" s="76">
        <v>0.71958578978978982</v>
      </c>
      <c r="J337" s="63"/>
      <c r="K337" s="63"/>
      <c r="L337" s="63"/>
      <c r="M337" s="63"/>
    </row>
    <row r="338" spans="1:13" ht="11.25">
      <c r="A338" s="9">
        <f>A336+1</f>
        <v>297</v>
      </c>
      <c r="B338" s="11" t="s">
        <v>175</v>
      </c>
      <c r="C338" s="107">
        <f t="shared" si="22"/>
        <v>7.4285714285714288</v>
      </c>
      <c r="D338" s="40">
        <f>12/1.05</f>
        <v>11.428571428571429</v>
      </c>
      <c r="E338" s="66">
        <f t="shared" si="20"/>
        <v>12.400661218361218</v>
      </c>
      <c r="F338" s="10"/>
      <c r="G338" s="10"/>
      <c r="H338" s="76">
        <v>0.25250400000000001</v>
      </c>
      <c r="I338" s="76">
        <v>0.71958578978978982</v>
      </c>
      <c r="J338" s="63"/>
      <c r="K338" s="63"/>
      <c r="L338" s="63"/>
      <c r="M338" s="63"/>
    </row>
    <row r="339" spans="1:13" ht="11.25">
      <c r="A339" s="9">
        <f t="shared" si="21"/>
        <v>298</v>
      </c>
      <c r="B339" s="11" t="s">
        <v>463</v>
      </c>
      <c r="C339" s="107">
        <f t="shared" si="22"/>
        <v>1.625</v>
      </c>
      <c r="D339" s="40">
        <v>2.5</v>
      </c>
      <c r="E339" s="66"/>
      <c r="F339" s="10"/>
      <c r="G339" s="10"/>
      <c r="H339" s="76"/>
      <c r="I339" s="76"/>
      <c r="J339" s="63"/>
      <c r="K339" s="63"/>
      <c r="L339" s="63"/>
      <c r="M339" s="63"/>
    </row>
    <row r="340" spans="1:13" ht="11.25">
      <c r="A340" s="9">
        <f t="shared" si="21"/>
        <v>299</v>
      </c>
      <c r="B340" s="11" t="s">
        <v>176</v>
      </c>
      <c r="C340" s="107">
        <f t="shared" si="22"/>
        <v>5.5575000000000001</v>
      </c>
      <c r="D340" s="40">
        <v>8.5500000000000007</v>
      </c>
      <c r="E340" s="66">
        <f t="shared" si="20"/>
        <v>9.5220897897897903</v>
      </c>
      <c r="F340" s="10"/>
      <c r="G340" s="10"/>
      <c r="H340" s="76">
        <v>0.25250400000000001</v>
      </c>
      <c r="I340" s="76">
        <v>0.71958578978978982</v>
      </c>
      <c r="J340" s="63"/>
      <c r="K340" s="63"/>
      <c r="L340" s="63"/>
      <c r="M340" s="63"/>
    </row>
    <row r="341" spans="1:13" ht="11.25">
      <c r="A341" s="9">
        <f t="shared" si="21"/>
        <v>300</v>
      </c>
      <c r="B341" s="11">
        <v>1317</v>
      </c>
      <c r="C341" s="107">
        <f t="shared" si="22"/>
        <v>5.5575000000000001</v>
      </c>
      <c r="D341" s="40">
        <v>8.5500000000000007</v>
      </c>
      <c r="E341" s="66">
        <f>SUM(H341:I341)+D341</f>
        <v>9.5220897897897903</v>
      </c>
      <c r="F341" s="10"/>
      <c r="G341" s="10"/>
      <c r="H341" s="76">
        <v>0.25250400000000001</v>
      </c>
      <c r="I341" s="76">
        <v>0.71958578978978982</v>
      </c>
      <c r="J341" s="63"/>
      <c r="K341" s="63"/>
      <c r="L341" s="63"/>
      <c r="M341" s="63"/>
    </row>
    <row r="342" spans="1:13" ht="11.25">
      <c r="A342" s="9">
        <f t="shared" si="21"/>
        <v>301</v>
      </c>
      <c r="B342" s="11" t="s">
        <v>309</v>
      </c>
      <c r="C342" s="107">
        <f t="shared" si="22"/>
        <v>1.625</v>
      </c>
      <c r="D342" s="40">
        <v>2.5</v>
      </c>
      <c r="E342" s="66">
        <f t="shared" si="20"/>
        <v>3.4720897897897895</v>
      </c>
      <c r="F342" s="10"/>
      <c r="G342" s="10"/>
      <c r="H342" s="76">
        <v>0.25250400000000001</v>
      </c>
      <c r="I342" s="76">
        <v>0.71958578978978982</v>
      </c>
      <c r="J342" s="63"/>
      <c r="K342" s="63"/>
      <c r="L342" s="63"/>
      <c r="M342" s="63"/>
    </row>
    <row r="343" spans="1:13" ht="11.25">
      <c r="A343" s="9">
        <f t="shared" si="21"/>
        <v>302</v>
      </c>
      <c r="B343" s="11" t="s">
        <v>274</v>
      </c>
      <c r="C343" s="107">
        <f t="shared" si="22"/>
        <v>1.625</v>
      </c>
      <c r="D343" s="40">
        <v>2.5</v>
      </c>
      <c r="E343" s="66">
        <f t="shared" si="20"/>
        <v>3.4720897897897895</v>
      </c>
      <c r="F343" s="10"/>
      <c r="G343" s="10"/>
      <c r="H343" s="76">
        <v>0.25250400000000001</v>
      </c>
      <c r="I343" s="76">
        <v>0.71958578978978982</v>
      </c>
      <c r="J343" s="63"/>
      <c r="K343" s="63"/>
      <c r="L343" s="63"/>
      <c r="M343" s="63"/>
    </row>
    <row r="344" spans="1:13" ht="11.25">
      <c r="A344" s="9">
        <f t="shared" si="21"/>
        <v>303</v>
      </c>
      <c r="B344" s="11" t="s">
        <v>290</v>
      </c>
      <c r="C344" s="107">
        <f t="shared" si="22"/>
        <v>1.625</v>
      </c>
      <c r="D344" s="40">
        <v>2.5</v>
      </c>
      <c r="E344" s="66">
        <f t="shared" si="20"/>
        <v>3.4720897897897895</v>
      </c>
      <c r="F344" s="10"/>
      <c r="G344" s="10"/>
      <c r="H344" s="76">
        <v>0.25250400000000001</v>
      </c>
      <c r="I344" s="76">
        <v>0.71958578978978982</v>
      </c>
      <c r="J344" s="63"/>
      <c r="K344" s="63"/>
      <c r="L344" s="63"/>
      <c r="M344" s="63"/>
    </row>
    <row r="345" spans="1:13" ht="11.25">
      <c r="A345" s="9">
        <f t="shared" si="21"/>
        <v>304</v>
      </c>
      <c r="B345" s="11" t="s">
        <v>289</v>
      </c>
      <c r="C345" s="107">
        <f t="shared" si="22"/>
        <v>1.625</v>
      </c>
      <c r="D345" s="40">
        <v>2.5</v>
      </c>
      <c r="E345" s="66">
        <f t="shared" si="20"/>
        <v>3.4720897897897895</v>
      </c>
      <c r="F345" s="10"/>
      <c r="G345" s="10"/>
      <c r="H345" s="76">
        <v>0.25250400000000001</v>
      </c>
      <c r="I345" s="76">
        <v>0.71958578978978982</v>
      </c>
      <c r="J345" s="63"/>
      <c r="K345" s="63"/>
      <c r="L345" s="63"/>
      <c r="M345" s="63"/>
    </row>
    <row r="346" spans="1:13" ht="11.25">
      <c r="A346" s="9">
        <f t="shared" si="21"/>
        <v>305</v>
      </c>
      <c r="B346" s="11" t="s">
        <v>277</v>
      </c>
      <c r="C346" s="107">
        <f t="shared" si="22"/>
        <v>1.625</v>
      </c>
      <c r="D346" s="40">
        <v>2.5</v>
      </c>
      <c r="E346" s="66">
        <f t="shared" si="20"/>
        <v>3.4720897897897895</v>
      </c>
      <c r="F346" s="10"/>
      <c r="G346" s="10"/>
      <c r="H346" s="76">
        <v>0.25250400000000001</v>
      </c>
      <c r="I346" s="76">
        <v>0.71958578978978982</v>
      </c>
      <c r="J346" s="63"/>
      <c r="K346" s="63"/>
      <c r="L346" s="63"/>
      <c r="M346" s="63"/>
    </row>
    <row r="347" spans="1:13" ht="11.25">
      <c r="A347" s="9">
        <f t="shared" si="21"/>
        <v>306</v>
      </c>
      <c r="B347" s="11" t="s">
        <v>177</v>
      </c>
      <c r="C347" s="107">
        <f t="shared" si="22"/>
        <v>8.0274999999999999</v>
      </c>
      <c r="D347" s="40">
        <v>12.35</v>
      </c>
      <c r="E347" s="66">
        <f t="shared" si="20"/>
        <v>13.322089789789789</v>
      </c>
      <c r="F347" s="10"/>
      <c r="G347" s="10"/>
      <c r="H347" s="76">
        <v>0.25250400000000001</v>
      </c>
      <c r="I347" s="76">
        <v>0.71958578978978982</v>
      </c>
      <c r="J347" s="63"/>
      <c r="K347" s="63"/>
      <c r="L347" s="63"/>
      <c r="M347" s="63"/>
    </row>
    <row r="348" spans="1:13" ht="11.25">
      <c r="A348" s="9">
        <f t="shared" si="21"/>
        <v>307</v>
      </c>
      <c r="B348" s="11" t="s">
        <v>178</v>
      </c>
      <c r="C348" s="107">
        <f t="shared" si="22"/>
        <v>8.0274999999999999</v>
      </c>
      <c r="D348" s="40">
        <v>12.35</v>
      </c>
      <c r="E348" s="66">
        <f t="shared" si="20"/>
        <v>13.322089789789789</v>
      </c>
      <c r="F348" s="10"/>
      <c r="G348" s="10"/>
      <c r="H348" s="76">
        <v>0.25250400000000001</v>
      </c>
      <c r="I348" s="76">
        <v>0.71958578978978982</v>
      </c>
      <c r="J348" s="63"/>
      <c r="K348" s="63"/>
      <c r="L348" s="63"/>
      <c r="M348" s="63"/>
    </row>
    <row r="349" spans="1:13" ht="11.25">
      <c r="A349" s="9">
        <f t="shared" si="21"/>
        <v>308</v>
      </c>
      <c r="B349" s="11" t="s">
        <v>179</v>
      </c>
      <c r="C349" s="107">
        <f t="shared" si="22"/>
        <v>8.32</v>
      </c>
      <c r="D349" s="40">
        <v>12.8</v>
      </c>
      <c r="E349" s="66">
        <f t="shared" si="20"/>
        <v>13.77208978978979</v>
      </c>
      <c r="F349" s="10"/>
      <c r="G349" s="10"/>
      <c r="H349" s="76">
        <v>0.25250400000000001</v>
      </c>
      <c r="I349" s="76">
        <v>0.71958578978978982</v>
      </c>
      <c r="J349" s="63"/>
      <c r="K349" s="63"/>
      <c r="L349" s="63"/>
      <c r="M349" s="63"/>
    </row>
    <row r="350" spans="1:13" ht="11.25">
      <c r="A350" s="9">
        <f t="shared" si="21"/>
        <v>309</v>
      </c>
      <c r="B350" s="11" t="s">
        <v>307</v>
      </c>
      <c r="C350" s="107">
        <f t="shared" si="22"/>
        <v>1.625</v>
      </c>
      <c r="D350" s="40">
        <v>2.5</v>
      </c>
      <c r="E350" s="66">
        <f t="shared" si="20"/>
        <v>3.4720897897897895</v>
      </c>
      <c r="F350" s="40"/>
      <c r="G350" s="10"/>
      <c r="H350" s="76">
        <v>0.25250400000000001</v>
      </c>
      <c r="I350" s="76">
        <v>0.71958578978978982</v>
      </c>
      <c r="J350" s="63"/>
      <c r="K350" s="63"/>
      <c r="L350" s="63"/>
      <c r="M350" s="63"/>
    </row>
    <row r="351" spans="1:13" ht="11.25">
      <c r="A351" s="9">
        <f>A349+1</f>
        <v>309</v>
      </c>
      <c r="B351" s="11" t="s">
        <v>188</v>
      </c>
      <c r="C351" s="107">
        <f t="shared" si="22"/>
        <v>7.71875</v>
      </c>
      <c r="D351" s="40">
        <v>11.875</v>
      </c>
      <c r="E351" s="66">
        <f>SUM(H351:I351)+D351</f>
        <v>12.84708978978979</v>
      </c>
      <c r="F351" s="10"/>
      <c r="G351" s="10">
        <v>12</v>
      </c>
      <c r="H351" s="76">
        <v>0.25250400000000001</v>
      </c>
      <c r="I351" s="76">
        <v>0.71958578978978982</v>
      </c>
      <c r="J351" s="63"/>
      <c r="K351" s="63"/>
      <c r="L351" s="63"/>
      <c r="M351" s="63"/>
    </row>
    <row r="352" spans="1:13" ht="11.25">
      <c r="A352" s="9">
        <f>A350+1</f>
        <v>310</v>
      </c>
      <c r="B352" s="11" t="s">
        <v>365</v>
      </c>
      <c r="C352" s="107">
        <f t="shared" si="22"/>
        <v>1.625</v>
      </c>
      <c r="D352" s="40">
        <v>2.5</v>
      </c>
      <c r="E352" s="66">
        <f t="shared" si="20"/>
        <v>3.4720897897897895</v>
      </c>
      <c r="F352" s="10"/>
      <c r="G352" s="10">
        <v>12</v>
      </c>
      <c r="H352" s="76">
        <v>0.25250400000000001</v>
      </c>
      <c r="I352" s="76">
        <v>0.71958578978978982</v>
      </c>
      <c r="J352" s="63"/>
      <c r="K352" s="63"/>
      <c r="L352" s="63"/>
      <c r="M352" s="63"/>
    </row>
    <row r="353" spans="1:13" ht="11.25">
      <c r="A353" s="9">
        <f t="shared" si="21"/>
        <v>311</v>
      </c>
      <c r="B353" s="11" t="s">
        <v>180</v>
      </c>
      <c r="C353" s="107">
        <f t="shared" si="22"/>
        <v>7.085</v>
      </c>
      <c r="D353" s="40">
        <f>11.4-0.5</f>
        <v>10.9</v>
      </c>
      <c r="E353" s="66">
        <f t="shared" si="20"/>
        <v>11.87208978978979</v>
      </c>
      <c r="F353" s="10">
        <v>11.4</v>
      </c>
      <c r="G353" s="10"/>
      <c r="H353" s="76">
        <v>0.25250400000000001</v>
      </c>
      <c r="I353" s="76">
        <v>0.71958578978978982</v>
      </c>
      <c r="J353" s="63"/>
      <c r="K353" s="63"/>
      <c r="L353" s="63"/>
      <c r="M353" s="63"/>
    </row>
    <row r="354" spans="1:13" ht="11.25">
      <c r="A354" s="9">
        <f t="shared" si="21"/>
        <v>312</v>
      </c>
      <c r="B354" s="11" t="s">
        <v>181</v>
      </c>
      <c r="C354" s="107">
        <f t="shared" si="22"/>
        <v>7.41</v>
      </c>
      <c r="D354" s="40">
        <v>11.4</v>
      </c>
      <c r="E354" s="66">
        <f t="shared" si="20"/>
        <v>12.37208978978979</v>
      </c>
      <c r="F354" s="10"/>
      <c r="G354" s="10"/>
      <c r="H354" s="76">
        <v>0.25250400000000001</v>
      </c>
      <c r="I354" s="76">
        <v>0.71958578978978982</v>
      </c>
      <c r="J354" s="63"/>
      <c r="K354" s="63"/>
      <c r="L354" s="63"/>
      <c r="M354" s="63"/>
    </row>
    <row r="355" spans="1:13" ht="11.25">
      <c r="A355" s="9">
        <f t="shared" si="21"/>
        <v>313</v>
      </c>
      <c r="B355" s="11" t="s">
        <v>182</v>
      </c>
      <c r="C355" s="107">
        <f t="shared" si="22"/>
        <v>5.5575000000000001</v>
      </c>
      <c r="D355" s="40">
        <v>8.5500000000000007</v>
      </c>
      <c r="E355" s="66">
        <f t="shared" si="20"/>
        <v>9.5220897897897903</v>
      </c>
      <c r="F355" s="10"/>
      <c r="G355" s="10"/>
      <c r="H355" s="76">
        <v>0.25250400000000001</v>
      </c>
      <c r="I355" s="76">
        <v>0.71958578978978982</v>
      </c>
      <c r="J355" s="63"/>
      <c r="K355" s="63"/>
      <c r="L355" s="63"/>
      <c r="M355" s="63"/>
    </row>
    <row r="356" spans="1:13" ht="11.25">
      <c r="A356" s="9"/>
      <c r="B356" s="11" t="s">
        <v>490</v>
      </c>
      <c r="C356" s="107">
        <f t="shared" si="22"/>
        <v>5.5575000000000001</v>
      </c>
      <c r="D356" s="40">
        <v>8.5500000000000007</v>
      </c>
      <c r="E356" s="66">
        <f>SUM(H356:I356)+D356</f>
        <v>8.5500000000000007</v>
      </c>
      <c r="F356" s="10"/>
      <c r="G356" s="10"/>
      <c r="H356" s="76"/>
      <c r="I356" s="76"/>
      <c r="J356" s="63"/>
      <c r="K356" s="63"/>
      <c r="L356" s="63"/>
      <c r="M356" s="63"/>
    </row>
    <row r="357" spans="1:13" ht="11.25">
      <c r="A357" s="9">
        <f>A355+1</f>
        <v>314</v>
      </c>
      <c r="B357" s="11" t="s">
        <v>183</v>
      </c>
      <c r="C357" s="107">
        <f t="shared" si="22"/>
        <v>5.5575000000000001</v>
      </c>
      <c r="D357" s="40">
        <v>8.5500000000000007</v>
      </c>
      <c r="E357" s="66">
        <f t="shared" si="20"/>
        <v>9.5220897897897903</v>
      </c>
      <c r="F357" s="10"/>
      <c r="G357" s="10"/>
      <c r="H357" s="76">
        <v>0.25250400000000001</v>
      </c>
      <c r="I357" s="76">
        <v>0.71958578978978982</v>
      </c>
      <c r="J357" s="63"/>
      <c r="K357" s="63"/>
      <c r="L357" s="63"/>
      <c r="M357" s="63"/>
    </row>
    <row r="358" spans="1:13" ht="11.25">
      <c r="A358" s="9">
        <f t="shared" si="21"/>
        <v>315</v>
      </c>
      <c r="B358" s="11" t="s">
        <v>325</v>
      </c>
      <c r="C358" s="107">
        <f t="shared" si="22"/>
        <v>0.31655</v>
      </c>
      <c r="D358" s="40">
        <v>0.48699999999999999</v>
      </c>
      <c r="E358" s="66">
        <f t="shared" si="20"/>
        <v>1.4590897897897896</v>
      </c>
      <c r="F358" s="10"/>
      <c r="G358" s="10"/>
      <c r="H358" s="76">
        <v>0.25250400000000001</v>
      </c>
      <c r="I358" s="76">
        <v>0.71958578978978982</v>
      </c>
      <c r="J358" s="63"/>
      <c r="K358" s="63"/>
      <c r="L358" s="63"/>
      <c r="M358" s="63"/>
    </row>
    <row r="359" spans="1:13" ht="11.25">
      <c r="A359" s="9">
        <f t="shared" si="21"/>
        <v>316</v>
      </c>
      <c r="B359" s="11" t="s">
        <v>184</v>
      </c>
      <c r="C359" s="107">
        <f t="shared" si="22"/>
        <v>8.7750000000000004</v>
      </c>
      <c r="D359" s="40">
        <v>13.5</v>
      </c>
      <c r="E359" s="66">
        <f t="shared" si="20"/>
        <v>14.47208978978979</v>
      </c>
      <c r="F359" s="10"/>
      <c r="G359" s="10"/>
      <c r="H359" s="76">
        <v>0.25250400000000001</v>
      </c>
      <c r="I359" s="76">
        <v>0.71958578978978982</v>
      </c>
      <c r="J359" s="63"/>
      <c r="K359" s="63"/>
      <c r="L359" s="63"/>
      <c r="M359" s="63"/>
    </row>
    <row r="360" spans="1:13" ht="11.25">
      <c r="A360" s="9">
        <f t="shared" si="21"/>
        <v>317</v>
      </c>
      <c r="B360" s="61" t="s">
        <v>286</v>
      </c>
      <c r="C360" s="107">
        <f t="shared" si="22"/>
        <v>8.7750000000000004</v>
      </c>
      <c r="D360" s="67">
        <v>13.5</v>
      </c>
      <c r="E360" s="66">
        <f t="shared" si="20"/>
        <v>14.47208978978979</v>
      </c>
      <c r="F360" s="60"/>
      <c r="G360" s="60"/>
      <c r="H360" s="76">
        <v>0.25250400000000001</v>
      </c>
      <c r="I360" s="76">
        <v>0.71958578978978982</v>
      </c>
      <c r="J360" s="78"/>
      <c r="K360" s="78"/>
      <c r="L360" s="78"/>
      <c r="M360" s="78"/>
    </row>
    <row r="361" spans="1:13" ht="11.25">
      <c r="A361" s="9">
        <f>A359+1</f>
        <v>317</v>
      </c>
      <c r="B361" s="11" t="s">
        <v>411</v>
      </c>
      <c r="C361" s="107">
        <f t="shared" si="22"/>
        <v>6.2074999999999996</v>
      </c>
      <c r="D361" s="40">
        <v>9.5500000000000007</v>
      </c>
      <c r="E361" s="66">
        <f>SUM(H361:I361)+D361</f>
        <v>10.52208978978979</v>
      </c>
      <c r="F361" s="10">
        <v>10</v>
      </c>
      <c r="G361" s="10"/>
      <c r="H361" s="76">
        <v>0.25250400000000001</v>
      </c>
      <c r="I361" s="76">
        <v>0.71958578978978982</v>
      </c>
      <c r="J361" s="63"/>
      <c r="K361" s="63"/>
      <c r="L361" s="63"/>
      <c r="M361" s="63"/>
    </row>
    <row r="362" spans="1:13" ht="11.25">
      <c r="A362" s="9">
        <f>A360+1</f>
        <v>318</v>
      </c>
      <c r="B362" s="11" t="s">
        <v>292</v>
      </c>
      <c r="C362" s="107">
        <f t="shared" si="22"/>
        <v>5.6751499999999995</v>
      </c>
      <c r="D362" s="40">
        <v>8.7309999999999999</v>
      </c>
      <c r="E362" s="66">
        <f t="shared" si="20"/>
        <v>9.7030897897897894</v>
      </c>
      <c r="F362" s="10">
        <v>10</v>
      </c>
      <c r="G362" s="10"/>
      <c r="H362" s="76">
        <v>0.25250400000000001</v>
      </c>
      <c r="I362" s="76">
        <v>0.71958578978978982</v>
      </c>
      <c r="J362" s="63"/>
      <c r="K362" s="63"/>
      <c r="L362" s="63"/>
      <c r="M362" s="63"/>
    </row>
    <row r="363" spans="1:13" ht="11.25">
      <c r="A363" s="9">
        <f>A360+1</f>
        <v>318</v>
      </c>
      <c r="B363" s="11" t="s">
        <v>265</v>
      </c>
      <c r="C363" s="107">
        <f t="shared" si="22"/>
        <v>7.1190476190476195</v>
      </c>
      <c r="D363" s="40">
        <f>11.5/1.05</f>
        <v>10.952380952380953</v>
      </c>
      <c r="E363" s="66">
        <f>SUM(H363:I363)+D363</f>
        <v>11.924470742170742</v>
      </c>
      <c r="F363" s="10"/>
      <c r="G363" s="10"/>
      <c r="H363" s="76">
        <v>0.25250400000000001</v>
      </c>
      <c r="I363" s="76">
        <v>0.71958578978978982</v>
      </c>
      <c r="J363" s="63"/>
      <c r="K363" s="63"/>
      <c r="L363" s="63"/>
      <c r="M363" s="63"/>
    </row>
    <row r="364" spans="1:13" ht="11.25">
      <c r="A364" s="9">
        <f>A362+1</f>
        <v>319</v>
      </c>
      <c r="B364" s="11" t="s">
        <v>368</v>
      </c>
      <c r="C364" s="107">
        <f t="shared" si="22"/>
        <v>1.625</v>
      </c>
      <c r="D364" s="40">
        <v>2.5</v>
      </c>
      <c r="E364" s="66">
        <f t="shared" si="20"/>
        <v>3.4720897897897895</v>
      </c>
      <c r="F364" s="10"/>
      <c r="G364" s="10"/>
      <c r="H364" s="76">
        <v>0.25250400000000001</v>
      </c>
      <c r="I364" s="76">
        <v>0.71958578978978982</v>
      </c>
      <c r="J364" s="63"/>
      <c r="K364" s="63"/>
      <c r="L364" s="63"/>
      <c r="M364" s="63"/>
    </row>
    <row r="365" spans="1:13" ht="11.25">
      <c r="A365" s="9">
        <f t="shared" si="21"/>
        <v>320</v>
      </c>
      <c r="B365" s="11" t="s">
        <v>295</v>
      </c>
      <c r="C365" s="107">
        <f t="shared" si="22"/>
        <v>5.6244500000000004</v>
      </c>
      <c r="D365" s="40">
        <v>8.6530000000000005</v>
      </c>
      <c r="E365" s="66">
        <f t="shared" si="20"/>
        <v>9.62508978978979</v>
      </c>
      <c r="F365" s="40"/>
      <c r="G365" s="10"/>
      <c r="H365" s="76">
        <v>0.25250400000000001</v>
      </c>
      <c r="I365" s="76">
        <v>0.71958578978978982</v>
      </c>
      <c r="J365" s="63"/>
      <c r="K365" s="63"/>
      <c r="L365" s="63"/>
      <c r="M365" s="63"/>
    </row>
    <row r="366" spans="1:13" ht="11.25">
      <c r="A366" s="9">
        <f t="shared" si="21"/>
        <v>321</v>
      </c>
      <c r="B366" s="11" t="s">
        <v>297</v>
      </c>
      <c r="C366" s="107">
        <f t="shared" si="22"/>
        <v>1.625</v>
      </c>
      <c r="D366" s="40">
        <v>2.5</v>
      </c>
      <c r="E366" s="66">
        <f t="shared" si="20"/>
        <v>3.4720897897897895</v>
      </c>
      <c r="F366" s="40"/>
      <c r="G366" s="10"/>
      <c r="H366" s="76">
        <v>0.25250400000000001</v>
      </c>
      <c r="I366" s="76">
        <v>0.71958578978978982</v>
      </c>
      <c r="J366" s="63"/>
      <c r="K366" s="63"/>
      <c r="L366" s="63"/>
      <c r="M366" s="63"/>
    </row>
    <row r="367" spans="1:13" ht="11.25">
      <c r="A367" s="9">
        <f t="shared" si="21"/>
        <v>322</v>
      </c>
      <c r="B367" s="11" t="s">
        <v>266</v>
      </c>
      <c r="C367" s="107">
        <f t="shared" si="22"/>
        <v>2.1319999999999997</v>
      </c>
      <c r="D367" s="40">
        <v>3.28</v>
      </c>
      <c r="E367" s="66">
        <f t="shared" si="20"/>
        <v>4.2520897897897898</v>
      </c>
      <c r="F367" s="10"/>
      <c r="G367" s="10"/>
      <c r="H367" s="76">
        <v>0.25250400000000001</v>
      </c>
      <c r="I367" s="76">
        <v>0.71958578978978982</v>
      </c>
      <c r="J367" s="63"/>
      <c r="K367" s="63"/>
      <c r="L367" s="63"/>
      <c r="M367" s="63"/>
    </row>
    <row r="368" spans="1:13" ht="11.25">
      <c r="A368" s="9">
        <f t="shared" si="21"/>
        <v>323</v>
      </c>
      <c r="B368" s="11" t="s">
        <v>243</v>
      </c>
      <c r="C368" s="107">
        <f t="shared" si="22"/>
        <v>27.3</v>
      </c>
      <c r="D368" s="40">
        <v>42</v>
      </c>
      <c r="E368" s="66">
        <f t="shared" si="20"/>
        <v>42.972089789789791</v>
      </c>
      <c r="F368" s="10"/>
      <c r="G368" s="10">
        <v>46</v>
      </c>
      <c r="H368" s="76">
        <v>0.25250400000000001</v>
      </c>
      <c r="I368" s="76">
        <v>0.71958578978978982</v>
      </c>
      <c r="J368" s="63"/>
      <c r="K368" s="63"/>
      <c r="L368" s="63"/>
      <c r="M368" s="63"/>
    </row>
    <row r="369" spans="1:14" ht="11.25">
      <c r="A369" s="9">
        <f t="shared" si="21"/>
        <v>324</v>
      </c>
      <c r="B369" s="11" t="s">
        <v>248</v>
      </c>
      <c r="C369" s="107">
        <f t="shared" si="22"/>
        <v>27.3</v>
      </c>
      <c r="D369" s="40">
        <v>42</v>
      </c>
      <c r="E369" s="66">
        <f t="shared" ref="E369:E445" si="23">SUM(H369:I369)+D369</f>
        <v>42.972089789789791</v>
      </c>
      <c r="F369" s="10"/>
      <c r="G369" s="10">
        <v>46</v>
      </c>
      <c r="H369" s="76">
        <v>0.25250400000000001</v>
      </c>
      <c r="I369" s="76">
        <v>0.71958578978978982</v>
      </c>
      <c r="J369" s="63"/>
      <c r="K369" s="63"/>
      <c r="L369" s="63"/>
      <c r="M369" s="63"/>
    </row>
    <row r="370" spans="1:14" ht="11.25">
      <c r="A370" s="9">
        <f t="shared" si="21"/>
        <v>325</v>
      </c>
      <c r="B370" s="11" t="s">
        <v>250</v>
      </c>
      <c r="C370" s="107">
        <f t="shared" si="22"/>
        <v>8.4499999999999993</v>
      </c>
      <c r="D370" s="40">
        <v>13</v>
      </c>
      <c r="E370" s="66">
        <f t="shared" si="23"/>
        <v>13.97208978978979</v>
      </c>
      <c r="F370" s="10"/>
      <c r="G370" s="10">
        <v>12</v>
      </c>
      <c r="H370" s="76">
        <v>0.25250400000000001</v>
      </c>
      <c r="I370" s="76">
        <v>0.71958578978978982</v>
      </c>
      <c r="J370" s="63"/>
      <c r="K370" s="63"/>
      <c r="L370" s="63"/>
      <c r="M370" s="63"/>
    </row>
    <row r="371" spans="1:14" ht="11.25">
      <c r="A371" s="9">
        <f t="shared" si="21"/>
        <v>326</v>
      </c>
      <c r="B371" s="11" t="s">
        <v>387</v>
      </c>
      <c r="C371" s="107">
        <f t="shared" si="22"/>
        <v>6.7736499999999999</v>
      </c>
      <c r="D371" s="40">
        <v>10.420999999999999</v>
      </c>
      <c r="E371" s="66">
        <f t="shared" si="23"/>
        <v>11.393089789789789</v>
      </c>
      <c r="F371" s="10"/>
      <c r="G371" s="10"/>
      <c r="H371" s="76">
        <v>0.25250400000000001</v>
      </c>
      <c r="I371" s="76">
        <v>0.71958578978978982</v>
      </c>
      <c r="J371" s="63"/>
      <c r="K371" s="63"/>
      <c r="L371" s="63"/>
      <c r="M371" s="63"/>
    </row>
    <row r="372" spans="1:14" ht="11.25">
      <c r="A372" s="9">
        <f t="shared" si="21"/>
        <v>327</v>
      </c>
      <c r="B372" s="57">
        <v>1125</v>
      </c>
      <c r="C372" s="107">
        <f t="shared" si="22"/>
        <v>6.7736499999999999</v>
      </c>
      <c r="D372" s="58">
        <v>10.420999999999999</v>
      </c>
      <c r="E372" s="66">
        <f t="shared" si="23"/>
        <v>11.393089789789789</v>
      </c>
      <c r="F372" s="62"/>
      <c r="G372" s="10"/>
      <c r="H372" s="76">
        <v>0.25250400000000001</v>
      </c>
      <c r="I372" s="76">
        <v>0.71958578978978982</v>
      </c>
      <c r="J372" s="63"/>
      <c r="K372" s="63"/>
      <c r="L372" s="63"/>
      <c r="M372" s="63"/>
      <c r="N372" s="1">
        <v>36</v>
      </c>
    </row>
    <row r="373" spans="1:14" ht="11.25">
      <c r="A373" s="9">
        <f t="shared" si="21"/>
        <v>328</v>
      </c>
      <c r="B373" s="57" t="s">
        <v>294</v>
      </c>
      <c r="C373" s="107">
        <f t="shared" si="22"/>
        <v>6.4510952380952373</v>
      </c>
      <c r="D373" s="58">
        <f>10.421/1.05</f>
        <v>9.9247619047619029</v>
      </c>
      <c r="E373" s="66">
        <f t="shared" si="23"/>
        <v>10.896851694551692</v>
      </c>
      <c r="F373" s="62"/>
      <c r="G373" s="10"/>
      <c r="H373" s="76">
        <v>0.25250400000000001</v>
      </c>
      <c r="I373" s="76">
        <v>0.71958578978978982</v>
      </c>
      <c r="J373" s="63"/>
      <c r="K373" s="63"/>
      <c r="L373" s="63"/>
      <c r="M373" s="63"/>
      <c r="N373" s="1">
        <v>36</v>
      </c>
    </row>
    <row r="374" spans="1:14" ht="11.25">
      <c r="A374" s="9">
        <f>A370+1</f>
        <v>326</v>
      </c>
      <c r="B374" s="57" t="s">
        <v>385</v>
      </c>
      <c r="C374" s="107">
        <f t="shared" si="22"/>
        <v>6.8250000000000002</v>
      </c>
      <c r="D374" s="58">
        <v>10.5</v>
      </c>
      <c r="E374" s="66">
        <f>SUM(H374:I374)+D374</f>
        <v>11.47208978978979</v>
      </c>
      <c r="F374" s="62"/>
      <c r="G374" s="10"/>
      <c r="H374" s="76">
        <v>0.25250400000000001</v>
      </c>
      <c r="I374" s="76">
        <v>0.71958578978978982</v>
      </c>
      <c r="J374" s="63"/>
      <c r="K374" s="63"/>
      <c r="L374" s="63"/>
      <c r="M374" s="63"/>
      <c r="N374" s="1">
        <v>36</v>
      </c>
    </row>
    <row r="375" spans="1:14" ht="11.25">
      <c r="A375" s="9">
        <f>A371+1</f>
        <v>327</v>
      </c>
      <c r="B375" s="57" t="s">
        <v>386</v>
      </c>
      <c r="C375" s="107">
        <f t="shared" si="22"/>
        <v>6.8250000000000002</v>
      </c>
      <c r="D375" s="58">
        <v>10.5</v>
      </c>
      <c r="E375" s="66">
        <f>SUM(H375:I375)+D375</f>
        <v>11.47208978978979</v>
      </c>
      <c r="F375" s="62"/>
      <c r="G375" s="10"/>
      <c r="H375" s="76">
        <v>0.25250400000000001</v>
      </c>
      <c r="I375" s="76">
        <v>0.71958578978978982</v>
      </c>
      <c r="J375" s="63"/>
      <c r="K375" s="63"/>
      <c r="L375" s="63"/>
      <c r="M375" s="63"/>
      <c r="N375" s="1">
        <v>36</v>
      </c>
    </row>
    <row r="376" spans="1:14" ht="11.25">
      <c r="A376" s="9">
        <f>A371+1</f>
        <v>327</v>
      </c>
      <c r="B376" s="57" t="s">
        <v>388</v>
      </c>
      <c r="C376" s="107">
        <f t="shared" si="22"/>
        <v>6.8250000000000002</v>
      </c>
      <c r="D376" s="58">
        <v>10.5</v>
      </c>
      <c r="E376" s="66">
        <f>SUM(H376:I376)+D376</f>
        <v>11.47208978978979</v>
      </c>
      <c r="F376" s="62"/>
      <c r="G376" s="10"/>
      <c r="H376" s="76">
        <v>0.25250400000000001</v>
      </c>
      <c r="I376" s="76">
        <v>0.71958578978978982</v>
      </c>
      <c r="J376" s="63"/>
      <c r="K376" s="63"/>
      <c r="L376" s="63"/>
      <c r="M376" s="63"/>
      <c r="N376" s="1">
        <v>36</v>
      </c>
    </row>
    <row r="377" spans="1:14" ht="11.25">
      <c r="A377" s="9">
        <f>A372+1</f>
        <v>328</v>
      </c>
      <c r="B377" s="57" t="s">
        <v>416</v>
      </c>
      <c r="C377" s="107">
        <f t="shared" si="22"/>
        <v>6.8250000000000002</v>
      </c>
      <c r="D377" s="58">
        <v>10.5</v>
      </c>
      <c r="E377" s="66">
        <f>SUM(H377:I377)+D377</f>
        <v>11.47208978978979</v>
      </c>
      <c r="F377" s="62"/>
      <c r="G377" s="10"/>
      <c r="H377" s="76">
        <v>0.25250400000000001</v>
      </c>
      <c r="I377" s="76">
        <v>0.71958578978978982</v>
      </c>
      <c r="J377" s="63"/>
      <c r="K377" s="63"/>
      <c r="L377" s="63"/>
      <c r="M377" s="63"/>
      <c r="N377" s="1">
        <v>36</v>
      </c>
    </row>
    <row r="378" spans="1:14" ht="11.25">
      <c r="A378" s="9">
        <f>A373+1</f>
        <v>329</v>
      </c>
      <c r="B378" s="57" t="s">
        <v>377</v>
      </c>
      <c r="C378" s="107">
        <f t="shared" si="22"/>
        <v>6.8250000000000002</v>
      </c>
      <c r="D378" s="58">
        <v>10.5</v>
      </c>
      <c r="E378" s="66">
        <f t="shared" si="23"/>
        <v>11.47208978978979</v>
      </c>
      <c r="F378" s="62"/>
      <c r="G378" s="10"/>
      <c r="H378" s="76">
        <v>0.25250400000000001</v>
      </c>
      <c r="I378" s="76">
        <v>0.71958578978978982</v>
      </c>
      <c r="J378" s="63"/>
      <c r="K378" s="63"/>
      <c r="L378" s="63"/>
      <c r="M378" s="63"/>
      <c r="N378" s="1">
        <v>36</v>
      </c>
    </row>
    <row r="379" spans="1:14" ht="11.25">
      <c r="A379" s="9">
        <f t="shared" si="21"/>
        <v>330</v>
      </c>
      <c r="B379" s="57">
        <v>1522</v>
      </c>
      <c r="C379" s="107">
        <f t="shared" si="22"/>
        <v>5.5250000000000004</v>
      </c>
      <c r="D379" s="58">
        <v>8.5</v>
      </c>
      <c r="E379" s="66">
        <f t="shared" si="23"/>
        <v>9.4720897897897895</v>
      </c>
      <c r="F379" s="62"/>
      <c r="G379" s="10"/>
      <c r="H379" s="76">
        <v>0.25250400000000001</v>
      </c>
      <c r="I379" s="76">
        <v>0.71958578978978982</v>
      </c>
      <c r="J379" s="63"/>
      <c r="K379" s="63"/>
      <c r="L379" s="63"/>
      <c r="M379" s="63"/>
      <c r="N379" s="1">
        <v>36</v>
      </c>
    </row>
    <row r="380" spans="1:14" ht="11.25">
      <c r="A380" s="9">
        <f t="shared" si="21"/>
        <v>331</v>
      </c>
      <c r="B380" s="11">
        <v>2048</v>
      </c>
      <c r="C380" s="107">
        <f t="shared" si="22"/>
        <v>4.875</v>
      </c>
      <c r="D380" s="40">
        <v>7.5</v>
      </c>
      <c r="E380" s="66">
        <f t="shared" si="23"/>
        <v>8.4720897897897895</v>
      </c>
      <c r="F380" s="40">
        <f>8.5/1.05</f>
        <v>8.0952380952380949</v>
      </c>
      <c r="G380" s="10">
        <v>8</v>
      </c>
      <c r="H380" s="76">
        <v>0.25250400000000001</v>
      </c>
      <c r="I380" s="76">
        <v>0.71958578978978982</v>
      </c>
      <c r="J380" s="63"/>
      <c r="K380" s="63"/>
      <c r="L380" s="63"/>
      <c r="M380" s="63"/>
    </row>
    <row r="381" spans="1:14" ht="11.25">
      <c r="A381" s="9">
        <f t="shared" si="21"/>
        <v>332</v>
      </c>
      <c r="B381" s="11">
        <v>2051</v>
      </c>
      <c r="C381" s="107">
        <f t="shared" si="22"/>
        <v>5.2</v>
      </c>
      <c r="D381" s="40">
        <v>8</v>
      </c>
      <c r="E381" s="66">
        <f t="shared" si="23"/>
        <v>8.9720897897897895</v>
      </c>
      <c r="F381" s="10">
        <v>9.5220000000000002</v>
      </c>
      <c r="G381" s="10"/>
      <c r="H381" s="76">
        <v>0.25250400000000001</v>
      </c>
      <c r="I381" s="76">
        <v>0.71958578978978982</v>
      </c>
      <c r="J381" s="63"/>
      <c r="K381" s="63"/>
      <c r="L381" s="63"/>
      <c r="M381" s="63"/>
    </row>
    <row r="382" spans="1:14" ht="11.25">
      <c r="A382" s="9"/>
      <c r="B382" s="11" t="s">
        <v>481</v>
      </c>
      <c r="C382" s="107">
        <f t="shared" si="22"/>
        <v>6.6950000000000003</v>
      </c>
      <c r="D382" s="40">
        <v>10.3</v>
      </c>
      <c r="E382" s="66"/>
      <c r="F382" s="10"/>
      <c r="G382" s="10"/>
      <c r="H382" s="76"/>
      <c r="I382" s="76"/>
      <c r="J382" s="63"/>
      <c r="K382" s="63"/>
      <c r="L382" s="63"/>
      <c r="M382" s="63"/>
    </row>
    <row r="383" spans="1:14" ht="11.25">
      <c r="A383" s="9">
        <f>A381+1</f>
        <v>333</v>
      </c>
      <c r="B383" s="11" t="s">
        <v>338</v>
      </c>
      <c r="C383" s="107">
        <f t="shared" si="22"/>
        <v>10.4</v>
      </c>
      <c r="D383" s="40">
        <v>16</v>
      </c>
      <c r="E383" s="66">
        <f t="shared" si="23"/>
        <v>16.972089789789791</v>
      </c>
      <c r="F383" s="40">
        <v>12.429</v>
      </c>
      <c r="G383" s="10"/>
      <c r="H383" s="76">
        <v>0.25250400000000001</v>
      </c>
      <c r="I383" s="76">
        <v>0.71958578978978982</v>
      </c>
      <c r="J383" s="63"/>
      <c r="K383" s="63"/>
      <c r="L383" s="63"/>
      <c r="M383" s="63"/>
    </row>
    <row r="384" spans="1:14" ht="11.25">
      <c r="A384" s="9">
        <f t="shared" si="21"/>
        <v>334</v>
      </c>
      <c r="B384" s="11" t="s">
        <v>343</v>
      </c>
      <c r="C384" s="107">
        <f t="shared" si="22"/>
        <v>6.8094000000000001</v>
      </c>
      <c r="D384" s="40">
        <v>10.476000000000001</v>
      </c>
      <c r="E384" s="66">
        <f t="shared" si="23"/>
        <v>11.44808978978979</v>
      </c>
      <c r="F384" s="10"/>
      <c r="G384" s="10"/>
      <c r="H384" s="76">
        <v>0.25250400000000001</v>
      </c>
      <c r="I384" s="76">
        <v>0.71958578978978982</v>
      </c>
      <c r="J384" s="63"/>
      <c r="K384" s="63"/>
      <c r="L384" s="63"/>
      <c r="M384" s="63"/>
    </row>
    <row r="385" spans="1:14" ht="11.25">
      <c r="A385" s="9">
        <f>A384+1</f>
        <v>335</v>
      </c>
      <c r="B385" s="11" t="s">
        <v>185</v>
      </c>
      <c r="C385" s="107">
        <f t="shared" si="22"/>
        <v>5.5575000000000001</v>
      </c>
      <c r="D385" s="40">
        <v>8.5500000000000007</v>
      </c>
      <c r="E385" s="66">
        <f t="shared" si="23"/>
        <v>9.5220897897897903</v>
      </c>
      <c r="F385" s="10"/>
      <c r="G385" s="10"/>
      <c r="H385" s="76">
        <v>0.25250400000000001</v>
      </c>
      <c r="I385" s="76">
        <v>0.71958578978978982</v>
      </c>
      <c r="J385" s="63"/>
      <c r="K385" s="63"/>
      <c r="L385" s="63"/>
      <c r="M385" s="63"/>
    </row>
    <row r="386" spans="1:14" ht="11.25">
      <c r="A386" s="9">
        <f t="shared" ref="A386:A471" si="24">A385+1</f>
        <v>336</v>
      </c>
      <c r="B386" s="11" t="s">
        <v>217</v>
      </c>
      <c r="C386" s="107">
        <f t="shared" si="22"/>
        <v>5.9702500000000001</v>
      </c>
      <c r="D386" s="40">
        <v>9.1850000000000005</v>
      </c>
      <c r="E386" s="66">
        <f t="shared" si="23"/>
        <v>10.15708978978979</v>
      </c>
      <c r="F386" s="10"/>
      <c r="G386" s="10"/>
      <c r="H386" s="76">
        <v>0.25250400000000001</v>
      </c>
      <c r="I386" s="76">
        <v>0.71958578978978982</v>
      </c>
      <c r="J386" s="63"/>
      <c r="K386" s="63"/>
      <c r="L386" s="63"/>
      <c r="M386" s="63"/>
    </row>
    <row r="387" spans="1:14" ht="11.25">
      <c r="A387" s="9">
        <f t="shared" si="24"/>
        <v>337</v>
      </c>
      <c r="B387" s="11" t="s">
        <v>238</v>
      </c>
      <c r="C387" s="107">
        <f t="shared" si="22"/>
        <v>5.5250000000000004</v>
      </c>
      <c r="D387" s="40">
        <v>8.5</v>
      </c>
      <c r="E387" s="66">
        <f t="shared" si="23"/>
        <v>9.4720897897897895</v>
      </c>
      <c r="F387" s="10"/>
      <c r="G387" s="10"/>
      <c r="H387" s="76">
        <v>0.25250400000000001</v>
      </c>
      <c r="I387" s="76">
        <v>0.71958578978978982</v>
      </c>
      <c r="J387" s="63"/>
      <c r="K387" s="63"/>
      <c r="L387" s="63"/>
      <c r="M387" s="63"/>
    </row>
    <row r="388" spans="1:14" ht="11.25">
      <c r="A388" s="9">
        <f>A385+1</f>
        <v>336</v>
      </c>
      <c r="B388" s="11" t="s">
        <v>346</v>
      </c>
      <c r="C388" s="107">
        <f t="shared" si="22"/>
        <v>4.875</v>
      </c>
      <c r="D388" s="40">
        <v>7.5</v>
      </c>
      <c r="E388" s="66">
        <f t="shared" si="23"/>
        <v>8.4720897897897895</v>
      </c>
      <c r="F388" s="10"/>
      <c r="G388" s="10"/>
      <c r="H388" s="76">
        <v>0.25250400000000001</v>
      </c>
      <c r="I388" s="76">
        <v>0.71958578978978982</v>
      </c>
      <c r="J388" s="63"/>
      <c r="K388" s="63"/>
      <c r="L388" s="63"/>
      <c r="M388" s="63"/>
    </row>
    <row r="389" spans="1:14" ht="11.25">
      <c r="A389" s="9">
        <f>A386+1</f>
        <v>337</v>
      </c>
      <c r="B389" s="11" t="s">
        <v>390</v>
      </c>
      <c r="C389" s="107">
        <f t="shared" si="22"/>
        <v>4.875</v>
      </c>
      <c r="D389" s="40">
        <v>7.5</v>
      </c>
      <c r="E389" s="66">
        <f t="shared" si="23"/>
        <v>8.4720897897897895</v>
      </c>
      <c r="F389" s="10"/>
      <c r="G389" s="10"/>
      <c r="H389" s="76">
        <v>0.25250400000000001</v>
      </c>
      <c r="I389" s="76">
        <v>0.71958578978978982</v>
      </c>
      <c r="J389" s="63"/>
      <c r="K389" s="63"/>
      <c r="L389" s="63"/>
      <c r="M389" s="63"/>
    </row>
    <row r="390" spans="1:14" ht="11.25">
      <c r="A390" s="9">
        <f>A387+1</f>
        <v>338</v>
      </c>
      <c r="B390" s="11" t="s">
        <v>239</v>
      </c>
      <c r="C390" s="107">
        <f t="shared" si="22"/>
        <v>4.875</v>
      </c>
      <c r="D390" s="40">
        <v>7.5</v>
      </c>
      <c r="E390" s="66">
        <f t="shared" si="23"/>
        <v>8.4720897897897895</v>
      </c>
      <c r="F390" s="10"/>
      <c r="G390" s="10"/>
      <c r="H390" s="76">
        <v>0.25250400000000001</v>
      </c>
      <c r="I390" s="76">
        <v>0.71958578978978982</v>
      </c>
      <c r="J390" s="63"/>
      <c r="K390" s="63"/>
      <c r="L390" s="63"/>
      <c r="M390" s="63"/>
    </row>
    <row r="391" spans="1:14" ht="11.25">
      <c r="A391" s="9">
        <f t="shared" si="24"/>
        <v>339</v>
      </c>
      <c r="B391" s="11" t="s">
        <v>342</v>
      </c>
      <c r="C391" s="107">
        <f t="shared" si="22"/>
        <v>5.2</v>
      </c>
      <c r="D391" s="40">
        <v>8</v>
      </c>
      <c r="E391" s="66">
        <f t="shared" si="23"/>
        <v>8.9720897897897895</v>
      </c>
      <c r="F391" s="10"/>
      <c r="G391" s="10"/>
      <c r="H391" s="76">
        <v>0.25250400000000001</v>
      </c>
      <c r="I391" s="76">
        <v>0.71958578978978982</v>
      </c>
      <c r="J391" s="63"/>
      <c r="K391" s="63"/>
      <c r="L391" s="63"/>
      <c r="M391" s="63"/>
    </row>
    <row r="392" spans="1:14" ht="11.25">
      <c r="A392" s="9">
        <f t="shared" si="24"/>
        <v>340</v>
      </c>
      <c r="B392" s="11" t="s">
        <v>240</v>
      </c>
      <c r="C392" s="107">
        <f t="shared" ref="C392:C455" si="25">(D392*65)/100</f>
        <v>7.8</v>
      </c>
      <c r="D392" s="40">
        <v>12</v>
      </c>
      <c r="E392" s="66">
        <f t="shared" si="23"/>
        <v>12.97208978978979</v>
      </c>
      <c r="F392" s="10"/>
      <c r="G392" s="10"/>
      <c r="H392" s="76">
        <v>0.25250400000000001</v>
      </c>
      <c r="I392" s="76">
        <v>0.71958578978978982</v>
      </c>
      <c r="J392" s="63"/>
      <c r="K392" s="63"/>
      <c r="L392" s="63"/>
      <c r="M392" s="63"/>
    </row>
    <row r="393" spans="1:14" ht="11.25">
      <c r="A393" s="9">
        <f t="shared" si="24"/>
        <v>341</v>
      </c>
      <c r="B393" s="11" t="s">
        <v>260</v>
      </c>
      <c r="C393" s="107">
        <f t="shared" si="25"/>
        <v>7.8</v>
      </c>
      <c r="D393" s="40">
        <v>12</v>
      </c>
      <c r="E393" s="66">
        <f t="shared" si="23"/>
        <v>12.97208978978979</v>
      </c>
      <c r="F393" s="10"/>
      <c r="G393" s="40">
        <v>13.348000000000001</v>
      </c>
      <c r="H393" s="76">
        <v>0.25250400000000001</v>
      </c>
      <c r="I393" s="76">
        <v>0.71958578978978982</v>
      </c>
      <c r="J393" s="76"/>
      <c r="K393" s="76"/>
      <c r="L393" s="76"/>
      <c r="M393" s="76"/>
    </row>
    <row r="394" spans="1:14" ht="11.25">
      <c r="A394" s="9">
        <f t="shared" si="24"/>
        <v>342</v>
      </c>
      <c r="B394" s="11"/>
      <c r="C394" s="107">
        <f t="shared" si="25"/>
        <v>0</v>
      </c>
      <c r="D394" s="40"/>
      <c r="E394" s="66">
        <f t="shared" si="23"/>
        <v>0.97208978978978977</v>
      </c>
      <c r="F394" s="10"/>
      <c r="G394" s="10"/>
      <c r="H394" s="76">
        <v>0.25250400000000001</v>
      </c>
      <c r="I394" s="76">
        <v>0.71958578978978982</v>
      </c>
      <c r="J394" s="63"/>
      <c r="K394" s="63"/>
      <c r="L394" s="63"/>
      <c r="M394" s="63"/>
    </row>
    <row r="395" spans="1:14" ht="11.25">
      <c r="A395" s="9">
        <f t="shared" si="24"/>
        <v>343</v>
      </c>
      <c r="B395" s="11" t="s">
        <v>383</v>
      </c>
      <c r="C395" s="107">
        <f t="shared" si="25"/>
        <v>18.638463097222225</v>
      </c>
      <c r="D395" s="40">
        <v>28.674558611111117</v>
      </c>
      <c r="E395" s="66"/>
      <c r="F395" s="10"/>
      <c r="G395" s="10"/>
      <c r="H395" s="76">
        <v>0.25250400000000001</v>
      </c>
      <c r="I395" s="76">
        <v>0.71958578978978982</v>
      </c>
      <c r="J395" s="63"/>
      <c r="K395" s="63"/>
      <c r="L395" s="63"/>
      <c r="M395" s="63"/>
    </row>
    <row r="396" spans="1:14" ht="11.25">
      <c r="A396" s="9">
        <f>A394+1</f>
        <v>343</v>
      </c>
      <c r="B396" s="11" t="s">
        <v>199</v>
      </c>
      <c r="C396" s="107">
        <f t="shared" si="25"/>
        <v>24.375</v>
      </c>
      <c r="D396" s="40">
        <v>37.5</v>
      </c>
      <c r="E396" s="66">
        <f t="shared" si="23"/>
        <v>38.472089789789791</v>
      </c>
      <c r="F396" s="10"/>
      <c r="G396" s="10">
        <v>32.65</v>
      </c>
      <c r="H396" s="76">
        <v>0.25250400000000001</v>
      </c>
      <c r="I396" s="76">
        <v>0.71958578978978982</v>
      </c>
      <c r="J396" s="63"/>
      <c r="K396" s="63"/>
      <c r="L396" s="63"/>
      <c r="M396" s="63"/>
    </row>
    <row r="397" spans="1:14" ht="11.25">
      <c r="A397" s="9">
        <f>A395+1</f>
        <v>344</v>
      </c>
      <c r="B397" s="11" t="s">
        <v>356</v>
      </c>
      <c r="C397" s="107">
        <f t="shared" si="25"/>
        <v>0.87749999999999995</v>
      </c>
      <c r="D397" s="40">
        <v>1.35</v>
      </c>
      <c r="E397" s="66">
        <f t="shared" si="23"/>
        <v>2.3220897897897901</v>
      </c>
      <c r="F397" s="10"/>
      <c r="G397" s="10">
        <v>32.65</v>
      </c>
      <c r="H397" s="76">
        <v>0.25250400000000001</v>
      </c>
      <c r="I397" s="76">
        <v>0.71958578978978982</v>
      </c>
      <c r="J397" s="63"/>
      <c r="K397" s="63"/>
      <c r="L397" s="63"/>
      <c r="M397" s="63"/>
    </row>
    <row r="398" spans="1:14" ht="11.25">
      <c r="A398" s="9">
        <f>A396+1</f>
        <v>344</v>
      </c>
      <c r="B398" s="11" t="s">
        <v>397</v>
      </c>
      <c r="C398" s="107">
        <f t="shared" si="25"/>
        <v>2.5024999999999999</v>
      </c>
      <c r="D398" s="40">
        <v>3.85</v>
      </c>
      <c r="E398" s="66">
        <f>SUM(H398:I398)+D398</f>
        <v>4.8220897897897901</v>
      </c>
      <c r="F398" s="10"/>
      <c r="G398" s="10">
        <v>32.65</v>
      </c>
      <c r="H398" s="76">
        <v>0.25250400000000001</v>
      </c>
      <c r="I398" s="76">
        <v>0.71958578978978982</v>
      </c>
      <c r="J398" s="63"/>
      <c r="K398" s="63"/>
      <c r="L398" s="63"/>
      <c r="M398" s="63"/>
    </row>
    <row r="399" spans="1:14" ht="11.25">
      <c r="A399" s="9">
        <f>A397+1</f>
        <v>345</v>
      </c>
      <c r="B399" s="11" t="s">
        <v>282</v>
      </c>
      <c r="C399" s="107">
        <f t="shared" si="25"/>
        <v>24.375</v>
      </c>
      <c r="D399" s="40">
        <v>37.5</v>
      </c>
      <c r="E399" s="66">
        <f t="shared" si="23"/>
        <v>38.472089789789791</v>
      </c>
      <c r="F399" s="10"/>
      <c r="G399" s="10">
        <v>32.65</v>
      </c>
      <c r="H399" s="76">
        <v>0.25250400000000001</v>
      </c>
      <c r="I399" s="76">
        <v>0.71958578978978982</v>
      </c>
      <c r="J399" s="63"/>
      <c r="K399" s="63"/>
      <c r="L399" s="63"/>
      <c r="M399" s="63"/>
    </row>
    <row r="400" spans="1:14" ht="11.25">
      <c r="A400" s="9">
        <f t="shared" si="24"/>
        <v>346</v>
      </c>
      <c r="B400" s="11" t="s">
        <v>284</v>
      </c>
      <c r="C400" s="107">
        <f t="shared" si="25"/>
        <v>24.375</v>
      </c>
      <c r="D400" s="40">
        <v>37.5</v>
      </c>
      <c r="E400" s="66">
        <f t="shared" si="23"/>
        <v>38.472089789789791</v>
      </c>
      <c r="F400" s="10"/>
      <c r="G400" s="10">
        <v>32.654000000000003</v>
      </c>
      <c r="H400" s="76">
        <v>0.25250400000000001</v>
      </c>
      <c r="I400" s="76">
        <v>0.71958578978978982</v>
      </c>
      <c r="J400" s="63"/>
      <c r="K400" s="63"/>
      <c r="L400" s="63"/>
      <c r="M400" s="63"/>
      <c r="N400" s="1">
        <v>25</v>
      </c>
    </row>
    <row r="401" spans="1:14" ht="11.25">
      <c r="A401" s="9">
        <f t="shared" si="24"/>
        <v>347</v>
      </c>
      <c r="B401" s="11" t="s">
        <v>421</v>
      </c>
      <c r="C401" s="107">
        <f t="shared" si="25"/>
        <v>5.6192499999999992</v>
      </c>
      <c r="D401" s="40">
        <v>8.6449999999999996</v>
      </c>
      <c r="E401" s="66">
        <f t="shared" si="23"/>
        <v>9.6170897897897891</v>
      </c>
      <c r="F401" s="10"/>
      <c r="G401" s="10"/>
      <c r="H401" s="76">
        <v>0.25250400000000001</v>
      </c>
      <c r="I401" s="76">
        <v>0.71958578978978982</v>
      </c>
      <c r="J401" s="63"/>
      <c r="K401" s="63"/>
      <c r="L401" s="63"/>
      <c r="M401" s="63"/>
    </row>
    <row r="402" spans="1:14" ht="11.25">
      <c r="A402" s="9">
        <f t="shared" si="24"/>
        <v>348</v>
      </c>
      <c r="B402" s="11" t="s">
        <v>478</v>
      </c>
      <c r="C402" s="107">
        <f t="shared" si="25"/>
        <v>1.625</v>
      </c>
      <c r="D402" s="40">
        <v>2.5</v>
      </c>
      <c r="E402" s="66">
        <f>SUM(H402:I402)+D402</f>
        <v>2.5</v>
      </c>
      <c r="F402" s="10"/>
      <c r="G402" s="10"/>
      <c r="H402" s="76"/>
      <c r="I402" s="76"/>
      <c r="J402" s="63"/>
      <c r="K402" s="63"/>
      <c r="L402" s="63"/>
      <c r="M402" s="63"/>
    </row>
    <row r="403" spans="1:14" ht="11.25">
      <c r="A403" s="9">
        <f t="shared" si="24"/>
        <v>349</v>
      </c>
      <c r="B403" s="11" t="s">
        <v>259</v>
      </c>
      <c r="C403" s="107">
        <f t="shared" si="25"/>
        <v>2.5024999999999999</v>
      </c>
      <c r="D403" s="40">
        <v>3.85</v>
      </c>
      <c r="E403" s="66">
        <f t="shared" si="23"/>
        <v>4.8220897897897901</v>
      </c>
      <c r="F403" s="10"/>
      <c r="G403" s="10"/>
      <c r="H403" s="76">
        <v>0.25250400000000001</v>
      </c>
      <c r="I403" s="76">
        <v>0.71958578978978982</v>
      </c>
      <c r="J403" s="63"/>
      <c r="K403" s="63"/>
      <c r="L403" s="63"/>
      <c r="M403" s="63"/>
    </row>
    <row r="404" spans="1:14" ht="11.25">
      <c r="A404" s="9">
        <f t="shared" si="24"/>
        <v>350</v>
      </c>
      <c r="B404" s="11" t="s">
        <v>205</v>
      </c>
      <c r="C404" s="107">
        <f t="shared" si="25"/>
        <v>61.002499999999998</v>
      </c>
      <c r="D404" s="40">
        <f>90+3.85</f>
        <v>93.85</v>
      </c>
      <c r="E404" s="66">
        <f t="shared" si="23"/>
        <v>94.822089789789786</v>
      </c>
      <c r="F404" s="10"/>
      <c r="G404" s="10"/>
      <c r="H404" s="76">
        <v>0.25250400000000001</v>
      </c>
      <c r="I404" s="76">
        <v>0.71958578978978982</v>
      </c>
      <c r="J404" s="63"/>
      <c r="K404" s="63"/>
      <c r="L404" s="63"/>
      <c r="M404" s="63"/>
    </row>
    <row r="405" spans="1:14" ht="11.25">
      <c r="A405" s="9">
        <f t="shared" si="24"/>
        <v>351</v>
      </c>
      <c r="B405" s="11" t="s">
        <v>206</v>
      </c>
      <c r="C405" s="107">
        <f t="shared" si="25"/>
        <v>31.752500000000001</v>
      </c>
      <c r="D405" s="40">
        <f>45+3.85</f>
        <v>48.85</v>
      </c>
      <c r="E405" s="66">
        <f t="shared" si="23"/>
        <v>49.822089789789793</v>
      </c>
      <c r="F405" s="10"/>
      <c r="G405" s="10"/>
      <c r="H405" s="76">
        <v>0.25250400000000001</v>
      </c>
      <c r="I405" s="76">
        <v>0.71958578978978982</v>
      </c>
      <c r="J405" s="63"/>
      <c r="K405" s="63"/>
      <c r="L405" s="63"/>
      <c r="M405" s="63"/>
    </row>
    <row r="406" spans="1:14" ht="11.25">
      <c r="A406" s="9">
        <f t="shared" si="24"/>
        <v>352</v>
      </c>
      <c r="B406" s="11" t="s">
        <v>251</v>
      </c>
      <c r="C406" s="107">
        <f t="shared" si="25"/>
        <v>30.55</v>
      </c>
      <c r="D406" s="40">
        <v>47</v>
      </c>
      <c r="E406" s="66">
        <f t="shared" si="23"/>
        <v>47.972089789789791</v>
      </c>
      <c r="F406" s="10"/>
      <c r="G406" s="10"/>
      <c r="H406" s="76">
        <v>0.25250400000000001</v>
      </c>
      <c r="I406" s="76">
        <v>0.71958578978978982</v>
      </c>
      <c r="J406" s="63"/>
      <c r="K406" s="63"/>
      <c r="L406" s="63"/>
      <c r="M406" s="63"/>
    </row>
    <row r="407" spans="1:14" ht="11.25">
      <c r="A407" s="9">
        <f t="shared" si="24"/>
        <v>353</v>
      </c>
      <c r="B407" s="11" t="s">
        <v>207</v>
      </c>
      <c r="C407" s="107">
        <f t="shared" si="25"/>
        <v>30.55</v>
      </c>
      <c r="D407" s="40">
        <v>47</v>
      </c>
      <c r="E407" s="66">
        <f t="shared" si="23"/>
        <v>47.972089789789791</v>
      </c>
      <c r="F407" s="10"/>
      <c r="G407" s="10"/>
      <c r="H407" s="76">
        <v>0.25250400000000001</v>
      </c>
      <c r="I407" s="76">
        <v>0.71958578978978982</v>
      </c>
      <c r="J407" s="63"/>
      <c r="K407" s="63"/>
      <c r="L407" s="63"/>
      <c r="M407" s="63"/>
    </row>
    <row r="408" spans="1:14" ht="11.25">
      <c r="A408" s="9">
        <f t="shared" si="24"/>
        <v>354</v>
      </c>
      <c r="B408" s="11" t="s">
        <v>234</v>
      </c>
      <c r="C408" s="107">
        <f t="shared" si="25"/>
        <v>30.7775</v>
      </c>
      <c r="D408" s="40">
        <v>47.35</v>
      </c>
      <c r="E408" s="66">
        <f t="shared" si="23"/>
        <v>48.322089789789793</v>
      </c>
      <c r="F408" s="10"/>
      <c r="G408" s="10"/>
      <c r="H408" s="76">
        <v>0.25250400000000001</v>
      </c>
      <c r="I408" s="76">
        <v>0.71958578978978982</v>
      </c>
      <c r="J408" s="63"/>
      <c r="K408" s="63"/>
      <c r="L408" s="63"/>
      <c r="M408" s="63"/>
    </row>
    <row r="409" spans="1:14" ht="11.25">
      <c r="A409" s="9">
        <f t="shared" si="24"/>
        <v>355</v>
      </c>
      <c r="B409" s="11" t="s">
        <v>208</v>
      </c>
      <c r="C409" s="107">
        <f t="shared" si="25"/>
        <v>30.581849999999999</v>
      </c>
      <c r="D409" s="40">
        <v>47.048999999999999</v>
      </c>
      <c r="E409" s="66">
        <f t="shared" si="23"/>
        <v>48.021089789789791</v>
      </c>
      <c r="F409" s="10"/>
      <c r="G409" s="10"/>
      <c r="H409" s="76">
        <v>0.25250400000000001</v>
      </c>
      <c r="I409" s="76">
        <v>0.71958578978978982</v>
      </c>
      <c r="J409" s="63"/>
      <c r="K409" s="63"/>
      <c r="L409" s="63"/>
      <c r="M409" s="63"/>
    </row>
    <row r="410" spans="1:14" ht="11.25">
      <c r="A410" s="9">
        <f t="shared" si="24"/>
        <v>356</v>
      </c>
      <c r="B410" s="11" t="s">
        <v>209</v>
      </c>
      <c r="C410" s="107">
        <f t="shared" si="25"/>
        <v>2.5024999999999999</v>
      </c>
      <c r="D410" s="40">
        <v>3.85</v>
      </c>
      <c r="E410" s="66">
        <f t="shared" si="23"/>
        <v>4.8220897897897901</v>
      </c>
      <c r="F410" s="10"/>
      <c r="G410" s="10"/>
      <c r="H410" s="76">
        <v>0.25250400000000001</v>
      </c>
      <c r="I410" s="76">
        <v>0.71958578978978982</v>
      </c>
      <c r="J410" s="63"/>
      <c r="K410" s="63"/>
      <c r="L410" s="63"/>
      <c r="M410" s="63"/>
      <c r="N410" s="54"/>
    </row>
    <row r="411" spans="1:14" ht="11.25">
      <c r="A411" s="9">
        <f t="shared" si="24"/>
        <v>357</v>
      </c>
      <c r="B411" s="11" t="s">
        <v>215</v>
      </c>
      <c r="C411" s="107">
        <f t="shared" si="25"/>
        <v>20.8</v>
      </c>
      <c r="D411" s="40">
        <v>32</v>
      </c>
      <c r="E411" s="66">
        <f t="shared" si="23"/>
        <v>32.972089789789791</v>
      </c>
      <c r="F411" s="10"/>
      <c r="G411" s="10">
        <v>43.85</v>
      </c>
      <c r="H411" s="76">
        <v>0.25250400000000001</v>
      </c>
      <c r="I411" s="76">
        <v>0.71958578978978982</v>
      </c>
      <c r="J411" s="63"/>
      <c r="K411" s="63"/>
      <c r="L411" s="63"/>
      <c r="M411" s="63"/>
      <c r="N411" s="55"/>
    </row>
    <row r="412" spans="1:14" ht="11.25">
      <c r="A412" s="9">
        <f t="shared" si="24"/>
        <v>358</v>
      </c>
      <c r="B412" s="11" t="s">
        <v>218</v>
      </c>
      <c r="C412" s="107">
        <f t="shared" si="25"/>
        <v>22.75</v>
      </c>
      <c r="D412" s="40">
        <v>35</v>
      </c>
      <c r="E412" s="66">
        <f t="shared" si="23"/>
        <v>35.972089789789791</v>
      </c>
      <c r="F412" s="10"/>
      <c r="G412" s="10"/>
      <c r="H412" s="76">
        <v>0.25250400000000001</v>
      </c>
      <c r="I412" s="76">
        <v>0.71958578978978982</v>
      </c>
      <c r="J412" s="63"/>
      <c r="K412" s="63"/>
      <c r="L412" s="63"/>
      <c r="M412" s="63"/>
      <c r="N412" s="56"/>
    </row>
    <row r="413" spans="1:14" ht="11.25">
      <c r="A413" s="9">
        <f>A411+1</f>
        <v>358</v>
      </c>
      <c r="B413" s="11" t="s">
        <v>389</v>
      </c>
      <c r="C413" s="107">
        <f t="shared" si="25"/>
        <v>14.3</v>
      </c>
      <c r="D413" s="40">
        <v>22</v>
      </c>
      <c r="E413" s="66">
        <f>SUM(H413:I413)+D413</f>
        <v>22.972089789789791</v>
      </c>
      <c r="F413" s="10"/>
      <c r="G413" s="10"/>
      <c r="H413" s="76">
        <v>0.25250400000000001</v>
      </c>
      <c r="I413" s="76">
        <v>0.71958578978978982</v>
      </c>
      <c r="J413" s="63"/>
      <c r="K413" s="63"/>
      <c r="L413" s="63"/>
      <c r="M413" s="63"/>
      <c r="N413" s="56"/>
    </row>
    <row r="414" spans="1:14" ht="11.25">
      <c r="A414" s="9">
        <f>A412+1</f>
        <v>359</v>
      </c>
      <c r="B414" s="11" t="s">
        <v>379</v>
      </c>
      <c r="C414" s="107">
        <f t="shared" si="25"/>
        <v>14.3</v>
      </c>
      <c r="D414" s="40">
        <v>22</v>
      </c>
      <c r="E414" s="66">
        <f t="shared" si="23"/>
        <v>22.972089789789791</v>
      </c>
      <c r="F414" s="10"/>
      <c r="G414" s="10"/>
      <c r="H414" s="76">
        <v>0.25250400000000001</v>
      </c>
      <c r="I414" s="76">
        <v>0.71958578978978982</v>
      </c>
      <c r="J414" s="63"/>
      <c r="K414" s="63"/>
      <c r="L414" s="63"/>
      <c r="M414" s="63"/>
      <c r="N414" s="56"/>
    </row>
    <row r="415" spans="1:14" ht="11.25">
      <c r="A415" s="9"/>
      <c r="B415" s="11" t="s">
        <v>426</v>
      </c>
      <c r="C415" s="107">
        <f t="shared" si="25"/>
        <v>14.3</v>
      </c>
      <c r="D415" s="40">
        <v>22</v>
      </c>
      <c r="E415" s="66"/>
      <c r="F415" s="10"/>
      <c r="G415" s="10"/>
      <c r="H415" s="76"/>
      <c r="I415" s="76"/>
      <c r="J415" s="63"/>
      <c r="K415" s="63"/>
      <c r="L415" s="63"/>
      <c r="M415" s="63"/>
      <c r="N415" s="56"/>
    </row>
    <row r="416" spans="1:14" ht="11.25">
      <c r="A416" s="9"/>
      <c r="B416" s="11" t="s">
        <v>427</v>
      </c>
      <c r="C416" s="107">
        <f t="shared" si="25"/>
        <v>14.3</v>
      </c>
      <c r="D416" s="40">
        <v>22</v>
      </c>
      <c r="E416" s="66"/>
      <c r="F416" s="10"/>
      <c r="G416" s="10"/>
      <c r="H416" s="76"/>
      <c r="I416" s="76"/>
      <c r="J416" s="63"/>
      <c r="K416" s="63"/>
      <c r="L416" s="63"/>
      <c r="M416" s="63"/>
      <c r="N416" s="56"/>
    </row>
    <row r="417" spans="1:14" ht="11.25">
      <c r="A417" s="9">
        <f>A414+1</f>
        <v>360</v>
      </c>
      <c r="B417" s="11" t="s">
        <v>413</v>
      </c>
      <c r="C417" s="107">
        <f t="shared" si="25"/>
        <v>14.3</v>
      </c>
      <c r="D417" s="40">
        <v>22</v>
      </c>
      <c r="E417" s="66">
        <f t="shared" si="23"/>
        <v>22.972089789789791</v>
      </c>
      <c r="F417" s="10"/>
      <c r="G417" s="10"/>
      <c r="H417" s="76">
        <v>0.25250400000000001</v>
      </c>
      <c r="I417" s="76">
        <v>0.71958578978978982</v>
      </c>
      <c r="J417" s="63"/>
      <c r="K417" s="63"/>
      <c r="L417" s="63"/>
      <c r="M417" s="63"/>
      <c r="N417" s="56"/>
    </row>
    <row r="418" spans="1:14" ht="11.25">
      <c r="A418" s="9">
        <f t="shared" si="24"/>
        <v>361</v>
      </c>
      <c r="B418" s="11" t="s">
        <v>224</v>
      </c>
      <c r="C418" s="107">
        <f t="shared" si="25"/>
        <v>23.725000000000001</v>
      </c>
      <c r="D418" s="40">
        <v>36.5</v>
      </c>
      <c r="E418" s="66">
        <f t="shared" si="23"/>
        <v>37.472089789789791</v>
      </c>
      <c r="F418" s="10"/>
      <c r="G418" s="10">
        <v>32</v>
      </c>
      <c r="H418" s="76">
        <v>0.25250400000000001</v>
      </c>
      <c r="I418" s="76">
        <v>0.71958578978978982</v>
      </c>
      <c r="J418" s="63"/>
      <c r="K418" s="63"/>
      <c r="L418" s="63"/>
      <c r="M418" s="63"/>
      <c r="N418" s="55"/>
    </row>
    <row r="419" spans="1:14" ht="11.25">
      <c r="A419" s="9">
        <f t="shared" si="24"/>
        <v>362</v>
      </c>
      <c r="B419" s="11" t="s">
        <v>246</v>
      </c>
      <c r="C419" s="107">
        <f t="shared" si="25"/>
        <v>31.752500000000001</v>
      </c>
      <c r="D419" s="40">
        <f>45+3.85</f>
        <v>48.85</v>
      </c>
      <c r="E419" s="66">
        <f t="shared" si="23"/>
        <v>49.822089789789793</v>
      </c>
      <c r="F419" s="10"/>
      <c r="G419" s="10"/>
      <c r="H419" s="76">
        <v>0.25250400000000001</v>
      </c>
      <c r="I419" s="76">
        <v>0.71958578978978982</v>
      </c>
      <c r="J419" s="63"/>
      <c r="K419" s="63"/>
      <c r="L419" s="63"/>
      <c r="M419" s="63"/>
      <c r="N419" s="56"/>
    </row>
    <row r="420" spans="1:14" ht="11.25">
      <c r="A420" s="9">
        <f>A418+1</f>
        <v>362</v>
      </c>
      <c r="B420" s="11" t="s">
        <v>252</v>
      </c>
      <c r="C420" s="107">
        <f t="shared" si="25"/>
        <v>1.625</v>
      </c>
      <c r="D420" s="40">
        <v>2.5</v>
      </c>
      <c r="E420" s="66">
        <f t="shared" si="23"/>
        <v>3.4720897897897895</v>
      </c>
      <c r="F420" s="40"/>
      <c r="G420" s="40">
        <v>2.395</v>
      </c>
      <c r="H420" s="76">
        <v>0.25250400000000001</v>
      </c>
      <c r="I420" s="76">
        <v>0.71958578978978982</v>
      </c>
      <c r="J420" s="76"/>
      <c r="K420" s="76"/>
      <c r="L420" s="76"/>
      <c r="M420" s="76"/>
      <c r="N420" s="56"/>
    </row>
    <row r="421" spans="1:14" ht="11.25">
      <c r="A421" s="9">
        <f>A419+1</f>
        <v>363</v>
      </c>
      <c r="B421" s="11" t="s">
        <v>358</v>
      </c>
      <c r="C421" s="107">
        <f t="shared" si="25"/>
        <v>1.625</v>
      </c>
      <c r="D421" s="40">
        <v>2.5</v>
      </c>
      <c r="E421" s="66">
        <f t="shared" si="23"/>
        <v>3.4720897897897895</v>
      </c>
      <c r="F421" s="40"/>
      <c r="G421" s="40">
        <v>2.395</v>
      </c>
      <c r="H421" s="76">
        <v>0.25250400000000001</v>
      </c>
      <c r="I421" s="76">
        <v>0.71958578978978982</v>
      </c>
      <c r="J421" s="76"/>
      <c r="K421" s="76"/>
      <c r="L421" s="76"/>
      <c r="M421" s="76"/>
      <c r="N421" s="56"/>
    </row>
    <row r="422" spans="1:14" ht="11.25">
      <c r="A422" s="9">
        <f t="shared" si="24"/>
        <v>364</v>
      </c>
      <c r="B422" s="11" t="s">
        <v>278</v>
      </c>
      <c r="C422" s="107">
        <f t="shared" si="25"/>
        <v>1.625</v>
      </c>
      <c r="D422" s="40">
        <v>2.5</v>
      </c>
      <c r="E422" s="66">
        <f t="shared" si="23"/>
        <v>3.4720897897897895</v>
      </c>
      <c r="F422" s="40"/>
      <c r="G422" s="40"/>
      <c r="H422" s="76">
        <v>0.25250400000000001</v>
      </c>
      <c r="I422" s="76">
        <v>0.71958578978978982</v>
      </c>
      <c r="J422" s="76"/>
      <c r="K422" s="76"/>
      <c r="L422" s="76"/>
      <c r="M422" s="76"/>
      <c r="N422" s="56"/>
    </row>
    <row r="423" spans="1:14" ht="11.25">
      <c r="A423" s="9">
        <f t="shared" si="24"/>
        <v>365</v>
      </c>
      <c r="B423" s="11" t="s">
        <v>253</v>
      </c>
      <c r="C423" s="107">
        <f t="shared" si="25"/>
        <v>36.4</v>
      </c>
      <c r="D423" s="40">
        <v>56</v>
      </c>
      <c r="E423" s="66">
        <f t="shared" si="23"/>
        <v>56.972089789789791</v>
      </c>
      <c r="F423" s="10"/>
      <c r="G423" s="10"/>
      <c r="H423" s="76">
        <v>0.25250400000000001</v>
      </c>
      <c r="I423" s="76">
        <v>0.71958578978978982</v>
      </c>
      <c r="J423" s="63"/>
      <c r="K423" s="63"/>
      <c r="L423" s="63"/>
      <c r="M423" s="63"/>
      <c r="N423" s="55"/>
    </row>
    <row r="424" spans="1:14" ht="11.25">
      <c r="A424" s="9">
        <f>A422+1</f>
        <v>365</v>
      </c>
      <c r="B424" s="11" t="s">
        <v>254</v>
      </c>
      <c r="C424" s="107">
        <f t="shared" si="25"/>
        <v>1.625</v>
      </c>
      <c r="D424" s="40">
        <v>2.5</v>
      </c>
      <c r="E424" s="66">
        <f>SUM(H424:I424)+D424</f>
        <v>3.4720897897897895</v>
      </c>
      <c r="F424" s="40"/>
      <c r="G424" s="10"/>
      <c r="H424" s="76">
        <v>0.25250400000000001</v>
      </c>
      <c r="I424" s="76">
        <v>0.71958578978978982</v>
      </c>
      <c r="J424" s="63"/>
      <c r="K424" s="63"/>
      <c r="L424" s="63"/>
      <c r="M424" s="63"/>
    </row>
    <row r="425" spans="1:14" ht="11.25">
      <c r="A425" s="9">
        <f>A423+1</f>
        <v>366</v>
      </c>
      <c r="B425" s="11" t="s">
        <v>365</v>
      </c>
      <c r="C425" s="107">
        <f t="shared" si="25"/>
        <v>1.625</v>
      </c>
      <c r="D425" s="40">
        <v>2.5</v>
      </c>
      <c r="E425" s="66">
        <f t="shared" si="23"/>
        <v>3.4720897897897895</v>
      </c>
      <c r="F425" s="40"/>
      <c r="G425" s="10"/>
      <c r="H425" s="76">
        <v>0.25250400000000001</v>
      </c>
      <c r="I425" s="76">
        <v>0.71958578978978982</v>
      </c>
      <c r="J425" s="63"/>
      <c r="K425" s="63"/>
      <c r="L425" s="63"/>
      <c r="M425" s="63"/>
    </row>
    <row r="426" spans="1:14" ht="11.25">
      <c r="A426" s="9">
        <f t="shared" si="24"/>
        <v>367</v>
      </c>
      <c r="B426" s="11" t="s">
        <v>283</v>
      </c>
      <c r="C426" s="107">
        <f t="shared" si="25"/>
        <v>1.625</v>
      </c>
      <c r="D426" s="40">
        <v>2.5</v>
      </c>
      <c r="E426" s="66">
        <f t="shared" si="23"/>
        <v>3.4720897897897895</v>
      </c>
      <c r="F426" s="40"/>
      <c r="G426" s="10"/>
      <c r="H426" s="76">
        <v>0.25250400000000001</v>
      </c>
      <c r="I426" s="76">
        <v>0.71958578978978982</v>
      </c>
      <c r="J426" s="63"/>
      <c r="K426" s="63"/>
      <c r="L426" s="63"/>
      <c r="M426" s="63"/>
    </row>
    <row r="427" spans="1:14" ht="11.25">
      <c r="A427" s="9">
        <f t="shared" si="24"/>
        <v>368</v>
      </c>
      <c r="B427" s="11" t="s">
        <v>279</v>
      </c>
      <c r="C427" s="107">
        <f t="shared" si="25"/>
        <v>1.625</v>
      </c>
      <c r="D427" s="40">
        <v>2.5</v>
      </c>
      <c r="E427" s="66">
        <f t="shared" si="23"/>
        <v>3.4720897897897895</v>
      </c>
      <c r="F427" s="40"/>
      <c r="G427" s="10"/>
      <c r="H427" s="76">
        <v>0.25250400000000001</v>
      </c>
      <c r="I427" s="76">
        <v>0.71958578978978982</v>
      </c>
      <c r="J427" s="63"/>
      <c r="K427" s="63"/>
      <c r="L427" s="63"/>
      <c r="M427" s="63"/>
    </row>
    <row r="428" spans="1:14" ht="11.25">
      <c r="A428" s="9">
        <f t="shared" si="24"/>
        <v>369</v>
      </c>
      <c r="B428" s="11">
        <v>30891</v>
      </c>
      <c r="C428" s="107">
        <f t="shared" si="25"/>
        <v>11.7</v>
      </c>
      <c r="D428" s="40">
        <v>18</v>
      </c>
      <c r="E428" s="66">
        <f t="shared" si="23"/>
        <v>18.972089789789791</v>
      </c>
      <c r="F428" s="10"/>
      <c r="G428" s="10"/>
      <c r="H428" s="76">
        <v>0.25250400000000001</v>
      </c>
      <c r="I428" s="76">
        <v>0.71958578978978982</v>
      </c>
      <c r="J428" s="63"/>
      <c r="K428" s="63"/>
      <c r="L428" s="63"/>
      <c r="M428" s="63"/>
    </row>
    <row r="429" spans="1:14" ht="11.25">
      <c r="A429" s="9">
        <f>A427+1</f>
        <v>369</v>
      </c>
      <c r="B429" s="11" t="s">
        <v>378</v>
      </c>
      <c r="C429" s="107">
        <f t="shared" si="25"/>
        <v>22.1</v>
      </c>
      <c r="D429" s="40">
        <v>34</v>
      </c>
      <c r="E429" s="66">
        <f>SUM(H429:I429)+D429</f>
        <v>34.972089789789791</v>
      </c>
      <c r="F429" s="10"/>
      <c r="G429" s="10">
        <v>32.65</v>
      </c>
      <c r="H429" s="76">
        <v>0.25250400000000001</v>
      </c>
      <c r="I429" s="76">
        <v>0.71958578978978982</v>
      </c>
      <c r="J429" s="63"/>
      <c r="K429" s="63"/>
      <c r="L429" s="63"/>
      <c r="M429" s="63"/>
    </row>
    <row r="430" spans="1:14" ht="11.25">
      <c r="A430" s="9">
        <f>A428+1</f>
        <v>370</v>
      </c>
      <c r="B430" s="11" t="s">
        <v>271</v>
      </c>
      <c r="C430" s="107">
        <f t="shared" si="25"/>
        <v>22.1</v>
      </c>
      <c r="D430" s="40">
        <v>34</v>
      </c>
      <c r="E430" s="66">
        <f t="shared" si="23"/>
        <v>34.972089789789791</v>
      </c>
      <c r="F430" s="10"/>
      <c r="G430" s="10">
        <v>32.65</v>
      </c>
      <c r="H430" s="76">
        <v>0.25250400000000001</v>
      </c>
      <c r="I430" s="76">
        <v>0.71958578978978982</v>
      </c>
      <c r="J430" s="63"/>
      <c r="K430" s="63"/>
      <c r="L430" s="63"/>
      <c r="M430" s="63"/>
    </row>
    <row r="431" spans="1:14" ht="11.25">
      <c r="A431" s="9">
        <f t="shared" si="24"/>
        <v>371</v>
      </c>
      <c r="B431" s="11" t="s">
        <v>335</v>
      </c>
      <c r="C431" s="107">
        <f t="shared" si="25"/>
        <v>22.1</v>
      </c>
      <c r="D431" s="40">
        <v>34</v>
      </c>
      <c r="E431" s="66">
        <f t="shared" si="23"/>
        <v>34.972089789789791</v>
      </c>
      <c r="F431" s="10"/>
      <c r="G431" s="10">
        <v>32.65</v>
      </c>
      <c r="H431" s="76">
        <v>0.25250400000000001</v>
      </c>
      <c r="I431" s="76">
        <v>0.71958578978978982</v>
      </c>
      <c r="J431" s="63"/>
      <c r="K431" s="63"/>
      <c r="L431" s="63"/>
      <c r="M431" s="63"/>
    </row>
    <row r="432" spans="1:14" ht="11.25">
      <c r="A432" s="9">
        <f>A430+1</f>
        <v>371</v>
      </c>
      <c r="B432" s="11" t="s">
        <v>384</v>
      </c>
      <c r="C432" s="107">
        <f t="shared" si="25"/>
        <v>16.574999999999999</v>
      </c>
      <c r="D432" s="40">
        <v>25.5</v>
      </c>
      <c r="E432" s="66">
        <f>SUM(H432:I432)+D432</f>
        <v>26.472089789789791</v>
      </c>
      <c r="F432" s="10"/>
      <c r="G432" s="10">
        <v>32.65</v>
      </c>
      <c r="H432" s="76">
        <v>0.25250400000000001</v>
      </c>
      <c r="I432" s="76">
        <v>0.71958578978978982</v>
      </c>
      <c r="J432" s="63"/>
      <c r="K432" s="63"/>
      <c r="L432" s="63"/>
      <c r="M432" s="63"/>
    </row>
    <row r="433" spans="1:13" ht="11.25">
      <c r="A433" s="9">
        <f>A431+1</f>
        <v>372</v>
      </c>
      <c r="B433" s="11" t="s">
        <v>324</v>
      </c>
      <c r="C433" s="107">
        <f t="shared" si="25"/>
        <v>16.574999999999999</v>
      </c>
      <c r="D433" s="40">
        <v>25.5</v>
      </c>
      <c r="E433" s="66">
        <f t="shared" si="23"/>
        <v>26.472089789789791</v>
      </c>
      <c r="F433" s="10"/>
      <c r="G433" s="10">
        <v>32.65</v>
      </c>
      <c r="H433" s="76">
        <v>0.25250400000000001</v>
      </c>
      <c r="I433" s="76">
        <v>0.71958578978978982</v>
      </c>
      <c r="J433" s="63"/>
      <c r="K433" s="63"/>
      <c r="L433" s="63"/>
      <c r="M433" s="63"/>
    </row>
    <row r="434" spans="1:13" ht="11.25">
      <c r="A434" s="9">
        <f t="shared" si="24"/>
        <v>373</v>
      </c>
      <c r="B434" s="11" t="s">
        <v>357</v>
      </c>
      <c r="C434" s="107">
        <f t="shared" si="25"/>
        <v>10.2544</v>
      </c>
      <c r="D434" s="40">
        <v>15.776</v>
      </c>
      <c r="E434" s="66">
        <f t="shared" si="23"/>
        <v>16.748089789789791</v>
      </c>
      <c r="F434" s="10"/>
      <c r="G434" s="10"/>
      <c r="H434" s="76">
        <v>0.25250400000000001</v>
      </c>
      <c r="I434" s="76">
        <v>0.71958578978978982</v>
      </c>
      <c r="J434" s="63"/>
      <c r="K434" s="63"/>
      <c r="L434" s="63"/>
      <c r="M434" s="63"/>
    </row>
    <row r="435" spans="1:13" ht="11.25">
      <c r="A435" s="9">
        <f t="shared" si="24"/>
        <v>374</v>
      </c>
      <c r="B435" s="11" t="s">
        <v>293</v>
      </c>
      <c r="C435" s="107">
        <f t="shared" si="25"/>
        <v>16.574999999999999</v>
      </c>
      <c r="D435" s="40">
        <v>25.5</v>
      </c>
      <c r="E435" s="66">
        <f t="shared" si="23"/>
        <v>26.472089789789791</v>
      </c>
      <c r="F435" s="10"/>
      <c r="G435" s="10">
        <v>32.65</v>
      </c>
      <c r="H435" s="76">
        <v>0.25250400000000001</v>
      </c>
      <c r="I435" s="76">
        <v>0.71958578978978982</v>
      </c>
      <c r="J435" s="63"/>
      <c r="K435" s="63"/>
      <c r="L435" s="63"/>
      <c r="M435" s="63"/>
    </row>
    <row r="436" spans="1:13" ht="11.25">
      <c r="A436" s="9">
        <f t="shared" si="24"/>
        <v>375</v>
      </c>
      <c r="B436" s="11" t="s">
        <v>223</v>
      </c>
      <c r="C436" s="107">
        <f t="shared" si="25"/>
        <v>0.40560000000000002</v>
      </c>
      <c r="D436" s="40">
        <v>0.624</v>
      </c>
      <c r="E436" s="66">
        <f t="shared" si="23"/>
        <v>1.5960897897897897</v>
      </c>
      <c r="F436" s="40"/>
      <c r="G436" s="10"/>
      <c r="H436" s="76">
        <v>0.25250400000000001</v>
      </c>
      <c r="I436" s="76">
        <v>0.71958578978978982</v>
      </c>
      <c r="J436" s="63"/>
      <c r="K436" s="63"/>
      <c r="L436" s="63"/>
      <c r="M436" s="63"/>
    </row>
    <row r="437" spans="1:13" ht="11.25">
      <c r="A437" s="9">
        <f t="shared" si="24"/>
        <v>376</v>
      </c>
      <c r="B437" s="11" t="s">
        <v>256</v>
      </c>
      <c r="C437" s="107">
        <f t="shared" si="25"/>
        <v>9.75</v>
      </c>
      <c r="D437" s="40">
        <v>15</v>
      </c>
      <c r="E437" s="66">
        <f t="shared" si="23"/>
        <v>15.97208978978979</v>
      </c>
      <c r="F437" s="10"/>
      <c r="G437" s="10">
        <v>11.121</v>
      </c>
      <c r="H437" s="76">
        <v>0.25250400000000001</v>
      </c>
      <c r="I437" s="76">
        <v>0.71958578978978982</v>
      </c>
      <c r="J437" s="63"/>
      <c r="K437" s="63"/>
      <c r="L437" s="63"/>
      <c r="M437" s="63"/>
    </row>
    <row r="438" spans="1:13" ht="11.25">
      <c r="A438" s="9">
        <f>A436+1</f>
        <v>376</v>
      </c>
      <c r="B438" s="11" t="s">
        <v>334</v>
      </c>
      <c r="C438" s="107">
        <f t="shared" si="25"/>
        <v>9.75</v>
      </c>
      <c r="D438" s="40">
        <v>15</v>
      </c>
      <c r="E438" s="66">
        <f>SUM(H438:I438)+D438</f>
        <v>15.97208978978979</v>
      </c>
      <c r="F438" s="10"/>
      <c r="G438" s="10"/>
      <c r="H438" s="76">
        <v>0.25250400000000001</v>
      </c>
      <c r="I438" s="76">
        <v>0.71958578978978982</v>
      </c>
      <c r="J438" s="63"/>
      <c r="K438" s="63"/>
      <c r="L438" s="63"/>
      <c r="M438" s="63"/>
    </row>
    <row r="439" spans="1:13" ht="11.25">
      <c r="A439" s="9">
        <f>A437+1</f>
        <v>377</v>
      </c>
      <c r="B439" s="11" t="s">
        <v>407</v>
      </c>
      <c r="C439" s="107">
        <f t="shared" si="25"/>
        <v>11.602499999999999</v>
      </c>
      <c r="D439" s="40">
        <v>17.850000000000001</v>
      </c>
      <c r="E439" s="66" t="s">
        <v>408</v>
      </c>
      <c r="F439" s="10"/>
      <c r="G439" s="10"/>
      <c r="H439" s="76">
        <v>0.25250400000000001</v>
      </c>
      <c r="I439" s="76">
        <v>0.71958578978978982</v>
      </c>
      <c r="J439" s="63"/>
      <c r="K439" s="63"/>
      <c r="L439" s="63"/>
      <c r="M439" s="63"/>
    </row>
    <row r="440" spans="1:13" ht="11.25">
      <c r="A440" s="9">
        <f t="shared" si="24"/>
        <v>378</v>
      </c>
      <c r="B440" s="11" t="s">
        <v>316</v>
      </c>
      <c r="C440" s="107">
        <f t="shared" si="25"/>
        <v>0.22750000000000001</v>
      </c>
      <c r="D440" s="40">
        <v>0.35</v>
      </c>
      <c r="E440" s="66">
        <f t="shared" si="23"/>
        <v>1.3220897897897896</v>
      </c>
      <c r="F440" s="10"/>
      <c r="G440" s="10"/>
      <c r="H440" s="76">
        <v>0.25250400000000001</v>
      </c>
      <c r="I440" s="76">
        <v>0.71958578978978982</v>
      </c>
      <c r="J440" s="63"/>
      <c r="K440" s="63"/>
      <c r="L440" s="63"/>
      <c r="M440" s="63"/>
    </row>
    <row r="441" spans="1:13" ht="11.25">
      <c r="A441" s="9">
        <f t="shared" si="24"/>
        <v>379</v>
      </c>
      <c r="B441" s="11" t="s">
        <v>257</v>
      </c>
      <c r="C441" s="107">
        <f t="shared" si="25"/>
        <v>12.025</v>
      </c>
      <c r="D441" s="40">
        <v>18.5</v>
      </c>
      <c r="E441" s="66">
        <f t="shared" si="23"/>
        <v>19.472089789789791</v>
      </c>
      <c r="F441" s="10"/>
      <c r="G441" s="10"/>
      <c r="H441" s="76">
        <v>0.25250400000000001</v>
      </c>
      <c r="I441" s="76">
        <v>0.71958578978978982</v>
      </c>
      <c r="J441" s="63"/>
      <c r="K441" s="63"/>
      <c r="L441" s="63"/>
      <c r="M441" s="63"/>
    </row>
    <row r="442" spans="1:13" ht="11.25">
      <c r="A442" s="9">
        <f t="shared" si="24"/>
        <v>380</v>
      </c>
      <c r="B442" s="11" t="s">
        <v>258</v>
      </c>
      <c r="C442" s="107">
        <f t="shared" si="25"/>
        <v>11.05</v>
      </c>
      <c r="D442" s="40">
        <v>17</v>
      </c>
      <c r="E442" s="66">
        <f t="shared" si="23"/>
        <v>17.972089789789791</v>
      </c>
      <c r="F442" s="10"/>
      <c r="G442" s="10">
        <v>21</v>
      </c>
      <c r="H442" s="76">
        <v>0.25250400000000001</v>
      </c>
      <c r="I442" s="76">
        <v>0.71958578978978982</v>
      </c>
      <c r="J442" s="63"/>
      <c r="K442" s="63"/>
      <c r="L442" s="63"/>
      <c r="M442" s="63"/>
    </row>
    <row r="443" spans="1:13" ht="11.25">
      <c r="A443" s="9">
        <f>A441+1</f>
        <v>380</v>
      </c>
      <c r="B443" s="11" t="s">
        <v>327</v>
      </c>
      <c r="C443" s="107">
        <f t="shared" si="25"/>
        <v>1.625</v>
      </c>
      <c r="D443" s="40">
        <v>2.5</v>
      </c>
      <c r="E443" s="66">
        <f>SUM(H443:I443)+D443</f>
        <v>3.4720897897897895</v>
      </c>
      <c r="F443" s="10"/>
      <c r="G443" s="10">
        <v>21</v>
      </c>
      <c r="H443" s="76">
        <v>0.25250400000000001</v>
      </c>
      <c r="I443" s="76">
        <v>0.71958578978978982</v>
      </c>
      <c r="J443" s="63"/>
      <c r="K443" s="63"/>
      <c r="L443" s="63"/>
      <c r="M443" s="63"/>
    </row>
    <row r="444" spans="1:13" ht="11.25">
      <c r="A444" s="9">
        <f>A442+1</f>
        <v>381</v>
      </c>
      <c r="B444" s="11" t="s">
        <v>376</v>
      </c>
      <c r="C444" s="107">
        <f t="shared" si="25"/>
        <v>1.3357500000000002</v>
      </c>
      <c r="D444" s="40">
        <v>2.0550000000000002</v>
      </c>
      <c r="E444" s="66">
        <f t="shared" si="23"/>
        <v>3.0270897897897902</v>
      </c>
      <c r="F444" s="10"/>
      <c r="G444" s="10">
        <v>21</v>
      </c>
      <c r="H444" s="76">
        <v>0.25250400000000001</v>
      </c>
      <c r="I444" s="76">
        <v>0.71958578978978982</v>
      </c>
      <c r="J444" s="63"/>
      <c r="K444" s="63"/>
      <c r="L444" s="63"/>
      <c r="M444" s="63"/>
    </row>
    <row r="445" spans="1:13" ht="11.25">
      <c r="A445" s="9">
        <f t="shared" si="24"/>
        <v>382</v>
      </c>
      <c r="B445" s="11" t="s">
        <v>261</v>
      </c>
      <c r="C445" s="107">
        <f t="shared" si="25"/>
        <v>30.225000000000001</v>
      </c>
      <c r="D445" s="40">
        <v>46.5</v>
      </c>
      <c r="E445" s="66">
        <f t="shared" si="23"/>
        <v>47.472089789789791</v>
      </c>
      <c r="F445" s="10"/>
      <c r="G445" s="10"/>
      <c r="H445" s="76">
        <v>0.25250400000000001</v>
      </c>
      <c r="I445" s="76">
        <v>0.71958578978978982</v>
      </c>
      <c r="J445" s="63"/>
      <c r="K445" s="63"/>
      <c r="L445" s="63"/>
      <c r="M445" s="63"/>
    </row>
    <row r="446" spans="1:13" ht="11.25">
      <c r="A446" s="9">
        <f t="shared" si="24"/>
        <v>383</v>
      </c>
      <c r="B446" s="11" t="s">
        <v>262</v>
      </c>
      <c r="C446" s="107">
        <f t="shared" si="25"/>
        <v>2.6864499999999998</v>
      </c>
      <c r="D446" s="40">
        <v>4.133</v>
      </c>
      <c r="E446" s="66">
        <f t="shared" ref="E446:E484" si="26">SUM(H446:I446)+D446</f>
        <v>5.1050897897897896</v>
      </c>
      <c r="F446" s="10"/>
      <c r="G446" s="10"/>
      <c r="H446" s="76">
        <v>0.25250400000000001</v>
      </c>
      <c r="I446" s="76">
        <v>0.71958578978978982</v>
      </c>
      <c r="J446" s="63"/>
      <c r="K446" s="63"/>
      <c r="L446" s="63"/>
      <c r="M446" s="63"/>
    </row>
    <row r="447" spans="1:13" ht="11.25">
      <c r="A447" s="9">
        <f t="shared" si="24"/>
        <v>384</v>
      </c>
      <c r="B447" s="33" t="s">
        <v>340</v>
      </c>
      <c r="C447" s="107">
        <f t="shared" si="25"/>
        <v>1.3</v>
      </c>
      <c r="D447" s="59">
        <v>2</v>
      </c>
      <c r="E447" s="66">
        <f t="shared" si="26"/>
        <v>2.9720897897897895</v>
      </c>
      <c r="F447" s="10"/>
      <c r="G447" s="10"/>
      <c r="H447" s="76">
        <v>0.25250400000000001</v>
      </c>
      <c r="I447" s="76">
        <v>0.71958578978978982</v>
      </c>
      <c r="J447" s="63"/>
      <c r="K447" s="63"/>
      <c r="L447" s="63"/>
      <c r="M447" s="63"/>
    </row>
    <row r="448" spans="1:13" ht="11.25">
      <c r="A448" s="9">
        <f>A447+1</f>
        <v>385</v>
      </c>
      <c r="B448" s="11" t="s">
        <v>281</v>
      </c>
      <c r="C448" s="107">
        <f t="shared" si="25"/>
        <v>1.625</v>
      </c>
      <c r="D448" s="40">
        <v>2.5</v>
      </c>
      <c r="E448" s="66">
        <f t="shared" si="26"/>
        <v>3.4720897897897895</v>
      </c>
      <c r="F448" s="10"/>
      <c r="G448" s="10"/>
      <c r="H448" s="76">
        <v>0.25250400000000001</v>
      </c>
      <c r="I448" s="76">
        <v>0.71958578978978982</v>
      </c>
      <c r="J448" s="63"/>
      <c r="K448" s="63"/>
      <c r="L448" s="63"/>
      <c r="M448" s="63"/>
    </row>
    <row r="449" spans="1:13" ht="11.25">
      <c r="A449" s="9">
        <f>A448+1</f>
        <v>386</v>
      </c>
      <c r="B449" s="11" t="s">
        <v>341</v>
      </c>
      <c r="C449" s="107">
        <f t="shared" si="25"/>
        <v>8.4499999999999993</v>
      </c>
      <c r="D449" s="40">
        <v>13</v>
      </c>
      <c r="E449" s="66">
        <f t="shared" si="26"/>
        <v>13.97208978978979</v>
      </c>
      <c r="F449" s="10"/>
      <c r="G449" s="10"/>
      <c r="H449" s="76">
        <v>0.25250400000000001</v>
      </c>
      <c r="I449" s="76">
        <v>0.71958578978978982</v>
      </c>
      <c r="J449" s="63"/>
      <c r="K449" s="63"/>
      <c r="L449" s="63"/>
      <c r="M449" s="63"/>
    </row>
    <row r="450" spans="1:13" ht="11.25">
      <c r="A450" s="9">
        <f>A449+1</f>
        <v>387</v>
      </c>
      <c r="B450" s="11" t="s">
        <v>314</v>
      </c>
      <c r="C450" s="107">
        <f t="shared" si="25"/>
        <v>1.625</v>
      </c>
      <c r="D450" s="40">
        <v>2.5</v>
      </c>
      <c r="E450" s="66">
        <f t="shared" si="26"/>
        <v>3.4720897897897895</v>
      </c>
      <c r="F450" s="10"/>
      <c r="G450" s="10"/>
      <c r="H450" s="76">
        <v>0.25250400000000001</v>
      </c>
      <c r="I450" s="76">
        <v>0.71958578978978982</v>
      </c>
      <c r="J450" s="63"/>
      <c r="K450" s="63"/>
      <c r="L450" s="63"/>
      <c r="M450" s="63"/>
    </row>
    <row r="451" spans="1:13" ht="11.25">
      <c r="A451" s="9">
        <f t="shared" si="24"/>
        <v>388</v>
      </c>
      <c r="B451" s="11" t="s">
        <v>285</v>
      </c>
      <c r="C451" s="107">
        <f t="shared" si="25"/>
        <v>1.625</v>
      </c>
      <c r="D451" s="40">
        <v>2.5</v>
      </c>
      <c r="E451" s="66">
        <f t="shared" si="26"/>
        <v>3.4720897897897895</v>
      </c>
      <c r="F451" s="10"/>
      <c r="G451" s="10"/>
      <c r="H451" s="76">
        <v>0.25250400000000001</v>
      </c>
      <c r="I451" s="76">
        <v>0.71958578978978982</v>
      </c>
      <c r="J451" s="63"/>
      <c r="K451" s="63"/>
      <c r="L451" s="63"/>
      <c r="M451" s="63"/>
    </row>
    <row r="452" spans="1:13" ht="11.25">
      <c r="A452" s="9">
        <f t="shared" si="24"/>
        <v>389</v>
      </c>
      <c r="B452" s="11" t="s">
        <v>315</v>
      </c>
      <c r="C452" s="107">
        <f t="shared" si="25"/>
        <v>1.625</v>
      </c>
      <c r="D452" s="40">
        <v>2.5</v>
      </c>
      <c r="E452" s="66">
        <f t="shared" si="26"/>
        <v>3.4720897897897895</v>
      </c>
      <c r="F452" s="10"/>
      <c r="G452" s="10"/>
      <c r="H452" s="76">
        <v>0.25250400000000001</v>
      </c>
      <c r="I452" s="76">
        <v>0.71958578978978982</v>
      </c>
      <c r="J452" s="63"/>
      <c r="K452" s="63"/>
      <c r="L452" s="63"/>
      <c r="M452" s="63"/>
    </row>
    <row r="453" spans="1:13" ht="11.25">
      <c r="A453" s="9">
        <f t="shared" si="24"/>
        <v>390</v>
      </c>
      <c r="B453" s="33" t="s">
        <v>339</v>
      </c>
      <c r="C453" s="107">
        <f t="shared" si="25"/>
        <v>1.4371499999999999</v>
      </c>
      <c r="D453" s="59">
        <v>2.2109999999999999</v>
      </c>
      <c r="E453" s="66">
        <f t="shared" si="26"/>
        <v>3.1830897897897898</v>
      </c>
      <c r="F453" s="10"/>
      <c r="G453" s="10"/>
      <c r="H453" s="76">
        <v>0.25250400000000001</v>
      </c>
      <c r="I453" s="76">
        <v>0.71958578978978982</v>
      </c>
      <c r="J453" s="63"/>
      <c r="K453" s="63"/>
      <c r="L453" s="63"/>
      <c r="M453" s="63"/>
    </row>
    <row r="454" spans="1:13" ht="11.25">
      <c r="A454" s="9">
        <f>A452+1</f>
        <v>390</v>
      </c>
      <c r="B454" s="11">
        <v>6300</v>
      </c>
      <c r="C454" s="107">
        <f t="shared" si="25"/>
        <v>10.465</v>
      </c>
      <c r="D454" s="40">
        <v>16.100000000000001</v>
      </c>
      <c r="E454" s="66">
        <f>SUM(H454:I454)+D454</f>
        <v>17.072089789789793</v>
      </c>
      <c r="F454" s="40">
        <v>14.118</v>
      </c>
      <c r="G454" s="10"/>
      <c r="H454" s="76">
        <v>0.25250400000000001</v>
      </c>
      <c r="I454" s="76">
        <v>0.71958578978978982</v>
      </c>
      <c r="J454" s="63"/>
      <c r="K454" s="63"/>
      <c r="L454" s="63"/>
      <c r="M454" s="63"/>
    </row>
    <row r="455" spans="1:13" ht="11.25">
      <c r="A455" s="9">
        <f>A453+1</f>
        <v>391</v>
      </c>
      <c r="B455" s="11">
        <v>6295</v>
      </c>
      <c r="C455" s="107">
        <f t="shared" si="25"/>
        <v>11.57</v>
      </c>
      <c r="D455" s="40">
        <v>17.8</v>
      </c>
      <c r="E455" s="66">
        <f t="shared" si="26"/>
        <v>18.772089789789792</v>
      </c>
      <c r="F455" s="40">
        <v>14.118</v>
      </c>
      <c r="G455" s="10"/>
      <c r="H455" s="76">
        <v>0.25250400000000001</v>
      </c>
      <c r="I455" s="76">
        <v>0.71958578978978982</v>
      </c>
      <c r="J455" s="63"/>
      <c r="K455" s="63"/>
      <c r="L455" s="63"/>
      <c r="M455" s="63"/>
    </row>
    <row r="456" spans="1:13" ht="11.25">
      <c r="A456" s="9">
        <f t="shared" si="24"/>
        <v>392</v>
      </c>
      <c r="B456" s="11">
        <v>1450</v>
      </c>
      <c r="C456" s="107">
        <f t="shared" ref="C456:C523" si="27">(D456*65)/100</f>
        <v>9.9566999999999997</v>
      </c>
      <c r="D456" s="40">
        <v>15.318</v>
      </c>
      <c r="E456" s="66">
        <f t="shared" si="26"/>
        <v>16.290089789789789</v>
      </c>
      <c r="F456" s="10"/>
      <c r="G456" s="10"/>
      <c r="H456" s="76">
        <v>0.25250400000000001</v>
      </c>
      <c r="I456" s="76">
        <v>0.71958578978978982</v>
      </c>
      <c r="J456" s="63"/>
      <c r="K456" s="63"/>
      <c r="L456" s="63"/>
      <c r="M456" s="63"/>
    </row>
    <row r="457" spans="1:13" ht="11.25">
      <c r="A457" s="9">
        <f t="shared" si="24"/>
        <v>393</v>
      </c>
      <c r="B457" s="11" t="s">
        <v>380</v>
      </c>
      <c r="C457" s="107">
        <f t="shared" si="27"/>
        <v>9.9566999999999997</v>
      </c>
      <c r="D457" s="40">
        <v>15.318</v>
      </c>
      <c r="E457" s="66">
        <f t="shared" si="26"/>
        <v>16.290089789789789</v>
      </c>
      <c r="F457" s="10"/>
      <c r="G457" s="10"/>
      <c r="H457" s="76">
        <v>0.25250400000000001</v>
      </c>
      <c r="I457" s="76">
        <v>0.71958578978978982</v>
      </c>
      <c r="J457" s="63"/>
      <c r="K457" s="63"/>
      <c r="L457" s="63"/>
      <c r="M457" s="63"/>
    </row>
    <row r="458" spans="1:13" ht="11.25">
      <c r="A458" s="9">
        <f>A456+1</f>
        <v>393</v>
      </c>
      <c r="B458" s="11" t="s">
        <v>381</v>
      </c>
      <c r="C458" s="107">
        <f t="shared" si="27"/>
        <v>8.9817</v>
      </c>
      <c r="D458" s="40">
        <v>13.818</v>
      </c>
      <c r="E458" s="66">
        <f t="shared" si="26"/>
        <v>14.790089789789789</v>
      </c>
      <c r="F458" s="10">
        <v>12.33</v>
      </c>
      <c r="G458" s="10"/>
      <c r="H458" s="76">
        <v>0.25250400000000001</v>
      </c>
      <c r="I458" s="76">
        <v>0.71958578978978982</v>
      </c>
      <c r="J458" s="63"/>
      <c r="K458" s="63"/>
      <c r="L458" s="63"/>
      <c r="M458" s="63"/>
    </row>
    <row r="459" spans="1:13" ht="11.25">
      <c r="A459" s="9">
        <f>A457+1</f>
        <v>394</v>
      </c>
      <c r="B459" s="11" t="s">
        <v>382</v>
      </c>
      <c r="C459" s="107">
        <f t="shared" si="27"/>
        <v>8.9817</v>
      </c>
      <c r="D459" s="40">
        <v>13.818</v>
      </c>
      <c r="E459" s="66">
        <f t="shared" si="26"/>
        <v>14.790089789789789</v>
      </c>
      <c r="F459" s="10">
        <v>12.33</v>
      </c>
      <c r="G459" s="10"/>
      <c r="H459" s="76">
        <v>0.25250400000000001</v>
      </c>
      <c r="I459" s="76">
        <v>0.71958578978978982</v>
      </c>
      <c r="J459" s="63"/>
      <c r="K459" s="63"/>
      <c r="L459" s="63"/>
      <c r="M459" s="63"/>
    </row>
    <row r="460" spans="1:13" ht="11.25">
      <c r="A460" s="9">
        <f t="shared" si="24"/>
        <v>395</v>
      </c>
      <c r="B460" s="11">
        <v>1403</v>
      </c>
      <c r="C460" s="107">
        <f t="shared" si="27"/>
        <v>8.9894999999999996</v>
      </c>
      <c r="D460" s="40">
        <v>13.83</v>
      </c>
      <c r="E460" s="66">
        <f t="shared" si="26"/>
        <v>14.80208978978979</v>
      </c>
      <c r="F460" s="10"/>
      <c r="G460" s="10"/>
      <c r="H460" s="76">
        <v>0.25250400000000001</v>
      </c>
      <c r="I460" s="76">
        <v>0.71958578978978982</v>
      </c>
      <c r="J460" s="63"/>
      <c r="K460" s="63"/>
      <c r="L460" s="63"/>
      <c r="M460" s="63"/>
    </row>
    <row r="461" spans="1:13" ht="11.25">
      <c r="A461" s="9">
        <f t="shared" si="24"/>
        <v>396</v>
      </c>
      <c r="B461" s="11">
        <v>5338</v>
      </c>
      <c r="C461" s="107">
        <f t="shared" si="27"/>
        <v>11.05</v>
      </c>
      <c r="D461" s="40">
        <v>17</v>
      </c>
      <c r="E461" s="66">
        <f t="shared" si="26"/>
        <v>17.972089789789791</v>
      </c>
      <c r="F461" s="10">
        <v>21</v>
      </c>
      <c r="G461" s="10">
        <v>21</v>
      </c>
      <c r="H461" s="76">
        <v>0.25250400000000001</v>
      </c>
      <c r="I461" s="76">
        <v>0.71958578978978982</v>
      </c>
      <c r="J461" s="63"/>
      <c r="K461" s="63"/>
      <c r="L461" s="63"/>
      <c r="M461" s="63"/>
    </row>
    <row r="462" spans="1:13" ht="11.25">
      <c r="A462" s="9">
        <f>A460+1</f>
        <v>396</v>
      </c>
      <c r="B462" s="11">
        <v>2090</v>
      </c>
      <c r="C462" s="107">
        <f t="shared" si="27"/>
        <v>5.2</v>
      </c>
      <c r="D462" s="40">
        <v>8</v>
      </c>
      <c r="E462" s="66">
        <f>SUM(H462:I462)+D462</f>
        <v>8.9720897897897895</v>
      </c>
      <c r="F462" s="40">
        <v>9.3569999999999993</v>
      </c>
      <c r="G462" s="10"/>
      <c r="H462" s="76">
        <v>0.25250400000000001</v>
      </c>
      <c r="I462" s="76">
        <v>0.71958578978978982</v>
      </c>
      <c r="J462" s="63"/>
      <c r="K462" s="63"/>
      <c r="L462" s="63"/>
      <c r="M462" s="63"/>
    </row>
    <row r="463" spans="1:13" ht="11.25">
      <c r="A463" s="9">
        <f>A461+1</f>
        <v>397</v>
      </c>
      <c r="B463" s="11" t="s">
        <v>491</v>
      </c>
      <c r="C463" s="107">
        <f t="shared" si="27"/>
        <v>4.875</v>
      </c>
      <c r="D463" s="40">
        <v>7.5</v>
      </c>
      <c r="E463" s="66">
        <f t="shared" si="26"/>
        <v>8.4720897897897895</v>
      </c>
      <c r="F463" s="40">
        <v>9.3569999999999993</v>
      </c>
      <c r="G463" s="10"/>
      <c r="H463" s="76">
        <v>0.25250400000000001</v>
      </c>
      <c r="I463" s="76">
        <v>0.71958578978978982</v>
      </c>
      <c r="J463" s="63"/>
      <c r="K463" s="63"/>
      <c r="L463" s="63"/>
      <c r="M463" s="63"/>
    </row>
    <row r="464" spans="1:13" ht="11.25">
      <c r="A464" s="9">
        <f t="shared" si="24"/>
        <v>398</v>
      </c>
      <c r="B464" s="11">
        <v>114662</v>
      </c>
      <c r="C464" s="107">
        <f t="shared" si="27"/>
        <v>1.6575</v>
      </c>
      <c r="D464" s="40">
        <v>2.5499999999999998</v>
      </c>
      <c r="E464" s="66">
        <f t="shared" si="26"/>
        <v>3.5220897897897894</v>
      </c>
      <c r="F464" s="40"/>
      <c r="G464" s="40"/>
      <c r="H464" s="76">
        <v>0.25250400000000001</v>
      </c>
      <c r="I464" s="76">
        <v>0.71958578978978982</v>
      </c>
      <c r="J464" s="76"/>
      <c r="K464" s="76"/>
      <c r="L464" s="76"/>
      <c r="M464" s="76"/>
    </row>
    <row r="465" spans="1:13" ht="11.25">
      <c r="A465" s="9">
        <f t="shared" si="24"/>
        <v>399</v>
      </c>
      <c r="B465" s="11">
        <v>114663</v>
      </c>
      <c r="C465" s="107">
        <f t="shared" si="27"/>
        <v>2.7495000000000003</v>
      </c>
      <c r="D465" s="40">
        <v>4.2300000000000004</v>
      </c>
      <c r="E465" s="66">
        <f t="shared" si="26"/>
        <v>5.20208978978979</v>
      </c>
      <c r="F465" s="10"/>
      <c r="G465" s="10"/>
      <c r="H465" s="76">
        <v>0.25250400000000001</v>
      </c>
      <c r="I465" s="76">
        <v>0.71958578978978982</v>
      </c>
      <c r="J465" s="63"/>
      <c r="K465" s="63"/>
      <c r="L465" s="63"/>
      <c r="M465" s="63"/>
    </row>
    <row r="466" spans="1:13" ht="11.25">
      <c r="A466" s="9">
        <f t="shared" si="24"/>
        <v>400</v>
      </c>
      <c r="B466" s="11" t="s">
        <v>323</v>
      </c>
      <c r="C466" s="107">
        <f t="shared" si="27"/>
        <v>12.967499999999999</v>
      </c>
      <c r="D466" s="40">
        <v>19.95</v>
      </c>
      <c r="E466" s="66">
        <f t="shared" si="26"/>
        <v>20.922089789789791</v>
      </c>
      <c r="F466" s="10"/>
      <c r="G466" s="10"/>
      <c r="H466" s="76">
        <v>0.25250400000000001</v>
      </c>
      <c r="I466" s="76">
        <v>0.71958578978978982</v>
      </c>
      <c r="J466" s="63"/>
      <c r="K466" s="63"/>
      <c r="L466" s="63"/>
      <c r="M466" s="63"/>
    </row>
    <row r="467" spans="1:13" ht="11.25">
      <c r="A467" s="9">
        <f t="shared" si="24"/>
        <v>401</v>
      </c>
      <c r="B467" s="33">
        <v>1755</v>
      </c>
      <c r="C467" s="107">
        <f t="shared" si="27"/>
        <v>13.6578</v>
      </c>
      <c r="D467" s="59">
        <v>21.012</v>
      </c>
      <c r="E467" s="66">
        <f t="shared" si="26"/>
        <v>21.984089789789792</v>
      </c>
      <c r="F467" s="59"/>
      <c r="G467" s="10"/>
      <c r="H467" s="76">
        <v>0.25250400000000001</v>
      </c>
      <c r="I467" s="76">
        <v>0.71958578978978982</v>
      </c>
      <c r="J467" s="63"/>
      <c r="K467" s="63"/>
      <c r="L467" s="63"/>
      <c r="M467" s="63"/>
    </row>
    <row r="468" spans="1:13" ht="11.25">
      <c r="A468" s="9">
        <f t="shared" si="24"/>
        <v>402</v>
      </c>
      <c r="B468" s="11">
        <v>7756</v>
      </c>
      <c r="C468" s="107">
        <f t="shared" si="27"/>
        <v>2.5909000000000004</v>
      </c>
      <c r="D468" s="40">
        <v>3.9860000000000002</v>
      </c>
      <c r="E468" s="66">
        <f t="shared" si="26"/>
        <v>3.9860000000000002</v>
      </c>
      <c r="F468" s="40"/>
      <c r="G468" s="10"/>
      <c r="H468" s="76"/>
      <c r="I468" s="76"/>
      <c r="J468" s="63"/>
      <c r="K468" s="63"/>
      <c r="L468" s="63"/>
      <c r="M468" s="63"/>
    </row>
    <row r="469" spans="1:13" ht="11.25">
      <c r="A469" s="9">
        <f t="shared" si="24"/>
        <v>403</v>
      </c>
      <c r="B469" s="11">
        <v>7303</v>
      </c>
      <c r="C469" s="107">
        <f t="shared" si="27"/>
        <v>1.2492999999999999</v>
      </c>
      <c r="D469" s="40">
        <v>1.9219999999999999</v>
      </c>
      <c r="E469" s="66">
        <f t="shared" si="26"/>
        <v>1.9219999999999999</v>
      </c>
      <c r="F469" s="10"/>
      <c r="G469" s="10">
        <v>1.68</v>
      </c>
      <c r="H469" s="76"/>
      <c r="I469" s="76"/>
      <c r="J469" s="63"/>
      <c r="K469" s="63"/>
      <c r="L469" s="63"/>
      <c r="M469" s="63"/>
    </row>
    <row r="470" spans="1:13" ht="11.25">
      <c r="A470" s="9">
        <f t="shared" si="24"/>
        <v>404</v>
      </c>
      <c r="B470" s="11" t="s">
        <v>399</v>
      </c>
      <c r="C470" s="107">
        <f t="shared" si="27"/>
        <v>1.2155</v>
      </c>
      <c r="D470" s="40">
        <v>1.87</v>
      </c>
      <c r="E470" s="66">
        <f t="shared" si="26"/>
        <v>1.87</v>
      </c>
      <c r="F470" s="10"/>
      <c r="G470" s="10"/>
      <c r="H470" s="76"/>
      <c r="I470" s="76"/>
      <c r="J470" s="63"/>
      <c r="K470" s="63"/>
      <c r="L470" s="63"/>
      <c r="M470" s="63"/>
    </row>
    <row r="471" spans="1:13" ht="11.25">
      <c r="A471" s="9">
        <f t="shared" si="24"/>
        <v>405</v>
      </c>
      <c r="B471" s="11" t="s">
        <v>399</v>
      </c>
      <c r="C471" s="107">
        <f t="shared" si="27"/>
        <v>1.2492999999999999</v>
      </c>
      <c r="D471" s="40">
        <v>1.9219999999999999</v>
      </c>
      <c r="E471" s="66">
        <f t="shared" si="26"/>
        <v>1.9219999999999999</v>
      </c>
      <c r="F471" s="10"/>
      <c r="G471" s="10"/>
      <c r="H471" s="76"/>
      <c r="I471" s="76"/>
      <c r="J471" s="63"/>
      <c r="K471" s="63"/>
      <c r="L471" s="63"/>
      <c r="M471" s="63"/>
    </row>
    <row r="472" spans="1:13" ht="11.25">
      <c r="A472" s="9">
        <f t="shared" ref="A472:A500" si="28">A471+1</f>
        <v>406</v>
      </c>
      <c r="B472" s="11" t="s">
        <v>398</v>
      </c>
      <c r="C472" s="107">
        <f t="shared" si="27"/>
        <v>2.4504999999999999</v>
      </c>
      <c r="D472" s="40">
        <v>3.77</v>
      </c>
      <c r="E472" s="66">
        <f t="shared" si="26"/>
        <v>3.77</v>
      </c>
      <c r="F472" s="10"/>
      <c r="G472" s="10"/>
      <c r="H472" s="76"/>
      <c r="I472" s="76"/>
      <c r="J472" s="63"/>
      <c r="K472" s="63"/>
      <c r="L472" s="63"/>
      <c r="M472" s="63"/>
    </row>
    <row r="473" spans="1:13" ht="11.25">
      <c r="A473" s="9">
        <f t="shared" si="28"/>
        <v>407</v>
      </c>
      <c r="B473" s="11">
        <v>98196</v>
      </c>
      <c r="C473" s="107">
        <f t="shared" si="27"/>
        <v>2.3575499999999998</v>
      </c>
      <c r="D473" s="94">
        <v>3.6269999999999998</v>
      </c>
      <c r="E473" s="88">
        <f t="shared" si="26"/>
        <v>3.6269999999999998</v>
      </c>
      <c r="F473" s="10"/>
      <c r="G473" s="10"/>
      <c r="H473" s="76"/>
      <c r="I473" s="76"/>
      <c r="J473" s="63"/>
      <c r="K473" s="63"/>
      <c r="L473" s="63"/>
      <c r="M473" s="63"/>
    </row>
    <row r="474" spans="1:13" ht="11.25">
      <c r="A474" s="9">
        <f t="shared" si="28"/>
        <v>408</v>
      </c>
      <c r="B474" s="11" t="s">
        <v>489</v>
      </c>
      <c r="C474" s="107">
        <f t="shared" si="27"/>
        <v>5.9123999999999999</v>
      </c>
      <c r="D474" s="94">
        <v>9.0960000000000001</v>
      </c>
      <c r="E474" s="88">
        <f>SUM(H474:I474)+D474</f>
        <v>10.06808978978979</v>
      </c>
      <c r="F474" s="10"/>
      <c r="G474" s="10"/>
      <c r="H474" s="76">
        <v>0.25250400000000001</v>
      </c>
      <c r="I474" s="76">
        <v>0.71958578978978982</v>
      </c>
      <c r="J474" s="63"/>
      <c r="K474" s="63"/>
      <c r="L474" s="63"/>
      <c r="M474" s="63"/>
    </row>
    <row r="475" spans="1:13" ht="11.25">
      <c r="A475" s="9">
        <f t="shared" si="28"/>
        <v>409</v>
      </c>
      <c r="B475" s="11" t="s">
        <v>488</v>
      </c>
      <c r="C475" s="107">
        <f t="shared" si="27"/>
        <v>6.4649000000000001</v>
      </c>
      <c r="D475" s="94">
        <v>9.9459999999999997</v>
      </c>
      <c r="E475" s="88">
        <f t="shared" si="26"/>
        <v>10.918089789789789</v>
      </c>
      <c r="F475" s="10"/>
      <c r="G475" s="10"/>
      <c r="H475" s="76">
        <v>0.25250400000000001</v>
      </c>
      <c r="I475" s="76">
        <v>0.71958578978978982</v>
      </c>
      <c r="J475" s="63"/>
      <c r="K475" s="63"/>
      <c r="L475" s="63"/>
      <c r="M475" s="63"/>
    </row>
    <row r="476" spans="1:13" ht="11.25">
      <c r="A476" s="9">
        <f t="shared" si="28"/>
        <v>410</v>
      </c>
      <c r="B476" s="11" t="s">
        <v>460</v>
      </c>
      <c r="C476" s="107">
        <f t="shared" si="27"/>
        <v>5.7349500000000004</v>
      </c>
      <c r="D476" s="94">
        <v>8.8230000000000004</v>
      </c>
      <c r="E476" s="88">
        <f t="shared" ref="E476:E482" si="29">SUM(H476:I476)+D476</f>
        <v>9.7950897897897899</v>
      </c>
      <c r="F476" s="10"/>
      <c r="G476" s="10"/>
      <c r="H476" s="76">
        <v>0.25250400000000001</v>
      </c>
      <c r="I476" s="76">
        <v>0.71958578978978982</v>
      </c>
      <c r="J476" s="63"/>
      <c r="K476" s="63"/>
      <c r="L476" s="63"/>
      <c r="M476" s="63"/>
    </row>
    <row r="477" spans="1:13" ht="11.25">
      <c r="A477" s="9">
        <f>A475+1</f>
        <v>410</v>
      </c>
      <c r="B477" s="11" t="s">
        <v>400</v>
      </c>
      <c r="C477" s="107">
        <f t="shared" si="27"/>
        <v>7.15</v>
      </c>
      <c r="D477" s="94">
        <v>11</v>
      </c>
      <c r="E477" s="88">
        <f t="shared" si="29"/>
        <v>11.97208978978979</v>
      </c>
      <c r="F477" s="94">
        <v>11.5</v>
      </c>
      <c r="G477" s="10"/>
      <c r="H477" s="76">
        <v>0.25250400000000001</v>
      </c>
      <c r="I477" s="76">
        <v>0.71958578978978982</v>
      </c>
      <c r="J477" s="63"/>
      <c r="K477" s="63"/>
      <c r="L477" s="63"/>
      <c r="M477" s="63"/>
    </row>
    <row r="478" spans="1:13" ht="11.25">
      <c r="A478" s="9">
        <f>A476+1</f>
        <v>411</v>
      </c>
      <c r="B478" s="11" t="s">
        <v>497</v>
      </c>
      <c r="C478" s="107">
        <f>(D478*65)/100</f>
        <v>1.625</v>
      </c>
      <c r="D478" s="94">
        <v>2.5</v>
      </c>
      <c r="E478" s="88">
        <f>SUM(H478:I478)+D478</f>
        <v>3.4720897897897895</v>
      </c>
      <c r="F478" s="94">
        <v>11.5</v>
      </c>
      <c r="G478" s="10"/>
      <c r="H478" s="76">
        <v>0.25250400000000001</v>
      </c>
      <c r="I478" s="76">
        <v>0.71958578978978982</v>
      </c>
      <c r="J478" s="63"/>
      <c r="K478" s="63"/>
      <c r="L478" s="63"/>
      <c r="M478" s="63"/>
    </row>
    <row r="479" spans="1:13" ht="11.25">
      <c r="A479" s="9">
        <f>A477+1</f>
        <v>411</v>
      </c>
      <c r="B479" s="11" t="s">
        <v>420</v>
      </c>
      <c r="C479" s="107">
        <f t="shared" si="27"/>
        <v>6.8250000000000002</v>
      </c>
      <c r="D479" s="94">
        <v>10.5</v>
      </c>
      <c r="E479" s="88">
        <f>SUM(H479:I479)+D479</f>
        <v>10.5</v>
      </c>
      <c r="F479" s="94"/>
      <c r="G479" s="10"/>
      <c r="H479" s="76"/>
      <c r="I479" s="76"/>
      <c r="J479" s="63"/>
      <c r="K479" s="63"/>
      <c r="L479" s="63"/>
      <c r="M479" s="63"/>
    </row>
    <row r="480" spans="1:13" ht="11.25">
      <c r="A480" s="9">
        <f>A477+1</f>
        <v>411</v>
      </c>
      <c r="B480" s="11" t="s">
        <v>459</v>
      </c>
      <c r="C480" s="107">
        <f t="shared" si="27"/>
        <v>1.625</v>
      </c>
      <c r="D480" s="94">
        <v>2.5</v>
      </c>
      <c r="E480" s="88">
        <f>SUM(H480:I480)+D480</f>
        <v>2.5</v>
      </c>
      <c r="F480" s="94"/>
      <c r="G480" s="10"/>
      <c r="H480" s="76"/>
      <c r="I480" s="76"/>
      <c r="J480" s="63"/>
      <c r="K480" s="63"/>
      <c r="L480" s="63"/>
      <c r="M480" s="63"/>
    </row>
    <row r="481" spans="1:13" ht="11.25">
      <c r="A481" s="9">
        <f>A479+1</f>
        <v>412</v>
      </c>
      <c r="B481" s="11" t="s">
        <v>414</v>
      </c>
      <c r="C481" s="107">
        <f t="shared" si="27"/>
        <v>7.6908000000000003</v>
      </c>
      <c r="D481" s="94">
        <v>11.832000000000001</v>
      </c>
      <c r="E481" s="88"/>
      <c r="F481" s="94"/>
      <c r="G481" s="10"/>
      <c r="H481" s="76"/>
      <c r="I481" s="76"/>
      <c r="J481" s="63"/>
      <c r="K481" s="63"/>
      <c r="L481" s="63"/>
      <c r="M481" s="63"/>
    </row>
    <row r="482" spans="1:13" ht="11.25">
      <c r="A482" s="9">
        <f>A477+1</f>
        <v>411</v>
      </c>
      <c r="B482" s="11" t="s">
        <v>402</v>
      </c>
      <c r="C482" s="107">
        <f t="shared" si="27"/>
        <v>5.9445749999999995</v>
      </c>
      <c r="D482" s="94">
        <v>9.1455000000000002</v>
      </c>
      <c r="E482" s="88">
        <f t="shared" si="29"/>
        <v>10.11758978978979</v>
      </c>
      <c r="F482" s="94"/>
      <c r="G482" s="10"/>
      <c r="H482" s="76">
        <v>0.25250400000000001</v>
      </c>
      <c r="I482" s="76">
        <v>0.71958578978978982</v>
      </c>
      <c r="J482" s="63"/>
      <c r="K482" s="63"/>
      <c r="L482" s="63"/>
      <c r="M482" s="63"/>
    </row>
    <row r="483" spans="1:13" ht="11.25">
      <c r="A483" s="9">
        <f>A476+1</f>
        <v>411</v>
      </c>
      <c r="B483" s="11" t="s">
        <v>403</v>
      </c>
      <c r="C483" s="107">
        <f t="shared" si="27"/>
        <v>5.9445749999999995</v>
      </c>
      <c r="D483" s="94">
        <v>9.1455000000000002</v>
      </c>
      <c r="E483" s="88">
        <f t="shared" si="26"/>
        <v>10.11758978978979</v>
      </c>
      <c r="F483" s="94"/>
      <c r="G483" s="10"/>
      <c r="H483" s="76">
        <v>0.25250400000000001</v>
      </c>
      <c r="I483" s="76">
        <v>0.71958578978978982</v>
      </c>
      <c r="J483" s="63"/>
      <c r="K483" s="63"/>
      <c r="L483" s="63"/>
      <c r="M483" s="63"/>
    </row>
    <row r="484" spans="1:13" ht="11.25">
      <c r="A484" s="9">
        <f t="shared" si="28"/>
        <v>412</v>
      </c>
      <c r="B484" s="11" t="s">
        <v>336</v>
      </c>
      <c r="C484" s="107">
        <f t="shared" si="27"/>
        <v>0.40884999999999999</v>
      </c>
      <c r="D484" s="94">
        <v>0.629</v>
      </c>
      <c r="E484" s="88">
        <f t="shared" si="26"/>
        <v>1.6010897897897898</v>
      </c>
      <c r="F484" s="10"/>
      <c r="G484" s="10"/>
      <c r="H484" s="76">
        <v>0.25250400000000001</v>
      </c>
      <c r="I484" s="76">
        <v>0.71958578978978982</v>
      </c>
      <c r="J484" s="63"/>
      <c r="K484" s="63"/>
      <c r="L484" s="63"/>
      <c r="M484" s="63"/>
    </row>
    <row r="485" spans="1:13" thickBot="1">
      <c r="A485" s="9">
        <f>A483+1</f>
        <v>412</v>
      </c>
      <c r="B485" s="11" t="s">
        <v>401</v>
      </c>
      <c r="C485" s="107">
        <f t="shared" si="27"/>
        <v>5.2619047619047619</v>
      </c>
      <c r="D485" s="95">
        <v>8.0952380952380949</v>
      </c>
      <c r="E485" s="89"/>
      <c r="F485" s="12"/>
      <c r="G485" s="12"/>
    </row>
    <row r="486" spans="1:13" ht="12.75" thickTop="1" thickBot="1">
      <c r="A486" s="9">
        <f>A484+1</f>
        <v>413</v>
      </c>
      <c r="B486" s="11" t="s">
        <v>404</v>
      </c>
      <c r="C486" s="107">
        <f t="shared" si="27"/>
        <v>5.2619047619047619</v>
      </c>
      <c r="D486" s="95">
        <v>8.0952380952380949</v>
      </c>
      <c r="E486" s="89"/>
      <c r="F486" s="12"/>
      <c r="G486" s="12"/>
    </row>
    <row r="487" spans="1:13" ht="12.75" thickTop="1" thickBot="1">
      <c r="A487" s="9">
        <f t="shared" si="28"/>
        <v>414</v>
      </c>
      <c r="B487" s="11">
        <v>6350</v>
      </c>
      <c r="C487" s="107">
        <f t="shared" si="27"/>
        <v>10.965499999999999</v>
      </c>
      <c r="D487" s="95">
        <v>16.87</v>
      </c>
      <c r="E487" s="90"/>
      <c r="F487" s="13"/>
      <c r="G487" s="13"/>
    </row>
    <row r="488" spans="1:13" thickBot="1">
      <c r="A488" s="9">
        <f t="shared" si="28"/>
        <v>415</v>
      </c>
      <c r="B488" s="11" t="s">
        <v>305</v>
      </c>
      <c r="C488" s="107">
        <f t="shared" si="27"/>
        <v>10.965499999999999</v>
      </c>
      <c r="D488" s="95">
        <v>16.87</v>
      </c>
      <c r="E488" s="91"/>
    </row>
    <row r="489" spans="1:13" thickBot="1">
      <c r="A489" s="9">
        <f t="shared" si="28"/>
        <v>416</v>
      </c>
      <c r="B489" s="11" t="s">
        <v>303</v>
      </c>
      <c r="C489" s="107">
        <f t="shared" si="27"/>
        <v>10.965499999999999</v>
      </c>
      <c r="D489" s="94">
        <v>16.87</v>
      </c>
      <c r="E489" s="76"/>
      <c r="F489" s="63"/>
    </row>
    <row r="490" spans="1:13" ht="11.25">
      <c r="A490" s="9">
        <f t="shared" si="28"/>
        <v>417</v>
      </c>
      <c r="B490" s="11">
        <v>1854</v>
      </c>
      <c r="C490" s="107">
        <f t="shared" si="27"/>
        <v>8.06</v>
      </c>
      <c r="D490" s="94">
        <v>12.4</v>
      </c>
      <c r="E490" s="92"/>
      <c r="F490" s="10"/>
      <c r="G490" s="10"/>
      <c r="H490" s="63"/>
      <c r="I490" s="63"/>
      <c r="J490" s="63"/>
      <c r="K490" s="63"/>
      <c r="L490" s="63"/>
      <c r="M490" s="63"/>
    </row>
    <row r="491" spans="1:13" ht="11.25">
      <c r="A491" s="9">
        <f t="shared" si="28"/>
        <v>418</v>
      </c>
      <c r="B491" s="11">
        <v>1855</v>
      </c>
      <c r="C491" s="107">
        <f t="shared" si="27"/>
        <v>8.2738499999999995</v>
      </c>
      <c r="D491" s="94">
        <v>12.728999999999999</v>
      </c>
      <c r="E491" s="92"/>
      <c r="F491" s="10"/>
      <c r="G491" s="10"/>
      <c r="H491" s="63"/>
      <c r="I491" s="63"/>
      <c r="J491" s="63"/>
      <c r="K491" s="63"/>
      <c r="L491" s="63"/>
      <c r="M491" s="63"/>
    </row>
    <row r="492" spans="1:13" thickBot="1">
      <c r="A492" s="9">
        <f t="shared" si="28"/>
        <v>419</v>
      </c>
      <c r="B492" s="11">
        <v>6180</v>
      </c>
      <c r="C492" s="107">
        <f t="shared" si="27"/>
        <v>11.375</v>
      </c>
      <c r="D492" s="94">
        <v>17.5</v>
      </c>
      <c r="E492" s="92"/>
      <c r="F492" s="10"/>
      <c r="G492" s="10"/>
      <c r="H492" s="63"/>
      <c r="I492" s="63"/>
      <c r="J492" s="63"/>
      <c r="K492" s="63"/>
      <c r="L492" s="63"/>
      <c r="M492" s="63"/>
    </row>
    <row r="493" spans="1:13" thickBot="1">
      <c r="A493" s="9">
        <f t="shared" si="28"/>
        <v>420</v>
      </c>
      <c r="B493" s="11">
        <v>6185</v>
      </c>
      <c r="C493" s="107">
        <f t="shared" si="27"/>
        <v>11.375</v>
      </c>
      <c r="D493" s="94">
        <v>17.5</v>
      </c>
      <c r="E493" s="91"/>
    </row>
    <row r="494" spans="1:13" thickBot="1">
      <c r="A494" s="9">
        <f t="shared" si="28"/>
        <v>421</v>
      </c>
      <c r="B494" s="11" t="s">
        <v>394</v>
      </c>
      <c r="C494" s="107">
        <f t="shared" si="27"/>
        <v>6.3816999999999995</v>
      </c>
      <c r="D494" s="95">
        <v>9.8179999999999996</v>
      </c>
      <c r="E494" s="91"/>
    </row>
    <row r="495" spans="1:13" thickBot="1">
      <c r="A495" s="9">
        <f t="shared" si="28"/>
        <v>422</v>
      </c>
      <c r="B495" s="11" t="s">
        <v>405</v>
      </c>
      <c r="C495" s="107">
        <f t="shared" si="27"/>
        <v>10.5261</v>
      </c>
      <c r="D495" s="95">
        <v>16.193999999999999</v>
      </c>
      <c r="E495" s="91"/>
    </row>
    <row r="496" spans="1:13" thickBot="1">
      <c r="A496" s="9">
        <f t="shared" si="28"/>
        <v>423</v>
      </c>
      <c r="B496" s="93" t="s">
        <v>406</v>
      </c>
      <c r="C496" s="107">
        <f t="shared" si="27"/>
        <v>7.5380499999999993</v>
      </c>
      <c r="D496" s="68">
        <v>11.597</v>
      </c>
    </row>
    <row r="497" spans="1:4" thickBot="1">
      <c r="A497" s="9">
        <f t="shared" si="28"/>
        <v>424</v>
      </c>
      <c r="B497" s="14" t="s">
        <v>409</v>
      </c>
      <c r="C497" s="107">
        <f t="shared" si="27"/>
        <v>0.61750000000000005</v>
      </c>
      <c r="D497" s="69">
        <v>0.95</v>
      </c>
    </row>
    <row r="498" spans="1:4" thickBot="1">
      <c r="A498" s="9">
        <f t="shared" si="28"/>
        <v>425</v>
      </c>
      <c r="B498" s="14" t="s">
        <v>415</v>
      </c>
      <c r="C498" s="107">
        <f t="shared" si="27"/>
        <v>7.2189000000000014</v>
      </c>
      <c r="D498" s="69">
        <v>11.106000000000002</v>
      </c>
    </row>
    <row r="499" spans="1:4" thickBot="1">
      <c r="A499" s="9">
        <f t="shared" si="28"/>
        <v>426</v>
      </c>
      <c r="B499" s="14" t="s">
        <v>418</v>
      </c>
      <c r="C499" s="107">
        <f t="shared" si="27"/>
        <v>0.29249999999999998</v>
      </c>
      <c r="D499" s="69">
        <v>0.45</v>
      </c>
    </row>
    <row r="500" spans="1:4" thickBot="1">
      <c r="A500" s="9">
        <f t="shared" si="28"/>
        <v>427</v>
      </c>
      <c r="B500" s="14" t="s">
        <v>419</v>
      </c>
      <c r="C500" s="107">
        <f t="shared" si="27"/>
        <v>5.5575000000000001</v>
      </c>
      <c r="D500" s="69">
        <v>8.5500000000000007</v>
      </c>
    </row>
    <row r="501" spans="1:4" thickBot="1">
      <c r="A501" s="16">
        <v>415</v>
      </c>
      <c r="B501" s="14" t="s">
        <v>423</v>
      </c>
      <c r="C501" s="107">
        <v>1.43</v>
      </c>
      <c r="D501" s="69">
        <v>2.2000000000000002</v>
      </c>
    </row>
    <row r="502" spans="1:4" thickBot="1">
      <c r="B502" s="14" t="s">
        <v>424</v>
      </c>
      <c r="C502" s="107">
        <f t="shared" si="27"/>
        <v>0.29249999999999998</v>
      </c>
      <c r="D502" s="69">
        <v>0.45</v>
      </c>
    </row>
    <row r="503" spans="1:4" thickBot="1">
      <c r="B503" s="14" t="s">
        <v>425</v>
      </c>
      <c r="C503" s="107">
        <f t="shared" si="27"/>
        <v>6.8094000000000001</v>
      </c>
      <c r="D503" s="69">
        <v>10.476000000000001</v>
      </c>
    </row>
    <row r="504" spans="1:4" thickBot="1">
      <c r="B504" s="14" t="s">
        <v>438</v>
      </c>
      <c r="C504" s="107">
        <f t="shared" si="27"/>
        <v>6.810947619047619</v>
      </c>
      <c r="D504" s="69">
        <v>10.478380952380952</v>
      </c>
    </row>
    <row r="505" spans="1:4" thickBot="1">
      <c r="B505" s="14">
        <v>14573</v>
      </c>
      <c r="C505" s="107">
        <f t="shared" si="27"/>
        <v>11.05</v>
      </c>
      <c r="D505" s="69">
        <v>17</v>
      </c>
    </row>
    <row r="506" spans="1:4" thickBot="1">
      <c r="B506" s="14">
        <v>4451</v>
      </c>
      <c r="C506" s="107">
        <f t="shared" si="27"/>
        <v>14.625</v>
      </c>
      <c r="D506" s="69">
        <v>22.5</v>
      </c>
    </row>
    <row r="507" spans="1:4" thickBot="1">
      <c r="B507" s="14" t="s">
        <v>428</v>
      </c>
      <c r="C507" s="107">
        <f t="shared" si="27"/>
        <v>20.572500000000002</v>
      </c>
      <c r="D507" s="69">
        <v>31.65</v>
      </c>
    </row>
    <row r="508" spans="1:4" thickBot="1">
      <c r="B508" s="14" t="s">
        <v>429</v>
      </c>
      <c r="C508" s="107">
        <f t="shared" si="27"/>
        <v>8.3037500000000009</v>
      </c>
      <c r="D508" s="69">
        <v>12.775</v>
      </c>
    </row>
    <row r="509" spans="1:4" thickBot="1">
      <c r="B509" s="14" t="s">
        <v>430</v>
      </c>
      <c r="C509" s="107">
        <f t="shared" si="27"/>
        <v>7.5380499999999993</v>
      </c>
      <c r="D509" s="69">
        <v>11.597</v>
      </c>
    </row>
    <row r="510" spans="1:4" thickBot="1">
      <c r="B510" s="14" t="s">
        <v>431</v>
      </c>
      <c r="C510" s="107">
        <f t="shared" si="27"/>
        <v>16.25</v>
      </c>
      <c r="D510" s="69">
        <f>22.5+2.5</f>
        <v>25</v>
      </c>
    </row>
    <row r="511" spans="1:4" thickBot="1">
      <c r="B511" s="14" t="s">
        <v>432</v>
      </c>
      <c r="C511" s="107">
        <f t="shared" si="27"/>
        <v>16.25</v>
      </c>
      <c r="D511" s="69">
        <f>22.5+2.5</f>
        <v>25</v>
      </c>
    </row>
    <row r="512" spans="1:4" thickBot="1">
      <c r="B512" s="14" t="s">
        <v>433</v>
      </c>
      <c r="C512" s="107">
        <f t="shared" si="27"/>
        <v>22.1</v>
      </c>
      <c r="D512" s="69">
        <f>31.5+2.5</f>
        <v>34</v>
      </c>
    </row>
    <row r="513" spans="2:4" thickBot="1">
      <c r="B513" s="14" t="s">
        <v>434</v>
      </c>
      <c r="C513" s="107">
        <f t="shared" si="27"/>
        <v>16.899999999999999</v>
      </c>
      <c r="D513" s="69">
        <f>23.5+2.5</f>
        <v>26</v>
      </c>
    </row>
    <row r="514" spans="2:4" thickBot="1">
      <c r="B514" s="14" t="s">
        <v>435</v>
      </c>
      <c r="C514" s="107">
        <f t="shared" si="27"/>
        <v>19.175000000000001</v>
      </c>
      <c r="D514" s="69">
        <v>29.5</v>
      </c>
    </row>
    <row r="515" spans="2:4" thickBot="1">
      <c r="B515" s="14" t="s">
        <v>439</v>
      </c>
      <c r="C515" s="107">
        <f t="shared" si="27"/>
        <v>5.2</v>
      </c>
      <c r="D515" s="69">
        <v>8</v>
      </c>
    </row>
    <row r="516" spans="2:4" thickBot="1">
      <c r="B516" s="14" t="s">
        <v>440</v>
      </c>
      <c r="C516" s="107">
        <f t="shared" si="27"/>
        <v>0.32500000000000001</v>
      </c>
      <c r="D516" s="69">
        <v>0.5</v>
      </c>
    </row>
    <row r="517" spans="2:4" thickBot="1">
      <c r="B517" s="14" t="s">
        <v>441</v>
      </c>
      <c r="C517" s="107">
        <f t="shared" si="27"/>
        <v>0.32500000000000001</v>
      </c>
      <c r="D517" s="69">
        <v>0.5</v>
      </c>
    </row>
    <row r="518" spans="2:4" thickBot="1">
      <c r="B518" s="14" t="s">
        <v>526</v>
      </c>
      <c r="C518" s="107">
        <f>(D518*65)/100</f>
        <v>0.32500000000000001</v>
      </c>
      <c r="D518" s="69">
        <v>0.5</v>
      </c>
    </row>
    <row r="519" spans="2:4" thickBot="1">
      <c r="B519" s="14" t="s">
        <v>528</v>
      </c>
      <c r="C519" s="107">
        <f>(D519*65)/100</f>
        <v>0.32500000000000001</v>
      </c>
      <c r="D519" s="69">
        <v>0.5</v>
      </c>
    </row>
    <row r="520" spans="2:4" thickBot="1">
      <c r="B520" s="14" t="s">
        <v>529</v>
      </c>
      <c r="C520" s="107">
        <f>(D520*65)/100</f>
        <v>0.51479999999999992</v>
      </c>
      <c r="D520" s="69">
        <v>0.79199999999999993</v>
      </c>
    </row>
    <row r="521" spans="2:4" thickBot="1">
      <c r="B521" s="14" t="s">
        <v>442</v>
      </c>
      <c r="C521" s="107">
        <f t="shared" si="27"/>
        <v>9.1</v>
      </c>
      <c r="D521" s="69">
        <v>14</v>
      </c>
    </row>
    <row r="522" spans="2:4" thickBot="1">
      <c r="B522" s="14" t="s">
        <v>443</v>
      </c>
      <c r="C522" s="107">
        <f t="shared" si="27"/>
        <v>5.2619047619047619</v>
      </c>
      <c r="D522" s="69">
        <v>8.0952380952380949</v>
      </c>
    </row>
    <row r="523" spans="2:4" thickBot="1">
      <c r="B523" s="14" t="s">
        <v>465</v>
      </c>
      <c r="C523" s="107">
        <f t="shared" si="27"/>
        <v>18.571428571428569</v>
      </c>
      <c r="D523" s="69">
        <v>28.571428571428569</v>
      </c>
    </row>
    <row r="524" spans="2:4" thickBot="1">
      <c r="B524" s="14" t="s">
        <v>466</v>
      </c>
      <c r="C524" s="107">
        <f t="shared" ref="C524:C530" si="30">(D524*65)/100</f>
        <v>10.4</v>
      </c>
      <c r="D524" s="69">
        <v>16</v>
      </c>
    </row>
    <row r="525" spans="2:4" thickBot="1">
      <c r="B525" s="14" t="s">
        <v>468</v>
      </c>
      <c r="C525" s="107">
        <f t="shared" si="30"/>
        <v>10.4</v>
      </c>
      <c r="D525" s="69">
        <v>16</v>
      </c>
    </row>
    <row r="526" spans="2:4" thickBot="1">
      <c r="B526" s="14" t="s">
        <v>467</v>
      </c>
      <c r="C526" s="107">
        <f t="shared" si="30"/>
        <v>7.4285714285714288</v>
      </c>
      <c r="D526" s="69">
        <v>11.428571428571429</v>
      </c>
    </row>
    <row r="527" spans="2:4" thickBot="1">
      <c r="B527" s="14" t="s">
        <v>469</v>
      </c>
      <c r="C527" s="107">
        <f t="shared" si="30"/>
        <v>7.4285714285714288</v>
      </c>
      <c r="D527" s="69">
        <v>11.428571428571429</v>
      </c>
    </row>
    <row r="528" spans="2:4" thickBot="1">
      <c r="B528" s="14" t="s">
        <v>477</v>
      </c>
      <c r="C528" s="107">
        <f t="shared" si="30"/>
        <v>4.875</v>
      </c>
      <c r="D528" s="69">
        <v>7.5</v>
      </c>
    </row>
    <row r="529" spans="2:4" thickBot="1">
      <c r="B529" s="14" t="s">
        <v>479</v>
      </c>
      <c r="C529" s="107">
        <f t="shared" si="30"/>
        <v>4.875</v>
      </c>
      <c r="D529" s="69">
        <v>7.5</v>
      </c>
    </row>
    <row r="530" spans="2:4" thickBot="1">
      <c r="B530" s="14" t="s">
        <v>484</v>
      </c>
      <c r="C530" s="107">
        <f t="shared" si="30"/>
        <v>14.95</v>
      </c>
      <c r="D530" s="69">
        <v>23</v>
      </c>
    </row>
    <row r="531" spans="2:4" thickBot="1">
      <c r="B531" s="14" t="s">
        <v>492</v>
      </c>
      <c r="C531" s="69">
        <v>10.952380952380953</v>
      </c>
      <c r="D531" s="69">
        <v>10.952380952380953</v>
      </c>
    </row>
    <row r="532" spans="2:4" thickBot="1">
      <c r="B532" s="14" t="s">
        <v>493</v>
      </c>
      <c r="C532" s="107">
        <v>9</v>
      </c>
      <c r="D532" s="69">
        <v>10.952380952380953</v>
      </c>
    </row>
    <row r="533" spans="2:4" thickBot="1">
      <c r="B533" s="14" t="s">
        <v>494</v>
      </c>
      <c r="C533" s="107">
        <v>5</v>
      </c>
      <c r="D533" s="69">
        <v>5</v>
      </c>
    </row>
    <row r="534" spans="2:4" thickBot="1">
      <c r="B534" s="14" t="s">
        <v>515</v>
      </c>
      <c r="C534" s="107">
        <f>5-0.796</f>
        <v>4.2039999999999997</v>
      </c>
      <c r="D534" s="107">
        <f>5-0.796</f>
        <v>4.2039999999999997</v>
      </c>
    </row>
    <row r="535" spans="2:4" thickBot="1">
      <c r="B535" s="14" t="s">
        <v>516</v>
      </c>
      <c r="C535" s="108">
        <v>0.79600000000000004</v>
      </c>
      <c r="D535" s="108">
        <v>0.79600000000000004</v>
      </c>
    </row>
    <row r="536" spans="2:4" thickBot="1">
      <c r="B536" s="14" t="s">
        <v>517</v>
      </c>
      <c r="C536" s="108">
        <v>0.433</v>
      </c>
      <c r="D536" s="108">
        <v>0.433</v>
      </c>
    </row>
    <row r="537" spans="2:4" thickBot="1">
      <c r="B537" s="14" t="s">
        <v>495</v>
      </c>
      <c r="C537" s="14">
        <v>4.55</v>
      </c>
      <c r="D537" s="69">
        <v>7</v>
      </c>
    </row>
    <row r="538" spans="2:4" thickBot="1">
      <c r="B538" s="14" t="s">
        <v>496</v>
      </c>
      <c r="C538" s="107">
        <v>5</v>
      </c>
      <c r="D538" s="69">
        <v>5</v>
      </c>
    </row>
    <row r="539" spans="2:4" thickBot="1">
      <c r="B539" s="14" t="s">
        <v>499</v>
      </c>
      <c r="C539" s="14">
        <v>21.45</v>
      </c>
      <c r="D539" s="69">
        <v>33</v>
      </c>
    </row>
    <row r="540" spans="2:4" thickBot="1">
      <c r="B540" s="14" t="s">
        <v>500</v>
      </c>
      <c r="C540" s="14">
        <v>19.824999999999999</v>
      </c>
      <c r="D540" s="69">
        <v>30.5</v>
      </c>
    </row>
    <row r="541" spans="2:4" thickBot="1">
      <c r="B541" s="14" t="s">
        <v>487</v>
      </c>
      <c r="C541" s="14">
        <v>9.1</v>
      </c>
      <c r="D541" s="69">
        <v>14</v>
      </c>
    </row>
    <row r="542" spans="2:4" thickBot="1">
      <c r="B542" s="14" t="s">
        <v>501</v>
      </c>
      <c r="C542" s="14">
        <v>9.1</v>
      </c>
      <c r="D542" s="69">
        <v>14</v>
      </c>
    </row>
    <row r="543" spans="2:4" thickBot="1">
      <c r="B543" s="14" t="s">
        <v>502</v>
      </c>
      <c r="C543" s="14">
        <v>19.5</v>
      </c>
      <c r="D543" s="69">
        <v>30</v>
      </c>
    </row>
    <row r="544" spans="2:4" thickBot="1">
      <c r="B544" s="14" t="s">
        <v>503</v>
      </c>
      <c r="C544" s="14">
        <v>18.2</v>
      </c>
      <c r="D544" s="69">
        <v>28</v>
      </c>
    </row>
    <row r="545" spans="2:4" thickBot="1">
      <c r="B545" s="14" t="s">
        <v>504</v>
      </c>
      <c r="C545" s="14">
        <v>19.5</v>
      </c>
      <c r="D545" s="69">
        <v>30</v>
      </c>
    </row>
    <row r="546" spans="2:4" thickBot="1">
      <c r="B546" s="14" t="s">
        <v>505</v>
      </c>
      <c r="C546" s="14">
        <v>11.7</v>
      </c>
      <c r="D546" s="69">
        <v>18</v>
      </c>
    </row>
    <row r="547" spans="2:4" thickBot="1">
      <c r="B547" s="14" t="s">
        <v>498</v>
      </c>
      <c r="C547" s="14">
        <v>9.1</v>
      </c>
      <c r="D547" s="69">
        <v>14</v>
      </c>
    </row>
    <row r="548" spans="2:4" thickBot="1">
      <c r="B548" s="14" t="s">
        <v>527</v>
      </c>
      <c r="C548" s="14">
        <f>(D548*65)/100</f>
        <v>9.5549999999999997</v>
      </c>
      <c r="D548" s="69">
        <f>14+0.7</f>
        <v>14.7</v>
      </c>
    </row>
    <row r="549" spans="2:4" thickBot="1">
      <c r="B549" s="14" t="s">
        <v>506</v>
      </c>
      <c r="C549" s="14">
        <v>10.4</v>
      </c>
      <c r="D549" s="69">
        <v>16</v>
      </c>
    </row>
    <row r="550" spans="2:4" thickBot="1">
      <c r="B550" s="14" t="s">
        <v>485</v>
      </c>
      <c r="C550" s="14">
        <v>14.3</v>
      </c>
      <c r="D550" s="69">
        <v>22</v>
      </c>
    </row>
    <row r="551" spans="2:4" thickBot="1">
      <c r="B551" s="14" t="s">
        <v>507</v>
      </c>
      <c r="C551" s="14">
        <v>7.8</v>
      </c>
      <c r="D551" s="69">
        <v>12</v>
      </c>
    </row>
    <row r="552" spans="2:4" thickBot="1">
      <c r="B552" s="14" t="s">
        <v>508</v>
      </c>
      <c r="C552" s="14">
        <v>9.75</v>
      </c>
      <c r="D552" s="69">
        <v>15</v>
      </c>
    </row>
    <row r="553" spans="2:4" thickBot="1">
      <c r="B553" s="14" t="s">
        <v>509</v>
      </c>
      <c r="C553" s="14">
        <v>10.725</v>
      </c>
      <c r="D553" s="69">
        <v>16.5</v>
      </c>
    </row>
    <row r="554" spans="2:4" thickBot="1">
      <c r="B554" s="14" t="s">
        <v>510</v>
      </c>
      <c r="C554" s="14">
        <v>11.05</v>
      </c>
      <c r="D554" s="69">
        <v>17</v>
      </c>
    </row>
    <row r="555" spans="2:4" thickBot="1">
      <c r="B555" s="14" t="s">
        <v>511</v>
      </c>
      <c r="C555" s="14">
        <v>11.05</v>
      </c>
      <c r="D555" s="69">
        <v>17</v>
      </c>
    </row>
    <row r="556" spans="2:4" thickBot="1">
      <c r="B556" s="14" t="s">
        <v>518</v>
      </c>
      <c r="C556" s="14">
        <v>11.05</v>
      </c>
      <c r="D556" s="69">
        <v>17</v>
      </c>
    </row>
    <row r="557" spans="2:4" thickBot="1">
      <c r="B557" s="14" t="s">
        <v>519</v>
      </c>
      <c r="C557" s="14">
        <v>11.05</v>
      </c>
      <c r="D557" s="69">
        <v>17</v>
      </c>
    </row>
    <row r="558" spans="2:4" thickBot="1">
      <c r="B558" s="14" t="s">
        <v>512</v>
      </c>
      <c r="C558" s="14">
        <v>11.7</v>
      </c>
      <c r="D558" s="69">
        <v>18</v>
      </c>
    </row>
    <row r="559" spans="2:4" thickBot="1">
      <c r="B559" s="14" t="s">
        <v>513</v>
      </c>
      <c r="C559" s="14">
        <v>5</v>
      </c>
      <c r="D559" s="69">
        <v>5</v>
      </c>
    </row>
    <row r="560" spans="2:4" thickBot="1">
      <c r="B560" s="14" t="s">
        <v>514</v>
      </c>
      <c r="C560" s="14">
        <v>6.2074999999999996</v>
      </c>
      <c r="D560" s="40">
        <v>9.5500000000000007</v>
      </c>
    </row>
    <row r="561" spans="2:4" thickBot="1">
      <c r="B561" s="14" t="s">
        <v>520</v>
      </c>
      <c r="C561" s="14">
        <v>4.8</v>
      </c>
      <c r="D561" s="69">
        <v>7</v>
      </c>
    </row>
    <row r="562" spans="2:4" thickBot="1">
      <c r="B562" s="14" t="s">
        <v>521</v>
      </c>
      <c r="C562" s="14">
        <v>0.97746999999999995</v>
      </c>
      <c r="D562" s="69">
        <v>1.5038</v>
      </c>
    </row>
    <row r="563" spans="2:4" thickBot="1">
      <c r="B563" s="14" t="s">
        <v>522</v>
      </c>
      <c r="C563" s="14">
        <v>0.51479999999999992</v>
      </c>
      <c r="D563" s="69">
        <v>0.79199999999999993</v>
      </c>
    </row>
    <row r="564" spans="2:4" thickBot="1">
      <c r="B564" s="14" t="s">
        <v>523</v>
      </c>
      <c r="C564" s="14">
        <v>4.7768499999999996</v>
      </c>
      <c r="D564" s="69">
        <v>7.3490000000000002</v>
      </c>
    </row>
    <row r="565" spans="2:4" thickBot="1">
      <c r="B565" s="14" t="s">
        <v>525</v>
      </c>
      <c r="C565" s="14">
        <f t="shared" ref="C565:C577" si="31">(D565*65)/100</f>
        <v>0.7722</v>
      </c>
      <c r="D565" s="69">
        <v>1.1879999999999999</v>
      </c>
    </row>
    <row r="566" spans="2:4" thickBot="1">
      <c r="B566" s="14" t="s">
        <v>530</v>
      </c>
      <c r="C566" s="14">
        <f t="shared" si="31"/>
        <v>1.2584</v>
      </c>
      <c r="D566" s="69">
        <v>1.9359999999999999</v>
      </c>
    </row>
    <row r="567" spans="2:4" thickBot="1">
      <c r="B567" s="14" t="s">
        <v>531</v>
      </c>
      <c r="C567" s="14">
        <f t="shared" si="31"/>
        <v>1.6107000000000002</v>
      </c>
      <c r="D567" s="69">
        <v>2.4780000000000002</v>
      </c>
    </row>
    <row r="568" spans="2:4" thickBot="1">
      <c r="B568" s="14" t="s">
        <v>532</v>
      </c>
      <c r="C568" s="14">
        <f t="shared" si="31"/>
        <v>0.89375000000000004</v>
      </c>
      <c r="D568" s="69">
        <v>1.375</v>
      </c>
    </row>
    <row r="569" spans="2:4" thickBot="1">
      <c r="B569" s="14" t="s">
        <v>533</v>
      </c>
      <c r="C569" s="14">
        <f t="shared" si="31"/>
        <v>1.2012</v>
      </c>
      <c r="D569" s="69">
        <v>1.8480000000000001</v>
      </c>
    </row>
    <row r="570" spans="2:4" thickBot="1">
      <c r="B570" s="14" t="s">
        <v>534</v>
      </c>
      <c r="C570" s="14">
        <f t="shared" si="31"/>
        <v>1.2584</v>
      </c>
      <c r="D570" s="69">
        <v>1.9359999999999999</v>
      </c>
    </row>
    <row r="571" spans="2:4" thickBot="1">
      <c r="B571" s="14" t="s">
        <v>535</v>
      </c>
      <c r="C571" s="14">
        <f t="shared" si="31"/>
        <v>1.1582999999999999</v>
      </c>
      <c r="D571" s="69">
        <v>1.7819999999999998</v>
      </c>
    </row>
    <row r="572" spans="2:4" thickBot="1">
      <c r="B572" s="14" t="s">
        <v>536</v>
      </c>
      <c r="C572" s="14">
        <f t="shared" si="31"/>
        <v>1.2584</v>
      </c>
      <c r="D572" s="69">
        <v>1.9359999999999999</v>
      </c>
    </row>
    <row r="573" spans="2:4" thickBot="1">
      <c r="B573" s="14" t="s">
        <v>537</v>
      </c>
      <c r="C573" s="14">
        <f t="shared" si="31"/>
        <v>1.1582999999999999</v>
      </c>
      <c r="D573" s="69">
        <v>1.7819999999999998</v>
      </c>
    </row>
    <row r="574" spans="2:4" thickBot="1">
      <c r="B574" s="14" t="s">
        <v>538</v>
      </c>
      <c r="C574" s="14">
        <f t="shared" si="31"/>
        <v>1.3156000000000001</v>
      </c>
      <c r="D574" s="69">
        <v>2.024</v>
      </c>
    </row>
    <row r="575" spans="2:4" thickBot="1">
      <c r="B575" s="14" t="s">
        <v>539</v>
      </c>
      <c r="C575" s="14">
        <f t="shared" si="31"/>
        <v>0.7722</v>
      </c>
      <c r="D575" s="69">
        <v>1.1879999999999999</v>
      </c>
    </row>
    <row r="576" spans="2:4" thickBot="1">
      <c r="B576" s="14" t="s">
        <v>540</v>
      </c>
      <c r="C576" s="14">
        <f t="shared" si="31"/>
        <v>1.0152999999999999</v>
      </c>
      <c r="D576" s="69">
        <v>1.5619999999999998</v>
      </c>
    </row>
    <row r="577" spans="2:4" thickBot="1">
      <c r="B577" s="14" t="s">
        <v>541</v>
      </c>
      <c r="C577" s="14">
        <f t="shared" si="31"/>
        <v>1.0152999999999999</v>
      </c>
      <c r="D577" s="69">
        <v>1.5619999999999998</v>
      </c>
    </row>
    <row r="578" spans="2:4" thickBot="1">
      <c r="B578" s="14" t="s">
        <v>542</v>
      </c>
      <c r="C578" s="14">
        <f t="shared" ref="C578:C589" si="32">(D578*65)/100</f>
        <v>1.0152999999999999</v>
      </c>
      <c r="D578" s="69">
        <v>1.5619999999999998</v>
      </c>
    </row>
    <row r="579" spans="2:4" thickBot="1">
      <c r="B579" s="14" t="s">
        <v>543</v>
      </c>
      <c r="C579" s="14">
        <f t="shared" si="32"/>
        <v>1.0152999999999999</v>
      </c>
      <c r="D579" s="69">
        <v>1.5619999999999998</v>
      </c>
    </row>
    <row r="580" spans="2:4" thickBot="1">
      <c r="B580" s="14" t="s">
        <v>544</v>
      </c>
      <c r="C580" s="14">
        <f t="shared" si="32"/>
        <v>1.1582999999999999</v>
      </c>
      <c r="D580" s="69">
        <v>1.7819999999999998</v>
      </c>
    </row>
    <row r="581" spans="2:4" thickBot="1">
      <c r="B581" s="14" t="s">
        <v>545</v>
      </c>
      <c r="C581" s="14">
        <f t="shared" si="32"/>
        <v>0.90089999999999992</v>
      </c>
      <c r="D581" s="69">
        <v>1.3859999999999999</v>
      </c>
    </row>
    <row r="582" spans="2:4" thickBot="1">
      <c r="B582" s="14" t="s">
        <v>546</v>
      </c>
      <c r="C582" s="14">
        <f t="shared" si="32"/>
        <v>0.7722</v>
      </c>
      <c r="D582" s="69">
        <v>1.1879999999999999</v>
      </c>
    </row>
    <row r="583" spans="2:4" thickBot="1">
      <c r="B583" s="14" t="s">
        <v>548</v>
      </c>
      <c r="C583" s="14">
        <f t="shared" si="32"/>
        <v>16.25</v>
      </c>
      <c r="D583" s="69">
        <v>25</v>
      </c>
    </row>
    <row r="584" spans="2:4" thickBot="1">
      <c r="B584" s="14" t="s">
        <v>549</v>
      </c>
      <c r="C584" s="14">
        <f t="shared" si="32"/>
        <v>9.75</v>
      </c>
      <c r="D584" s="69">
        <v>15</v>
      </c>
    </row>
    <row r="585" spans="2:4" thickBot="1">
      <c r="B585" s="14" t="s">
        <v>550</v>
      </c>
      <c r="C585" s="14">
        <f t="shared" si="32"/>
        <v>16.574999999999999</v>
      </c>
      <c r="D585" s="69">
        <v>25.5</v>
      </c>
    </row>
    <row r="586" spans="2:4" thickBot="1">
      <c r="B586" s="14" t="s">
        <v>551</v>
      </c>
      <c r="C586" s="14">
        <f t="shared" si="32"/>
        <v>11.05</v>
      </c>
      <c r="D586" s="69">
        <v>17</v>
      </c>
    </row>
    <row r="587" spans="2:4" thickBot="1">
      <c r="B587" s="14" t="s">
        <v>547</v>
      </c>
      <c r="C587" s="14">
        <f t="shared" si="32"/>
        <v>10.4</v>
      </c>
      <c r="D587" s="69">
        <v>16</v>
      </c>
    </row>
    <row r="588" spans="2:4" thickBot="1">
      <c r="B588" s="14" t="s">
        <v>552</v>
      </c>
      <c r="C588" s="14">
        <f t="shared" si="32"/>
        <v>10.4</v>
      </c>
      <c r="D588" s="69">
        <v>16</v>
      </c>
    </row>
    <row r="589" spans="2:4" thickBot="1">
      <c r="B589" s="14" t="s">
        <v>553</v>
      </c>
      <c r="C589" s="14">
        <f t="shared" si="32"/>
        <v>10.725</v>
      </c>
      <c r="D589" s="69">
        <v>16.5</v>
      </c>
    </row>
    <row r="590" spans="2:4" thickBot="1">
      <c r="B590" s="14" t="s">
        <v>554</v>
      </c>
      <c r="C590" s="14">
        <v>3.75</v>
      </c>
      <c r="D590" s="69">
        <v>4.0999999999999996</v>
      </c>
    </row>
    <row r="591" spans="2:4" thickBot="1">
      <c r="B591" s="14" t="s">
        <v>555</v>
      </c>
      <c r="C591" s="14">
        <f>(D591*65)/100</f>
        <v>18.2</v>
      </c>
      <c r="D591" s="69">
        <v>28</v>
      </c>
    </row>
    <row r="592" spans="2:4" thickBot="1">
      <c r="B592" s="14" t="s">
        <v>556</v>
      </c>
      <c r="C592" s="14">
        <v>11.05</v>
      </c>
      <c r="D592" s="69">
        <v>17</v>
      </c>
    </row>
    <row r="593" spans="2:4" thickBot="1">
      <c r="B593" s="14" t="s">
        <v>519</v>
      </c>
      <c r="C593" s="14">
        <v>11.05</v>
      </c>
      <c r="D593" s="69">
        <v>17</v>
      </c>
    </row>
    <row r="594" spans="2:4" thickBot="1">
      <c r="B594" s="14" t="s">
        <v>557</v>
      </c>
      <c r="C594" s="14">
        <v>6.8095238095238093</v>
      </c>
      <c r="D594" s="69">
        <v>10.476190476190476</v>
      </c>
    </row>
    <row r="595" spans="2:4" thickBot="1">
      <c r="B595" s="14" t="s">
        <v>558</v>
      </c>
      <c r="C595" s="14">
        <v>11.05</v>
      </c>
      <c r="D595" s="69">
        <v>17</v>
      </c>
    </row>
    <row r="596" spans="2:4" thickBot="1">
      <c r="B596" s="14" t="s">
        <v>559</v>
      </c>
      <c r="C596" s="14">
        <v>8.4499999999999993</v>
      </c>
      <c r="D596" s="69">
        <v>13</v>
      </c>
    </row>
    <row r="597" spans="2:4" thickBot="1">
      <c r="B597" s="14" t="s">
        <v>560</v>
      </c>
      <c r="C597" s="14">
        <v>17.225000000000001</v>
      </c>
      <c r="D597" s="69">
        <v>26.5</v>
      </c>
    </row>
    <row r="598" spans="2:4" thickBot="1">
      <c r="B598" s="14" t="s">
        <v>561</v>
      </c>
      <c r="C598" s="14">
        <v>12.3565</v>
      </c>
      <c r="D598" s="69">
        <v>19.010000000000002</v>
      </c>
    </row>
    <row r="599" spans="2:4" thickBot="1">
      <c r="B599" s="14" t="s">
        <v>562</v>
      </c>
      <c r="C599" s="14">
        <v>12.675000000000001</v>
      </c>
      <c r="D599" s="69">
        <v>19.5</v>
      </c>
    </row>
    <row r="600" spans="2:4" thickBot="1">
      <c r="B600" s="14" t="s">
        <v>563</v>
      </c>
      <c r="C600" s="14">
        <v>12.3565</v>
      </c>
      <c r="D600" s="69">
        <v>19.010000000000002</v>
      </c>
    </row>
    <row r="601" spans="2:4" thickBot="1">
      <c r="B601" s="14" t="s">
        <v>564</v>
      </c>
      <c r="C601" s="14">
        <v>13.324999999999999</v>
      </c>
      <c r="D601" s="69">
        <v>20.5</v>
      </c>
    </row>
    <row r="602" spans="2:4" thickBot="1">
      <c r="B602" s="14" t="s">
        <v>565</v>
      </c>
      <c r="C602" s="14">
        <v>7.8</v>
      </c>
      <c r="D602" s="69">
        <v>12</v>
      </c>
    </row>
    <row r="603" spans="2:4" thickBot="1">
      <c r="B603" s="14" t="s">
        <v>507</v>
      </c>
      <c r="C603" s="14">
        <v>7.8</v>
      </c>
      <c r="D603" s="69">
        <v>12</v>
      </c>
    </row>
    <row r="604" spans="2:4" thickBot="1">
      <c r="B604" s="14" t="s">
        <v>566</v>
      </c>
      <c r="C604" s="14">
        <v>14.3</v>
      </c>
      <c r="D604" s="69">
        <v>22</v>
      </c>
    </row>
    <row r="605" spans="2:4" thickBot="1">
      <c r="B605" s="14" t="s">
        <v>567</v>
      </c>
      <c r="C605" s="14">
        <v>8.125</v>
      </c>
      <c r="D605" s="69">
        <v>12.5</v>
      </c>
    </row>
    <row r="606" spans="2:4" thickBot="1">
      <c r="B606" s="14" t="s">
        <v>568</v>
      </c>
      <c r="C606" s="14">
        <v>9.0060749999999992</v>
      </c>
      <c r="D606" s="69">
        <v>13.855499999999999</v>
      </c>
    </row>
    <row r="607" spans="2:4" thickBot="1">
      <c r="B607" s="14" t="s">
        <v>569</v>
      </c>
      <c r="C607" s="14">
        <v>1.292135</v>
      </c>
      <c r="D607" s="69">
        <v>1.9879</v>
      </c>
    </row>
    <row r="608" spans="2:4" thickBot="1">
      <c r="B608" s="14">
        <v>2048</v>
      </c>
      <c r="C608" s="14">
        <v>4.875</v>
      </c>
      <c r="D608" s="69">
        <v>7.5</v>
      </c>
    </row>
    <row r="609" spans="2:4" thickBot="1">
      <c r="B609" s="14" t="s">
        <v>570</v>
      </c>
      <c r="C609" s="14">
        <v>16.899999999999999</v>
      </c>
      <c r="D609" s="69">
        <v>26</v>
      </c>
    </row>
    <row r="610" spans="2:4" thickBot="1">
      <c r="B610" s="14" t="s">
        <v>571</v>
      </c>
      <c r="C610" s="14">
        <v>12.025</v>
      </c>
      <c r="D610" s="69">
        <v>18.5</v>
      </c>
    </row>
    <row r="611" spans="2:4" thickBot="1">
      <c r="B611" s="14" t="s">
        <v>572</v>
      </c>
      <c r="C611" s="14">
        <v>8.32</v>
      </c>
      <c r="D611" s="69">
        <v>12.8</v>
      </c>
    </row>
    <row r="612" spans="2:4" thickBot="1">
      <c r="B612" s="14" t="s">
        <v>573</v>
      </c>
      <c r="C612" s="14">
        <v>18.638463097222225</v>
      </c>
      <c r="D612" s="69">
        <v>28.674558611111117</v>
      </c>
    </row>
    <row r="613" spans="2:4" thickBot="1">
      <c r="B613" s="14">
        <v>413</v>
      </c>
      <c r="C613" s="14">
        <v>1.04</v>
      </c>
      <c r="D613" s="69">
        <v>1.6</v>
      </c>
    </row>
    <row r="614" spans="2:4" thickBot="1">
      <c r="B614" s="14">
        <v>412</v>
      </c>
      <c r="C614" s="14">
        <v>1.04</v>
      </c>
      <c r="D614" s="69">
        <v>1.6</v>
      </c>
    </row>
    <row r="615" spans="2:4" thickBot="1">
      <c r="B615" s="14">
        <v>414</v>
      </c>
      <c r="C615" s="14">
        <v>1.04</v>
      </c>
      <c r="D615" s="69">
        <v>1.6</v>
      </c>
    </row>
    <row r="616" spans="2:4" thickBot="1">
      <c r="B616" s="14">
        <v>103</v>
      </c>
      <c r="C616" s="14">
        <v>4.875</v>
      </c>
      <c r="D616" s="69">
        <v>7.5</v>
      </c>
    </row>
    <row r="617" spans="2:4" thickBot="1">
      <c r="B617" s="14">
        <v>133</v>
      </c>
      <c r="C617" s="14">
        <v>11.05</v>
      </c>
      <c r="D617" s="69">
        <v>17</v>
      </c>
    </row>
    <row r="618" spans="2:4" thickBot="1">
      <c r="B618" s="14" t="s">
        <v>574</v>
      </c>
      <c r="C618" s="14">
        <v>4.875</v>
      </c>
      <c r="D618" s="69">
        <v>7.5</v>
      </c>
    </row>
    <row r="619" spans="2:4" thickBot="1">
      <c r="B619" s="14" t="s">
        <v>575</v>
      </c>
      <c r="C619" s="14">
        <v>1.04</v>
      </c>
      <c r="D619" s="69">
        <v>1.6</v>
      </c>
    </row>
    <row r="620" spans="2:4" thickBot="1">
      <c r="B620" s="14" t="s">
        <v>576</v>
      </c>
      <c r="C620" s="14">
        <v>7.4285714285714288</v>
      </c>
      <c r="D620" s="69">
        <v>11.428571428571429</v>
      </c>
    </row>
    <row r="621" spans="2:4" thickBot="1">
      <c r="B621" s="14" t="s">
        <v>577</v>
      </c>
      <c r="C621" s="14">
        <v>16.899999999999999</v>
      </c>
      <c r="D621" s="69">
        <v>26</v>
      </c>
    </row>
    <row r="622" spans="2:4" thickBot="1">
      <c r="B622" s="14" t="s">
        <v>578</v>
      </c>
      <c r="C622" s="14">
        <v>10.4</v>
      </c>
      <c r="D622" s="69">
        <v>16</v>
      </c>
    </row>
    <row r="623" spans="2:4" thickBot="1">
      <c r="B623" s="14" t="s">
        <v>579</v>
      </c>
      <c r="C623" s="14">
        <v>6.7736499999999999</v>
      </c>
      <c r="D623" s="69">
        <v>10.420999999999999</v>
      </c>
    </row>
    <row r="624" spans="2:4" thickBot="1">
      <c r="B624" s="14" t="s">
        <v>580</v>
      </c>
      <c r="C624" s="14">
        <v>7.4285714285714288</v>
      </c>
      <c r="D624" s="69">
        <v>11.428571428571429</v>
      </c>
    </row>
    <row r="625" spans="2:4" thickBot="1">
      <c r="B625" s="14" t="s">
        <v>581</v>
      </c>
      <c r="C625" s="14">
        <v>4.875</v>
      </c>
      <c r="D625" s="69">
        <v>7.5</v>
      </c>
    </row>
    <row r="626" spans="2:4" thickBot="1">
      <c r="B626" s="14" t="s">
        <v>582</v>
      </c>
      <c r="C626" s="14">
        <v>5.2619047619047619</v>
      </c>
      <c r="D626" s="69">
        <v>8.0952380952380949</v>
      </c>
    </row>
    <row r="627" spans="2:4" thickBot="1">
      <c r="B627" s="14" t="s">
        <v>583</v>
      </c>
      <c r="C627" s="14">
        <v>9.1</v>
      </c>
      <c r="D627" s="69">
        <v>14</v>
      </c>
    </row>
    <row r="628" spans="2:4" thickBot="1">
      <c r="B628" s="14" t="s">
        <v>584</v>
      </c>
      <c r="C628" s="14">
        <v>6.8250000000000002</v>
      </c>
      <c r="D628" s="69">
        <v>10.5</v>
      </c>
    </row>
    <row r="629" spans="2:4" thickBot="1">
      <c r="B629" s="14" t="s">
        <v>585</v>
      </c>
      <c r="C629" s="14">
        <v>5.2619047619047619</v>
      </c>
      <c r="D629" s="69">
        <v>8.0952380952380949</v>
      </c>
    </row>
    <row r="630" spans="2:4" thickBot="1">
      <c r="B630" s="14" t="s">
        <v>586</v>
      </c>
      <c r="C630" s="14">
        <v>5.6192499999999992</v>
      </c>
      <c r="D630" s="69">
        <v>8.6449999999999996</v>
      </c>
    </row>
    <row r="631" spans="2:4" thickBot="1">
      <c r="B631" s="14" t="s">
        <v>587</v>
      </c>
      <c r="C631" s="14">
        <v>18.638463097222225</v>
      </c>
      <c r="D631" s="69">
        <v>28.674558611111117</v>
      </c>
    </row>
    <row r="632" spans="2:4" thickBot="1">
      <c r="B632" s="14" t="s">
        <v>589</v>
      </c>
      <c r="C632" s="14">
        <v>10.4</v>
      </c>
      <c r="D632" s="69">
        <v>16</v>
      </c>
    </row>
    <row r="633" spans="2:4" thickBot="1">
      <c r="B633" s="14" t="s">
        <v>588</v>
      </c>
      <c r="C633" s="14">
        <v>9.75</v>
      </c>
      <c r="D633" s="69">
        <v>15</v>
      </c>
    </row>
    <row r="634" spans="2:4" thickBot="1">
      <c r="B634" s="14" t="s">
        <v>590</v>
      </c>
      <c r="C634" s="14">
        <v>5.5250000000000004</v>
      </c>
      <c r="D634" s="69">
        <v>8.5</v>
      </c>
    </row>
    <row r="635" spans="2:4" thickBot="1">
      <c r="B635" s="14">
        <v>163</v>
      </c>
      <c r="C635" s="14">
        <v>7.15</v>
      </c>
      <c r="D635" s="69">
        <v>11</v>
      </c>
    </row>
    <row r="636" spans="2:4" thickBot="1">
      <c r="B636" s="14" t="s">
        <v>591</v>
      </c>
      <c r="C636" s="14">
        <v>8.125</v>
      </c>
      <c r="D636" s="69">
        <v>12.5</v>
      </c>
    </row>
    <row r="637" spans="2:4" thickBot="1">
      <c r="B637" s="14" t="s">
        <v>592</v>
      </c>
      <c r="C637" s="14">
        <v>1.625</v>
      </c>
      <c r="D637" s="69">
        <v>2.5</v>
      </c>
    </row>
    <row r="638" spans="2:4" thickBot="1">
      <c r="B638" s="14" t="s">
        <v>593</v>
      </c>
      <c r="C638" s="14">
        <v>1.625</v>
      </c>
      <c r="D638" s="69">
        <v>2.5</v>
      </c>
    </row>
    <row r="639" spans="2:4" thickBot="1">
      <c r="B639" s="14" t="s">
        <v>595</v>
      </c>
      <c r="C639" s="14">
        <v>30</v>
      </c>
      <c r="D639" s="69">
        <v>46.153846153846153</v>
      </c>
    </row>
    <row r="640" spans="2:4" thickBot="1">
      <c r="B640" s="14">
        <v>173</v>
      </c>
      <c r="C640" s="14">
        <v>7.8</v>
      </c>
      <c r="D640" s="69">
        <v>12</v>
      </c>
    </row>
    <row r="641" spans="2:4" thickBot="1">
      <c r="B641" s="14">
        <v>203</v>
      </c>
      <c r="C641" s="14">
        <v>8.4499999999999993</v>
      </c>
      <c r="D641" s="69">
        <v>13</v>
      </c>
    </row>
    <row r="642" spans="2:4" thickBot="1">
      <c r="B642" s="14" t="s">
        <v>594</v>
      </c>
      <c r="C642" s="14">
        <v>11.7</v>
      </c>
      <c r="D642" s="69">
        <v>18</v>
      </c>
    </row>
    <row r="643" spans="2:4" thickBot="1">
      <c r="B643" s="14">
        <v>111</v>
      </c>
      <c r="C643" s="14">
        <v>4.875</v>
      </c>
      <c r="D643" s="69">
        <v>7.5</v>
      </c>
    </row>
    <row r="644" spans="2:4" ht="11.25">
      <c r="B644" s="14">
        <v>108</v>
      </c>
      <c r="C644" s="14">
        <v>4.875</v>
      </c>
      <c r="D644" s="69">
        <v>7.5</v>
      </c>
    </row>
    <row r="645" spans="2:4" ht="11.25">
      <c r="B645" s="14">
        <v>182</v>
      </c>
      <c r="C645" s="14">
        <v>7.4285714285714288</v>
      </c>
      <c r="D645" s="69">
        <v>11.428571428571429</v>
      </c>
    </row>
    <row r="646" spans="2:4" ht="11.25">
      <c r="B646" s="14">
        <v>180</v>
      </c>
      <c r="C646" s="14">
        <v>7.4285714285714288</v>
      </c>
      <c r="D646" s="69">
        <v>11.428571428571429</v>
      </c>
    </row>
    <row r="647" spans="2:4" ht="11.25">
      <c r="B647" s="14" t="s">
        <v>596</v>
      </c>
      <c r="C647" s="14">
        <v>0.89819344262295076</v>
      </c>
      <c r="D647" s="69">
        <v>1.3818360655737705</v>
      </c>
    </row>
    <row r="648" spans="2:4" ht="11.25">
      <c r="B648" s="14" t="s">
        <v>597</v>
      </c>
      <c r="C648" s="14">
        <v>1.1517449074074073</v>
      </c>
      <c r="D648" s="69">
        <v>1.7719152421652422</v>
      </c>
    </row>
    <row r="649" spans="2:4" ht="11.25">
      <c r="B649" s="14" t="s">
        <v>598</v>
      </c>
      <c r="C649" s="14">
        <v>0.36075000000000002</v>
      </c>
      <c r="D649" s="69">
        <v>0.55500000000000005</v>
      </c>
    </row>
    <row r="650" spans="2:4" ht="11.25">
      <c r="B650" s="14" t="s">
        <v>599</v>
      </c>
      <c r="C650" s="14">
        <v>5.5575000000000001</v>
      </c>
      <c r="D650" s="69">
        <v>8.5500000000000007</v>
      </c>
    </row>
    <row r="651" spans="2:4" ht="11.25">
      <c r="B651" s="14" t="s">
        <v>600</v>
      </c>
      <c r="C651" s="14">
        <v>0.36075000000000002</v>
      </c>
      <c r="D651" s="69">
        <v>0.55500000000000005</v>
      </c>
    </row>
    <row r="652" spans="2:4" ht="11.25">
      <c r="B652" s="14" t="s">
        <v>601</v>
      </c>
      <c r="C652" s="14">
        <v>1.05365</v>
      </c>
      <c r="D652" s="69">
        <v>1.621</v>
      </c>
    </row>
    <row r="653" spans="2:4" ht="11.25">
      <c r="B653" s="14" t="s">
        <v>602</v>
      </c>
      <c r="C653" s="14">
        <v>0.32500000000000001</v>
      </c>
      <c r="D653" s="69">
        <v>0.5</v>
      </c>
    </row>
    <row r="654" spans="2:4" ht="11.25">
      <c r="B654" s="14" t="s">
        <v>603</v>
      </c>
      <c r="C654" s="14">
        <v>1.04</v>
      </c>
      <c r="D654" s="69">
        <v>1.6</v>
      </c>
    </row>
    <row r="655" spans="2:4" ht="11.25">
      <c r="B655" s="14" t="s">
        <v>604</v>
      </c>
      <c r="C655" s="14">
        <v>1.625</v>
      </c>
      <c r="D655" s="69">
        <v>2.5</v>
      </c>
    </row>
    <row r="656" spans="2:4" ht="11.25">
      <c r="B656" s="14" t="s">
        <v>605</v>
      </c>
      <c r="C656" s="14">
        <v>16.574999999999999</v>
      </c>
      <c r="D656" s="69">
        <v>25.5</v>
      </c>
    </row>
    <row r="657" spans="2:4" ht="11.25">
      <c r="B657" s="14" t="s">
        <v>606</v>
      </c>
      <c r="C657" s="14">
        <v>24.375</v>
      </c>
      <c r="D657" s="69">
        <v>37.5</v>
      </c>
    </row>
    <row r="658" spans="2:4" ht="11.25">
      <c r="B658" s="14" t="s">
        <v>607</v>
      </c>
      <c r="C658" s="14">
        <v>24.375</v>
      </c>
      <c r="D658" s="69">
        <v>37.5</v>
      </c>
    </row>
    <row r="659" spans="2:4" ht="11.25">
      <c r="B659" s="14">
        <v>229</v>
      </c>
      <c r="C659" s="14">
        <v>10.725</v>
      </c>
      <c r="D659" s="69">
        <v>16.5</v>
      </c>
    </row>
    <row r="660" spans="2:4" ht="11.25">
      <c r="B660" s="14" t="s">
        <v>608</v>
      </c>
      <c r="C660" s="14">
        <v>24.375</v>
      </c>
      <c r="D660" s="69">
        <v>37.5</v>
      </c>
    </row>
    <row r="661" spans="2:4" ht="11.25">
      <c r="B661" s="14" t="s">
        <v>609</v>
      </c>
      <c r="C661" s="14">
        <v>24.375</v>
      </c>
      <c r="D661" s="69">
        <v>37.5</v>
      </c>
    </row>
    <row r="662" spans="2:4" ht="11.25">
      <c r="B662" s="14" t="s">
        <v>610</v>
      </c>
      <c r="C662" s="14">
        <v>8.9817</v>
      </c>
      <c r="D662" s="69">
        <v>13.818</v>
      </c>
    </row>
    <row r="663" spans="2:4" ht="11.25">
      <c r="B663" s="14" t="s">
        <v>611</v>
      </c>
      <c r="C663" s="14">
        <v>8.4499999999999993</v>
      </c>
      <c r="D663" s="69">
        <v>13</v>
      </c>
    </row>
    <row r="664" spans="2:4" ht="11.25">
      <c r="B664" s="14" t="s">
        <v>612</v>
      </c>
      <c r="C664" s="14">
        <v>0.32500000000000001</v>
      </c>
      <c r="D664" s="69">
        <v>0.5</v>
      </c>
    </row>
    <row r="665" spans="2:4" ht="11.25">
      <c r="B665" s="14" t="s">
        <v>613</v>
      </c>
      <c r="C665" s="14">
        <v>20.4815</v>
      </c>
      <c r="D665" s="69">
        <v>31.51</v>
      </c>
    </row>
    <row r="666" spans="2:4" ht="11.25">
      <c r="B666" s="14" t="s">
        <v>614</v>
      </c>
      <c r="C666" s="14">
        <v>1.7460560000000001</v>
      </c>
      <c r="D666" s="69">
        <v>2.6862400000000002</v>
      </c>
    </row>
    <row r="667" spans="2:4" ht="11.25">
      <c r="B667" s="14" t="s">
        <v>615</v>
      </c>
      <c r="C667" s="14">
        <v>0.36075000000000002</v>
      </c>
      <c r="D667" s="69">
        <v>0.55500000000000005</v>
      </c>
    </row>
    <row r="668" spans="2:4" ht="11.25">
      <c r="B668" s="14" t="s">
        <v>616</v>
      </c>
      <c r="C668" s="14">
        <v>0.36075000000000002</v>
      </c>
      <c r="D668" s="69">
        <v>0.55500000000000005</v>
      </c>
    </row>
    <row r="669" spans="2:4" ht="11.25">
      <c r="B669" s="14" t="s">
        <v>617</v>
      </c>
      <c r="C669" s="14">
        <v>9.5797000000000008</v>
      </c>
      <c r="D669" s="69">
        <v>14.738</v>
      </c>
    </row>
    <row r="670" spans="2:4" ht="11.25">
      <c r="B670" s="14">
        <v>188</v>
      </c>
      <c r="C670" s="14">
        <v>18.638463097222225</v>
      </c>
      <c r="D670" s="69">
        <v>28.674558611111117</v>
      </c>
    </row>
    <row r="671" spans="2:4" ht="11.25">
      <c r="B671" s="14" t="s">
        <v>618</v>
      </c>
      <c r="C671" s="14">
        <v>6.8250000000000002</v>
      </c>
      <c r="D671" s="69">
        <v>10.5</v>
      </c>
    </row>
    <row r="672" spans="2:4" ht="11.25">
      <c r="B672" s="14" t="s">
        <v>619</v>
      </c>
      <c r="C672" s="14">
        <v>7.4285714285714288</v>
      </c>
      <c r="D672" s="69">
        <v>11.428571428571429</v>
      </c>
    </row>
    <row r="673" spans="2:4" ht="11.25">
      <c r="B673" s="14" t="s">
        <v>620</v>
      </c>
      <c r="C673" s="14">
        <v>24.375</v>
      </c>
      <c r="D673" s="69">
        <v>37.5</v>
      </c>
    </row>
    <row r="674" spans="2:4" ht="11.25">
      <c r="B674" s="14" t="s">
        <v>621</v>
      </c>
      <c r="C674" s="14">
        <v>16.574999999999999</v>
      </c>
      <c r="D674" s="69">
        <v>25.5</v>
      </c>
    </row>
    <row r="675" spans="2:4" ht="11.25">
      <c r="B675" s="14" t="s">
        <v>622</v>
      </c>
      <c r="C675" s="14">
        <v>6.8250000000000002</v>
      </c>
      <c r="D675" s="69">
        <v>10.5</v>
      </c>
    </row>
    <row r="676" spans="2:4" ht="11.25">
      <c r="B676" s="14" t="s">
        <v>623</v>
      </c>
      <c r="C676" s="14">
        <v>24.375</v>
      </c>
      <c r="D676" s="69">
        <v>37.5</v>
      </c>
    </row>
    <row r="677" spans="2:4" ht="11.25">
      <c r="B677" s="14" t="s">
        <v>624</v>
      </c>
      <c r="C677" s="14">
        <v>24.375</v>
      </c>
      <c r="D677" s="69">
        <v>37.5</v>
      </c>
    </row>
    <row r="678" spans="2:4" ht="11.25">
      <c r="B678" s="14" t="s">
        <v>625</v>
      </c>
      <c r="C678" s="14">
        <v>6.8095238095238093</v>
      </c>
      <c r="D678" s="69">
        <v>10.476190476190476</v>
      </c>
    </row>
    <row r="679" spans="2:4" ht="11.25">
      <c r="B679" s="14" t="s">
        <v>626</v>
      </c>
      <c r="C679" s="14">
        <v>20.8</v>
      </c>
      <c r="D679" s="69">
        <v>32</v>
      </c>
    </row>
    <row r="680" spans="2:4" ht="11.25">
      <c r="B680" s="14">
        <v>1734</v>
      </c>
      <c r="C680" s="14">
        <v>5.5250000000000004</v>
      </c>
      <c r="D680" s="69">
        <v>8.5</v>
      </c>
    </row>
    <row r="681" spans="2:4" ht="11.25">
      <c r="B681" s="14">
        <v>1425</v>
      </c>
      <c r="C681" s="14">
        <v>7.9950000000000001</v>
      </c>
      <c r="D681" s="69">
        <v>12.3</v>
      </c>
    </row>
    <row r="682" spans="2:4" ht="11.25">
      <c r="B682" s="14" t="s">
        <v>627</v>
      </c>
      <c r="C682" s="14">
        <v>6.8250000000000002</v>
      </c>
      <c r="D682" s="69">
        <v>10.5</v>
      </c>
    </row>
    <row r="683" spans="2:4" ht="11.25">
      <c r="B683" s="14">
        <v>1112</v>
      </c>
      <c r="C683" s="14">
        <v>5.85</v>
      </c>
      <c r="D683" s="69">
        <v>9</v>
      </c>
    </row>
    <row r="684" spans="2:4" ht="11.25">
      <c r="B684" s="14">
        <v>1521</v>
      </c>
      <c r="C684" s="14">
        <v>5.85</v>
      </c>
      <c r="D684" s="69">
        <v>9</v>
      </c>
    </row>
    <row r="685" spans="2:4" ht="11.25">
      <c r="B685" s="14">
        <v>1111</v>
      </c>
      <c r="C685" s="14">
        <v>5.85</v>
      </c>
      <c r="D685" s="69">
        <v>9</v>
      </c>
    </row>
    <row r="686" spans="2:4" ht="11.25">
      <c r="B686" s="14" t="s">
        <v>628</v>
      </c>
      <c r="C686" s="14">
        <v>9.75</v>
      </c>
      <c r="D686" s="69">
        <v>15</v>
      </c>
    </row>
    <row r="687" spans="2:4" thickBot="1">
      <c r="B687" s="14" t="s">
        <v>629</v>
      </c>
      <c r="C687" s="14">
        <v>7.1190476190476195</v>
      </c>
      <c r="D687" s="69">
        <v>10.952380952380953</v>
      </c>
    </row>
    <row r="688" spans="2:4" thickBot="1">
      <c r="B688" s="14" t="s">
        <v>630</v>
      </c>
      <c r="C688" s="14">
        <v>8.0274999999999999</v>
      </c>
      <c r="D688" s="69">
        <v>12.35</v>
      </c>
    </row>
    <row r="689" spans="2:4" thickBot="1">
      <c r="B689" s="14" t="s">
        <v>631</v>
      </c>
      <c r="C689" s="14">
        <v>5.9123999999999999</v>
      </c>
      <c r="D689" s="69">
        <v>9.0960000000000001</v>
      </c>
    </row>
    <row r="690" spans="2:4" ht="11.25">
      <c r="B690" s="14" t="s">
        <v>632</v>
      </c>
      <c r="C690" s="14">
        <v>7.1190476190476195</v>
      </c>
      <c r="D690" s="69">
        <v>10.952380952380953</v>
      </c>
    </row>
    <row r="691" spans="2:4" thickBot="1">
      <c r="B691" s="14" t="s">
        <v>633</v>
      </c>
      <c r="C691" s="14">
        <v>8.9817</v>
      </c>
      <c r="D691" s="69">
        <v>13.818</v>
      </c>
    </row>
    <row r="692" spans="2:4" thickBot="1">
      <c r="B692" s="14" t="s">
        <v>635</v>
      </c>
      <c r="C692" s="14">
        <v>6.8250000000000002</v>
      </c>
      <c r="D692" s="69">
        <v>10.5</v>
      </c>
    </row>
    <row r="693" spans="2:4" thickBot="1">
      <c r="B693" s="14" t="s">
        <v>634</v>
      </c>
      <c r="C693" s="14">
        <v>12.025</v>
      </c>
      <c r="D693" s="69">
        <v>18.5</v>
      </c>
    </row>
    <row r="694" spans="2:4" thickBot="1">
      <c r="B694" s="14" t="s">
        <v>636</v>
      </c>
      <c r="C694" s="14">
        <v>0.32500000000000001</v>
      </c>
      <c r="D694" s="69">
        <v>0.5</v>
      </c>
    </row>
    <row r="695" spans="2:4" thickBot="1">
      <c r="B695" s="14" t="s">
        <v>637</v>
      </c>
      <c r="C695" s="14">
        <v>15.275</v>
      </c>
      <c r="D695" s="69">
        <v>23.5</v>
      </c>
    </row>
    <row r="696" spans="2:4" ht="11.25">
      <c r="B696" s="14" t="s">
        <v>638</v>
      </c>
      <c r="C696" s="14">
        <v>7.4749999999999996</v>
      </c>
      <c r="D696" s="69">
        <v>11.5</v>
      </c>
    </row>
    <row r="697" spans="2:4" ht="11.25">
      <c r="B697" s="14" t="s">
        <v>639</v>
      </c>
      <c r="C697" s="14">
        <v>0.32500000000000001</v>
      </c>
      <c r="D697" s="69">
        <v>0.5</v>
      </c>
    </row>
    <row r="698" spans="2:4" ht="11.25">
      <c r="B698" s="14" t="s">
        <v>640</v>
      </c>
      <c r="C698" s="14">
        <v>12.025</v>
      </c>
      <c r="D698" s="69">
        <v>18.5</v>
      </c>
    </row>
    <row r="699" spans="2:4" ht="11.25">
      <c r="B699" s="14" t="s">
        <v>641</v>
      </c>
      <c r="C699" s="14">
        <v>11.05</v>
      </c>
      <c r="D699" s="69">
        <v>17</v>
      </c>
    </row>
    <row r="700" spans="2:4" ht="11.25"/>
    <row r="701" spans="2:4" ht="11.25"/>
    <row r="702" spans="2:4" ht="11.25"/>
    <row r="703" spans="2:4" ht="11.25"/>
    <row r="704" spans="2:4" ht="11.25"/>
    <row r="705" ht="11.25"/>
    <row r="706" ht="11.25"/>
    <row r="707" ht="11.25"/>
    <row r="708" ht="11.25"/>
    <row r="709" ht="11.25"/>
    <row r="710" ht="11.25"/>
    <row r="711" ht="11.25"/>
    <row r="712" ht="11.25"/>
    <row r="713" ht="11.25"/>
    <row r="714" ht="11.25"/>
    <row r="715" ht="11.25"/>
    <row r="716" ht="11.25"/>
    <row r="717" ht="11.25"/>
    <row r="718" ht="11.25"/>
    <row r="719" ht="11.25"/>
    <row r="720" ht="11.25"/>
    <row r="721" ht="11.25"/>
    <row r="722" ht="11.25"/>
    <row r="723" ht="11.25"/>
    <row r="724" ht="11.25"/>
    <row r="725" ht="11.25"/>
    <row r="726" ht="11.25"/>
    <row r="727" ht="11.25"/>
    <row r="728" ht="11.25"/>
    <row r="729" ht="11.25"/>
    <row r="730" ht="11.25"/>
    <row r="731" ht="11.25"/>
    <row r="732" ht="11.25"/>
    <row r="733" ht="11.25"/>
    <row r="734" ht="11.25"/>
    <row r="735" ht="11.25"/>
    <row r="736" ht="11.25"/>
    <row r="737" ht="11.25"/>
    <row r="738" ht="11.25"/>
    <row r="739" ht="11.25"/>
    <row r="740" ht="11.25"/>
    <row r="741" ht="11.25"/>
    <row r="742" ht="11.25"/>
    <row r="743" ht="11.25"/>
    <row r="744" ht="11.25"/>
    <row r="745" ht="11.25"/>
    <row r="746" ht="11.25"/>
    <row r="747" ht="11.25"/>
    <row r="748" ht="11.25"/>
    <row r="749" ht="11.25"/>
    <row r="750" ht="11.25"/>
    <row r="751" ht="11.25"/>
    <row r="752" ht="11.25"/>
    <row r="753" ht="11.25"/>
    <row r="754" ht="11.25"/>
    <row r="755" ht="11.25"/>
    <row r="756" ht="11.25"/>
    <row r="757" ht="11.25"/>
    <row r="758" ht="11.25"/>
    <row r="759" ht="11.25"/>
    <row r="760" ht="11.25"/>
    <row r="761" ht="11.25"/>
    <row r="762" ht="11.25"/>
    <row r="763" ht="11.25"/>
    <row r="764" ht="11.25"/>
    <row r="765" ht="11.25"/>
    <row r="766" ht="11.25"/>
    <row r="767" ht="11.25"/>
    <row r="768" ht="11.25"/>
    <row r="769" ht="11.25"/>
    <row r="770" ht="11.25"/>
    <row r="771" ht="11.25"/>
    <row r="772" ht="11.25"/>
    <row r="773" ht="11.25"/>
    <row r="774" ht="11.25"/>
    <row r="775" ht="11.25"/>
    <row r="776" ht="11.25"/>
    <row r="777" ht="11.25"/>
    <row r="778" ht="11.25"/>
    <row r="779" ht="11.25"/>
    <row r="780" ht="11.25"/>
    <row r="781" ht="11.25"/>
    <row r="782" ht="11.25"/>
    <row r="783" ht="11.25"/>
    <row r="784" ht="11.25"/>
    <row r="785" ht="11.25"/>
    <row r="786" ht="11.25"/>
    <row r="787" ht="11.25"/>
    <row r="788" ht="11.25"/>
    <row r="789" ht="11.25"/>
    <row r="790" ht="11.25"/>
    <row r="791" ht="11.25"/>
    <row r="792" ht="11.25"/>
    <row r="793" ht="11.25"/>
    <row r="794" ht="11.25"/>
    <row r="795" ht="11.25"/>
    <row r="796" ht="11.25"/>
    <row r="797" ht="11.25"/>
    <row r="798" ht="11.25"/>
    <row r="799" ht="11.25"/>
    <row r="800" ht="11.25"/>
    <row r="801" ht="11.25"/>
    <row r="802" ht="11.25"/>
    <row r="803" ht="11.25"/>
    <row r="804" ht="11.25"/>
    <row r="805" ht="11.25"/>
    <row r="806" ht="11.25"/>
    <row r="807" ht="11.25"/>
    <row r="808" ht="11.25"/>
    <row r="809" ht="11.25"/>
    <row r="810" ht="11.25"/>
    <row r="811" ht="11.25"/>
    <row r="812" ht="11.25"/>
    <row r="813" ht="11.25"/>
    <row r="814" ht="11.25"/>
    <row r="815" ht="11.25"/>
    <row r="816" ht="11.25"/>
    <row r="817" ht="11.25"/>
    <row r="818" ht="11.25"/>
    <row r="819" ht="11.25"/>
    <row r="820" ht="11.25"/>
    <row r="821" ht="11.25"/>
    <row r="822" ht="11.25"/>
    <row r="823" ht="11.25"/>
    <row r="824" ht="11.25"/>
    <row r="825" ht="11.25"/>
    <row r="826" ht="11.25"/>
    <row r="827" ht="11.25"/>
    <row r="828" ht="11.25"/>
    <row r="829" ht="11.25"/>
    <row r="830" ht="11.25"/>
    <row r="831" ht="11.25"/>
    <row r="832" ht="11.25"/>
    <row r="833" ht="11.25"/>
    <row r="834" ht="11.25"/>
    <row r="835" ht="11.25"/>
    <row r="836" ht="11.25"/>
    <row r="837" ht="11.25"/>
    <row r="838" ht="11.25"/>
    <row r="839" ht="11.25"/>
    <row r="840" ht="11.25"/>
    <row r="841" ht="11.25"/>
    <row r="842" ht="11.25"/>
    <row r="843" ht="11.25"/>
    <row r="844" ht="11.25"/>
    <row r="845" ht="11.25"/>
    <row r="846" ht="11.25"/>
    <row r="847" ht="11.25"/>
    <row r="848" ht="11.25"/>
    <row r="849" ht="11.25"/>
    <row r="850" ht="11.25"/>
    <row r="851" ht="11.25"/>
    <row r="852" ht="11.25"/>
    <row r="853" ht="11.25"/>
    <row r="854" ht="11.25"/>
    <row r="855" ht="11.25"/>
    <row r="856" ht="11.25"/>
    <row r="857" ht="11.25"/>
    <row r="858" ht="11.25"/>
    <row r="859" ht="11.25"/>
    <row r="860" ht="11.25"/>
    <row r="861" ht="11.25"/>
    <row r="862" ht="11.25"/>
    <row r="863" ht="11.25"/>
    <row r="864" ht="11.25"/>
    <row r="865" ht="11.25"/>
    <row r="866" ht="11.25"/>
    <row r="867" ht="11.25"/>
    <row r="868" ht="11.25"/>
    <row r="869" ht="11.25"/>
    <row r="870" ht="11.25"/>
    <row r="871" ht="11.25"/>
    <row r="872" ht="11.25"/>
    <row r="873" ht="11.25"/>
    <row r="874" ht="11.25"/>
    <row r="875" ht="11.25"/>
    <row r="876" ht="11.25"/>
    <row r="877" ht="11.25"/>
    <row r="878" ht="11.25"/>
    <row r="879" ht="11.25"/>
    <row r="880" ht="11.25"/>
    <row r="881" ht="11.25"/>
    <row r="882" ht="11.25"/>
    <row r="883" ht="11.25"/>
    <row r="884" ht="11.25"/>
    <row r="885" ht="11.25"/>
    <row r="886" ht="11.25"/>
    <row r="887" ht="11.25"/>
    <row r="888" ht="11.25"/>
    <row r="889" ht="11.25"/>
    <row r="890" ht="11.25"/>
    <row r="891" ht="11.25"/>
    <row r="892" ht="11.25"/>
    <row r="893" ht="11.25"/>
    <row r="894" ht="11.25"/>
    <row r="895" ht="11.25"/>
    <row r="896" ht="11.25"/>
    <row r="897" ht="11.25"/>
    <row r="898" ht="11.25"/>
    <row r="899" ht="11.25"/>
    <row r="900" ht="11.25"/>
    <row r="901" ht="11.25"/>
    <row r="902" ht="11.25"/>
    <row r="903" ht="11.25"/>
    <row r="904" ht="11.25"/>
    <row r="905" ht="11.25"/>
    <row r="906" ht="11.25"/>
    <row r="907" ht="11.25"/>
    <row r="908" ht="11.25"/>
    <row r="909" ht="11.25"/>
    <row r="910" ht="11.25"/>
    <row r="911" ht="11.25"/>
    <row r="912" ht="11.25"/>
    <row r="913" ht="11.25"/>
    <row r="914" ht="11.25"/>
    <row r="915" ht="11.25"/>
    <row r="916" ht="11.25"/>
    <row r="917" ht="11.25"/>
    <row r="918" ht="11.25"/>
    <row r="919" ht="11.25"/>
    <row r="920" ht="11.25"/>
    <row r="921" ht="11.25"/>
    <row r="922" ht="11.25"/>
    <row r="923" ht="11.25"/>
    <row r="924" ht="11.25"/>
    <row r="925" ht="11.25"/>
    <row r="926" ht="11.25"/>
    <row r="927" ht="11.25"/>
    <row r="928" ht="11.25"/>
    <row r="929" ht="11.25"/>
    <row r="930" ht="11.25"/>
    <row r="931" ht="11.25"/>
    <row r="932" ht="11.25"/>
    <row r="933" ht="11.25"/>
    <row r="934" ht="11.25"/>
    <row r="935" ht="11.25"/>
    <row r="936" ht="11.25"/>
    <row r="937" ht="11.25"/>
    <row r="938" ht="11.25"/>
    <row r="939" ht="11.25"/>
    <row r="940" ht="11.25"/>
    <row r="941" ht="11.25"/>
    <row r="942" ht="11.25"/>
    <row r="943" ht="11.25"/>
    <row r="944" ht="11.25"/>
    <row r="945" ht="11.25"/>
    <row r="946" ht="11.25"/>
    <row r="947" ht="11.25"/>
    <row r="948" ht="11.25"/>
    <row r="949" ht="11.25"/>
    <row r="950" ht="11.25"/>
    <row r="951" ht="11.25"/>
    <row r="952" ht="11.25"/>
    <row r="953" ht="11.25"/>
    <row r="954" ht="11.25"/>
    <row r="955" ht="11.25"/>
    <row r="956" ht="11.25"/>
    <row r="957" ht="11.25"/>
    <row r="958" ht="11.25"/>
    <row r="959" ht="11.25"/>
    <row r="960" ht="11.25"/>
    <row r="961" ht="11.25"/>
    <row r="962" ht="11.25"/>
    <row r="963" ht="11.25"/>
    <row r="964" ht="11.25"/>
    <row r="965" ht="11.25"/>
    <row r="966" ht="11.25"/>
    <row r="967" ht="11.25"/>
    <row r="968" ht="11.25"/>
    <row r="969" ht="11.25"/>
    <row r="970" ht="11.25"/>
    <row r="971" ht="11.25"/>
    <row r="972" ht="11.25"/>
    <row r="973" ht="11.25"/>
    <row r="974" ht="11.25"/>
    <row r="975" ht="11.25"/>
    <row r="976" ht="11.25"/>
    <row r="977" ht="11.25"/>
    <row r="978" ht="11.25"/>
    <row r="979" ht="11.25"/>
    <row r="980" ht="11.25"/>
    <row r="981" ht="11.25"/>
    <row r="982" ht="11.25"/>
    <row r="983" ht="11.25"/>
    <row r="984" ht="11.25"/>
    <row r="985" ht="11.25"/>
    <row r="986" ht="11.25"/>
    <row r="987" ht="11.25"/>
    <row r="988" ht="11.25"/>
    <row r="989" ht="11.25"/>
    <row r="990" ht="11.25"/>
    <row r="991" ht="11.25"/>
    <row r="992" ht="11.25"/>
    <row r="993" ht="11.25"/>
    <row r="994" ht="11.25"/>
    <row r="995" ht="11.25"/>
    <row r="996" ht="11.25"/>
    <row r="997" ht="11.25"/>
    <row r="998" ht="11.25"/>
    <row r="999" ht="11.25"/>
    <row r="1000" ht="11.25"/>
    <row r="1001" ht="11.25"/>
    <row r="1002" ht="11.25"/>
    <row r="1003" ht="11.25"/>
    <row r="1004" ht="11.25"/>
    <row r="1005" ht="11.25"/>
    <row r="1006" ht="11.25"/>
    <row r="1007" ht="11.25"/>
    <row r="1008" ht="11.25"/>
  </sheetData>
  <autoFilter ref="A5:R642"/>
  <sortState ref="A3:I128">
    <sortCondition ref="B3:B128"/>
  </sortState>
  <mergeCells count="1">
    <mergeCell ref="A4:D4"/>
  </mergeCells>
  <phoneticPr fontId="44" type="noConversion"/>
  <printOptions horizontalCentered="1"/>
  <pageMargins left="0.5" right="0.5" top="0.5" bottom="0.5" header="0.25" footer="0.25"/>
  <pageSetup paperSize="9" scale="90" orientation="portrait" horizontalDpi="4294967294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343"/>
  <sheetViews>
    <sheetView showGridLines="0" tabSelected="1" zoomScaleNormal="100" zoomScaleSheetLayoutView="80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L38" sqref="L38"/>
    </sheetView>
  </sheetViews>
  <sheetFormatPr defaultColWidth="9.140625" defaultRowHeight="15.75"/>
  <cols>
    <col min="1" max="1" width="22.85546875" style="17" customWidth="1"/>
    <col min="2" max="2" width="28.42578125" style="83" customWidth="1"/>
    <col min="3" max="3" width="12.5703125" style="17" customWidth="1"/>
    <col min="4" max="4" width="12.7109375" style="18" customWidth="1"/>
    <col min="5" max="7" width="12.7109375" style="17" customWidth="1"/>
    <col min="8" max="8" width="12.5703125" style="17" customWidth="1"/>
    <col min="9" max="9" width="12.7109375" style="17" customWidth="1"/>
    <col min="10" max="10" width="12.7109375" style="17" hidden="1" customWidth="1"/>
    <col min="11" max="11" width="15.42578125" style="17" customWidth="1"/>
    <col min="12" max="12" width="46.85546875" style="36" customWidth="1"/>
    <col min="13" max="14" width="9.140625" style="17" customWidth="1"/>
    <col min="15" max="16384" width="9.140625" style="17"/>
  </cols>
  <sheetData>
    <row r="1" spans="1:13" ht="15.75" customHeight="1">
      <c r="A1" s="198" t="s">
        <v>78</v>
      </c>
      <c r="B1" s="198"/>
      <c r="C1" s="198"/>
      <c r="D1" s="198"/>
      <c r="E1" s="198"/>
      <c r="F1" s="198"/>
      <c r="G1" s="198"/>
      <c r="H1" s="198"/>
      <c r="I1" s="198"/>
      <c r="J1" s="198"/>
      <c r="K1" s="198"/>
      <c r="L1" s="198"/>
    </row>
    <row r="2" spans="1:13" s="82" customFormat="1" ht="31.5" customHeight="1">
      <c r="A2" s="198"/>
      <c r="B2" s="198"/>
      <c r="C2" s="198"/>
      <c r="D2" s="198"/>
      <c r="E2" s="198"/>
      <c r="F2" s="198"/>
      <c r="G2" s="198"/>
      <c r="H2" s="198"/>
      <c r="I2" s="198"/>
      <c r="J2" s="198"/>
      <c r="K2" s="198"/>
      <c r="L2" s="198"/>
    </row>
    <row r="3" spans="1:13" s="82" customFormat="1" ht="32.25" customHeight="1" thickBot="1">
      <c r="A3" s="199" t="s">
        <v>701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</row>
    <row r="4" spans="1:13" ht="25.5" customHeight="1">
      <c r="A4" s="194" t="s">
        <v>702</v>
      </c>
      <c r="B4" s="202" t="s">
        <v>686</v>
      </c>
      <c r="C4" s="204" t="s">
        <v>687</v>
      </c>
      <c r="D4" s="97">
        <f>D5</f>
        <v>46279</v>
      </c>
      <c r="E4" s="97">
        <f t="shared" ref="E4:J4" si="0">E5</f>
        <v>46280</v>
      </c>
      <c r="F4" s="97">
        <f t="shared" si="0"/>
        <v>46281</v>
      </c>
      <c r="G4" s="97">
        <f t="shared" si="0"/>
        <v>46282</v>
      </c>
      <c r="H4" s="97">
        <f t="shared" si="0"/>
        <v>46283</v>
      </c>
      <c r="I4" s="97">
        <f t="shared" si="0"/>
        <v>46284</v>
      </c>
      <c r="J4" s="97">
        <f t="shared" si="0"/>
        <v>46285</v>
      </c>
      <c r="K4" s="206" t="s">
        <v>700</v>
      </c>
      <c r="L4" s="200" t="s">
        <v>103</v>
      </c>
    </row>
    <row r="5" spans="1:13" ht="25.5" customHeight="1" thickBot="1">
      <c r="A5" s="195"/>
      <c r="B5" s="203"/>
      <c r="C5" s="205"/>
      <c r="D5" s="46">
        <v>46279</v>
      </c>
      <c r="E5" s="46">
        <f t="shared" ref="E5:J5" si="1">D5+1</f>
        <v>46280</v>
      </c>
      <c r="F5" s="46">
        <f t="shared" si="1"/>
        <v>46281</v>
      </c>
      <c r="G5" s="46">
        <f t="shared" si="1"/>
        <v>46282</v>
      </c>
      <c r="H5" s="46">
        <f t="shared" si="1"/>
        <v>46283</v>
      </c>
      <c r="I5" s="46">
        <f t="shared" si="1"/>
        <v>46284</v>
      </c>
      <c r="J5" s="46">
        <f t="shared" si="1"/>
        <v>46285</v>
      </c>
      <c r="K5" s="207"/>
      <c r="L5" s="201"/>
      <c r="M5" s="84"/>
    </row>
    <row r="6" spans="1:13" ht="24.75" customHeight="1">
      <c r="A6" s="211" t="s">
        <v>476</v>
      </c>
      <c r="B6" s="105" t="s">
        <v>645</v>
      </c>
      <c r="C6" s="81" t="s">
        <v>646</v>
      </c>
      <c r="D6" s="20">
        <v>5</v>
      </c>
      <c r="E6" s="20">
        <v>1</v>
      </c>
      <c r="F6" s="20">
        <v>4</v>
      </c>
      <c r="G6" s="20">
        <v>3</v>
      </c>
      <c r="H6" s="20">
        <v>3</v>
      </c>
      <c r="I6" s="20">
        <v>3</v>
      </c>
      <c r="J6" s="125"/>
      <c r="K6" s="26">
        <f t="shared" ref="K6:K26" si="2">IF(AND(D6="",E6="",F6="",G6="",H6="",I6="",J6=""),"",SUM(D6:J6))</f>
        <v>19</v>
      </c>
      <c r="L6" s="126"/>
    </row>
    <row r="7" spans="1:13" ht="24.75" customHeight="1">
      <c r="A7" s="212"/>
      <c r="B7" s="109" t="s">
        <v>647</v>
      </c>
      <c r="C7" s="80" t="s">
        <v>648</v>
      </c>
      <c r="D7" s="19"/>
      <c r="E7" s="19"/>
      <c r="F7" s="22"/>
      <c r="G7" s="22"/>
      <c r="H7" s="19"/>
      <c r="I7" s="19"/>
      <c r="J7" s="25"/>
      <c r="K7" s="24" t="str">
        <f t="shared" si="2"/>
        <v/>
      </c>
      <c r="L7" s="35"/>
    </row>
    <row r="8" spans="1:13" ht="24.75" customHeight="1">
      <c r="A8" s="212"/>
      <c r="B8" s="109" t="s">
        <v>649</v>
      </c>
      <c r="C8" s="80" t="s">
        <v>650</v>
      </c>
      <c r="D8" s="19">
        <v>2</v>
      </c>
      <c r="E8" s="19">
        <v>4</v>
      </c>
      <c r="F8" s="22">
        <v>2</v>
      </c>
      <c r="G8" s="22">
        <v>3</v>
      </c>
      <c r="H8" s="19">
        <v>1</v>
      </c>
      <c r="I8" s="19">
        <v>1</v>
      </c>
      <c r="J8" s="25"/>
      <c r="K8" s="24">
        <f t="shared" si="2"/>
        <v>13</v>
      </c>
      <c r="L8" s="35"/>
    </row>
    <row r="9" spans="1:13" ht="24.75" customHeight="1">
      <c r="A9" s="212"/>
      <c r="B9" s="109" t="s">
        <v>651</v>
      </c>
      <c r="C9" s="80" t="s">
        <v>652</v>
      </c>
      <c r="D9" s="19"/>
      <c r="E9" s="19"/>
      <c r="F9" s="19">
        <v>1</v>
      </c>
      <c r="G9" s="19">
        <v>1</v>
      </c>
      <c r="H9" s="19"/>
      <c r="I9" s="19"/>
      <c r="J9" s="25"/>
      <c r="K9" s="24">
        <f t="shared" si="2"/>
        <v>2</v>
      </c>
      <c r="L9" s="35"/>
    </row>
    <row r="10" spans="1:13" ht="24.75" customHeight="1">
      <c r="A10" s="212"/>
      <c r="B10" s="109" t="s">
        <v>653</v>
      </c>
      <c r="C10" s="80" t="s">
        <v>654</v>
      </c>
      <c r="D10" s="19">
        <v>1</v>
      </c>
      <c r="E10" s="19">
        <v>1</v>
      </c>
      <c r="F10" s="19"/>
      <c r="G10" s="19">
        <v>1</v>
      </c>
      <c r="H10" s="19"/>
      <c r="I10" s="19"/>
      <c r="J10" s="25"/>
      <c r="K10" s="24">
        <f t="shared" si="2"/>
        <v>3</v>
      </c>
      <c r="L10" s="35"/>
    </row>
    <row r="11" spans="1:13" ht="24.75" customHeight="1">
      <c r="A11" s="212"/>
      <c r="B11" s="109" t="s">
        <v>655</v>
      </c>
      <c r="C11" s="80" t="s">
        <v>656</v>
      </c>
      <c r="D11" s="19"/>
      <c r="E11" s="19">
        <v>3</v>
      </c>
      <c r="F11" s="19"/>
      <c r="G11" s="19">
        <v>1</v>
      </c>
      <c r="H11" s="19">
        <v>2</v>
      </c>
      <c r="I11" s="19">
        <v>2</v>
      </c>
      <c r="J11" s="25"/>
      <c r="K11" s="24">
        <f t="shared" si="2"/>
        <v>8</v>
      </c>
      <c r="L11" s="35"/>
    </row>
    <row r="12" spans="1:13" ht="24.75" customHeight="1">
      <c r="A12" s="212"/>
      <c r="B12" s="109" t="s">
        <v>657</v>
      </c>
      <c r="C12" s="80" t="s">
        <v>658</v>
      </c>
      <c r="D12" s="19">
        <v>2</v>
      </c>
      <c r="E12" s="19">
        <v>1</v>
      </c>
      <c r="F12" s="19">
        <v>1</v>
      </c>
      <c r="G12" s="19">
        <v>1</v>
      </c>
      <c r="H12" s="19">
        <v>1</v>
      </c>
      <c r="I12" s="19">
        <v>1</v>
      </c>
      <c r="J12" s="25"/>
      <c r="K12" s="24">
        <f>IF(AND(D12="",E12="",F12="",G12="",H12="",I12="",J12=""),"",SUM(D12:J12))</f>
        <v>7</v>
      </c>
      <c r="L12" s="35"/>
    </row>
    <row r="13" spans="1:13" ht="24.75" customHeight="1">
      <c r="A13" s="212"/>
      <c r="B13" s="109" t="s">
        <v>659</v>
      </c>
      <c r="C13" s="80" t="s">
        <v>660</v>
      </c>
      <c r="D13" s="19">
        <v>1</v>
      </c>
      <c r="E13" s="19"/>
      <c r="F13" s="19">
        <v>3</v>
      </c>
      <c r="G13" s="19"/>
      <c r="H13" s="19"/>
      <c r="I13" s="19">
        <v>2</v>
      </c>
      <c r="J13" s="25"/>
      <c r="K13" s="24">
        <f t="shared" si="2"/>
        <v>6</v>
      </c>
      <c r="L13" s="35"/>
    </row>
    <row r="14" spans="1:13" ht="24.75" customHeight="1">
      <c r="A14" s="212"/>
      <c r="B14" s="109" t="s">
        <v>661</v>
      </c>
      <c r="C14" s="80" t="s">
        <v>662</v>
      </c>
      <c r="D14" s="19">
        <v>1</v>
      </c>
      <c r="E14" s="19">
        <v>2</v>
      </c>
      <c r="F14" s="19"/>
      <c r="G14" s="19"/>
      <c r="H14" s="19"/>
      <c r="I14" s="19"/>
      <c r="J14" s="25"/>
      <c r="K14" s="24">
        <f t="shared" si="2"/>
        <v>3</v>
      </c>
      <c r="L14" s="35"/>
    </row>
    <row r="15" spans="1:13" ht="24.75" customHeight="1">
      <c r="A15" s="212"/>
      <c r="B15" s="109" t="s">
        <v>663</v>
      </c>
      <c r="C15" s="80" t="s">
        <v>664</v>
      </c>
      <c r="D15" s="19"/>
      <c r="E15" s="19"/>
      <c r="F15" s="19"/>
      <c r="G15" s="19"/>
      <c r="H15" s="19"/>
      <c r="I15" s="19"/>
      <c r="J15" s="25"/>
      <c r="K15" s="24" t="str">
        <f t="shared" si="2"/>
        <v/>
      </c>
      <c r="L15" s="35"/>
    </row>
    <row r="16" spans="1:13" ht="24.75" customHeight="1">
      <c r="A16" s="212"/>
      <c r="B16" s="109" t="s">
        <v>665</v>
      </c>
      <c r="C16" s="80" t="s">
        <v>666</v>
      </c>
      <c r="D16" s="19"/>
      <c r="E16" s="19"/>
      <c r="F16" s="19"/>
      <c r="G16" s="19"/>
      <c r="H16" s="19"/>
      <c r="I16" s="19"/>
      <c r="J16" s="25"/>
      <c r="K16" s="24" t="str">
        <f t="shared" si="2"/>
        <v/>
      </c>
      <c r="L16" s="35"/>
    </row>
    <row r="17" spans="1:12" ht="24.75" customHeight="1">
      <c r="A17" s="212"/>
      <c r="B17" s="109" t="s">
        <v>667</v>
      </c>
      <c r="C17" s="80" t="s">
        <v>668</v>
      </c>
      <c r="D17" s="19">
        <v>2</v>
      </c>
      <c r="E17" s="19"/>
      <c r="F17" s="19"/>
      <c r="G17" s="19"/>
      <c r="H17" s="19"/>
      <c r="I17" s="19"/>
      <c r="J17" s="25"/>
      <c r="K17" s="24">
        <f t="shared" si="2"/>
        <v>2</v>
      </c>
      <c r="L17" s="35"/>
    </row>
    <row r="18" spans="1:12" ht="24.75" customHeight="1">
      <c r="A18" s="212"/>
      <c r="B18" s="109" t="s">
        <v>669</v>
      </c>
      <c r="C18" s="80" t="s">
        <v>670</v>
      </c>
      <c r="D18" s="19"/>
      <c r="E18" s="19"/>
      <c r="F18" s="19"/>
      <c r="G18" s="19">
        <v>1</v>
      </c>
      <c r="H18" s="19">
        <v>2</v>
      </c>
      <c r="I18" s="19"/>
      <c r="J18" s="25"/>
      <c r="K18" s="24">
        <f t="shared" si="2"/>
        <v>3</v>
      </c>
      <c r="L18" s="35"/>
    </row>
    <row r="19" spans="1:12" ht="24.75" customHeight="1">
      <c r="A19" s="212"/>
      <c r="B19" s="103" t="s">
        <v>671</v>
      </c>
      <c r="C19" s="80" t="s">
        <v>672</v>
      </c>
      <c r="D19" s="19"/>
      <c r="E19" s="19"/>
      <c r="F19" s="19"/>
      <c r="G19" s="19"/>
      <c r="H19" s="19"/>
      <c r="I19" s="19"/>
      <c r="J19" s="25"/>
      <c r="K19" s="24" t="str">
        <f t="shared" si="2"/>
        <v/>
      </c>
      <c r="L19" s="35"/>
    </row>
    <row r="20" spans="1:12" ht="24.75" customHeight="1">
      <c r="A20" s="212"/>
      <c r="B20" s="103" t="s">
        <v>673</v>
      </c>
      <c r="C20" s="80" t="s">
        <v>674</v>
      </c>
      <c r="D20" s="19"/>
      <c r="E20" s="19"/>
      <c r="F20" s="19"/>
      <c r="G20" s="19"/>
      <c r="H20" s="19"/>
      <c r="I20" s="19"/>
      <c r="J20" s="25"/>
      <c r="K20" s="24" t="str">
        <f t="shared" si="2"/>
        <v/>
      </c>
      <c r="L20" s="35"/>
    </row>
    <row r="21" spans="1:12" ht="24.75" customHeight="1">
      <c r="A21" s="212"/>
      <c r="B21" s="96" t="s">
        <v>675</v>
      </c>
      <c r="C21" s="80" t="s">
        <v>676</v>
      </c>
      <c r="D21" s="19"/>
      <c r="E21" s="19">
        <v>2</v>
      </c>
      <c r="F21" s="19"/>
      <c r="G21" s="19"/>
      <c r="H21" s="19"/>
      <c r="I21" s="19"/>
      <c r="J21" s="25"/>
      <c r="K21" s="24">
        <f t="shared" si="2"/>
        <v>2</v>
      </c>
      <c r="L21" s="35"/>
    </row>
    <row r="22" spans="1:12" ht="24.75" customHeight="1">
      <c r="A22" s="212"/>
      <c r="B22" s="103" t="s">
        <v>677</v>
      </c>
      <c r="C22" s="80" t="s">
        <v>678</v>
      </c>
      <c r="D22" s="19">
        <v>2</v>
      </c>
      <c r="E22" s="19">
        <v>2</v>
      </c>
      <c r="F22" s="19">
        <v>1</v>
      </c>
      <c r="G22" s="19">
        <v>2</v>
      </c>
      <c r="H22" s="19">
        <v>3</v>
      </c>
      <c r="I22" s="19">
        <v>4</v>
      </c>
      <c r="J22" s="25"/>
      <c r="K22" s="24">
        <f t="shared" si="2"/>
        <v>14</v>
      </c>
      <c r="L22" s="35"/>
    </row>
    <row r="23" spans="1:12" ht="24.75" customHeight="1">
      <c r="A23" s="212"/>
      <c r="B23" s="103" t="s">
        <v>679</v>
      </c>
      <c r="C23" s="80" t="s">
        <v>678</v>
      </c>
      <c r="D23" s="19"/>
      <c r="E23" s="19"/>
      <c r="F23" s="19"/>
      <c r="G23" s="19">
        <v>1</v>
      </c>
      <c r="H23" s="19">
        <v>1</v>
      </c>
      <c r="I23" s="19"/>
      <c r="J23" s="25"/>
      <c r="K23" s="24">
        <f t="shared" si="2"/>
        <v>2</v>
      </c>
      <c r="L23" s="35"/>
    </row>
    <row r="24" spans="1:12" ht="24.75" customHeight="1">
      <c r="A24" s="212"/>
      <c r="B24" s="96" t="s">
        <v>680</v>
      </c>
      <c r="C24" s="80" t="s">
        <v>681</v>
      </c>
      <c r="D24" s="19"/>
      <c r="E24" s="19"/>
      <c r="F24" s="19"/>
      <c r="G24" s="19"/>
      <c r="H24" s="19"/>
      <c r="I24" s="19"/>
      <c r="J24" s="25"/>
      <c r="K24" s="24" t="str">
        <f t="shared" si="2"/>
        <v/>
      </c>
      <c r="L24" s="35"/>
    </row>
    <row r="25" spans="1:12" ht="24.75" customHeight="1">
      <c r="A25" s="212"/>
      <c r="B25" s="96" t="s">
        <v>682</v>
      </c>
      <c r="C25" s="80" t="s">
        <v>681</v>
      </c>
      <c r="D25" s="19"/>
      <c r="E25" s="19"/>
      <c r="F25" s="19"/>
      <c r="G25" s="19"/>
      <c r="H25" s="19"/>
      <c r="I25" s="19"/>
      <c r="J25" s="25"/>
      <c r="K25" s="24" t="str">
        <f t="shared" si="2"/>
        <v/>
      </c>
      <c r="L25" s="35"/>
    </row>
    <row r="26" spans="1:12" ht="24.75" hidden="1" customHeight="1">
      <c r="A26" s="212"/>
      <c r="B26" s="103"/>
      <c r="C26" s="80" t="str">
        <f>IF(B26="","",VLOOKUP(B26,SMV!$B$6:$D$1037,2,FALSE))</f>
        <v/>
      </c>
      <c r="D26" s="19"/>
      <c r="E26" s="19"/>
      <c r="F26" s="19"/>
      <c r="G26" s="19"/>
      <c r="H26" s="19"/>
      <c r="I26" s="19">
        <v>13</v>
      </c>
      <c r="J26" s="25"/>
      <c r="K26" s="24">
        <f t="shared" si="2"/>
        <v>13</v>
      </c>
      <c r="L26" s="35"/>
    </row>
    <row r="27" spans="1:12" ht="26.25" customHeight="1">
      <c r="A27" s="212"/>
      <c r="B27" s="196" t="s">
        <v>683</v>
      </c>
      <c r="C27" s="197"/>
      <c r="D27" s="130">
        <f>IF(AND(D6="",D7="",D8="",D9="",D19="",D20="",D21="",D22="",D23="",D24="",D25="",D26=""),"",SUM(D6:D26))</f>
        <v>16</v>
      </c>
      <c r="E27" s="130">
        <f>IF(AND(E6="",E7="",E8="",E9="",E19="",E20="",E21="",E22="",E23="",E24="",E25="",E26=""),"",SUM(E6:E26))</f>
        <v>16</v>
      </c>
      <c r="F27" s="130">
        <f>IF(AND(F6="",F7="",F8="",F9="",F19="",F20="",F21="",F22="",F23="",F24="",F25="",F26=""),"",SUM(F6:F26))</f>
        <v>12</v>
      </c>
      <c r="G27" s="130">
        <f>IF(AND(G6="",G7="",G8="",G9="",G19="",G20="",G21="",G22="",G23="",G24="",G25="",G26=""),"",SUM(G6:G26))</f>
        <v>14</v>
      </c>
      <c r="H27" s="130">
        <f>IF(AND(H6="",H7="",H8="",H9="",H19="",H20="",H21="",H22="",H23="",H24="",H25="",H26=""),"",SUM(H6:H26))</f>
        <v>13</v>
      </c>
      <c r="I27" s="130">
        <f>SUM(I6:I25)</f>
        <v>13</v>
      </c>
      <c r="J27" s="23" t="str">
        <f>IF(AND(J6="",J7="",J8="",J9="",J19="",J20="",J26=""),"",SUM(J6:J26))</f>
        <v/>
      </c>
      <c r="K27" s="24">
        <f>SUM(D27:I27)</f>
        <v>84</v>
      </c>
      <c r="L27" s="35"/>
    </row>
    <row r="28" spans="1:12" ht="26.25" customHeight="1">
      <c r="A28" s="212"/>
      <c r="B28" s="196" t="s">
        <v>684</v>
      </c>
      <c r="C28" s="208"/>
      <c r="D28" s="45">
        <f>'DAILY SUMMARY'!C2</f>
        <v>216</v>
      </c>
      <c r="E28" s="45">
        <f>'DAILY SUMMARY'!C8</f>
        <v>216</v>
      </c>
      <c r="F28" s="45">
        <f>'DAILY SUMMARY'!C14</f>
        <v>212</v>
      </c>
      <c r="G28" s="45">
        <f>'DAILY SUMMARY'!C20</f>
        <v>219</v>
      </c>
      <c r="H28" s="45">
        <f>'DAILY SUMMARY'!C26</f>
        <v>263</v>
      </c>
      <c r="I28" s="45">
        <f>'DAILY SUMMARY'!C32</f>
        <v>313</v>
      </c>
      <c r="J28" s="45" t="e">
        <f>'DAILY SUMMARY'!#REF!</f>
        <v>#REF!</v>
      </c>
      <c r="K28" s="102">
        <f>SUM(D28:I28)</f>
        <v>1439</v>
      </c>
      <c r="L28" s="35"/>
    </row>
    <row r="29" spans="1:12" ht="26.25" customHeight="1">
      <c r="A29" s="212"/>
      <c r="B29" s="196" t="s">
        <v>643</v>
      </c>
      <c r="C29" s="208"/>
      <c r="D29" s="187">
        <f>'DAILY SUMMARY'!C3</f>
        <v>200</v>
      </c>
      <c r="E29" s="45">
        <f>'DAILY SUMMARY'!C9</f>
        <v>0</v>
      </c>
      <c r="F29" s="45">
        <f>'DAILY SUMMARY'!C15</f>
        <v>150</v>
      </c>
      <c r="G29" s="45">
        <f>'DAILY SUMMARY'!C21</f>
        <v>205</v>
      </c>
      <c r="H29" s="45">
        <f>'DAILY SUMMARY'!C27</f>
        <v>250</v>
      </c>
      <c r="I29" s="45">
        <f>'DAILY SUMMARY'!C33</f>
        <v>300</v>
      </c>
      <c r="J29" s="45" t="e">
        <f>'DAILY SUMMARY'!#REF!</f>
        <v>#REF!</v>
      </c>
      <c r="K29" s="102">
        <f>SUM(D29:I29)</f>
        <v>1105</v>
      </c>
      <c r="L29" s="188" t="s">
        <v>730</v>
      </c>
    </row>
    <row r="30" spans="1:12" ht="26.25" customHeight="1">
      <c r="A30" s="212"/>
      <c r="B30" s="196" t="s">
        <v>685</v>
      </c>
      <c r="C30" s="208"/>
      <c r="D30" s="124">
        <f>'DAILY SUMMARY'!C5</f>
        <v>7.407407407407407E-2</v>
      </c>
      <c r="E30" s="124">
        <f>'DAILY SUMMARY'!C11</f>
        <v>7.407407407407407E-2</v>
      </c>
      <c r="F30" s="124">
        <f>'DAILY SUMMARY'!C17</f>
        <v>5.6603773584905662E-2</v>
      </c>
      <c r="G30" s="124">
        <f>'DAILY SUMMARY'!C23</f>
        <v>6.3926940639269403E-2</v>
      </c>
      <c r="H30" s="124">
        <f>'DAILY SUMMARY'!C29</f>
        <v>4.9429657794676805E-2</v>
      </c>
      <c r="I30" s="124">
        <f>'DAILY SUMMARY'!C35</f>
        <v>4.1533546325878593E-2</v>
      </c>
      <c r="J30" s="124" t="e">
        <f>'DAILY SUMMARY'!#REF!</f>
        <v>#REF!</v>
      </c>
      <c r="K30" s="124">
        <f>AVERAGE(D30:I30)</f>
        <v>5.9940344415479761E-2</v>
      </c>
      <c r="L30" s="35"/>
    </row>
    <row r="31" spans="1:12" ht="26.25" customHeight="1" thickBot="1">
      <c r="A31" s="213"/>
      <c r="B31" s="209" t="s">
        <v>699</v>
      </c>
      <c r="C31" s="210"/>
      <c r="D31" s="127">
        <f>'DAILY SUMMARY'!C6</f>
        <v>0.35021551724137934</v>
      </c>
      <c r="E31" s="127">
        <f>'DAILY SUMMARY'!C12</f>
        <v>0</v>
      </c>
      <c r="F31" s="127">
        <f>'DAILY SUMMARY'!C18</f>
        <v>0.26266163793103448</v>
      </c>
      <c r="G31" s="127">
        <f>'DAILY SUMMARY'!C24</f>
        <v>0.3878707561728395</v>
      </c>
      <c r="H31" s="127">
        <f>'DAILY SUMMARY'!C30</f>
        <v>0.45611979166666666</v>
      </c>
      <c r="I31" s="127">
        <f>'DAILY SUMMARY'!C36</f>
        <v>0.54734375000000002</v>
      </c>
      <c r="J31" s="127" t="e">
        <f>'DAILY SUMMARY'!#REF!</f>
        <v>#REF!</v>
      </c>
      <c r="K31" s="127">
        <f>AVERAGE(D31:I31)</f>
        <v>0.33403524216865338</v>
      </c>
      <c r="L31" s="128"/>
    </row>
    <row r="32" spans="1:12" ht="24.75" customHeight="1">
      <c r="A32" s="135" t="s">
        <v>77</v>
      </c>
      <c r="B32" s="105" t="s">
        <v>645</v>
      </c>
      <c r="C32" s="81" t="s">
        <v>646</v>
      </c>
      <c r="D32" s="20">
        <v>3</v>
      </c>
      <c r="E32" s="20">
        <v>4</v>
      </c>
      <c r="F32" s="20">
        <v>1</v>
      </c>
      <c r="G32" s="20">
        <v>3</v>
      </c>
      <c r="H32" s="20">
        <v>1</v>
      </c>
      <c r="I32" s="20">
        <v>2</v>
      </c>
      <c r="J32" s="125"/>
      <c r="K32" s="26">
        <f t="shared" ref="K32:K52" si="3">IF(AND(D32="",E32="",F32="",G32="",H32="",I32="",J32=""),"",SUM(D32:J32))</f>
        <v>14</v>
      </c>
      <c r="L32" s="126"/>
    </row>
    <row r="33" spans="1:12" ht="24.75" customHeight="1">
      <c r="A33" s="136"/>
      <c r="B33" s="109" t="s">
        <v>647</v>
      </c>
      <c r="C33" s="80" t="s">
        <v>648</v>
      </c>
      <c r="D33" s="19"/>
      <c r="E33" s="19"/>
      <c r="F33" s="22"/>
      <c r="G33" s="22"/>
      <c r="H33" s="19"/>
      <c r="I33" s="19"/>
      <c r="J33" s="25"/>
      <c r="K33" s="24" t="str">
        <f t="shared" si="3"/>
        <v/>
      </c>
      <c r="L33" s="35"/>
    </row>
    <row r="34" spans="1:12" ht="24.75" customHeight="1">
      <c r="A34" s="136"/>
      <c r="B34" s="109" t="s">
        <v>649</v>
      </c>
      <c r="C34" s="80" t="s">
        <v>650</v>
      </c>
      <c r="D34" s="19">
        <v>5</v>
      </c>
      <c r="E34" s="19">
        <v>4</v>
      </c>
      <c r="F34" s="22">
        <v>6</v>
      </c>
      <c r="G34" s="22">
        <v>4</v>
      </c>
      <c r="H34" s="19">
        <v>7</v>
      </c>
      <c r="I34" s="19">
        <v>4</v>
      </c>
      <c r="J34" s="25"/>
      <c r="K34" s="24">
        <f t="shared" si="3"/>
        <v>30</v>
      </c>
      <c r="L34" s="35"/>
    </row>
    <row r="35" spans="1:12" ht="24.75" customHeight="1">
      <c r="A35" s="136"/>
      <c r="B35" s="109" t="s">
        <v>651</v>
      </c>
      <c r="C35" s="80" t="s">
        <v>652</v>
      </c>
      <c r="D35" s="19">
        <v>6</v>
      </c>
      <c r="E35" s="19">
        <v>2</v>
      </c>
      <c r="F35" s="19">
        <v>4</v>
      </c>
      <c r="G35" s="19">
        <v>4</v>
      </c>
      <c r="H35" s="19">
        <v>2</v>
      </c>
      <c r="I35" s="19">
        <v>2</v>
      </c>
      <c r="J35" s="25"/>
      <c r="K35" s="24">
        <f t="shared" si="3"/>
        <v>20</v>
      </c>
      <c r="L35" s="35"/>
    </row>
    <row r="36" spans="1:12" ht="24.75" customHeight="1">
      <c r="A36" s="136"/>
      <c r="B36" s="109" t="s">
        <v>653</v>
      </c>
      <c r="C36" s="80" t="s">
        <v>654</v>
      </c>
      <c r="D36" s="19">
        <v>2</v>
      </c>
      <c r="E36" s="19">
        <v>1</v>
      </c>
      <c r="F36" s="19">
        <v>4</v>
      </c>
      <c r="G36" s="19">
        <v>1</v>
      </c>
      <c r="H36" s="19">
        <v>1</v>
      </c>
      <c r="I36" s="19">
        <v>5</v>
      </c>
      <c r="J36" s="25"/>
      <c r="K36" s="24">
        <f t="shared" si="3"/>
        <v>14</v>
      </c>
      <c r="L36" s="35"/>
    </row>
    <row r="37" spans="1:12" ht="24.75" customHeight="1">
      <c r="A37" s="136"/>
      <c r="B37" s="109" t="s">
        <v>655</v>
      </c>
      <c r="C37" s="80" t="s">
        <v>656</v>
      </c>
      <c r="D37" s="19">
        <v>1</v>
      </c>
      <c r="E37" s="19">
        <v>1</v>
      </c>
      <c r="F37" s="19">
        <v>2</v>
      </c>
      <c r="G37" s="19">
        <v>3</v>
      </c>
      <c r="H37" s="19">
        <v>1</v>
      </c>
      <c r="I37" s="19">
        <v>1</v>
      </c>
      <c r="J37" s="25"/>
      <c r="K37" s="24">
        <f t="shared" si="3"/>
        <v>9</v>
      </c>
      <c r="L37" s="35"/>
    </row>
    <row r="38" spans="1:12" ht="24.75" customHeight="1">
      <c r="A38" s="136"/>
      <c r="B38" s="109" t="s">
        <v>657</v>
      </c>
      <c r="C38" s="80" t="s">
        <v>658</v>
      </c>
      <c r="D38" s="19"/>
      <c r="E38" s="19">
        <v>4</v>
      </c>
      <c r="F38" s="19">
        <v>1</v>
      </c>
      <c r="G38" s="19"/>
      <c r="H38" s="19">
        <v>5</v>
      </c>
      <c r="I38" s="19">
        <v>1</v>
      </c>
      <c r="J38" s="25"/>
      <c r="K38" s="24">
        <f t="shared" si="3"/>
        <v>11</v>
      </c>
      <c r="L38" s="35"/>
    </row>
    <row r="39" spans="1:12" ht="24.75" customHeight="1">
      <c r="A39" s="136"/>
      <c r="B39" s="109" t="s">
        <v>659</v>
      </c>
      <c r="C39" s="80" t="s">
        <v>660</v>
      </c>
      <c r="D39" s="19">
        <v>2</v>
      </c>
      <c r="E39" s="19">
        <v>1</v>
      </c>
      <c r="F39" s="19">
        <v>1</v>
      </c>
      <c r="G39" s="19">
        <v>2</v>
      </c>
      <c r="H39" s="19">
        <v>5</v>
      </c>
      <c r="I39" s="19">
        <v>1</v>
      </c>
      <c r="J39" s="25"/>
      <c r="K39" s="24">
        <f t="shared" si="3"/>
        <v>12</v>
      </c>
      <c r="L39" s="35"/>
    </row>
    <row r="40" spans="1:12" ht="24.75" customHeight="1">
      <c r="A40" s="136"/>
      <c r="B40" s="109" t="s">
        <v>661</v>
      </c>
      <c r="C40" s="80" t="s">
        <v>662</v>
      </c>
      <c r="D40" s="19">
        <v>4</v>
      </c>
      <c r="E40" s="19">
        <v>1</v>
      </c>
      <c r="F40" s="19">
        <v>4</v>
      </c>
      <c r="G40" s="19">
        <v>1</v>
      </c>
      <c r="H40" s="19"/>
      <c r="I40" s="19">
        <v>3</v>
      </c>
      <c r="J40" s="25"/>
      <c r="K40" s="24">
        <f t="shared" si="3"/>
        <v>13</v>
      </c>
      <c r="L40" s="35"/>
    </row>
    <row r="41" spans="1:12" ht="24.75" customHeight="1">
      <c r="A41" s="136"/>
      <c r="B41" s="109" t="s">
        <v>663</v>
      </c>
      <c r="C41" s="80" t="s">
        <v>664</v>
      </c>
      <c r="D41" s="19">
        <v>1</v>
      </c>
      <c r="E41" s="19"/>
      <c r="F41" s="19">
        <v>1</v>
      </c>
      <c r="G41" s="19">
        <v>1</v>
      </c>
      <c r="H41" s="19">
        <v>1</v>
      </c>
      <c r="I41" s="19">
        <v>3</v>
      </c>
      <c r="J41" s="25"/>
      <c r="K41" s="24">
        <f t="shared" si="3"/>
        <v>7</v>
      </c>
      <c r="L41" s="35"/>
    </row>
    <row r="42" spans="1:12" ht="24.75" customHeight="1">
      <c r="A42" s="136"/>
      <c r="B42" s="109" t="s">
        <v>665</v>
      </c>
      <c r="C42" s="80" t="s">
        <v>666</v>
      </c>
      <c r="D42" s="19"/>
      <c r="E42" s="19"/>
      <c r="F42" s="19"/>
      <c r="G42" s="19"/>
      <c r="H42" s="19">
        <v>1</v>
      </c>
      <c r="I42" s="19"/>
      <c r="J42" s="25"/>
      <c r="K42" s="24">
        <f t="shared" si="3"/>
        <v>1</v>
      </c>
      <c r="L42" s="35"/>
    </row>
    <row r="43" spans="1:12" ht="24.75" customHeight="1">
      <c r="A43" s="136"/>
      <c r="B43" s="109" t="s">
        <v>667</v>
      </c>
      <c r="C43" s="80" t="s">
        <v>668</v>
      </c>
      <c r="D43" s="19">
        <v>1</v>
      </c>
      <c r="E43" s="19">
        <v>3</v>
      </c>
      <c r="F43" s="19"/>
      <c r="G43" s="19">
        <v>1</v>
      </c>
      <c r="H43" s="19"/>
      <c r="I43" s="19">
        <v>1</v>
      </c>
      <c r="J43" s="25"/>
      <c r="K43" s="24">
        <f t="shared" si="3"/>
        <v>6</v>
      </c>
      <c r="L43" s="35"/>
    </row>
    <row r="44" spans="1:12" ht="24.75" customHeight="1">
      <c r="A44" s="136"/>
      <c r="B44" s="109" t="s">
        <v>669</v>
      </c>
      <c r="C44" s="80" t="s">
        <v>670</v>
      </c>
      <c r="D44" s="19"/>
      <c r="E44" s="19"/>
      <c r="F44" s="19"/>
      <c r="G44" s="19"/>
      <c r="H44" s="19"/>
      <c r="I44" s="19"/>
      <c r="J44" s="25"/>
      <c r="K44" s="24" t="str">
        <f t="shared" si="3"/>
        <v/>
      </c>
      <c r="L44" s="35"/>
    </row>
    <row r="45" spans="1:12" ht="24.75" customHeight="1">
      <c r="A45" s="136"/>
      <c r="B45" s="103" t="s">
        <v>671</v>
      </c>
      <c r="C45" s="80" t="s">
        <v>672</v>
      </c>
      <c r="D45" s="19"/>
      <c r="E45" s="19"/>
      <c r="F45" s="19"/>
      <c r="G45" s="19"/>
      <c r="H45" s="19"/>
      <c r="I45" s="19"/>
      <c r="J45" s="25"/>
      <c r="K45" s="24" t="str">
        <f t="shared" si="3"/>
        <v/>
      </c>
      <c r="L45" s="35"/>
    </row>
    <row r="46" spans="1:12" ht="24.75" customHeight="1">
      <c r="A46" s="136"/>
      <c r="B46" s="103" t="s">
        <v>673</v>
      </c>
      <c r="C46" s="80" t="s">
        <v>674</v>
      </c>
      <c r="D46" s="19">
        <v>2</v>
      </c>
      <c r="E46" s="19">
        <v>4</v>
      </c>
      <c r="F46" s="19">
        <v>5</v>
      </c>
      <c r="G46" s="19"/>
      <c r="H46" s="19">
        <v>1</v>
      </c>
      <c r="I46" s="19">
        <v>2</v>
      </c>
      <c r="J46" s="25"/>
      <c r="K46" s="24">
        <f t="shared" si="3"/>
        <v>14</v>
      </c>
      <c r="L46" s="35"/>
    </row>
    <row r="47" spans="1:12" ht="24.75" customHeight="1">
      <c r="A47" s="136"/>
      <c r="B47" s="96" t="s">
        <v>675</v>
      </c>
      <c r="C47" s="80" t="s">
        <v>676</v>
      </c>
      <c r="D47" s="19">
        <v>3</v>
      </c>
      <c r="E47" s="19"/>
      <c r="F47" s="19">
        <v>3</v>
      </c>
      <c r="G47" s="19">
        <v>3</v>
      </c>
      <c r="H47" s="19">
        <v>5</v>
      </c>
      <c r="I47" s="19">
        <v>2</v>
      </c>
      <c r="J47" s="25"/>
      <c r="K47" s="24">
        <f t="shared" si="3"/>
        <v>16</v>
      </c>
      <c r="L47" s="35"/>
    </row>
    <row r="48" spans="1:12" ht="24.75" customHeight="1">
      <c r="A48" s="136"/>
      <c r="B48" s="103" t="s">
        <v>677</v>
      </c>
      <c r="C48" s="80" t="s">
        <v>678</v>
      </c>
      <c r="D48" s="19">
        <v>4</v>
      </c>
      <c r="E48" s="19">
        <v>2</v>
      </c>
      <c r="F48" s="19">
        <v>3</v>
      </c>
      <c r="G48" s="19">
        <v>2</v>
      </c>
      <c r="H48" s="19">
        <v>3</v>
      </c>
      <c r="I48" s="19">
        <v>6</v>
      </c>
      <c r="J48" s="25"/>
      <c r="K48" s="24">
        <f t="shared" si="3"/>
        <v>20</v>
      </c>
      <c r="L48" s="35"/>
    </row>
    <row r="49" spans="1:12" ht="24.75" customHeight="1">
      <c r="A49" s="136"/>
      <c r="B49" s="103" t="s">
        <v>679</v>
      </c>
      <c r="C49" s="80" t="s">
        <v>678</v>
      </c>
      <c r="D49" s="19">
        <v>1</v>
      </c>
      <c r="E49" s="19"/>
      <c r="F49" s="19"/>
      <c r="G49" s="19"/>
      <c r="H49" s="19"/>
      <c r="I49" s="19"/>
      <c r="J49" s="25"/>
      <c r="K49" s="24">
        <f t="shared" si="3"/>
        <v>1</v>
      </c>
      <c r="L49" s="35"/>
    </row>
    <row r="50" spans="1:12" ht="24.75" customHeight="1">
      <c r="A50" s="136"/>
      <c r="B50" s="96" t="s">
        <v>680</v>
      </c>
      <c r="C50" s="80" t="s">
        <v>681</v>
      </c>
      <c r="D50" s="19"/>
      <c r="E50" s="19"/>
      <c r="F50" s="19"/>
      <c r="G50" s="19"/>
      <c r="H50" s="19"/>
      <c r="I50" s="19"/>
      <c r="J50" s="25"/>
      <c r="K50" s="24" t="str">
        <f t="shared" si="3"/>
        <v/>
      </c>
      <c r="L50" s="35"/>
    </row>
    <row r="51" spans="1:12" ht="24.75" customHeight="1">
      <c r="A51" s="136"/>
      <c r="B51" s="96" t="s">
        <v>682</v>
      </c>
      <c r="C51" s="80" t="s">
        <v>681</v>
      </c>
      <c r="D51" s="19"/>
      <c r="E51" s="19"/>
      <c r="F51" s="19"/>
      <c r="G51" s="19"/>
      <c r="H51" s="19"/>
      <c r="I51" s="19"/>
      <c r="J51" s="25"/>
      <c r="K51" s="24" t="str">
        <f t="shared" si="3"/>
        <v/>
      </c>
      <c r="L51" s="35"/>
    </row>
    <row r="52" spans="1:12" ht="24.75" hidden="1" customHeight="1">
      <c r="A52" s="136"/>
      <c r="B52" s="103"/>
      <c r="C52" s="80" t="str">
        <f>IF(B52="","",VLOOKUP(B52,SMV!$B$6:$D$1037,2,FALSE))</f>
        <v/>
      </c>
      <c r="D52" s="19"/>
      <c r="E52" s="19">
        <v>0</v>
      </c>
      <c r="F52" s="19">
        <v>0</v>
      </c>
      <c r="G52" s="19"/>
      <c r="H52" s="19"/>
      <c r="I52" s="19"/>
      <c r="J52" s="25"/>
      <c r="K52" s="24">
        <f t="shared" si="3"/>
        <v>0</v>
      </c>
      <c r="L52" s="35"/>
    </row>
    <row r="53" spans="1:12" ht="26.25" customHeight="1">
      <c r="A53" s="136"/>
      <c r="B53" s="133" t="s">
        <v>683</v>
      </c>
      <c r="C53" s="134"/>
      <c r="D53" s="130">
        <f t="shared" ref="D53:I53" si="4">IF(AND(D32="",D33="",D34="",D35="",D45="",D46="",D47="",D48="",D49="",D50="",D51="",D52=""),"",SUM(D32:D52))</f>
        <v>35</v>
      </c>
      <c r="E53" s="130">
        <f t="shared" si="4"/>
        <v>27</v>
      </c>
      <c r="F53" s="130">
        <f t="shared" si="4"/>
        <v>35</v>
      </c>
      <c r="G53" s="130">
        <f t="shared" si="4"/>
        <v>25</v>
      </c>
      <c r="H53" s="130">
        <f t="shared" si="4"/>
        <v>33</v>
      </c>
      <c r="I53" s="130">
        <f t="shared" si="4"/>
        <v>33</v>
      </c>
      <c r="J53" s="23" t="str">
        <f>IF(AND(J32="",J33="",J34="",J35="",J45="",J46="",J52=""),"",SUM(J32:J52))</f>
        <v/>
      </c>
      <c r="K53" s="186">
        <f>IF(AND(K32="",K33="",K34="",K35="",K45="",K46="",K52=""),"",SUM(K32:K52))</f>
        <v>188</v>
      </c>
      <c r="L53" s="35"/>
    </row>
    <row r="54" spans="1:12" ht="26.25" customHeight="1">
      <c r="A54" s="136"/>
      <c r="B54" s="133" t="s">
        <v>684</v>
      </c>
      <c r="C54" s="138"/>
      <c r="D54" s="45">
        <f>'DAILY SUMMARY'!D2</f>
        <v>677</v>
      </c>
      <c r="E54" s="45">
        <f>'DAILY SUMMARY'!D8</f>
        <v>495</v>
      </c>
      <c r="F54" s="45">
        <f>'DAILY SUMMARY'!D14</f>
        <v>767</v>
      </c>
      <c r="G54" s="45">
        <f>'DAILY SUMMARY'!D20</f>
        <v>649</v>
      </c>
      <c r="H54" s="45">
        <f>'DAILY SUMMARY'!D26</f>
        <v>681</v>
      </c>
      <c r="I54" s="45">
        <f>'DAILY SUMMARY'!D32</f>
        <v>711</v>
      </c>
      <c r="J54" s="45">
        <f>'DAILY SUMMARY'!C58</f>
        <v>0</v>
      </c>
      <c r="K54" s="102">
        <f>SUM(D54:I54)</f>
        <v>3980</v>
      </c>
      <c r="L54" s="35"/>
    </row>
    <row r="55" spans="1:12" ht="26.25" customHeight="1">
      <c r="A55" s="136"/>
      <c r="B55" s="133" t="s">
        <v>643</v>
      </c>
      <c r="C55" s="138"/>
      <c r="D55" s="45">
        <f>'DAILY SUMMARY'!D3</f>
        <v>642</v>
      </c>
      <c r="E55" s="45">
        <f>'DAILY SUMMARY'!D9</f>
        <v>468</v>
      </c>
      <c r="F55" s="45">
        <f>'DAILY SUMMARY'!D15</f>
        <v>732</v>
      </c>
      <c r="G55" s="45">
        <f>'DAILY SUMMARY'!D21</f>
        <v>624</v>
      </c>
      <c r="H55" s="45">
        <f>'DAILY SUMMARY'!D27</f>
        <v>648</v>
      </c>
      <c r="I55" s="45">
        <f>'DAILY SUMMARY'!D33</f>
        <v>678</v>
      </c>
      <c r="J55" s="45">
        <f>'DAILY SUMMARY'!C59</f>
        <v>0</v>
      </c>
      <c r="K55" s="102">
        <f>SUM(D55:I55)</f>
        <v>3792</v>
      </c>
      <c r="L55" s="188"/>
    </row>
    <row r="56" spans="1:12" ht="26.25" customHeight="1">
      <c r="A56" s="136"/>
      <c r="B56" s="133" t="s">
        <v>685</v>
      </c>
      <c r="C56" s="138"/>
      <c r="D56" s="124">
        <f>'DAILY SUMMARY'!D5</f>
        <v>5.1698670605612999E-2</v>
      </c>
      <c r="E56" s="124">
        <f>'DAILY SUMMARY'!D11</f>
        <v>5.4545454545454543E-2</v>
      </c>
      <c r="F56" s="124">
        <f>'DAILY SUMMARY'!D17</f>
        <v>4.563233376792699E-2</v>
      </c>
      <c r="G56" s="124">
        <f>'DAILY SUMMARY'!D23</f>
        <v>3.8520801232665637E-2</v>
      </c>
      <c r="H56" s="124">
        <f>'DAILY SUMMARY'!D29</f>
        <v>4.8458149779735685E-2</v>
      </c>
      <c r="I56" s="124">
        <f>'DAILY SUMMARY'!D35</f>
        <v>4.6413502109704644E-2</v>
      </c>
      <c r="J56" s="124">
        <f>'DAILY SUMMARY'!C61</f>
        <v>0</v>
      </c>
      <c r="K56" s="124">
        <f>AVERAGE(D56:I56)</f>
        <v>4.7544818673516752E-2</v>
      </c>
      <c r="L56" s="35"/>
    </row>
    <row r="57" spans="1:12" ht="26.25" customHeight="1" thickBot="1">
      <c r="A57" s="137"/>
      <c r="B57" s="139" t="s">
        <v>699</v>
      </c>
      <c r="C57" s="140"/>
      <c r="D57" s="127">
        <f>'DAILY SUMMARY'!D6</f>
        <v>0.32601562499999998</v>
      </c>
      <c r="E57" s="127">
        <f>'DAILY SUMMARY'!D12</f>
        <v>0.23765625000000001</v>
      </c>
      <c r="F57" s="127">
        <f>'DAILY SUMMARY'!D18</f>
        <v>0.33872844827586207</v>
      </c>
      <c r="G57" s="127">
        <f>'DAILY SUMMARY'!D24</f>
        <v>0.29914224137931028</v>
      </c>
      <c r="H57" s="127">
        <f>'DAILY SUMMARY'!D30</f>
        <v>0.4236724137931035</v>
      </c>
      <c r="I57" s="127">
        <f>'DAILY SUMMARY'!D36</f>
        <v>0.47639062500000001</v>
      </c>
      <c r="J57" s="127">
        <f>'DAILY SUMMARY'!C62</f>
        <v>0</v>
      </c>
      <c r="K57" s="127">
        <f>AVERAGE(D57:I57)</f>
        <v>0.35026760057471268</v>
      </c>
      <c r="L57" s="128"/>
    </row>
    <row r="58" spans="1:12" ht="22.5">
      <c r="A58" s="135" t="s">
        <v>708</v>
      </c>
      <c r="B58" s="105" t="s">
        <v>645</v>
      </c>
      <c r="C58" s="81" t="s">
        <v>646</v>
      </c>
      <c r="D58" s="20">
        <v>1</v>
      </c>
      <c r="E58" s="20">
        <v>2</v>
      </c>
      <c r="F58" s="20">
        <v>4</v>
      </c>
      <c r="G58" s="20">
        <v>1</v>
      </c>
      <c r="H58" s="20">
        <v>4</v>
      </c>
      <c r="I58" s="20">
        <v>1</v>
      </c>
      <c r="J58" s="125"/>
      <c r="K58" s="26">
        <f t="shared" ref="K58:K78" si="5">IF(AND(D58="",E58="",F58="",G58="",H58="",I58="",J58=""),"",SUM(D58:J58))</f>
        <v>13</v>
      </c>
      <c r="L58" s="126"/>
    </row>
    <row r="59" spans="1:12" ht="22.5">
      <c r="A59" s="136"/>
      <c r="B59" s="109" t="s">
        <v>647</v>
      </c>
      <c r="C59" s="80" t="s">
        <v>648</v>
      </c>
      <c r="D59" s="19"/>
      <c r="E59" s="19"/>
      <c r="F59" s="22"/>
      <c r="G59" s="22"/>
      <c r="H59" s="19"/>
      <c r="I59" s="19"/>
      <c r="J59" s="25"/>
      <c r="K59" s="24" t="str">
        <f t="shared" si="5"/>
        <v/>
      </c>
      <c r="L59" s="35"/>
    </row>
    <row r="60" spans="1:12" ht="22.5">
      <c r="A60" s="136"/>
      <c r="B60" s="109" t="s">
        <v>649</v>
      </c>
      <c r="C60" s="80" t="s">
        <v>650</v>
      </c>
      <c r="D60" s="19">
        <v>5</v>
      </c>
      <c r="E60" s="19">
        <v>6</v>
      </c>
      <c r="F60" s="22">
        <v>6</v>
      </c>
      <c r="G60" s="22">
        <v>5</v>
      </c>
      <c r="H60" s="19">
        <v>4</v>
      </c>
      <c r="I60" s="19">
        <v>3</v>
      </c>
      <c r="J60" s="25"/>
      <c r="K60" s="24">
        <f t="shared" si="5"/>
        <v>29</v>
      </c>
      <c r="L60" s="35"/>
    </row>
    <row r="61" spans="1:12" ht="22.5">
      <c r="A61" s="136"/>
      <c r="B61" s="109" t="s">
        <v>651</v>
      </c>
      <c r="C61" s="80" t="s">
        <v>652</v>
      </c>
      <c r="D61" s="19">
        <v>1</v>
      </c>
      <c r="E61" s="19">
        <v>1</v>
      </c>
      <c r="F61" s="19">
        <v>1</v>
      </c>
      <c r="G61" s="19">
        <v>2</v>
      </c>
      <c r="H61" s="19">
        <v>1</v>
      </c>
      <c r="I61" s="19">
        <v>1</v>
      </c>
      <c r="J61" s="25"/>
      <c r="K61" s="24">
        <f t="shared" si="5"/>
        <v>7</v>
      </c>
      <c r="L61" s="35"/>
    </row>
    <row r="62" spans="1:12" ht="22.5">
      <c r="A62" s="136"/>
      <c r="B62" s="109" t="s">
        <v>653</v>
      </c>
      <c r="C62" s="80" t="s">
        <v>654</v>
      </c>
      <c r="D62" s="19">
        <v>1</v>
      </c>
      <c r="E62" s="19">
        <v>2</v>
      </c>
      <c r="F62" s="19">
        <v>1</v>
      </c>
      <c r="G62" s="19">
        <v>1</v>
      </c>
      <c r="H62" s="19">
        <v>1</v>
      </c>
      <c r="I62" s="19">
        <v>1</v>
      </c>
      <c r="J62" s="25"/>
      <c r="K62" s="24">
        <f t="shared" si="5"/>
        <v>7</v>
      </c>
      <c r="L62" s="35"/>
    </row>
    <row r="63" spans="1:12" ht="22.5">
      <c r="A63" s="136"/>
      <c r="B63" s="109" t="s">
        <v>655</v>
      </c>
      <c r="C63" s="80" t="s">
        <v>656</v>
      </c>
      <c r="D63" s="19"/>
      <c r="E63" s="19">
        <v>3</v>
      </c>
      <c r="F63" s="19"/>
      <c r="G63" s="19">
        <v>3</v>
      </c>
      <c r="H63" s="19"/>
      <c r="I63" s="19">
        <v>3</v>
      </c>
      <c r="J63" s="25"/>
      <c r="K63" s="24">
        <f t="shared" si="5"/>
        <v>9</v>
      </c>
      <c r="L63" s="35"/>
    </row>
    <row r="64" spans="1:12" ht="22.5">
      <c r="A64" s="136"/>
      <c r="B64" s="109" t="s">
        <v>657</v>
      </c>
      <c r="C64" s="80" t="s">
        <v>658</v>
      </c>
      <c r="D64" s="19">
        <v>1</v>
      </c>
      <c r="E64" s="19">
        <v>1</v>
      </c>
      <c r="F64" s="19">
        <v>2</v>
      </c>
      <c r="G64" s="19">
        <v>1</v>
      </c>
      <c r="H64" s="19">
        <v>1</v>
      </c>
      <c r="I64" s="19">
        <v>1</v>
      </c>
      <c r="J64" s="25"/>
      <c r="K64" s="24">
        <f t="shared" si="5"/>
        <v>7</v>
      </c>
      <c r="L64" s="35"/>
    </row>
    <row r="65" spans="1:12" ht="22.5">
      <c r="A65" s="136"/>
      <c r="B65" s="109" t="s">
        <v>659</v>
      </c>
      <c r="C65" s="80" t="s">
        <v>660</v>
      </c>
      <c r="D65" s="19">
        <v>5</v>
      </c>
      <c r="E65" s="19"/>
      <c r="F65" s="19">
        <v>3</v>
      </c>
      <c r="G65" s="19"/>
      <c r="H65" s="19">
        <v>3</v>
      </c>
      <c r="I65" s="19"/>
      <c r="J65" s="25"/>
      <c r="K65" s="24">
        <f t="shared" si="5"/>
        <v>11</v>
      </c>
      <c r="L65" s="35"/>
    </row>
    <row r="66" spans="1:12" ht="22.5">
      <c r="A66" s="136"/>
      <c r="B66" s="109" t="s">
        <v>661</v>
      </c>
      <c r="C66" s="80" t="s">
        <v>662</v>
      </c>
      <c r="D66" s="19">
        <v>2</v>
      </c>
      <c r="E66" s="19"/>
      <c r="F66" s="19"/>
      <c r="G66" s="19"/>
      <c r="H66" s="19"/>
      <c r="I66" s="19">
        <v>2</v>
      </c>
      <c r="J66" s="25"/>
      <c r="K66" s="24">
        <f t="shared" si="5"/>
        <v>4</v>
      </c>
      <c r="L66" s="35"/>
    </row>
    <row r="67" spans="1:12" ht="22.5">
      <c r="A67" s="136"/>
      <c r="B67" s="109" t="s">
        <v>663</v>
      </c>
      <c r="C67" s="80" t="s">
        <v>664</v>
      </c>
      <c r="D67" s="19"/>
      <c r="E67" s="19"/>
      <c r="F67" s="19"/>
      <c r="G67" s="19"/>
      <c r="H67" s="19"/>
      <c r="I67" s="19"/>
      <c r="J67" s="25"/>
      <c r="K67" s="24" t="str">
        <f t="shared" si="5"/>
        <v/>
      </c>
      <c r="L67" s="35"/>
    </row>
    <row r="68" spans="1:12" ht="22.5">
      <c r="A68" s="136"/>
      <c r="B68" s="109" t="s">
        <v>665</v>
      </c>
      <c r="C68" s="80" t="s">
        <v>666</v>
      </c>
      <c r="D68" s="19"/>
      <c r="E68" s="19"/>
      <c r="F68" s="19"/>
      <c r="G68" s="19"/>
      <c r="H68" s="19"/>
      <c r="I68" s="19"/>
      <c r="J68" s="25"/>
      <c r="K68" s="24" t="str">
        <f t="shared" si="5"/>
        <v/>
      </c>
      <c r="L68" s="35"/>
    </row>
    <row r="69" spans="1:12" ht="22.5">
      <c r="A69" s="136"/>
      <c r="B69" s="109" t="s">
        <v>667</v>
      </c>
      <c r="C69" s="80" t="s">
        <v>668</v>
      </c>
      <c r="D69" s="19"/>
      <c r="E69" s="19">
        <v>2</v>
      </c>
      <c r="F69" s="19"/>
      <c r="G69" s="19">
        <v>2</v>
      </c>
      <c r="H69" s="19"/>
      <c r="I69" s="19"/>
      <c r="J69" s="25"/>
      <c r="K69" s="24">
        <f t="shared" si="5"/>
        <v>4</v>
      </c>
      <c r="L69" s="35"/>
    </row>
    <row r="70" spans="1:12" ht="22.5">
      <c r="A70" s="136"/>
      <c r="B70" s="109" t="s">
        <v>669</v>
      </c>
      <c r="C70" s="80" t="s">
        <v>670</v>
      </c>
      <c r="D70" s="19"/>
      <c r="E70" s="19"/>
      <c r="F70" s="19">
        <v>1</v>
      </c>
      <c r="G70" s="19"/>
      <c r="H70" s="19"/>
      <c r="I70" s="19"/>
      <c r="J70" s="25"/>
      <c r="K70" s="24">
        <f t="shared" si="5"/>
        <v>1</v>
      </c>
      <c r="L70" s="35"/>
    </row>
    <row r="71" spans="1:12" ht="22.5">
      <c r="A71" s="136"/>
      <c r="B71" s="103" t="s">
        <v>671</v>
      </c>
      <c r="C71" s="80" t="s">
        <v>672</v>
      </c>
      <c r="D71" s="19"/>
      <c r="E71" s="19"/>
      <c r="F71" s="19"/>
      <c r="G71" s="19"/>
      <c r="H71" s="19"/>
      <c r="I71" s="19"/>
      <c r="J71" s="25"/>
      <c r="K71" s="24" t="str">
        <f t="shared" si="5"/>
        <v/>
      </c>
      <c r="L71" s="35"/>
    </row>
    <row r="72" spans="1:12" ht="22.5">
      <c r="A72" s="136"/>
      <c r="B72" s="103" t="s">
        <v>673</v>
      </c>
      <c r="C72" s="80" t="s">
        <v>674</v>
      </c>
      <c r="D72" s="19">
        <v>3</v>
      </c>
      <c r="E72" s="19"/>
      <c r="F72" s="19">
        <v>1</v>
      </c>
      <c r="G72" s="19"/>
      <c r="H72" s="19">
        <v>2</v>
      </c>
      <c r="I72" s="19">
        <v>1</v>
      </c>
      <c r="J72" s="25"/>
      <c r="K72" s="24">
        <f t="shared" si="5"/>
        <v>7</v>
      </c>
      <c r="L72" s="35"/>
    </row>
    <row r="73" spans="1:12" ht="22.5">
      <c r="A73" s="136"/>
      <c r="B73" s="96" t="s">
        <v>675</v>
      </c>
      <c r="C73" s="80" t="s">
        <v>676</v>
      </c>
      <c r="D73" s="19">
        <v>2</v>
      </c>
      <c r="E73" s="19">
        <v>5</v>
      </c>
      <c r="F73" s="19">
        <v>1</v>
      </c>
      <c r="G73" s="19">
        <v>5</v>
      </c>
      <c r="H73" s="19">
        <v>1</v>
      </c>
      <c r="I73" s="19">
        <v>4</v>
      </c>
      <c r="J73" s="25"/>
      <c r="K73" s="24">
        <f t="shared" si="5"/>
        <v>18</v>
      </c>
      <c r="L73" s="35"/>
    </row>
    <row r="74" spans="1:12" ht="22.5">
      <c r="A74" s="136"/>
      <c r="B74" s="103" t="s">
        <v>677</v>
      </c>
      <c r="C74" s="80" t="s">
        <v>678</v>
      </c>
      <c r="D74" s="19">
        <v>1</v>
      </c>
      <c r="E74" s="19"/>
      <c r="F74" s="19">
        <v>1</v>
      </c>
      <c r="G74" s="19">
        <v>1</v>
      </c>
      <c r="H74" s="19">
        <v>1</v>
      </c>
      <c r="I74" s="19">
        <v>1</v>
      </c>
      <c r="J74" s="25"/>
      <c r="K74" s="24">
        <f t="shared" si="5"/>
        <v>5</v>
      </c>
      <c r="L74" s="35"/>
    </row>
    <row r="75" spans="1:12" ht="22.5">
      <c r="A75" s="136"/>
      <c r="B75" s="103" t="s">
        <v>679</v>
      </c>
      <c r="C75" s="80" t="s">
        <v>678</v>
      </c>
      <c r="D75" s="19"/>
      <c r="E75" s="19"/>
      <c r="F75" s="19"/>
      <c r="G75" s="19"/>
      <c r="H75" s="19"/>
      <c r="I75" s="19"/>
      <c r="J75" s="25"/>
      <c r="K75" s="24" t="str">
        <f t="shared" si="5"/>
        <v/>
      </c>
      <c r="L75" s="35"/>
    </row>
    <row r="76" spans="1:12" ht="22.5">
      <c r="A76" s="136"/>
      <c r="B76" s="96" t="s">
        <v>680</v>
      </c>
      <c r="C76" s="80" t="s">
        <v>681</v>
      </c>
      <c r="D76" s="19"/>
      <c r="E76" s="19"/>
      <c r="F76" s="19">
        <v>1</v>
      </c>
      <c r="G76" s="19"/>
      <c r="H76" s="19">
        <v>1</v>
      </c>
      <c r="I76" s="19"/>
      <c r="J76" s="25"/>
      <c r="K76" s="24">
        <f t="shared" si="5"/>
        <v>2</v>
      </c>
      <c r="L76" s="35"/>
    </row>
    <row r="77" spans="1:12" ht="22.5">
      <c r="A77" s="136"/>
      <c r="B77" s="96" t="s">
        <v>682</v>
      </c>
      <c r="C77" s="80" t="s">
        <v>681</v>
      </c>
      <c r="D77" s="19"/>
      <c r="E77" s="19"/>
      <c r="F77" s="19"/>
      <c r="G77" s="19"/>
      <c r="H77" s="19"/>
      <c r="I77" s="19"/>
      <c r="J77" s="25"/>
      <c r="K77" s="24" t="str">
        <f t="shared" si="5"/>
        <v/>
      </c>
      <c r="L77" s="35"/>
    </row>
    <row r="78" spans="1:12" ht="22.5">
      <c r="A78" s="136"/>
      <c r="B78" s="103"/>
      <c r="C78" s="80" t="str">
        <f>IF(B78="","",VLOOKUP(B78,SMV!$B$6:$D$1037,2,FALSE))</f>
        <v/>
      </c>
      <c r="D78" s="19"/>
      <c r="E78" s="19"/>
      <c r="F78" s="19"/>
      <c r="G78" s="19"/>
      <c r="H78" s="19"/>
      <c r="I78" s="19"/>
      <c r="J78" s="25"/>
      <c r="K78" s="24" t="str">
        <f t="shared" si="5"/>
        <v/>
      </c>
      <c r="L78" s="35"/>
    </row>
    <row r="79" spans="1:12" ht="22.5">
      <c r="A79" s="136"/>
      <c r="B79" s="133" t="s">
        <v>683</v>
      </c>
      <c r="C79" s="134"/>
      <c r="D79" s="130">
        <f t="shared" ref="D79:I79" si="6">IF(AND(D58="",D59="",D60="",D61="",D71="",D72="",D73="",D74="",D75="",D76="",D77="",D78=""),"",SUM(D58:D78))</f>
        <v>22</v>
      </c>
      <c r="E79" s="130">
        <f t="shared" si="6"/>
        <v>22</v>
      </c>
      <c r="F79" s="130">
        <f t="shared" si="6"/>
        <v>22</v>
      </c>
      <c r="G79" s="130">
        <f t="shared" si="6"/>
        <v>21</v>
      </c>
      <c r="H79" s="130">
        <f t="shared" si="6"/>
        <v>19</v>
      </c>
      <c r="I79" s="130">
        <f t="shared" si="6"/>
        <v>18</v>
      </c>
      <c r="J79" s="23" t="str">
        <f>IF(AND(J58="",J59="",J60="",J61="",J71="",J72="",J78=""),"",SUM(J58:J78))</f>
        <v/>
      </c>
      <c r="K79" s="24">
        <f>IF(AND(K58="",K59="",K60="",K61="",K71="",K72="",K78=""),"",SUM(K58:K78))</f>
        <v>124</v>
      </c>
      <c r="L79" s="35"/>
    </row>
    <row r="80" spans="1:12" ht="22.5">
      <c r="A80" s="136"/>
      <c r="B80" s="166" t="s">
        <v>684</v>
      </c>
      <c r="C80" s="167"/>
      <c r="D80" s="45">
        <f>'DAILY SUMMARY'!E2</f>
        <v>372</v>
      </c>
      <c r="E80" s="45">
        <f>'DAILY SUMMARY'!E8</f>
        <v>372</v>
      </c>
      <c r="F80" s="45">
        <f>'DAILY SUMMARY'!E14</f>
        <v>372</v>
      </c>
      <c r="G80" s="45">
        <f>'DAILY SUMMARY'!E20</f>
        <v>425</v>
      </c>
      <c r="H80" s="45">
        <f>'DAILY SUMMARY'!E26</f>
        <v>344</v>
      </c>
      <c r="I80" s="45">
        <f>'DAILY SUMMARY'!E32</f>
        <v>343</v>
      </c>
      <c r="J80" s="45"/>
      <c r="K80" s="102">
        <f>SUM(D80:I80)</f>
        <v>2228</v>
      </c>
      <c r="L80" s="35"/>
    </row>
    <row r="81" spans="1:12" ht="22.5">
      <c r="A81" s="136"/>
      <c r="B81" s="133" t="s">
        <v>643</v>
      </c>
      <c r="C81" s="138"/>
      <c r="D81" s="45">
        <f>'DAILY SUMMARY'!E3</f>
        <v>350</v>
      </c>
      <c r="E81" s="45">
        <f>'DAILY SUMMARY'!E9</f>
        <v>350</v>
      </c>
      <c r="F81" s="45">
        <f>'DAILY SUMMARY'!E15</f>
        <v>350</v>
      </c>
      <c r="G81" s="45">
        <f>'DAILY SUMMARY'!E21</f>
        <v>404</v>
      </c>
      <c r="H81" s="45">
        <f>'DAILY SUMMARY'!E27</f>
        <v>325</v>
      </c>
      <c r="I81" s="45">
        <f>'DAILY SUMMARY'!E33</f>
        <v>325</v>
      </c>
      <c r="J81" s="45"/>
      <c r="K81" s="102">
        <f>SUM(D81:I81)</f>
        <v>2104</v>
      </c>
      <c r="L81" s="188"/>
    </row>
    <row r="82" spans="1:12" ht="22.5">
      <c r="A82" s="136"/>
      <c r="B82" s="133" t="s">
        <v>685</v>
      </c>
      <c r="C82" s="138"/>
      <c r="D82" s="124">
        <f>'DAILY SUMMARY'!E5</f>
        <v>5.9139784946236562E-2</v>
      </c>
      <c r="E82" s="124">
        <f>'DAILY SUMMARY'!E11</f>
        <v>5.9139784946236562E-2</v>
      </c>
      <c r="F82" s="124">
        <f>'DAILY SUMMARY'!E17</f>
        <v>5.9139784946236562E-2</v>
      </c>
      <c r="G82" s="124">
        <f>'DAILY SUMMARY'!E23</f>
        <v>4.9411764705882349E-2</v>
      </c>
      <c r="H82" s="124">
        <f>'DAILY SUMMARY'!E29</f>
        <v>5.5232558139534885E-2</v>
      </c>
      <c r="I82" s="124">
        <f>'DAILY SUMMARY'!E35</f>
        <v>5.2478134110787174E-2</v>
      </c>
      <c r="J82" s="124"/>
      <c r="K82" s="124">
        <f>AVERAGE(D82:I82)</f>
        <v>5.5756968632485686E-2</v>
      </c>
      <c r="L82" s="35"/>
    </row>
    <row r="83" spans="1:12" ht="23.25" thickBot="1">
      <c r="A83" s="137"/>
      <c r="B83" s="139" t="s">
        <v>699</v>
      </c>
      <c r="C83" s="140"/>
      <c r="D83" s="127">
        <f>'DAILY SUMMARY'!E6</f>
        <v>0.44762731481481483</v>
      </c>
      <c r="E83" s="127">
        <f>'DAILY SUMMARY'!E12</f>
        <v>0.43948863636363639</v>
      </c>
      <c r="F83" s="127">
        <f>'DAILY SUMMARY'!E18</f>
        <v>0.431640625</v>
      </c>
      <c r="G83" s="127">
        <f>'DAILY SUMMARY'!E24</f>
        <v>0.42503906250000006</v>
      </c>
      <c r="H83" s="127">
        <f>'DAILY SUMMARY'!E30</f>
        <v>0.3899753787878788</v>
      </c>
      <c r="I83" s="127">
        <f>'DAILY SUMMARY'!E36</f>
        <v>0.38301153273809524</v>
      </c>
      <c r="J83" s="127"/>
      <c r="K83" s="127">
        <f>AVERAGE(D83:I83)</f>
        <v>0.41946375836740418</v>
      </c>
      <c r="L83" s="128"/>
    </row>
    <row r="84" spans="1:12" ht="22.5">
      <c r="A84" s="146" t="s">
        <v>719</v>
      </c>
      <c r="B84" s="105" t="s">
        <v>645</v>
      </c>
      <c r="C84" s="81" t="s">
        <v>646</v>
      </c>
      <c r="D84" s="20">
        <v>3</v>
      </c>
      <c r="E84" s="20"/>
      <c r="F84" s="20">
        <v>4</v>
      </c>
      <c r="G84" s="20"/>
      <c r="H84" s="20">
        <v>4</v>
      </c>
      <c r="I84" s="20"/>
      <c r="J84" s="125"/>
      <c r="K84" s="26">
        <f t="shared" ref="K84:K102" si="7">IF(AND(D84="",E84="",F84="",G84="",H84="",I84="",J84=""),"",SUM(D84:J84))</f>
        <v>11</v>
      </c>
      <c r="L84" s="126"/>
    </row>
    <row r="85" spans="1:12" ht="22.5">
      <c r="A85" s="147"/>
      <c r="B85" s="109" t="s">
        <v>647</v>
      </c>
      <c r="C85" s="80" t="s">
        <v>648</v>
      </c>
      <c r="D85" s="19"/>
      <c r="E85" s="19"/>
      <c r="F85" s="22"/>
      <c r="G85" s="22"/>
      <c r="H85" s="19"/>
      <c r="I85" s="19"/>
      <c r="J85" s="25"/>
      <c r="K85" s="24" t="str">
        <f t="shared" si="7"/>
        <v/>
      </c>
      <c r="L85" s="35"/>
    </row>
    <row r="86" spans="1:12" ht="22.5">
      <c r="A86" s="147"/>
      <c r="B86" s="109" t="s">
        <v>649</v>
      </c>
      <c r="C86" s="80" t="s">
        <v>650</v>
      </c>
      <c r="D86" s="19"/>
      <c r="E86" s="19"/>
      <c r="F86" s="22"/>
      <c r="G86" s="22"/>
      <c r="H86" s="19"/>
      <c r="I86" s="19"/>
      <c r="J86" s="25"/>
      <c r="K86" s="24" t="str">
        <f t="shared" si="7"/>
        <v/>
      </c>
      <c r="L86" s="35"/>
    </row>
    <row r="87" spans="1:12" ht="22.5">
      <c r="A87" s="147"/>
      <c r="B87" s="109" t="s">
        <v>651</v>
      </c>
      <c r="C87" s="80" t="s">
        <v>652</v>
      </c>
      <c r="D87" s="19">
        <v>2</v>
      </c>
      <c r="E87" s="19">
        <v>2</v>
      </c>
      <c r="F87" s="19">
        <v>2</v>
      </c>
      <c r="G87" s="19">
        <v>3</v>
      </c>
      <c r="H87" s="19">
        <v>2</v>
      </c>
      <c r="I87" s="19">
        <v>4</v>
      </c>
      <c r="J87" s="25"/>
      <c r="K87" s="24">
        <f t="shared" si="7"/>
        <v>15</v>
      </c>
      <c r="L87" s="35"/>
    </row>
    <row r="88" spans="1:12" ht="22.5">
      <c r="A88" s="147"/>
      <c r="B88" s="109" t="s">
        <v>653</v>
      </c>
      <c r="C88" s="80" t="s">
        <v>654</v>
      </c>
      <c r="D88" s="19"/>
      <c r="E88" s="19"/>
      <c r="F88" s="19"/>
      <c r="G88" s="19">
        <v>1</v>
      </c>
      <c r="H88" s="19">
        <v>2</v>
      </c>
      <c r="I88" s="19">
        <v>2</v>
      </c>
      <c r="J88" s="25"/>
      <c r="K88" s="24">
        <f t="shared" si="7"/>
        <v>5</v>
      </c>
      <c r="L88" s="35"/>
    </row>
    <row r="89" spans="1:12" ht="22.5">
      <c r="A89" s="147"/>
      <c r="B89" s="109" t="s">
        <v>655</v>
      </c>
      <c r="C89" s="80" t="s">
        <v>656</v>
      </c>
      <c r="D89" s="19">
        <v>2</v>
      </c>
      <c r="E89" s="19">
        <v>2</v>
      </c>
      <c r="F89" s="19">
        <v>1</v>
      </c>
      <c r="G89" s="19"/>
      <c r="H89" s="19"/>
      <c r="I89" s="19">
        <v>1</v>
      </c>
      <c r="J89" s="25"/>
      <c r="K89" s="24">
        <f t="shared" si="7"/>
        <v>6</v>
      </c>
      <c r="L89" s="35"/>
    </row>
    <row r="90" spans="1:12" ht="22.5">
      <c r="A90" s="147"/>
      <c r="B90" s="109" t="s">
        <v>657</v>
      </c>
      <c r="C90" s="80" t="s">
        <v>658</v>
      </c>
      <c r="D90" s="19">
        <v>2</v>
      </c>
      <c r="E90" s="19"/>
      <c r="F90" s="19">
        <v>2</v>
      </c>
      <c r="G90" s="19">
        <v>2</v>
      </c>
      <c r="H90" s="19">
        <v>1</v>
      </c>
      <c r="I90" s="19">
        <v>2</v>
      </c>
      <c r="J90" s="25"/>
      <c r="K90" s="24">
        <f t="shared" si="7"/>
        <v>9</v>
      </c>
      <c r="L90" s="35"/>
    </row>
    <row r="91" spans="1:12" ht="22.5">
      <c r="A91" s="147"/>
      <c r="B91" s="109" t="s">
        <v>659</v>
      </c>
      <c r="C91" s="80" t="s">
        <v>660</v>
      </c>
      <c r="D91" s="19">
        <v>2</v>
      </c>
      <c r="E91" s="19"/>
      <c r="F91" s="19">
        <v>3</v>
      </c>
      <c r="G91" s="19">
        <v>3</v>
      </c>
      <c r="H91" s="19">
        <v>3</v>
      </c>
      <c r="I91" s="19"/>
      <c r="J91" s="25"/>
      <c r="K91" s="24">
        <f t="shared" si="7"/>
        <v>11</v>
      </c>
      <c r="L91" s="35"/>
    </row>
    <row r="92" spans="1:12" ht="22.5">
      <c r="A92" s="147"/>
      <c r="B92" s="109" t="s">
        <v>661</v>
      </c>
      <c r="C92" s="80" t="s">
        <v>662</v>
      </c>
      <c r="D92" s="19"/>
      <c r="E92" s="19">
        <v>3</v>
      </c>
      <c r="F92" s="19"/>
      <c r="G92" s="19">
        <v>2</v>
      </c>
      <c r="H92" s="19"/>
      <c r="I92" s="19">
        <v>3</v>
      </c>
      <c r="J92" s="25"/>
      <c r="K92" s="24">
        <f t="shared" si="7"/>
        <v>8</v>
      </c>
      <c r="L92" s="35"/>
    </row>
    <row r="93" spans="1:12" ht="22.5">
      <c r="A93" s="147"/>
      <c r="B93" s="109" t="s">
        <v>663</v>
      </c>
      <c r="C93" s="80" t="s">
        <v>664</v>
      </c>
      <c r="D93" s="19"/>
      <c r="E93" s="19"/>
      <c r="F93" s="19"/>
      <c r="G93" s="19">
        <v>2</v>
      </c>
      <c r="H93" s="19"/>
      <c r="I93" s="19"/>
      <c r="J93" s="25"/>
      <c r="K93" s="24">
        <f t="shared" si="7"/>
        <v>2</v>
      </c>
      <c r="L93" s="35"/>
    </row>
    <row r="94" spans="1:12" ht="22.5">
      <c r="A94" s="147"/>
      <c r="B94" s="109" t="s">
        <v>665</v>
      </c>
      <c r="C94" s="80" t="s">
        <v>666</v>
      </c>
      <c r="D94" s="19"/>
      <c r="E94" s="19"/>
      <c r="F94" s="19"/>
      <c r="G94" s="19"/>
      <c r="H94" s="19"/>
      <c r="I94" s="19"/>
      <c r="J94" s="25"/>
      <c r="K94" s="24" t="str">
        <f t="shared" si="7"/>
        <v/>
      </c>
      <c r="L94" s="35"/>
    </row>
    <row r="95" spans="1:12" ht="22.5">
      <c r="A95" s="147"/>
      <c r="B95" s="109" t="s">
        <v>667</v>
      </c>
      <c r="C95" s="80" t="s">
        <v>668</v>
      </c>
      <c r="D95" s="19">
        <v>2</v>
      </c>
      <c r="E95" s="19"/>
      <c r="F95" s="19">
        <v>3</v>
      </c>
      <c r="G95" s="19"/>
      <c r="H95" s="19">
        <v>2</v>
      </c>
      <c r="I95" s="19">
        <v>4</v>
      </c>
      <c r="J95" s="25"/>
      <c r="K95" s="24">
        <f t="shared" si="7"/>
        <v>11</v>
      </c>
      <c r="L95" s="35"/>
    </row>
    <row r="96" spans="1:12" ht="22.5">
      <c r="A96" s="147"/>
      <c r="B96" s="109" t="s">
        <v>669</v>
      </c>
      <c r="C96" s="80" t="s">
        <v>670</v>
      </c>
      <c r="D96" s="19"/>
      <c r="E96" s="19"/>
      <c r="F96" s="19"/>
      <c r="G96" s="19"/>
      <c r="H96" s="19"/>
      <c r="I96" s="19"/>
      <c r="J96" s="25"/>
      <c r="K96" s="24" t="str">
        <f t="shared" si="7"/>
        <v/>
      </c>
      <c r="L96" s="35"/>
    </row>
    <row r="97" spans="1:12" ht="22.5">
      <c r="A97" s="147"/>
      <c r="B97" s="103" t="s">
        <v>671</v>
      </c>
      <c r="C97" s="80" t="s">
        <v>672</v>
      </c>
      <c r="D97" s="19"/>
      <c r="E97" s="19"/>
      <c r="F97" s="19"/>
      <c r="G97" s="19"/>
      <c r="H97" s="19"/>
      <c r="I97" s="19"/>
      <c r="J97" s="25"/>
      <c r="K97" s="24" t="str">
        <f t="shared" si="7"/>
        <v/>
      </c>
      <c r="L97" s="35"/>
    </row>
    <row r="98" spans="1:12" ht="22.5">
      <c r="A98" s="147"/>
      <c r="B98" s="103" t="s">
        <v>673</v>
      </c>
      <c r="C98" s="80" t="s">
        <v>674</v>
      </c>
      <c r="D98" s="19"/>
      <c r="E98" s="19">
        <v>1</v>
      </c>
      <c r="F98" s="19"/>
      <c r="G98" s="19"/>
      <c r="H98" s="19"/>
      <c r="I98" s="19"/>
      <c r="J98" s="25"/>
      <c r="K98" s="24">
        <f t="shared" si="7"/>
        <v>1</v>
      </c>
      <c r="L98" s="35"/>
    </row>
    <row r="99" spans="1:12" ht="22.5">
      <c r="A99" s="147"/>
      <c r="B99" s="96" t="s">
        <v>675</v>
      </c>
      <c r="C99" s="80" t="s">
        <v>676</v>
      </c>
      <c r="D99" s="19">
        <v>2</v>
      </c>
      <c r="E99" s="19">
        <v>3</v>
      </c>
      <c r="F99" s="19"/>
      <c r="G99" s="19">
        <v>4</v>
      </c>
      <c r="H99" s="19">
        <v>2</v>
      </c>
      <c r="I99" s="19">
        <v>5</v>
      </c>
      <c r="J99" s="25"/>
      <c r="K99" s="24">
        <f t="shared" si="7"/>
        <v>16</v>
      </c>
      <c r="L99" s="35"/>
    </row>
    <row r="100" spans="1:12" ht="22.5" customHeight="1">
      <c r="A100" s="147"/>
      <c r="B100" s="103" t="s">
        <v>677</v>
      </c>
      <c r="C100" s="80" t="s">
        <v>678</v>
      </c>
      <c r="D100" s="19"/>
      <c r="E100" s="19"/>
      <c r="F100" s="19">
        <v>3</v>
      </c>
      <c r="G100" s="19">
        <v>2</v>
      </c>
      <c r="H100" s="19"/>
      <c r="I100" s="19">
        <v>6</v>
      </c>
      <c r="J100" s="25"/>
      <c r="K100" s="24">
        <f t="shared" si="7"/>
        <v>11</v>
      </c>
      <c r="L100" s="35"/>
    </row>
    <row r="101" spans="1:12" ht="22.5">
      <c r="A101" s="147"/>
      <c r="B101" s="103" t="s">
        <v>679</v>
      </c>
      <c r="C101" s="80" t="s">
        <v>678</v>
      </c>
      <c r="D101" s="19"/>
      <c r="E101" s="19"/>
      <c r="F101" s="19"/>
      <c r="G101" s="19"/>
      <c r="H101" s="19"/>
      <c r="I101" s="19">
        <v>1</v>
      </c>
      <c r="J101" s="25"/>
      <c r="K101" s="24">
        <f t="shared" si="7"/>
        <v>1</v>
      </c>
      <c r="L101" s="35"/>
    </row>
    <row r="102" spans="1:12" ht="22.5">
      <c r="A102" s="147"/>
      <c r="B102" s="96" t="s">
        <v>680</v>
      </c>
      <c r="C102" s="80" t="s">
        <v>681</v>
      </c>
      <c r="D102" s="19"/>
      <c r="E102" s="19"/>
      <c r="F102" s="19"/>
      <c r="G102" s="19"/>
      <c r="H102" s="19"/>
      <c r="I102" s="19"/>
      <c r="J102" s="25"/>
      <c r="K102" s="24" t="str">
        <f t="shared" si="7"/>
        <v/>
      </c>
      <c r="L102" s="35"/>
    </row>
    <row r="103" spans="1:12" ht="22.5">
      <c r="A103" s="147"/>
      <c r="B103" s="96" t="s">
        <v>682</v>
      </c>
      <c r="C103" s="80" t="s">
        <v>681</v>
      </c>
      <c r="D103" s="19"/>
      <c r="E103" s="19"/>
      <c r="F103" s="19"/>
      <c r="G103" s="19"/>
      <c r="H103" s="19"/>
      <c r="I103" s="19"/>
      <c r="J103" s="25"/>
      <c r="K103" s="24" t="str">
        <f t="shared" ref="K103:K104" si="8">IF(AND(D103="",E103="",F103="",G103="",H103="",I103="",J103=""),"",SUM(D103:J103))</f>
        <v/>
      </c>
      <c r="L103" s="35"/>
    </row>
    <row r="104" spans="1:12" ht="22.5">
      <c r="A104" s="147"/>
      <c r="B104" s="103"/>
      <c r="C104" s="80" t="str">
        <f>IF(B104="","",VLOOKUP(B104,SMV!$B$6:$D$1037,2,FALSE))</f>
        <v/>
      </c>
      <c r="D104" s="19"/>
      <c r="E104" s="19"/>
      <c r="F104" s="19"/>
      <c r="G104" s="19"/>
      <c r="H104" s="19"/>
      <c r="I104" s="19"/>
      <c r="J104" s="25"/>
      <c r="K104" s="24" t="str">
        <f t="shared" si="8"/>
        <v/>
      </c>
      <c r="L104" s="35"/>
    </row>
    <row r="105" spans="1:12" ht="22.5">
      <c r="A105" s="147"/>
      <c r="B105" s="141" t="s">
        <v>683</v>
      </c>
      <c r="C105" s="145"/>
      <c r="D105" s="130">
        <f t="shared" ref="D105:I105" si="9">IF(AND(D84="",D85="",D86="",D87="",D97="",D98="",D99="",D100="",D101="",D102="",D103="",D104=""),"",SUM(D84:D104))</f>
        <v>15</v>
      </c>
      <c r="E105" s="130">
        <f t="shared" si="9"/>
        <v>11</v>
      </c>
      <c r="F105" s="130">
        <f t="shared" si="9"/>
        <v>18</v>
      </c>
      <c r="G105" s="130">
        <f>IF(AND(G84="",G85="",G86="",G87="",G97="",G98="",G99="",G100="",G101="",G102="",G103="",G104=""),"",SUM(G84:G104))</f>
        <v>19</v>
      </c>
      <c r="H105" s="130">
        <f t="shared" si="9"/>
        <v>16</v>
      </c>
      <c r="I105" s="130">
        <f t="shared" si="9"/>
        <v>28</v>
      </c>
      <c r="J105" s="23" t="str">
        <f>IF(AND(J84="",J85="",J86="",J87="",J97="",J98="",J104=""),"",SUM(J84:J104))</f>
        <v/>
      </c>
      <c r="K105" s="24">
        <f>IF(AND(K84="",K85="",K86="",K87="",K97="",K98="",K104=""),"",SUM(K84:K104))</f>
        <v>107</v>
      </c>
      <c r="L105" s="35"/>
    </row>
    <row r="106" spans="1:12" ht="22.5">
      <c r="A106" s="147"/>
      <c r="B106" s="166" t="s">
        <v>684</v>
      </c>
      <c r="C106" s="167"/>
      <c r="D106" s="45">
        <f>'DAILY SUMMARY'!F2</f>
        <v>267</v>
      </c>
      <c r="E106" s="45">
        <f>'DAILY SUMMARY'!F8</f>
        <v>143</v>
      </c>
      <c r="F106" s="45">
        <f>'DAILY SUMMARY'!F14</f>
        <v>258</v>
      </c>
      <c r="G106" s="45">
        <f>'DAILY SUMMARY'!F20</f>
        <v>283</v>
      </c>
      <c r="H106" s="45">
        <f>'DAILY SUMMARY'!F26</f>
        <v>268</v>
      </c>
      <c r="I106" s="45">
        <f>'DAILY SUMMARY'!F32</f>
        <v>508</v>
      </c>
      <c r="J106" s="45"/>
      <c r="K106" s="102">
        <f>SUM(D106:I106)</f>
        <v>1727</v>
      </c>
      <c r="L106" s="35"/>
    </row>
    <row r="107" spans="1:12" ht="22.5">
      <c r="A107" s="147"/>
      <c r="B107" s="141" t="s">
        <v>643</v>
      </c>
      <c r="C107" s="142"/>
      <c r="D107" s="187">
        <f>'DAILY SUMMARY'!F3</f>
        <v>252</v>
      </c>
      <c r="E107" s="45">
        <f>'DAILY SUMMARY'!F9</f>
        <v>132</v>
      </c>
      <c r="F107" s="45">
        <f>'DAILY SUMMARY'!F15</f>
        <v>240</v>
      </c>
      <c r="G107" s="45">
        <f>'DAILY SUMMARY'!F21</f>
        <v>264</v>
      </c>
      <c r="H107" s="45">
        <f>'DAILY SUMMARY'!F27</f>
        <v>252</v>
      </c>
      <c r="I107" s="45">
        <f>'DAILY SUMMARY'!F33</f>
        <v>480</v>
      </c>
      <c r="J107" s="45"/>
      <c r="K107" s="102">
        <f>SUM(D107:I107)</f>
        <v>1620</v>
      </c>
      <c r="L107" s="188"/>
    </row>
    <row r="108" spans="1:12" ht="22.5">
      <c r="A108" s="147"/>
      <c r="B108" s="141" t="s">
        <v>685</v>
      </c>
      <c r="C108" s="142"/>
      <c r="D108" s="124">
        <f>'DAILY SUMMARY'!F5</f>
        <v>5.6179775280898875E-2</v>
      </c>
      <c r="E108" s="124">
        <f>'DAILY SUMMARY'!F11</f>
        <v>7.6923076923076927E-2</v>
      </c>
      <c r="F108" s="124">
        <f>'DAILY SUMMARY'!F17</f>
        <v>6.9767441860465115E-2</v>
      </c>
      <c r="G108" s="124">
        <f>'DAILY SUMMARY'!F23</f>
        <v>6.7137809187279157E-2</v>
      </c>
      <c r="H108" s="124">
        <f>'DAILY SUMMARY'!F29</f>
        <v>5.9701492537313432E-2</v>
      </c>
      <c r="I108" s="124">
        <f>'DAILY SUMMARY'!F35</f>
        <v>5.5118110236220472E-2</v>
      </c>
      <c r="J108" s="124"/>
      <c r="K108" s="124">
        <f>AVERAGE(D108:I108)</f>
        <v>6.4137951004209007E-2</v>
      </c>
      <c r="L108" s="35"/>
    </row>
    <row r="109" spans="1:12" ht="23.25" thickBot="1">
      <c r="A109" s="148"/>
      <c r="B109" s="143" t="s">
        <v>699</v>
      </c>
      <c r="C109" s="144"/>
      <c r="D109" s="127">
        <f>'DAILY SUMMARY'!F6</f>
        <v>0.252525</v>
      </c>
      <c r="E109" s="127">
        <f>'DAILY SUMMARY'!F12</f>
        <v>0.11127750000000002</v>
      </c>
      <c r="F109" s="127">
        <f>'DAILY SUMMARY'!F18</f>
        <v>0.18438333333333332</v>
      </c>
      <c r="G109" s="127">
        <f>'DAILY SUMMARY'!F24</f>
        <v>0.22900319999999999</v>
      </c>
      <c r="H109" s="127">
        <f>'DAILY SUMMARY'!F30</f>
        <v>0.21551673076923075</v>
      </c>
      <c r="I109" s="127">
        <f>'DAILY SUMMARY'!F36</f>
        <v>0.31212499999999999</v>
      </c>
      <c r="J109" s="127"/>
      <c r="K109" s="127">
        <f>AVERAGE(D109:I109)</f>
        <v>0.21747179401709402</v>
      </c>
      <c r="L109" s="128"/>
    </row>
    <row r="110" spans="1:12" ht="22.5">
      <c r="A110" s="146" t="s">
        <v>709</v>
      </c>
      <c r="B110" s="105" t="s">
        <v>645</v>
      </c>
      <c r="C110" s="81" t="s">
        <v>646</v>
      </c>
      <c r="D110" s="20"/>
      <c r="E110" s="20">
        <v>3</v>
      </c>
      <c r="F110" s="20">
        <v>3</v>
      </c>
      <c r="G110" s="20"/>
      <c r="H110" s="20"/>
      <c r="I110" s="20">
        <v>4</v>
      </c>
      <c r="J110" s="125"/>
      <c r="K110" s="26">
        <f t="shared" ref="K110:K130" si="10">IF(AND(D110="",E110="",F110="",G110="",H110="",I110="",J110=""),"",SUM(D110:J110))</f>
        <v>10</v>
      </c>
      <c r="L110" s="126"/>
    </row>
    <row r="111" spans="1:12" ht="22.5">
      <c r="A111" s="147"/>
      <c r="B111" s="109" t="s">
        <v>647</v>
      </c>
      <c r="C111" s="80" t="s">
        <v>648</v>
      </c>
      <c r="D111" s="19"/>
      <c r="E111" s="19"/>
      <c r="F111" s="22"/>
      <c r="G111" s="22"/>
      <c r="H111" s="19">
        <v>2</v>
      </c>
      <c r="I111" s="19"/>
      <c r="J111" s="25"/>
      <c r="K111" s="24">
        <f t="shared" si="10"/>
        <v>2</v>
      </c>
      <c r="L111" s="35"/>
    </row>
    <row r="112" spans="1:12" ht="22.5">
      <c r="A112" s="147"/>
      <c r="B112" s="109" t="s">
        <v>649</v>
      </c>
      <c r="C112" s="80" t="s">
        <v>650</v>
      </c>
      <c r="D112" s="19">
        <v>16</v>
      </c>
      <c r="E112" s="19"/>
      <c r="F112" s="22"/>
      <c r="G112" s="22"/>
      <c r="H112" s="19">
        <v>3</v>
      </c>
      <c r="I112" s="19"/>
      <c r="J112" s="25"/>
      <c r="K112" s="24">
        <f t="shared" si="10"/>
        <v>19</v>
      </c>
      <c r="L112" s="35"/>
    </row>
    <row r="113" spans="1:12" ht="22.5">
      <c r="A113" s="147"/>
      <c r="B113" s="109" t="s">
        <v>651</v>
      </c>
      <c r="C113" s="80" t="s">
        <v>652</v>
      </c>
      <c r="D113" s="19"/>
      <c r="E113" s="19">
        <v>2</v>
      </c>
      <c r="F113" s="19">
        <v>3</v>
      </c>
      <c r="G113" s="19"/>
      <c r="H113" s="19">
        <v>2</v>
      </c>
      <c r="I113" s="19">
        <v>4</v>
      </c>
      <c r="J113" s="25"/>
      <c r="K113" s="24">
        <f t="shared" si="10"/>
        <v>11</v>
      </c>
      <c r="L113" s="35"/>
    </row>
    <row r="114" spans="1:12" ht="22.5">
      <c r="A114" s="147"/>
      <c r="B114" s="109" t="s">
        <v>653</v>
      </c>
      <c r="C114" s="80" t="s">
        <v>654</v>
      </c>
      <c r="D114" s="19"/>
      <c r="E114" s="19">
        <v>1</v>
      </c>
      <c r="F114" s="19">
        <v>1</v>
      </c>
      <c r="G114" s="19">
        <v>4</v>
      </c>
      <c r="H114" s="19"/>
      <c r="I114" s="19">
        <v>2</v>
      </c>
      <c r="J114" s="25"/>
      <c r="K114" s="24">
        <f t="shared" si="10"/>
        <v>8</v>
      </c>
      <c r="L114" s="35"/>
    </row>
    <row r="115" spans="1:12" ht="22.5">
      <c r="A115" s="147"/>
      <c r="B115" s="109" t="s">
        <v>655</v>
      </c>
      <c r="C115" s="80" t="s">
        <v>656</v>
      </c>
      <c r="D115" s="19">
        <v>5</v>
      </c>
      <c r="E115" s="19">
        <v>2</v>
      </c>
      <c r="F115" s="19"/>
      <c r="G115" s="19"/>
      <c r="H115" s="19"/>
      <c r="I115" s="19">
        <v>3</v>
      </c>
      <c r="J115" s="25"/>
      <c r="K115" s="24">
        <f t="shared" si="10"/>
        <v>10</v>
      </c>
      <c r="L115" s="35"/>
    </row>
    <row r="116" spans="1:12" ht="22.5">
      <c r="A116" s="147"/>
      <c r="B116" s="109" t="s">
        <v>657</v>
      </c>
      <c r="C116" s="80" t="s">
        <v>658</v>
      </c>
      <c r="D116" s="19"/>
      <c r="E116" s="19"/>
      <c r="F116" s="19"/>
      <c r="G116" s="19"/>
      <c r="H116" s="19">
        <v>4</v>
      </c>
      <c r="I116" s="19"/>
      <c r="J116" s="25"/>
      <c r="K116" s="24">
        <f t="shared" si="10"/>
        <v>4</v>
      </c>
      <c r="L116" s="35"/>
    </row>
    <row r="117" spans="1:12" ht="22.5">
      <c r="A117" s="147"/>
      <c r="B117" s="109" t="s">
        <v>659</v>
      </c>
      <c r="C117" s="80" t="s">
        <v>660</v>
      </c>
      <c r="D117" s="19">
        <v>6</v>
      </c>
      <c r="E117" s="19">
        <v>3</v>
      </c>
      <c r="F117" s="19"/>
      <c r="G117" s="19"/>
      <c r="H117" s="19">
        <v>4</v>
      </c>
      <c r="I117" s="19"/>
      <c r="J117" s="25"/>
      <c r="K117" s="24">
        <f t="shared" si="10"/>
        <v>13</v>
      </c>
      <c r="L117" s="35"/>
    </row>
    <row r="118" spans="1:12" ht="22.5">
      <c r="A118" s="147"/>
      <c r="B118" s="109" t="s">
        <v>661</v>
      </c>
      <c r="C118" s="80" t="s">
        <v>662</v>
      </c>
      <c r="D118" s="19"/>
      <c r="E118" s="19">
        <v>2</v>
      </c>
      <c r="F118" s="19">
        <v>1</v>
      </c>
      <c r="G118" s="19"/>
      <c r="H118" s="19">
        <v>2</v>
      </c>
      <c r="I118" s="19">
        <v>1</v>
      </c>
      <c r="J118" s="25"/>
      <c r="K118" s="24">
        <f t="shared" si="10"/>
        <v>6</v>
      </c>
      <c r="L118" s="35"/>
    </row>
    <row r="119" spans="1:12" ht="22.5">
      <c r="A119" s="147"/>
      <c r="B119" s="109" t="s">
        <v>663</v>
      </c>
      <c r="C119" s="80" t="s">
        <v>664</v>
      </c>
      <c r="D119" s="19"/>
      <c r="E119" s="19">
        <v>1</v>
      </c>
      <c r="F119" s="19">
        <v>1</v>
      </c>
      <c r="G119" s="19"/>
      <c r="H119" s="19">
        <v>5</v>
      </c>
      <c r="I119" s="19">
        <v>1</v>
      </c>
      <c r="J119" s="25"/>
      <c r="K119" s="24">
        <f t="shared" si="10"/>
        <v>8</v>
      </c>
      <c r="L119" s="35"/>
    </row>
    <row r="120" spans="1:12" ht="22.5">
      <c r="A120" s="147"/>
      <c r="B120" s="109" t="s">
        <v>665</v>
      </c>
      <c r="C120" s="80" t="s">
        <v>666</v>
      </c>
      <c r="D120" s="19"/>
      <c r="E120" s="19"/>
      <c r="F120" s="19"/>
      <c r="G120" s="19"/>
      <c r="H120" s="19"/>
      <c r="I120" s="19"/>
      <c r="J120" s="25"/>
      <c r="K120" s="24" t="str">
        <f t="shared" si="10"/>
        <v/>
      </c>
      <c r="L120" s="35"/>
    </row>
    <row r="121" spans="1:12" ht="22.5">
      <c r="A121" s="147"/>
      <c r="B121" s="109" t="s">
        <v>667</v>
      </c>
      <c r="C121" s="80" t="s">
        <v>668</v>
      </c>
      <c r="D121" s="19"/>
      <c r="E121" s="19"/>
      <c r="F121" s="19"/>
      <c r="G121" s="19">
        <v>4</v>
      </c>
      <c r="H121" s="19"/>
      <c r="I121" s="19"/>
      <c r="J121" s="25"/>
      <c r="K121" s="24">
        <f t="shared" si="10"/>
        <v>4</v>
      </c>
      <c r="L121" s="35"/>
    </row>
    <row r="122" spans="1:12" ht="22.5">
      <c r="A122" s="147"/>
      <c r="B122" s="109" t="s">
        <v>669</v>
      </c>
      <c r="C122" s="80" t="s">
        <v>670</v>
      </c>
      <c r="D122" s="19"/>
      <c r="E122" s="19"/>
      <c r="F122" s="19">
        <v>3</v>
      </c>
      <c r="G122" s="19"/>
      <c r="H122" s="19"/>
      <c r="I122" s="19">
        <v>3</v>
      </c>
      <c r="J122" s="25"/>
      <c r="K122" s="24">
        <f t="shared" si="10"/>
        <v>6</v>
      </c>
      <c r="L122" s="35"/>
    </row>
    <row r="123" spans="1:12" ht="22.5">
      <c r="A123" s="147"/>
      <c r="B123" s="103" t="s">
        <v>671</v>
      </c>
      <c r="C123" s="80" t="s">
        <v>672</v>
      </c>
      <c r="D123" s="19"/>
      <c r="E123" s="19"/>
      <c r="F123" s="19"/>
      <c r="G123" s="19"/>
      <c r="H123" s="19"/>
      <c r="I123" s="19"/>
      <c r="J123" s="25"/>
      <c r="K123" s="24" t="str">
        <f t="shared" si="10"/>
        <v/>
      </c>
      <c r="L123" s="35"/>
    </row>
    <row r="124" spans="1:12" ht="22.5">
      <c r="A124" s="147"/>
      <c r="B124" s="103" t="s">
        <v>673</v>
      </c>
      <c r="C124" s="80" t="s">
        <v>674</v>
      </c>
      <c r="D124" s="19">
        <v>4</v>
      </c>
      <c r="E124" s="19">
        <v>2</v>
      </c>
      <c r="F124" s="19"/>
      <c r="G124" s="19">
        <v>4</v>
      </c>
      <c r="H124" s="19">
        <v>1</v>
      </c>
      <c r="I124" s="19">
        <v>3</v>
      </c>
      <c r="J124" s="25"/>
      <c r="K124" s="24">
        <f t="shared" si="10"/>
        <v>14</v>
      </c>
      <c r="L124" s="35"/>
    </row>
    <row r="125" spans="1:12" ht="22.5">
      <c r="A125" s="147"/>
      <c r="B125" s="96" t="s">
        <v>675</v>
      </c>
      <c r="C125" s="80" t="s">
        <v>676</v>
      </c>
      <c r="D125" s="19">
        <v>3</v>
      </c>
      <c r="E125" s="19">
        <v>2</v>
      </c>
      <c r="F125" s="19"/>
      <c r="G125" s="19"/>
      <c r="H125" s="19"/>
      <c r="I125" s="19">
        <v>2</v>
      </c>
      <c r="J125" s="25"/>
      <c r="K125" s="24">
        <f t="shared" si="10"/>
        <v>7</v>
      </c>
      <c r="L125" s="35"/>
    </row>
    <row r="126" spans="1:12" ht="22.5">
      <c r="A126" s="147"/>
      <c r="B126" s="103" t="s">
        <v>677</v>
      </c>
      <c r="C126" s="80" t="s">
        <v>678</v>
      </c>
      <c r="D126" s="19">
        <v>18</v>
      </c>
      <c r="E126" s="19">
        <v>2</v>
      </c>
      <c r="F126" s="19">
        <v>6</v>
      </c>
      <c r="G126" s="19"/>
      <c r="H126" s="19">
        <v>5</v>
      </c>
      <c r="I126" s="19">
        <v>1</v>
      </c>
      <c r="J126" s="25"/>
      <c r="K126" s="24">
        <f t="shared" si="10"/>
        <v>32</v>
      </c>
      <c r="L126" s="35"/>
    </row>
    <row r="127" spans="1:12" ht="22.5">
      <c r="A127" s="147"/>
      <c r="B127" s="103" t="s">
        <v>679</v>
      </c>
      <c r="C127" s="80" t="s">
        <v>678</v>
      </c>
      <c r="D127" s="19">
        <v>12</v>
      </c>
      <c r="E127" s="19"/>
      <c r="F127" s="19"/>
      <c r="G127" s="19">
        <v>3</v>
      </c>
      <c r="H127" s="19"/>
      <c r="I127" s="19"/>
      <c r="J127" s="25"/>
      <c r="K127" s="24">
        <f t="shared" si="10"/>
        <v>15</v>
      </c>
      <c r="L127" s="35"/>
    </row>
    <row r="128" spans="1:12" ht="22.5">
      <c r="A128" s="147"/>
      <c r="B128" s="96" t="s">
        <v>680</v>
      </c>
      <c r="C128" s="80" t="s">
        <v>681</v>
      </c>
      <c r="D128" s="19">
        <v>2</v>
      </c>
      <c r="E128" s="19"/>
      <c r="F128" s="19"/>
      <c r="G128" s="19"/>
      <c r="H128" s="19"/>
      <c r="I128" s="19"/>
      <c r="J128" s="25"/>
      <c r="K128" s="24">
        <f t="shared" si="10"/>
        <v>2</v>
      </c>
      <c r="L128" s="35"/>
    </row>
    <row r="129" spans="1:12" ht="22.5">
      <c r="A129" s="147"/>
      <c r="B129" s="96" t="s">
        <v>682</v>
      </c>
      <c r="C129" s="80" t="s">
        <v>681</v>
      </c>
      <c r="D129" s="19"/>
      <c r="E129" s="19"/>
      <c r="F129" s="19"/>
      <c r="G129" s="19"/>
      <c r="H129" s="19"/>
      <c r="I129" s="19"/>
      <c r="J129" s="25"/>
      <c r="K129" s="24" t="str">
        <f t="shared" si="10"/>
        <v/>
      </c>
      <c r="L129" s="35"/>
    </row>
    <row r="130" spans="1:12" ht="22.5">
      <c r="A130" s="147"/>
      <c r="B130" s="103"/>
      <c r="C130" s="80" t="str">
        <f>IF(B130="","",VLOOKUP(B130,SMV!$B$6:$D$1037,2,FALSE))</f>
        <v/>
      </c>
      <c r="D130" s="19"/>
      <c r="E130" s="19"/>
      <c r="F130" s="19"/>
      <c r="G130" s="19"/>
      <c r="H130" s="19"/>
      <c r="I130" s="19"/>
      <c r="J130" s="25"/>
      <c r="K130" s="24" t="str">
        <f t="shared" si="10"/>
        <v/>
      </c>
      <c r="L130" s="35"/>
    </row>
    <row r="131" spans="1:12" ht="22.5">
      <c r="A131" s="147"/>
      <c r="B131" s="141" t="s">
        <v>683</v>
      </c>
      <c r="C131" s="145"/>
      <c r="D131" s="130">
        <f t="shared" ref="D131:I131" si="11">IF(AND(D110="",D111="",D112="",D113="",D123="",D124="",D125="",D126="",D127="",D128="",D129="",D130=""),"",SUM(D110:D130))</f>
        <v>66</v>
      </c>
      <c r="E131" s="130">
        <f t="shared" si="11"/>
        <v>20</v>
      </c>
      <c r="F131" s="130">
        <f t="shared" si="11"/>
        <v>18</v>
      </c>
      <c r="G131" s="130">
        <f t="shared" si="11"/>
        <v>15</v>
      </c>
      <c r="H131" s="130">
        <f t="shared" si="11"/>
        <v>28</v>
      </c>
      <c r="I131" s="130">
        <f t="shared" si="11"/>
        <v>24</v>
      </c>
      <c r="J131" s="23" t="str">
        <f>IF(AND(J110="",J111="",J112="",J113="",J123="",J124="",J130=""),"",SUM(J110:J130))</f>
        <v/>
      </c>
      <c r="K131" s="24">
        <f>IF(AND(K110="",K111="",K112="",K113="",K123="",K124="",K130=""),"",SUM(K110:K130))</f>
        <v>171</v>
      </c>
      <c r="L131" s="35"/>
    </row>
    <row r="132" spans="1:12" ht="22.5">
      <c r="A132" s="147"/>
      <c r="B132" s="166" t="s">
        <v>684</v>
      </c>
      <c r="C132" s="167"/>
      <c r="D132" s="45">
        <f>'DAILY SUMMARY'!G2</f>
        <v>1002</v>
      </c>
      <c r="E132" s="45">
        <f>'DAILY SUMMARY'!G8</f>
        <v>884</v>
      </c>
      <c r="F132" s="45">
        <f>'DAILY SUMMARY'!G14</f>
        <v>882</v>
      </c>
      <c r="G132" s="45">
        <f>'DAILY SUMMARY'!G20</f>
        <v>879</v>
      </c>
      <c r="H132" s="45">
        <f>'DAILY SUMMARY'!G26</f>
        <v>820</v>
      </c>
      <c r="I132" s="45">
        <f>'DAILY SUMMARY'!G32</f>
        <v>744</v>
      </c>
      <c r="J132" s="45"/>
      <c r="K132" s="102">
        <f>SUM(D132:I132)</f>
        <v>5211</v>
      </c>
      <c r="L132" s="35"/>
    </row>
    <row r="133" spans="1:12" ht="22.5">
      <c r="A133" s="147"/>
      <c r="B133" s="141" t="s">
        <v>643</v>
      </c>
      <c r="C133" s="142"/>
      <c r="D133" s="187">
        <f>'DAILY SUMMARY'!G3</f>
        <v>936</v>
      </c>
      <c r="E133" s="45">
        <f>'DAILY SUMMARY'!G9</f>
        <v>864</v>
      </c>
      <c r="F133" s="45">
        <f>'DAILY SUMMARY'!G15</f>
        <v>864</v>
      </c>
      <c r="G133" s="45">
        <f>'DAILY SUMMARY'!G21</f>
        <v>864</v>
      </c>
      <c r="H133" s="45">
        <f>'DAILY SUMMARY'!G27</f>
        <v>792</v>
      </c>
      <c r="I133" s="45">
        <f>'DAILY SUMMARY'!G33</f>
        <v>720</v>
      </c>
      <c r="J133" s="45"/>
      <c r="K133" s="102">
        <f>SUM(D133:I133)</f>
        <v>5040</v>
      </c>
      <c r="L133" s="35"/>
    </row>
    <row r="134" spans="1:12" ht="22.5">
      <c r="A134" s="147"/>
      <c r="B134" s="141" t="s">
        <v>685</v>
      </c>
      <c r="C134" s="142"/>
      <c r="D134" s="124">
        <f>'DAILY SUMMARY'!G5</f>
        <v>6.5868263473053898E-2</v>
      </c>
      <c r="E134" s="124">
        <f>'DAILY SUMMARY'!G11</f>
        <v>2.2624434389140271E-2</v>
      </c>
      <c r="F134" s="124">
        <f>'DAILY SUMMARY'!G17</f>
        <v>2.0408163265306121E-2</v>
      </c>
      <c r="G134" s="124">
        <f>'DAILY SUMMARY'!G23</f>
        <v>1.7064846416382253E-2</v>
      </c>
      <c r="H134" s="124">
        <f>'DAILY SUMMARY'!G29</f>
        <v>3.4146341463414637E-2</v>
      </c>
      <c r="I134" s="124">
        <f>'DAILY SUMMARY'!G35</f>
        <v>3.2258064516129031E-2</v>
      </c>
      <c r="J134" s="124"/>
      <c r="K134" s="124">
        <f>AVERAGE(D134:I134)</f>
        <v>3.2061685587237702E-2</v>
      </c>
      <c r="L134" s="35"/>
    </row>
    <row r="135" spans="1:12" ht="23.25" thickBot="1">
      <c r="A135" s="148"/>
      <c r="B135" s="143" t="s">
        <v>699</v>
      </c>
      <c r="C135" s="144"/>
      <c r="D135" s="127">
        <f>'DAILY SUMMARY'!G6</f>
        <v>0.375</v>
      </c>
      <c r="E135" s="127">
        <f>'DAILY SUMMARY'!G12</f>
        <v>0.32680555555555552</v>
      </c>
      <c r="F135" s="127">
        <f>'DAILY SUMMARY'!G18</f>
        <v>0.3605839416058394</v>
      </c>
      <c r="G135" s="127">
        <f>'DAILY SUMMARY'!G24</f>
        <v>0.53463529411764699</v>
      </c>
      <c r="H135" s="127">
        <f>'DAILY SUMMARY'!G30</f>
        <v>0.46285555555555558</v>
      </c>
      <c r="I135" s="127">
        <f>'DAILY SUMMARY'!G36</f>
        <v>0.42077777777777775</v>
      </c>
      <c r="J135" s="127"/>
      <c r="K135" s="127">
        <f>AVERAGE(D135:I135)</f>
        <v>0.41344302076872924</v>
      </c>
      <c r="L135" s="128"/>
    </row>
    <row r="136" spans="1:12" ht="22.5">
      <c r="A136" s="154" t="s">
        <v>710</v>
      </c>
      <c r="B136" s="105" t="s">
        <v>645</v>
      </c>
      <c r="C136" s="81" t="s">
        <v>646</v>
      </c>
      <c r="D136" s="20"/>
      <c r="E136" s="20"/>
      <c r="F136" s="20"/>
      <c r="G136" s="20">
        <v>3</v>
      </c>
      <c r="H136" s="20"/>
      <c r="I136" s="20">
        <v>2</v>
      </c>
      <c r="J136" s="125"/>
      <c r="K136" s="26">
        <f t="shared" ref="K136:K156" si="12">IF(AND(D136="",E136="",F136="",G136="",H136="",I136="",J136=""),"",SUM(D136:J136))</f>
        <v>5</v>
      </c>
      <c r="L136" s="126"/>
    </row>
    <row r="137" spans="1:12" ht="22.5">
      <c r="A137" s="155"/>
      <c r="B137" s="109" t="s">
        <v>647</v>
      </c>
      <c r="C137" s="80" t="s">
        <v>648</v>
      </c>
      <c r="D137" s="19"/>
      <c r="E137" s="19"/>
      <c r="F137" s="22"/>
      <c r="G137" s="22"/>
      <c r="H137" s="19"/>
      <c r="I137" s="19"/>
      <c r="J137" s="25"/>
      <c r="K137" s="24" t="str">
        <f t="shared" si="12"/>
        <v/>
      </c>
      <c r="L137" s="35"/>
    </row>
    <row r="138" spans="1:12" ht="22.5">
      <c r="A138" s="155"/>
      <c r="B138" s="109" t="s">
        <v>649</v>
      </c>
      <c r="C138" s="80" t="s">
        <v>650</v>
      </c>
      <c r="D138" s="19">
        <v>3</v>
      </c>
      <c r="E138" s="19"/>
      <c r="F138" s="22"/>
      <c r="G138" s="22"/>
      <c r="H138" s="19">
        <v>1</v>
      </c>
      <c r="I138" s="19"/>
      <c r="J138" s="25"/>
      <c r="K138" s="24">
        <f t="shared" si="12"/>
        <v>4</v>
      </c>
      <c r="L138" s="35"/>
    </row>
    <row r="139" spans="1:12" ht="22.5">
      <c r="A139" s="155"/>
      <c r="B139" s="109" t="s">
        <v>651</v>
      </c>
      <c r="C139" s="80" t="s">
        <v>652</v>
      </c>
      <c r="D139" s="19">
        <v>2</v>
      </c>
      <c r="E139" s="19"/>
      <c r="F139" s="19">
        <v>1</v>
      </c>
      <c r="G139" s="19">
        <v>2</v>
      </c>
      <c r="H139" s="19"/>
      <c r="I139" s="19"/>
      <c r="J139" s="25"/>
      <c r="K139" s="24">
        <f t="shared" si="12"/>
        <v>5</v>
      </c>
      <c r="L139" s="35"/>
    </row>
    <row r="140" spans="1:12" ht="22.5">
      <c r="A140" s="155"/>
      <c r="B140" s="109" t="s">
        <v>653</v>
      </c>
      <c r="C140" s="80" t="s">
        <v>654</v>
      </c>
      <c r="D140" s="19"/>
      <c r="E140" s="19">
        <v>1</v>
      </c>
      <c r="F140" s="19"/>
      <c r="G140" s="19"/>
      <c r="H140" s="19"/>
      <c r="I140" s="19"/>
      <c r="J140" s="25"/>
      <c r="K140" s="24">
        <f t="shared" si="12"/>
        <v>1</v>
      </c>
      <c r="L140" s="35"/>
    </row>
    <row r="141" spans="1:12" ht="22.5">
      <c r="A141" s="155"/>
      <c r="B141" s="109" t="s">
        <v>655</v>
      </c>
      <c r="C141" s="80" t="s">
        <v>656</v>
      </c>
      <c r="D141" s="19"/>
      <c r="E141" s="19"/>
      <c r="F141" s="19">
        <v>2</v>
      </c>
      <c r="G141" s="19"/>
      <c r="H141" s="19">
        <v>1</v>
      </c>
      <c r="I141" s="19">
        <v>3</v>
      </c>
      <c r="J141" s="25"/>
      <c r="K141" s="24">
        <f t="shared" si="12"/>
        <v>6</v>
      </c>
      <c r="L141" s="35"/>
    </row>
    <row r="142" spans="1:12" ht="22.5">
      <c r="A142" s="155"/>
      <c r="B142" s="109" t="s">
        <v>657</v>
      </c>
      <c r="C142" s="80" t="s">
        <v>658</v>
      </c>
      <c r="D142" s="19"/>
      <c r="E142" s="19"/>
      <c r="F142" s="19"/>
      <c r="G142" s="19"/>
      <c r="H142" s="19"/>
      <c r="I142" s="19">
        <v>1</v>
      </c>
      <c r="J142" s="25"/>
      <c r="K142" s="24">
        <f t="shared" si="12"/>
        <v>1</v>
      </c>
      <c r="L142" s="35"/>
    </row>
    <row r="143" spans="1:12" ht="22.5">
      <c r="A143" s="155"/>
      <c r="B143" s="109" t="s">
        <v>659</v>
      </c>
      <c r="C143" s="80" t="s">
        <v>660</v>
      </c>
      <c r="D143" s="19">
        <v>4</v>
      </c>
      <c r="E143" s="19"/>
      <c r="F143" s="19">
        <v>1</v>
      </c>
      <c r="G143" s="19"/>
      <c r="H143" s="19">
        <v>1</v>
      </c>
      <c r="I143" s="19"/>
      <c r="J143" s="25"/>
      <c r="K143" s="24">
        <f t="shared" si="12"/>
        <v>6</v>
      </c>
      <c r="L143" s="35"/>
    </row>
    <row r="144" spans="1:12" ht="22.5">
      <c r="A144" s="155"/>
      <c r="B144" s="109" t="s">
        <v>661</v>
      </c>
      <c r="C144" s="80" t="s">
        <v>662</v>
      </c>
      <c r="D144" s="19"/>
      <c r="E144" s="19"/>
      <c r="F144" s="19"/>
      <c r="G144" s="19"/>
      <c r="H144" s="19"/>
      <c r="I144" s="19"/>
      <c r="J144" s="25"/>
      <c r="K144" s="24" t="str">
        <f t="shared" si="12"/>
        <v/>
      </c>
      <c r="L144" s="35"/>
    </row>
    <row r="145" spans="1:12" ht="22.5">
      <c r="A145" s="155"/>
      <c r="B145" s="109" t="s">
        <v>663</v>
      </c>
      <c r="C145" s="80" t="s">
        <v>664</v>
      </c>
      <c r="D145" s="19"/>
      <c r="E145" s="19">
        <v>1</v>
      </c>
      <c r="F145" s="19"/>
      <c r="G145" s="19">
        <v>2</v>
      </c>
      <c r="H145" s="19"/>
      <c r="I145" s="19"/>
      <c r="J145" s="25"/>
      <c r="K145" s="24">
        <f t="shared" si="12"/>
        <v>3</v>
      </c>
      <c r="L145" s="35"/>
    </row>
    <row r="146" spans="1:12" ht="22.5">
      <c r="A146" s="155"/>
      <c r="B146" s="109" t="s">
        <v>665</v>
      </c>
      <c r="C146" s="80" t="s">
        <v>666</v>
      </c>
      <c r="D146" s="19"/>
      <c r="E146" s="19"/>
      <c r="F146" s="19"/>
      <c r="G146" s="19"/>
      <c r="H146" s="19"/>
      <c r="I146" s="19"/>
      <c r="J146" s="25"/>
      <c r="K146" s="24" t="str">
        <f t="shared" si="12"/>
        <v/>
      </c>
      <c r="L146" s="35"/>
    </row>
    <row r="147" spans="1:12" ht="22.5">
      <c r="A147" s="155"/>
      <c r="B147" s="109" t="s">
        <v>667</v>
      </c>
      <c r="C147" s="80" t="s">
        <v>668</v>
      </c>
      <c r="D147" s="19">
        <v>5</v>
      </c>
      <c r="E147" s="19"/>
      <c r="F147" s="19"/>
      <c r="G147" s="19"/>
      <c r="H147" s="19">
        <v>2</v>
      </c>
      <c r="I147" s="19"/>
      <c r="J147" s="25"/>
      <c r="K147" s="24">
        <f t="shared" si="12"/>
        <v>7</v>
      </c>
      <c r="L147" s="35"/>
    </row>
    <row r="148" spans="1:12" ht="22.5">
      <c r="A148" s="155"/>
      <c r="B148" s="109" t="s">
        <v>669</v>
      </c>
      <c r="C148" s="80" t="s">
        <v>670</v>
      </c>
      <c r="D148" s="19">
        <v>2</v>
      </c>
      <c r="E148" s="19"/>
      <c r="F148" s="19"/>
      <c r="G148" s="19"/>
      <c r="H148" s="19"/>
      <c r="I148" s="19">
        <v>1</v>
      </c>
      <c r="J148" s="25"/>
      <c r="K148" s="24">
        <f t="shared" si="12"/>
        <v>3</v>
      </c>
      <c r="L148" s="35"/>
    </row>
    <row r="149" spans="1:12" ht="22.5">
      <c r="A149" s="155"/>
      <c r="B149" s="103" t="s">
        <v>671</v>
      </c>
      <c r="C149" s="80" t="s">
        <v>672</v>
      </c>
      <c r="D149" s="19"/>
      <c r="E149" s="19"/>
      <c r="F149" s="19"/>
      <c r="G149" s="19"/>
      <c r="H149" s="19"/>
      <c r="I149" s="19"/>
      <c r="J149" s="25"/>
      <c r="K149" s="24" t="str">
        <f t="shared" si="12"/>
        <v/>
      </c>
      <c r="L149" s="35"/>
    </row>
    <row r="150" spans="1:12" ht="22.5">
      <c r="A150" s="155"/>
      <c r="B150" s="103" t="s">
        <v>673</v>
      </c>
      <c r="C150" s="80" t="s">
        <v>674</v>
      </c>
      <c r="D150" s="19">
        <v>4</v>
      </c>
      <c r="E150" s="19">
        <v>2</v>
      </c>
      <c r="F150" s="19"/>
      <c r="G150" s="19">
        <v>1</v>
      </c>
      <c r="H150" s="19">
        <v>2</v>
      </c>
      <c r="I150" s="19">
        <v>1</v>
      </c>
      <c r="J150" s="25"/>
      <c r="K150" s="24">
        <f t="shared" si="12"/>
        <v>10</v>
      </c>
      <c r="L150" s="35"/>
    </row>
    <row r="151" spans="1:12" ht="22.5">
      <c r="A151" s="155"/>
      <c r="B151" s="96" t="s">
        <v>675</v>
      </c>
      <c r="C151" s="80" t="s">
        <v>676</v>
      </c>
      <c r="D151" s="19"/>
      <c r="E151" s="19">
        <v>2</v>
      </c>
      <c r="F151" s="19">
        <v>2</v>
      </c>
      <c r="G151" s="19"/>
      <c r="H151" s="19"/>
      <c r="I151" s="19"/>
      <c r="J151" s="25"/>
      <c r="K151" s="24">
        <f t="shared" si="12"/>
        <v>4</v>
      </c>
      <c r="L151" s="35"/>
    </row>
    <row r="152" spans="1:12" ht="22.5">
      <c r="A152" s="155"/>
      <c r="B152" s="103" t="s">
        <v>677</v>
      </c>
      <c r="C152" s="80" t="s">
        <v>678</v>
      </c>
      <c r="D152" s="19"/>
      <c r="E152" s="19"/>
      <c r="F152" s="19"/>
      <c r="G152" s="19"/>
      <c r="H152" s="19"/>
      <c r="I152" s="19"/>
      <c r="J152" s="25"/>
      <c r="K152" s="24" t="str">
        <f t="shared" si="12"/>
        <v/>
      </c>
      <c r="L152" s="35"/>
    </row>
    <row r="153" spans="1:12" ht="22.5">
      <c r="A153" s="155"/>
      <c r="B153" s="103" t="s">
        <v>679</v>
      </c>
      <c r="C153" s="80" t="s">
        <v>678</v>
      </c>
      <c r="D153" s="19">
        <v>2</v>
      </c>
      <c r="E153" s="19"/>
      <c r="F153" s="19"/>
      <c r="G153" s="19"/>
      <c r="H153" s="19">
        <v>1</v>
      </c>
      <c r="I153" s="19">
        <v>1</v>
      </c>
      <c r="J153" s="25"/>
      <c r="K153" s="24">
        <f t="shared" si="12"/>
        <v>4</v>
      </c>
      <c r="L153" s="35"/>
    </row>
    <row r="154" spans="1:12" ht="22.5">
      <c r="A154" s="155"/>
      <c r="B154" s="96" t="s">
        <v>680</v>
      </c>
      <c r="C154" s="80" t="s">
        <v>681</v>
      </c>
      <c r="D154" s="19"/>
      <c r="E154" s="19"/>
      <c r="F154" s="19"/>
      <c r="G154" s="19"/>
      <c r="H154" s="19"/>
      <c r="I154" s="19"/>
      <c r="J154" s="25"/>
      <c r="K154" s="24" t="str">
        <f t="shared" si="12"/>
        <v/>
      </c>
      <c r="L154" s="35"/>
    </row>
    <row r="155" spans="1:12" ht="22.5">
      <c r="A155" s="155"/>
      <c r="B155" s="96" t="s">
        <v>682</v>
      </c>
      <c r="C155" s="80" t="s">
        <v>681</v>
      </c>
      <c r="D155" s="19"/>
      <c r="E155" s="19"/>
      <c r="F155" s="19"/>
      <c r="G155" s="19"/>
      <c r="H155" s="19"/>
      <c r="I155" s="19"/>
      <c r="J155" s="25"/>
      <c r="K155" s="24" t="str">
        <f t="shared" si="12"/>
        <v/>
      </c>
      <c r="L155" s="35"/>
    </row>
    <row r="156" spans="1:12" ht="22.5">
      <c r="A156" s="155"/>
      <c r="B156" s="103"/>
      <c r="C156" s="80" t="str">
        <f>IF(B156="","",VLOOKUP(B156,SMV!$B$6:$D$1037,2,FALSE))</f>
        <v/>
      </c>
      <c r="D156" s="19"/>
      <c r="E156" s="19"/>
      <c r="F156" s="19"/>
      <c r="G156" s="19"/>
      <c r="H156" s="19"/>
      <c r="I156" s="19"/>
      <c r="J156" s="25"/>
      <c r="K156" s="24" t="str">
        <f t="shared" si="12"/>
        <v/>
      </c>
      <c r="L156" s="35"/>
    </row>
    <row r="157" spans="1:12" ht="22.5">
      <c r="A157" s="155"/>
      <c r="B157" s="149" t="s">
        <v>683</v>
      </c>
      <c r="C157" s="150"/>
      <c r="D157" s="130">
        <f t="shared" ref="D157:I157" si="13">IF(AND(D136="",D137="",D138="",D139="",D149="",D150="",D151="",D152="",D153="",D154="",D155="",D156=""),"",SUM(D136:D156))</f>
        <v>22</v>
      </c>
      <c r="E157" s="130">
        <f t="shared" si="13"/>
        <v>6</v>
      </c>
      <c r="F157" s="130">
        <f t="shared" si="13"/>
        <v>6</v>
      </c>
      <c r="G157" s="130">
        <f t="shared" si="13"/>
        <v>8</v>
      </c>
      <c r="H157" s="130">
        <f t="shared" si="13"/>
        <v>8</v>
      </c>
      <c r="I157" s="130">
        <f t="shared" si="13"/>
        <v>9</v>
      </c>
      <c r="J157" s="23" t="str">
        <f>IF(AND(J136="",J137="",J138="",J139="",J149="",J150="",J156=""),"",SUM(J136:J156))</f>
        <v/>
      </c>
      <c r="K157" s="24">
        <f>IF(AND(K136="",K137="",K138="",K139="",K149="",K150="",K156=""),"",SUM(K136:K156))</f>
        <v>59</v>
      </c>
      <c r="L157" s="35"/>
    </row>
    <row r="158" spans="1:12" ht="22.5">
      <c r="A158" s="155"/>
      <c r="B158" s="166" t="s">
        <v>684</v>
      </c>
      <c r="C158" s="167"/>
      <c r="D158" s="45">
        <f>'DAILY SUMMARY'!H2</f>
        <v>346</v>
      </c>
      <c r="E158" s="45">
        <f>'DAILY SUMMARY'!H8</f>
        <v>114</v>
      </c>
      <c r="F158" s="45">
        <f>'DAILY SUMMARY'!H14</f>
        <v>90</v>
      </c>
      <c r="G158" s="45">
        <f>'DAILY SUMMARY'!H20</f>
        <v>104</v>
      </c>
      <c r="H158" s="45">
        <f>'DAILY SUMMARY'!H26</f>
        <v>104</v>
      </c>
      <c r="I158" s="45">
        <f>'DAILY SUMMARY'!H32</f>
        <v>117</v>
      </c>
      <c r="J158" s="45"/>
      <c r="K158" s="102">
        <f>SUM(D158:I158)</f>
        <v>875</v>
      </c>
      <c r="L158" s="35"/>
    </row>
    <row r="159" spans="1:12" ht="22.5">
      <c r="A159" s="155"/>
      <c r="B159" s="149" t="s">
        <v>643</v>
      </c>
      <c r="C159" s="151"/>
      <c r="D159" s="187">
        <f>'DAILY SUMMARY'!H3</f>
        <v>324</v>
      </c>
      <c r="E159" s="45">
        <f>'DAILY SUMMARY'!H9</f>
        <v>108</v>
      </c>
      <c r="F159" s="45">
        <f>'DAILY SUMMARY'!H15</f>
        <v>84</v>
      </c>
      <c r="G159" s="45">
        <f>'DAILY SUMMARY'!H21</f>
        <v>96</v>
      </c>
      <c r="H159" s="45">
        <f>'DAILY SUMMARY'!H27</f>
        <v>96</v>
      </c>
      <c r="I159" s="45">
        <f>'DAILY SUMMARY'!H33</f>
        <v>108</v>
      </c>
      <c r="J159" s="45"/>
      <c r="K159" s="102">
        <f>SUM(D159:I159)</f>
        <v>816</v>
      </c>
      <c r="L159" s="188"/>
    </row>
    <row r="160" spans="1:12" ht="22.5">
      <c r="A160" s="155"/>
      <c r="B160" s="149" t="s">
        <v>685</v>
      </c>
      <c r="C160" s="151"/>
      <c r="D160" s="124">
        <f>'DAILY SUMMARY'!H5</f>
        <v>6.358381502890173E-2</v>
      </c>
      <c r="E160" s="124">
        <f>'DAILY SUMMARY'!H11</f>
        <v>5.2631578947368418E-2</v>
      </c>
      <c r="F160" s="124">
        <f>'DAILY SUMMARY'!H17</f>
        <v>6.6666666666666666E-2</v>
      </c>
      <c r="G160" s="124">
        <f>'DAILY SUMMARY'!H23</f>
        <v>7.6923076923076927E-2</v>
      </c>
      <c r="H160" s="124">
        <f>'DAILY SUMMARY'!H29</f>
        <v>7.6923076923076927E-2</v>
      </c>
      <c r="I160" s="124">
        <f>'DAILY SUMMARY'!H35</f>
        <v>7.6923076923076927E-2</v>
      </c>
      <c r="J160" s="124"/>
      <c r="K160" s="124">
        <f>AVERAGE(D160:I160)</f>
        <v>6.8941881902027935E-2</v>
      </c>
      <c r="L160" s="35"/>
    </row>
    <row r="161" spans="1:12" ht="23.25" thickBot="1">
      <c r="A161" s="156"/>
      <c r="B161" s="152" t="s">
        <v>699</v>
      </c>
      <c r="C161" s="153"/>
      <c r="D161" s="127">
        <f>'DAILY SUMMARY'!H6</f>
        <v>0.14428125</v>
      </c>
      <c r="E161" s="127">
        <f>'DAILY SUMMARY'!H12</f>
        <v>4.63125E-2</v>
      </c>
      <c r="F161" s="127">
        <f>'DAILY SUMMARY'!H18</f>
        <v>0.17499999999999999</v>
      </c>
      <c r="G161" s="127">
        <f>'DAILY SUMMARY'!H24</f>
        <v>0.18571428571428572</v>
      </c>
      <c r="H161" s="127">
        <f>'DAILY SUMMARY'!H30</f>
        <v>0.18571428571428572</v>
      </c>
      <c r="I161" s="127">
        <f>'DAILY SUMMARY'!H36</f>
        <v>0.20172413793103447</v>
      </c>
      <c r="J161" s="127"/>
      <c r="K161" s="127">
        <f>AVERAGE(D161:I161)</f>
        <v>0.15645774322660097</v>
      </c>
      <c r="L161" s="128"/>
    </row>
    <row r="162" spans="1:12" ht="22.5">
      <c r="A162" s="154" t="s">
        <v>720</v>
      </c>
      <c r="B162" s="105" t="s">
        <v>645</v>
      </c>
      <c r="C162" s="81" t="s">
        <v>646</v>
      </c>
      <c r="D162" s="20"/>
      <c r="E162" s="20"/>
      <c r="F162" s="20">
        <v>2</v>
      </c>
      <c r="G162" s="20">
        <v>1</v>
      </c>
      <c r="H162" s="20">
        <v>1</v>
      </c>
      <c r="I162" s="20"/>
      <c r="J162" s="125"/>
      <c r="K162" s="26">
        <f>IF(AND(D162="",E162="",F162="",G162="",H162="",I162="",J162=""),"",SUM(D162:J162))</f>
        <v>4</v>
      </c>
      <c r="L162" s="126"/>
    </row>
    <row r="163" spans="1:12" ht="22.5">
      <c r="A163" s="155"/>
      <c r="B163" s="109" t="s">
        <v>647</v>
      </c>
      <c r="C163" s="80" t="s">
        <v>648</v>
      </c>
      <c r="D163" s="19"/>
      <c r="E163" s="19"/>
      <c r="F163" s="22"/>
      <c r="G163" s="22"/>
      <c r="H163" s="19"/>
      <c r="I163" s="19"/>
      <c r="J163" s="25"/>
      <c r="K163" s="24" t="str">
        <f>IF(AND(D163="",E163="",F163="",G163="",H163="",I163="",J163=""),"",SUM(D163:J163))</f>
        <v/>
      </c>
      <c r="L163" s="35"/>
    </row>
    <row r="164" spans="1:12" ht="22.5">
      <c r="A164" s="155"/>
      <c r="B164" s="109" t="s">
        <v>649</v>
      </c>
      <c r="C164" s="80" t="s">
        <v>650</v>
      </c>
      <c r="D164" s="19"/>
      <c r="E164" s="19"/>
      <c r="F164" s="22"/>
      <c r="G164" s="22"/>
      <c r="H164" s="19"/>
      <c r="I164" s="19"/>
      <c r="J164" s="25"/>
      <c r="K164" s="24" t="str">
        <f t="shared" ref="K164:K182" si="14">IF(AND(D164="",E164="",F164="",G164="",H164="",I164="",J164=""),"",SUM(D164:J164))</f>
        <v/>
      </c>
      <c r="L164" s="35"/>
    </row>
    <row r="165" spans="1:12" ht="22.5">
      <c r="A165" s="155"/>
      <c r="B165" s="109" t="s">
        <v>651</v>
      </c>
      <c r="C165" s="80" t="s">
        <v>652</v>
      </c>
      <c r="D165" s="19"/>
      <c r="E165" s="19"/>
      <c r="F165" s="19"/>
      <c r="G165" s="19">
        <v>1</v>
      </c>
      <c r="H165" s="19">
        <v>1</v>
      </c>
      <c r="I165" s="19">
        <v>1</v>
      </c>
      <c r="J165" s="25"/>
      <c r="K165" s="24">
        <f t="shared" si="14"/>
        <v>3</v>
      </c>
      <c r="L165" s="35"/>
    </row>
    <row r="166" spans="1:12" ht="22.5">
      <c r="A166" s="155"/>
      <c r="B166" s="109" t="s">
        <v>653</v>
      </c>
      <c r="C166" s="80" t="s">
        <v>654</v>
      </c>
      <c r="D166" s="19"/>
      <c r="E166" s="19"/>
      <c r="F166" s="19"/>
      <c r="G166" s="19"/>
      <c r="H166" s="19"/>
      <c r="I166" s="19"/>
      <c r="J166" s="25"/>
      <c r="K166" s="24" t="str">
        <f t="shared" si="14"/>
        <v/>
      </c>
      <c r="L166" s="35"/>
    </row>
    <row r="167" spans="1:12" ht="22.5">
      <c r="A167" s="155"/>
      <c r="B167" s="109" t="s">
        <v>655</v>
      </c>
      <c r="C167" s="80" t="s">
        <v>656</v>
      </c>
      <c r="D167" s="19"/>
      <c r="E167" s="19">
        <v>1</v>
      </c>
      <c r="F167" s="19"/>
      <c r="G167" s="19">
        <v>1</v>
      </c>
      <c r="H167" s="19"/>
      <c r="I167" s="19"/>
      <c r="J167" s="25"/>
      <c r="K167" s="24">
        <f t="shared" si="14"/>
        <v>2</v>
      </c>
      <c r="L167" s="35"/>
    </row>
    <row r="168" spans="1:12" ht="22.5">
      <c r="A168" s="155"/>
      <c r="B168" s="109" t="s">
        <v>657</v>
      </c>
      <c r="C168" s="80" t="s">
        <v>658</v>
      </c>
      <c r="D168" s="19"/>
      <c r="E168" s="19"/>
      <c r="F168" s="19"/>
      <c r="G168" s="19"/>
      <c r="H168" s="19"/>
      <c r="I168" s="19">
        <v>1</v>
      </c>
      <c r="J168" s="25"/>
      <c r="K168" s="24">
        <f t="shared" si="14"/>
        <v>1</v>
      </c>
      <c r="L168" s="35"/>
    </row>
    <row r="169" spans="1:12" ht="22.5">
      <c r="A169" s="155"/>
      <c r="B169" s="109" t="s">
        <v>659</v>
      </c>
      <c r="C169" s="80" t="s">
        <v>660</v>
      </c>
      <c r="D169" s="19"/>
      <c r="E169" s="19"/>
      <c r="F169" s="19">
        <v>1</v>
      </c>
      <c r="G169" s="19"/>
      <c r="H169" s="19">
        <v>2</v>
      </c>
      <c r="I169" s="19"/>
      <c r="J169" s="25"/>
      <c r="K169" s="24">
        <f t="shared" si="14"/>
        <v>3</v>
      </c>
      <c r="L169" s="35"/>
    </row>
    <row r="170" spans="1:12" ht="22.5">
      <c r="A170" s="155"/>
      <c r="B170" s="109" t="s">
        <v>661</v>
      </c>
      <c r="C170" s="80" t="s">
        <v>662</v>
      </c>
      <c r="D170" s="19"/>
      <c r="E170" s="19">
        <v>1</v>
      </c>
      <c r="F170" s="19"/>
      <c r="G170" s="19">
        <v>1</v>
      </c>
      <c r="H170" s="19"/>
      <c r="I170" s="19"/>
      <c r="J170" s="25"/>
      <c r="K170" s="24">
        <f t="shared" si="14"/>
        <v>2</v>
      </c>
      <c r="L170" s="35"/>
    </row>
    <row r="171" spans="1:12" ht="22.5">
      <c r="A171" s="155"/>
      <c r="B171" s="109" t="s">
        <v>663</v>
      </c>
      <c r="C171" s="80" t="s">
        <v>664</v>
      </c>
      <c r="D171" s="19"/>
      <c r="E171" s="19"/>
      <c r="F171" s="19"/>
      <c r="G171" s="19"/>
      <c r="H171" s="19"/>
      <c r="I171" s="19"/>
      <c r="J171" s="25"/>
      <c r="K171" s="24" t="str">
        <f t="shared" si="14"/>
        <v/>
      </c>
      <c r="L171" s="35"/>
    </row>
    <row r="172" spans="1:12" ht="22.5">
      <c r="A172" s="155"/>
      <c r="B172" s="109" t="s">
        <v>665</v>
      </c>
      <c r="C172" s="80" t="s">
        <v>666</v>
      </c>
      <c r="D172" s="19"/>
      <c r="E172" s="19"/>
      <c r="F172" s="19"/>
      <c r="G172" s="19"/>
      <c r="H172" s="19"/>
      <c r="I172" s="19"/>
      <c r="J172" s="25"/>
      <c r="K172" s="24" t="str">
        <f t="shared" si="14"/>
        <v/>
      </c>
      <c r="L172" s="35"/>
    </row>
    <row r="173" spans="1:12" ht="22.5">
      <c r="A173" s="155"/>
      <c r="B173" s="109" t="s">
        <v>667</v>
      </c>
      <c r="C173" s="80" t="s">
        <v>668</v>
      </c>
      <c r="D173" s="19"/>
      <c r="E173" s="19"/>
      <c r="F173" s="19"/>
      <c r="G173" s="19"/>
      <c r="H173" s="19"/>
      <c r="I173" s="19"/>
      <c r="J173" s="25"/>
      <c r="K173" s="24" t="str">
        <f t="shared" si="14"/>
        <v/>
      </c>
      <c r="L173" s="35"/>
    </row>
    <row r="174" spans="1:12" ht="22.5">
      <c r="A174" s="155"/>
      <c r="B174" s="109" t="s">
        <v>669</v>
      </c>
      <c r="C174" s="80" t="s">
        <v>670</v>
      </c>
      <c r="D174" s="19"/>
      <c r="E174" s="19"/>
      <c r="F174" s="19"/>
      <c r="G174" s="19"/>
      <c r="H174" s="19"/>
      <c r="I174" s="19"/>
      <c r="J174" s="25"/>
      <c r="K174" s="24" t="str">
        <f t="shared" si="14"/>
        <v/>
      </c>
      <c r="L174" s="35"/>
    </row>
    <row r="175" spans="1:12" ht="22.5">
      <c r="A175" s="155"/>
      <c r="B175" s="103" t="s">
        <v>671</v>
      </c>
      <c r="C175" s="80" t="s">
        <v>672</v>
      </c>
      <c r="D175" s="19"/>
      <c r="E175" s="19"/>
      <c r="F175" s="19"/>
      <c r="G175" s="19"/>
      <c r="H175" s="19"/>
      <c r="I175" s="19"/>
      <c r="J175" s="25"/>
      <c r="K175" s="24" t="str">
        <f t="shared" si="14"/>
        <v/>
      </c>
      <c r="L175" s="35"/>
    </row>
    <row r="176" spans="1:12" ht="22.5">
      <c r="A176" s="155"/>
      <c r="B176" s="103" t="s">
        <v>673</v>
      </c>
      <c r="C176" s="80" t="s">
        <v>674</v>
      </c>
      <c r="D176" s="19"/>
      <c r="E176" s="19"/>
      <c r="F176" s="19"/>
      <c r="G176" s="19"/>
      <c r="H176" s="19"/>
      <c r="I176" s="19"/>
      <c r="J176" s="25"/>
      <c r="K176" s="24" t="str">
        <f t="shared" si="14"/>
        <v/>
      </c>
      <c r="L176" s="35"/>
    </row>
    <row r="177" spans="1:12" ht="22.5">
      <c r="A177" s="155"/>
      <c r="B177" s="96" t="s">
        <v>675</v>
      </c>
      <c r="C177" s="80" t="s">
        <v>676</v>
      </c>
      <c r="D177" s="19"/>
      <c r="E177" s="19">
        <v>1</v>
      </c>
      <c r="F177" s="19"/>
      <c r="G177" s="19">
        <v>1</v>
      </c>
      <c r="H177" s="19">
        <v>1</v>
      </c>
      <c r="I177" s="19">
        <v>2</v>
      </c>
      <c r="J177" s="25"/>
      <c r="K177" s="24">
        <f t="shared" si="14"/>
        <v>5</v>
      </c>
      <c r="L177" s="35"/>
    </row>
    <row r="178" spans="1:12" ht="22.5">
      <c r="A178" s="155"/>
      <c r="B178" s="103" t="s">
        <v>677</v>
      </c>
      <c r="C178" s="80" t="s">
        <v>678</v>
      </c>
      <c r="D178" s="19"/>
      <c r="E178" s="19"/>
      <c r="F178" s="19"/>
      <c r="G178" s="19"/>
      <c r="H178" s="19">
        <v>2</v>
      </c>
      <c r="I178" s="19"/>
      <c r="J178" s="25"/>
      <c r="K178" s="24">
        <f t="shared" si="14"/>
        <v>2</v>
      </c>
      <c r="L178" s="35"/>
    </row>
    <row r="179" spans="1:12" ht="22.5">
      <c r="A179" s="155"/>
      <c r="B179" s="103" t="s">
        <v>679</v>
      </c>
      <c r="C179" s="80" t="s">
        <v>678</v>
      </c>
      <c r="D179" s="19"/>
      <c r="E179" s="19"/>
      <c r="F179" s="19">
        <v>1</v>
      </c>
      <c r="G179" s="19">
        <v>1</v>
      </c>
      <c r="H179" s="19">
        <v>1</v>
      </c>
      <c r="I179" s="19">
        <v>1</v>
      </c>
      <c r="J179" s="25"/>
      <c r="K179" s="24">
        <f t="shared" si="14"/>
        <v>4</v>
      </c>
      <c r="L179" s="35"/>
    </row>
    <row r="180" spans="1:12" ht="22.5">
      <c r="A180" s="155"/>
      <c r="B180" s="96" t="s">
        <v>680</v>
      </c>
      <c r="C180" s="80" t="s">
        <v>681</v>
      </c>
      <c r="D180" s="19"/>
      <c r="E180" s="19"/>
      <c r="F180" s="19"/>
      <c r="G180" s="19"/>
      <c r="H180" s="19"/>
      <c r="I180" s="19"/>
      <c r="J180" s="25"/>
      <c r="K180" s="24" t="str">
        <f t="shared" si="14"/>
        <v/>
      </c>
      <c r="L180" s="35"/>
    </row>
    <row r="181" spans="1:12" ht="22.5">
      <c r="A181" s="155"/>
      <c r="B181" s="96" t="s">
        <v>682</v>
      </c>
      <c r="C181" s="80" t="s">
        <v>681</v>
      </c>
      <c r="D181" s="19"/>
      <c r="E181" s="19"/>
      <c r="F181" s="19">
        <v>1</v>
      </c>
      <c r="G181" s="19"/>
      <c r="H181" s="19"/>
      <c r="I181" s="19"/>
      <c r="J181" s="25"/>
      <c r="K181" s="24">
        <f t="shared" si="14"/>
        <v>1</v>
      </c>
      <c r="L181" s="35"/>
    </row>
    <row r="182" spans="1:12" ht="22.5">
      <c r="A182" s="155"/>
      <c r="B182" s="103"/>
      <c r="C182" s="80" t="str">
        <f>IF(B182="","",VLOOKUP(B182,SMV!$B$6:$D$1037,2,FALSE))</f>
        <v/>
      </c>
      <c r="D182" s="19"/>
      <c r="E182" s="19"/>
      <c r="F182" s="19"/>
      <c r="G182" s="19"/>
      <c r="H182" s="19"/>
      <c r="I182" s="19"/>
      <c r="J182" s="25"/>
      <c r="K182" s="24" t="str">
        <f t="shared" si="14"/>
        <v/>
      </c>
      <c r="L182" s="35"/>
    </row>
    <row r="183" spans="1:12" ht="22.5">
      <c r="A183" s="155"/>
      <c r="B183" s="149" t="s">
        <v>683</v>
      </c>
      <c r="C183" s="150"/>
      <c r="D183" s="130" t="str">
        <f t="shared" ref="D183:I183" si="15">IF(AND(D162="",D163="",D164="",D165="",D175="",D176="",D177="",D178="",D179="",D180="",D181="",D182=""),"",SUM(D162:D182))</f>
        <v/>
      </c>
      <c r="E183" s="130">
        <f t="shared" si="15"/>
        <v>3</v>
      </c>
      <c r="F183" s="130">
        <f t="shared" si="15"/>
        <v>5</v>
      </c>
      <c r="G183" s="130">
        <f t="shared" si="15"/>
        <v>6</v>
      </c>
      <c r="H183" s="130">
        <f t="shared" si="15"/>
        <v>8</v>
      </c>
      <c r="I183" s="130">
        <f t="shared" si="15"/>
        <v>5</v>
      </c>
      <c r="J183" s="23" t="str">
        <f>IF(AND(J162="",J163="",J164="",J165="",J175="",J176="",J182=""),"",SUM(J162:J182))</f>
        <v/>
      </c>
      <c r="K183" s="24">
        <f>IF(AND(K162="",K163="",K164="",K165="",K175="",K176="",K182=""),"",SUM(K162:K182))</f>
        <v>27</v>
      </c>
      <c r="L183" s="35"/>
    </row>
    <row r="184" spans="1:12" ht="22.5">
      <c r="A184" s="155"/>
      <c r="B184" s="166" t="s">
        <v>684</v>
      </c>
      <c r="C184" s="167"/>
      <c r="D184" s="45">
        <f>'DAILY SUMMARY'!I2</f>
        <v>0</v>
      </c>
      <c r="E184" s="45">
        <f>'DAILY SUMMARY'!I8</f>
        <v>51</v>
      </c>
      <c r="F184" s="45">
        <f>'DAILY SUMMARY'!I14</f>
        <v>89</v>
      </c>
      <c r="G184" s="45">
        <f>'DAILY SUMMARY'!I20</f>
        <v>138</v>
      </c>
      <c r="H184" s="45">
        <f>'DAILY SUMMARY'!I26</f>
        <v>212</v>
      </c>
      <c r="I184" s="45">
        <f>'DAILY SUMMARY'!I32</f>
        <v>113</v>
      </c>
      <c r="J184" s="45"/>
      <c r="K184" s="102">
        <f>SUM(D184:I184)</f>
        <v>603</v>
      </c>
      <c r="L184" s="35"/>
    </row>
    <row r="185" spans="1:12" ht="22.5">
      <c r="A185" s="155"/>
      <c r="B185" s="149" t="s">
        <v>643</v>
      </c>
      <c r="C185" s="151"/>
      <c r="D185" s="45">
        <f>'DAILY SUMMARY'!I3</f>
        <v>0</v>
      </c>
      <c r="E185" s="45">
        <f>'DAILY SUMMARY'!I9</f>
        <v>48</v>
      </c>
      <c r="F185" s="45">
        <f>'DAILY SUMMARY'!I15</f>
        <v>84</v>
      </c>
      <c r="G185" s="45">
        <f>'DAILY SUMMARY'!I21</f>
        <v>132</v>
      </c>
      <c r="H185" s="45">
        <f>'DAILY SUMMARY'!I27</f>
        <v>204</v>
      </c>
      <c r="I185" s="45">
        <f>'DAILY SUMMARY'!I33</f>
        <v>108</v>
      </c>
      <c r="J185" s="45"/>
      <c r="K185" s="102">
        <f>SUM(D185:I185)</f>
        <v>576</v>
      </c>
      <c r="L185" s="188"/>
    </row>
    <row r="186" spans="1:12" ht="22.5">
      <c r="A186" s="155"/>
      <c r="B186" s="149" t="s">
        <v>685</v>
      </c>
      <c r="C186" s="151"/>
      <c r="D186" s="124">
        <f>'DAILY SUMMARY'!I5</f>
        <v>0</v>
      </c>
      <c r="E186" s="124">
        <f>'DAILY SUMMARY'!I11</f>
        <v>5.8823529411764705E-2</v>
      </c>
      <c r="F186" s="124">
        <f>'DAILY SUMMARY'!I17</f>
        <v>5.6179775280898875E-2</v>
      </c>
      <c r="G186" s="124">
        <f>'DAILY SUMMARY'!I23</f>
        <v>4.3478260869565216E-2</v>
      </c>
      <c r="H186" s="124">
        <f>'DAILY SUMMARY'!I29</f>
        <v>3.7735849056603772E-2</v>
      </c>
      <c r="I186" s="124">
        <f>'DAILY SUMMARY'!I35</f>
        <v>4.4247787610619468E-2</v>
      </c>
      <c r="J186" s="124"/>
      <c r="K186" s="124">
        <f>AVERAGE(D186:I186)</f>
        <v>4.0077533704908679E-2</v>
      </c>
      <c r="L186" s="35"/>
    </row>
    <row r="187" spans="1:12" ht="23.25" thickBot="1">
      <c r="A187" s="156"/>
      <c r="B187" s="152" t="s">
        <v>699</v>
      </c>
      <c r="C187" s="153"/>
      <c r="D187" s="127">
        <f>'DAILY SUMMARY'!I6</f>
        <v>0</v>
      </c>
      <c r="E187" s="127">
        <f>'DAILY SUMMARY'!I12</f>
        <v>9.285714285714286E-2</v>
      </c>
      <c r="F187" s="127">
        <f>'DAILY SUMMARY'!I18</f>
        <v>0.16250000000000001</v>
      </c>
      <c r="G187" s="127">
        <f>'DAILY SUMMARY'!I24</f>
        <v>0.21312500000000001</v>
      </c>
      <c r="H187" s="127">
        <f>'DAILY SUMMARY'!I30</f>
        <v>0.2890625</v>
      </c>
      <c r="I187" s="127">
        <f>'DAILY SUMMARY'!I36</f>
        <v>0.20172413793103447</v>
      </c>
      <c r="J187" s="127"/>
      <c r="K187" s="127">
        <f>AVERAGE(D187:I187)</f>
        <v>0.1598781301313629</v>
      </c>
      <c r="L187" s="128"/>
    </row>
    <row r="188" spans="1:12" ht="22.5">
      <c r="A188" s="154" t="s">
        <v>721</v>
      </c>
      <c r="B188" s="105" t="s">
        <v>645</v>
      </c>
      <c r="C188" s="81" t="s">
        <v>646</v>
      </c>
      <c r="D188" s="20">
        <v>7</v>
      </c>
      <c r="E188" s="20">
        <v>5</v>
      </c>
      <c r="F188" s="20">
        <v>2</v>
      </c>
      <c r="G188" s="20">
        <v>4</v>
      </c>
      <c r="H188" s="20">
        <v>5</v>
      </c>
      <c r="I188" s="20">
        <v>4</v>
      </c>
      <c r="J188" s="125"/>
      <c r="K188" s="26">
        <f t="shared" ref="K188:K208" si="16">IF(AND(D188="",E188="",F188="",G188="",H188="",I188="",J188=""),"",SUM(D188:J188))</f>
        <v>27</v>
      </c>
      <c r="L188" s="126"/>
    </row>
    <row r="189" spans="1:12" ht="22.5">
      <c r="A189" s="155"/>
      <c r="B189" s="109" t="s">
        <v>647</v>
      </c>
      <c r="C189" s="80" t="s">
        <v>648</v>
      </c>
      <c r="D189" s="19"/>
      <c r="E189" s="22"/>
      <c r="F189" s="22"/>
      <c r="G189" s="19"/>
      <c r="H189" s="19"/>
      <c r="I189" s="19"/>
      <c r="J189" s="25"/>
      <c r="K189" s="24" t="str">
        <f t="shared" si="16"/>
        <v/>
      </c>
      <c r="L189" s="35"/>
    </row>
    <row r="190" spans="1:12" ht="22.5">
      <c r="A190" s="155"/>
      <c r="B190" s="109" t="s">
        <v>649</v>
      </c>
      <c r="C190" s="80" t="s">
        <v>650</v>
      </c>
      <c r="D190" s="19"/>
      <c r="E190" s="22"/>
      <c r="F190" s="22"/>
      <c r="G190" s="19"/>
      <c r="H190" s="19"/>
      <c r="I190" s="19"/>
      <c r="J190" s="25"/>
      <c r="K190" s="24" t="str">
        <f t="shared" si="16"/>
        <v/>
      </c>
      <c r="L190" s="35"/>
    </row>
    <row r="191" spans="1:12" ht="22.5">
      <c r="A191" s="155"/>
      <c r="B191" s="109" t="s">
        <v>651</v>
      </c>
      <c r="C191" s="80" t="s">
        <v>652</v>
      </c>
      <c r="D191" s="19">
        <v>2</v>
      </c>
      <c r="E191" s="19">
        <v>1</v>
      </c>
      <c r="F191" s="19">
        <v>3</v>
      </c>
      <c r="G191" s="19">
        <v>3</v>
      </c>
      <c r="H191" s="19">
        <v>5</v>
      </c>
      <c r="I191" s="19">
        <v>3</v>
      </c>
      <c r="J191" s="25"/>
      <c r="K191" s="24">
        <f t="shared" si="16"/>
        <v>17</v>
      </c>
      <c r="L191" s="35"/>
    </row>
    <row r="192" spans="1:12" ht="22.5">
      <c r="A192" s="155"/>
      <c r="B192" s="109" t="s">
        <v>653</v>
      </c>
      <c r="C192" s="80" t="s">
        <v>654</v>
      </c>
      <c r="D192" s="19"/>
      <c r="E192" s="19">
        <v>1</v>
      </c>
      <c r="F192" s="19"/>
      <c r="G192" s="19"/>
      <c r="H192" s="19"/>
      <c r="I192" s="19"/>
      <c r="J192" s="25"/>
      <c r="K192" s="24">
        <f t="shared" si="16"/>
        <v>1</v>
      </c>
      <c r="L192" s="35"/>
    </row>
    <row r="193" spans="1:12" ht="22.5">
      <c r="A193" s="155"/>
      <c r="B193" s="109" t="s">
        <v>655</v>
      </c>
      <c r="C193" s="80" t="s">
        <v>656</v>
      </c>
      <c r="D193" s="19"/>
      <c r="E193" s="19"/>
      <c r="F193" s="19">
        <v>3</v>
      </c>
      <c r="G193" s="19">
        <v>4</v>
      </c>
      <c r="H193" s="19"/>
      <c r="I193" s="19"/>
      <c r="J193" s="25"/>
      <c r="K193" s="24">
        <f t="shared" si="16"/>
        <v>7</v>
      </c>
      <c r="L193" s="35"/>
    </row>
    <row r="194" spans="1:12" ht="22.5">
      <c r="A194" s="155"/>
      <c r="B194" s="109" t="s">
        <v>657</v>
      </c>
      <c r="C194" s="80" t="s">
        <v>658</v>
      </c>
      <c r="D194" s="19">
        <v>1</v>
      </c>
      <c r="E194" s="19">
        <v>1</v>
      </c>
      <c r="F194" s="19">
        <v>2</v>
      </c>
      <c r="G194" s="19"/>
      <c r="H194" s="19">
        <v>1</v>
      </c>
      <c r="I194" s="19"/>
      <c r="J194" s="25"/>
      <c r="K194" s="24">
        <f t="shared" si="16"/>
        <v>5</v>
      </c>
      <c r="L194" s="35"/>
    </row>
    <row r="195" spans="1:12" ht="22.5">
      <c r="A195" s="155"/>
      <c r="B195" s="109" t="s">
        <v>659</v>
      </c>
      <c r="C195" s="80" t="s">
        <v>660</v>
      </c>
      <c r="D195" s="19">
        <v>3</v>
      </c>
      <c r="E195" s="19">
        <v>3</v>
      </c>
      <c r="F195" s="19"/>
      <c r="G195" s="19"/>
      <c r="H195" s="19">
        <v>4</v>
      </c>
      <c r="I195" s="19">
        <v>4</v>
      </c>
      <c r="J195" s="25"/>
      <c r="K195" s="24">
        <f t="shared" si="16"/>
        <v>14</v>
      </c>
      <c r="L195" s="35"/>
    </row>
    <row r="196" spans="1:12" ht="22.5">
      <c r="A196" s="155"/>
      <c r="B196" s="109" t="s">
        <v>661</v>
      </c>
      <c r="C196" s="80" t="s">
        <v>662</v>
      </c>
      <c r="D196" s="19"/>
      <c r="E196" s="19"/>
      <c r="F196" s="19">
        <v>3</v>
      </c>
      <c r="G196" s="19"/>
      <c r="H196" s="19"/>
      <c r="I196" s="19"/>
      <c r="J196" s="25"/>
      <c r="K196" s="24">
        <f t="shared" si="16"/>
        <v>3</v>
      </c>
      <c r="L196" s="35"/>
    </row>
    <row r="197" spans="1:12" ht="22.5">
      <c r="A197" s="155"/>
      <c r="B197" s="109" t="s">
        <v>663</v>
      </c>
      <c r="C197" s="80" t="s">
        <v>664</v>
      </c>
      <c r="D197" s="19">
        <v>2</v>
      </c>
      <c r="E197" s="19">
        <v>2</v>
      </c>
      <c r="F197" s="19"/>
      <c r="G197" s="19"/>
      <c r="H197" s="19"/>
      <c r="I197" s="19"/>
      <c r="J197" s="25"/>
      <c r="K197" s="24">
        <f t="shared" si="16"/>
        <v>4</v>
      </c>
      <c r="L197" s="35"/>
    </row>
    <row r="198" spans="1:12" ht="22.5">
      <c r="A198" s="155"/>
      <c r="B198" s="109" t="s">
        <v>665</v>
      </c>
      <c r="C198" s="80" t="s">
        <v>666</v>
      </c>
      <c r="D198" s="19"/>
      <c r="E198" s="19"/>
      <c r="F198" s="19"/>
      <c r="G198" s="19"/>
      <c r="H198" s="19">
        <v>2</v>
      </c>
      <c r="I198" s="19"/>
      <c r="J198" s="25"/>
      <c r="K198" s="24">
        <f t="shared" si="16"/>
        <v>2</v>
      </c>
      <c r="L198" s="35"/>
    </row>
    <row r="199" spans="1:12" ht="22.5">
      <c r="A199" s="155"/>
      <c r="B199" s="109" t="s">
        <v>667</v>
      </c>
      <c r="C199" s="80" t="s">
        <v>668</v>
      </c>
      <c r="D199" s="19">
        <v>1</v>
      </c>
      <c r="E199" s="19"/>
      <c r="F199" s="19"/>
      <c r="G199" s="19">
        <v>2</v>
      </c>
      <c r="H199" s="19"/>
      <c r="I199" s="19">
        <v>2</v>
      </c>
      <c r="J199" s="25"/>
      <c r="K199" s="24">
        <f t="shared" si="16"/>
        <v>5</v>
      </c>
      <c r="L199" s="35"/>
    </row>
    <row r="200" spans="1:12" ht="22.5">
      <c r="A200" s="155"/>
      <c r="B200" s="109" t="s">
        <v>669</v>
      </c>
      <c r="C200" s="80" t="s">
        <v>670</v>
      </c>
      <c r="D200" s="19"/>
      <c r="E200" s="19"/>
      <c r="F200" s="19"/>
      <c r="G200" s="19"/>
      <c r="H200" s="19"/>
      <c r="I200" s="19"/>
      <c r="J200" s="25"/>
      <c r="K200" s="24" t="str">
        <f t="shared" si="16"/>
        <v/>
      </c>
      <c r="L200" s="35"/>
    </row>
    <row r="201" spans="1:12" ht="22.5">
      <c r="A201" s="155"/>
      <c r="B201" s="103" t="s">
        <v>671</v>
      </c>
      <c r="C201" s="80" t="s">
        <v>672</v>
      </c>
      <c r="D201" s="19"/>
      <c r="E201" s="19"/>
      <c r="F201" s="19"/>
      <c r="G201" s="19"/>
      <c r="H201" s="19"/>
      <c r="I201" s="19"/>
      <c r="J201" s="25"/>
      <c r="K201" s="24" t="str">
        <f t="shared" si="16"/>
        <v/>
      </c>
      <c r="L201" s="35"/>
    </row>
    <row r="202" spans="1:12" ht="22.5">
      <c r="A202" s="155"/>
      <c r="B202" s="103" t="s">
        <v>673</v>
      </c>
      <c r="C202" s="80" t="s">
        <v>674</v>
      </c>
      <c r="D202" s="19"/>
      <c r="E202" s="19"/>
      <c r="F202" s="19">
        <v>2</v>
      </c>
      <c r="G202" s="19">
        <v>3</v>
      </c>
      <c r="H202" s="19">
        <v>4</v>
      </c>
      <c r="I202" s="19"/>
      <c r="J202" s="25"/>
      <c r="K202" s="24">
        <f t="shared" si="16"/>
        <v>9</v>
      </c>
      <c r="L202" s="35"/>
    </row>
    <row r="203" spans="1:12" ht="22.5">
      <c r="A203" s="155"/>
      <c r="B203" s="96" t="s">
        <v>675</v>
      </c>
      <c r="C203" s="80" t="s">
        <v>676</v>
      </c>
      <c r="D203" s="19">
        <v>4</v>
      </c>
      <c r="E203" s="19">
        <v>5</v>
      </c>
      <c r="F203" s="19">
        <v>3</v>
      </c>
      <c r="G203" s="19"/>
      <c r="H203" s="19">
        <v>3</v>
      </c>
      <c r="I203" s="19">
        <v>4</v>
      </c>
      <c r="J203" s="25"/>
      <c r="K203" s="24">
        <f t="shared" si="16"/>
        <v>19</v>
      </c>
      <c r="L203" s="35"/>
    </row>
    <row r="204" spans="1:12" ht="22.5">
      <c r="A204" s="155"/>
      <c r="B204" s="103" t="s">
        <v>677</v>
      </c>
      <c r="C204" s="80" t="s">
        <v>678</v>
      </c>
      <c r="D204" s="19"/>
      <c r="E204" s="19"/>
      <c r="F204" s="19"/>
      <c r="G204" s="19"/>
      <c r="H204" s="19"/>
      <c r="I204" s="19"/>
      <c r="J204" s="25"/>
      <c r="K204" s="24" t="str">
        <f t="shared" si="16"/>
        <v/>
      </c>
      <c r="L204" s="35"/>
    </row>
    <row r="205" spans="1:12" ht="22.5">
      <c r="A205" s="155"/>
      <c r="B205" s="103" t="s">
        <v>679</v>
      </c>
      <c r="C205" s="80" t="s">
        <v>678</v>
      </c>
      <c r="D205" s="19">
        <v>2</v>
      </c>
      <c r="E205" s="19">
        <v>4</v>
      </c>
      <c r="F205" s="19">
        <v>9</v>
      </c>
      <c r="G205" s="19">
        <v>6</v>
      </c>
      <c r="H205" s="19">
        <v>8</v>
      </c>
      <c r="I205" s="19">
        <v>8</v>
      </c>
      <c r="J205" s="25"/>
      <c r="K205" s="24">
        <f t="shared" si="16"/>
        <v>37</v>
      </c>
      <c r="L205" s="35"/>
    </row>
    <row r="206" spans="1:12" ht="22.5">
      <c r="A206" s="155"/>
      <c r="B206" s="96" t="s">
        <v>680</v>
      </c>
      <c r="C206" s="80" t="s">
        <v>681</v>
      </c>
      <c r="D206" s="19"/>
      <c r="E206" s="19"/>
      <c r="F206" s="19"/>
      <c r="G206" s="19"/>
      <c r="H206" s="19"/>
      <c r="I206" s="19"/>
      <c r="J206" s="25"/>
      <c r="K206" s="24" t="str">
        <f t="shared" si="16"/>
        <v/>
      </c>
      <c r="L206" s="35"/>
    </row>
    <row r="207" spans="1:12" ht="22.5">
      <c r="A207" s="155"/>
      <c r="B207" s="96" t="s">
        <v>682</v>
      </c>
      <c r="C207" s="80" t="s">
        <v>681</v>
      </c>
      <c r="D207" s="19"/>
      <c r="E207" s="19"/>
      <c r="F207" s="19"/>
      <c r="G207" s="19"/>
      <c r="H207" s="19"/>
      <c r="I207" s="19"/>
      <c r="J207" s="25"/>
      <c r="K207" s="24" t="str">
        <f t="shared" si="16"/>
        <v/>
      </c>
      <c r="L207" s="35"/>
    </row>
    <row r="208" spans="1:12" ht="22.5">
      <c r="A208" s="155"/>
      <c r="B208" s="103"/>
      <c r="C208" s="80" t="str">
        <f>IF(B208="","",VLOOKUP(B208,SMV!$B$6:$D$1037,2,FALSE))</f>
        <v/>
      </c>
      <c r="D208" s="19"/>
      <c r="E208" s="19"/>
      <c r="F208" s="19"/>
      <c r="G208" s="19"/>
      <c r="H208" s="19"/>
      <c r="I208" s="19"/>
      <c r="J208" s="25"/>
      <c r="K208" s="24" t="str">
        <f t="shared" si="16"/>
        <v/>
      </c>
      <c r="L208" s="35"/>
    </row>
    <row r="209" spans="1:12" ht="22.5">
      <c r="A209" s="155"/>
      <c r="B209" s="149" t="s">
        <v>683</v>
      </c>
      <c r="C209" s="150"/>
      <c r="D209" s="130">
        <f t="shared" ref="D209:I209" si="17">IF(AND(D188="",D189="",D190="",D191="",D201="",D202="",D203="",D204="",D205="",D206="",D207="",D208=""),"",SUM(D188:D208))</f>
        <v>22</v>
      </c>
      <c r="E209" s="130">
        <f t="shared" si="17"/>
        <v>22</v>
      </c>
      <c r="F209" s="130">
        <f t="shared" si="17"/>
        <v>27</v>
      </c>
      <c r="G209" s="130">
        <f t="shared" si="17"/>
        <v>22</v>
      </c>
      <c r="H209" s="130">
        <f t="shared" si="17"/>
        <v>32</v>
      </c>
      <c r="I209" s="130">
        <f t="shared" si="17"/>
        <v>25</v>
      </c>
      <c r="J209" s="23" t="str">
        <f>IF(AND(J188="",J189="",J190="",J191="",J201="",J202="",J208=""),"",SUM(J188:J208))</f>
        <v/>
      </c>
      <c r="K209" s="24">
        <f>IF(AND(K188="",K189="",K190="",K191="",K201="",K202="",K208=""),"",SUM(K188:K208))</f>
        <v>150</v>
      </c>
      <c r="L209" s="35"/>
    </row>
    <row r="210" spans="1:12" ht="22.5">
      <c r="A210" s="155"/>
      <c r="B210" s="166" t="s">
        <v>684</v>
      </c>
      <c r="C210" s="167"/>
      <c r="D210" s="45">
        <f>'DAILY SUMMARY'!J2</f>
        <v>542</v>
      </c>
      <c r="E210" s="45">
        <f>'DAILY SUMMARY'!J8</f>
        <v>472</v>
      </c>
      <c r="F210" s="45">
        <f>'DAILY SUMMARY'!J14</f>
        <v>467</v>
      </c>
      <c r="G210" s="45">
        <f>'DAILY SUMMARY'!J20</f>
        <v>347</v>
      </c>
      <c r="H210" s="45">
        <f>'DAILY SUMMARY'!J26</f>
        <v>472</v>
      </c>
      <c r="I210" s="45">
        <f>'DAILY SUMMARY'!J32</f>
        <v>450</v>
      </c>
      <c r="J210" s="45"/>
      <c r="K210" s="102">
        <f>SUM(D210:I210)</f>
        <v>2750</v>
      </c>
      <c r="L210" s="35"/>
    </row>
    <row r="211" spans="1:12" ht="22.5">
      <c r="A211" s="155"/>
      <c r="B211" s="149" t="s">
        <v>643</v>
      </c>
      <c r="C211" s="151"/>
      <c r="D211" s="187">
        <f>'DAILY SUMMARY'!J3</f>
        <v>400</v>
      </c>
      <c r="E211" s="45">
        <f>'DAILY SUMMARY'!J9</f>
        <v>180</v>
      </c>
      <c r="F211" s="45">
        <f>'DAILY SUMMARY'!J15</f>
        <v>240</v>
      </c>
      <c r="G211" s="45">
        <f>'DAILY SUMMARY'!J21</f>
        <v>325</v>
      </c>
      <c r="H211" s="45">
        <f>'DAILY SUMMARY'!J27</f>
        <v>440</v>
      </c>
      <c r="I211" s="45">
        <f>'DAILY SUMMARY'!J33</f>
        <v>425</v>
      </c>
      <c r="J211" s="45"/>
      <c r="K211" s="102">
        <f>SUM(D211:I211)</f>
        <v>2010</v>
      </c>
      <c r="L211" s="188" t="s">
        <v>729</v>
      </c>
    </row>
    <row r="212" spans="1:12" ht="22.5">
      <c r="A212" s="155"/>
      <c r="B212" s="149" t="s">
        <v>685</v>
      </c>
      <c r="C212" s="151"/>
      <c r="D212" s="124">
        <f>'DAILY SUMMARY'!J5</f>
        <v>4.0590405904059039E-2</v>
      </c>
      <c r="E212" s="124">
        <f>'DAILY SUMMARY'!J11</f>
        <v>4.6610169491525424E-2</v>
      </c>
      <c r="F212" s="124">
        <f>'DAILY SUMMARY'!J17</f>
        <v>5.7815845824411134E-2</v>
      </c>
      <c r="G212" s="124">
        <f>'DAILY SUMMARY'!J23</f>
        <v>6.3400576368876083E-2</v>
      </c>
      <c r="H212" s="124">
        <f>'DAILY SUMMARY'!J29</f>
        <v>6.7796610169491525E-2</v>
      </c>
      <c r="I212" s="124">
        <f>'DAILY SUMMARY'!J35</f>
        <v>5.5555555555555552E-2</v>
      </c>
      <c r="J212" s="124"/>
      <c r="K212" s="124">
        <f>AVERAGE(D212:I212)</f>
        <v>5.5294860552319781E-2</v>
      </c>
      <c r="L212" s="35"/>
    </row>
    <row r="213" spans="1:12" ht="23.25" thickBot="1">
      <c r="A213" s="156"/>
      <c r="B213" s="152" t="s">
        <v>699</v>
      </c>
      <c r="C213" s="153"/>
      <c r="D213" s="127">
        <f>'DAILY SUMMARY'!J6</f>
        <v>0.34717857142857145</v>
      </c>
      <c r="E213" s="127">
        <f>'DAILY SUMMARY'!J12</f>
        <v>0.10317500000000002</v>
      </c>
      <c r="F213" s="127">
        <f>'DAILY SUMMARY'!J18</f>
        <v>0.13756666666666667</v>
      </c>
      <c r="G213" s="127">
        <f>'DAILY SUMMARY'!J24</f>
        <v>0.5801350308641976</v>
      </c>
      <c r="H213" s="127">
        <f>'DAILY SUMMARY'!J30</f>
        <v>0.68032738095238099</v>
      </c>
      <c r="I213" s="127">
        <f>'DAILY SUMMARY'!J36</f>
        <v>0.74484469696969702</v>
      </c>
      <c r="J213" s="127"/>
      <c r="K213" s="127">
        <f>AVERAGE(D213:I213)</f>
        <v>0.43220455781358563</v>
      </c>
      <c r="L213" s="128"/>
    </row>
    <row r="214" spans="1:12" ht="22.5">
      <c r="A214" s="161" t="s">
        <v>711</v>
      </c>
      <c r="B214" s="105" t="s">
        <v>645</v>
      </c>
      <c r="C214" s="81" t="s">
        <v>646</v>
      </c>
      <c r="D214" s="20">
        <v>2</v>
      </c>
      <c r="E214" s="20">
        <v>2</v>
      </c>
      <c r="F214" s="20">
        <v>2</v>
      </c>
      <c r="G214" s="20">
        <v>2</v>
      </c>
      <c r="H214" s="20">
        <v>2</v>
      </c>
      <c r="I214" s="20">
        <v>2</v>
      </c>
      <c r="J214" s="125"/>
      <c r="K214" s="26">
        <f t="shared" ref="K214:K230" si="18">IF(AND(D214="",E214="",F214="",G214="",H214="",I214="",J214=""),"",SUM(D214:J214))</f>
        <v>12</v>
      </c>
      <c r="L214" s="126"/>
    </row>
    <row r="215" spans="1:12" ht="22.5">
      <c r="A215" s="162"/>
      <c r="B215" s="109" t="s">
        <v>647</v>
      </c>
      <c r="C215" s="80" t="s">
        <v>648</v>
      </c>
      <c r="D215" s="19"/>
      <c r="E215" s="22"/>
      <c r="F215" s="22"/>
      <c r="G215" s="19"/>
      <c r="H215" s="19"/>
      <c r="I215" s="19"/>
      <c r="J215" s="25"/>
      <c r="K215" s="24" t="str">
        <f t="shared" si="18"/>
        <v/>
      </c>
      <c r="L215" s="35"/>
    </row>
    <row r="216" spans="1:12" ht="22.5">
      <c r="A216" s="162"/>
      <c r="B216" s="109" t="s">
        <v>649</v>
      </c>
      <c r="C216" s="80" t="s">
        <v>650</v>
      </c>
      <c r="D216" s="19"/>
      <c r="E216" s="22">
        <v>2</v>
      </c>
      <c r="F216" s="22">
        <v>2</v>
      </c>
      <c r="G216" s="19">
        <v>2</v>
      </c>
      <c r="H216" s="19">
        <v>2</v>
      </c>
      <c r="I216" s="19"/>
      <c r="J216" s="25"/>
      <c r="K216" s="24">
        <f t="shared" si="18"/>
        <v>8</v>
      </c>
      <c r="L216" s="35"/>
    </row>
    <row r="217" spans="1:12" ht="22.5">
      <c r="A217" s="162"/>
      <c r="B217" s="109" t="s">
        <v>651</v>
      </c>
      <c r="C217" s="80" t="s">
        <v>652</v>
      </c>
      <c r="D217" s="19"/>
      <c r="E217" s="19"/>
      <c r="F217" s="19"/>
      <c r="G217" s="19"/>
      <c r="H217" s="19"/>
      <c r="I217" s="19"/>
      <c r="J217" s="25"/>
      <c r="K217" s="24" t="str">
        <f t="shared" si="18"/>
        <v/>
      </c>
      <c r="L217" s="35"/>
    </row>
    <row r="218" spans="1:12" ht="22.5">
      <c r="A218" s="162"/>
      <c r="B218" s="109" t="s">
        <v>653</v>
      </c>
      <c r="C218" s="80" t="s">
        <v>654</v>
      </c>
      <c r="D218" s="19">
        <v>3</v>
      </c>
      <c r="E218" s="19">
        <v>2</v>
      </c>
      <c r="F218" s="19">
        <v>2</v>
      </c>
      <c r="G218" s="19">
        <v>2</v>
      </c>
      <c r="H218" s="19">
        <v>2</v>
      </c>
      <c r="I218" s="19">
        <v>2</v>
      </c>
      <c r="J218" s="25"/>
      <c r="K218" s="24">
        <f t="shared" si="18"/>
        <v>13</v>
      </c>
      <c r="L218" s="35"/>
    </row>
    <row r="219" spans="1:12" ht="22.5">
      <c r="A219" s="162"/>
      <c r="B219" s="109" t="s">
        <v>655</v>
      </c>
      <c r="C219" s="80" t="s">
        <v>656</v>
      </c>
      <c r="D219" s="19">
        <v>4</v>
      </c>
      <c r="E219" s="19">
        <v>2</v>
      </c>
      <c r="F219" s="19">
        <v>2</v>
      </c>
      <c r="G219" s="19">
        <v>2</v>
      </c>
      <c r="H219" s="19">
        <v>2</v>
      </c>
      <c r="I219" s="19">
        <v>4</v>
      </c>
      <c r="J219" s="25"/>
      <c r="K219" s="24">
        <f t="shared" si="18"/>
        <v>16</v>
      </c>
      <c r="L219" s="35"/>
    </row>
    <row r="220" spans="1:12" ht="22.5">
      <c r="A220" s="162"/>
      <c r="B220" s="109" t="s">
        <v>657</v>
      </c>
      <c r="C220" s="80" t="s">
        <v>658</v>
      </c>
      <c r="D220" s="19"/>
      <c r="E220" s="19"/>
      <c r="F220" s="19"/>
      <c r="G220" s="19"/>
      <c r="H220" s="19"/>
      <c r="I220" s="19"/>
      <c r="J220" s="25"/>
      <c r="K220" s="24" t="str">
        <f t="shared" si="18"/>
        <v/>
      </c>
      <c r="L220" s="35"/>
    </row>
    <row r="221" spans="1:12" ht="22.5">
      <c r="A221" s="162"/>
      <c r="B221" s="109" t="s">
        <v>659</v>
      </c>
      <c r="C221" s="80" t="s">
        <v>660</v>
      </c>
      <c r="D221" s="19">
        <v>3</v>
      </c>
      <c r="E221" s="19">
        <v>1</v>
      </c>
      <c r="F221" s="19">
        <v>2</v>
      </c>
      <c r="G221" s="19">
        <v>2</v>
      </c>
      <c r="H221" s="19">
        <v>3</v>
      </c>
      <c r="I221" s="19">
        <v>2</v>
      </c>
      <c r="J221" s="25"/>
      <c r="K221" s="24">
        <f t="shared" si="18"/>
        <v>13</v>
      </c>
      <c r="L221" s="35"/>
    </row>
    <row r="222" spans="1:12" ht="22.5">
      <c r="A222" s="162"/>
      <c r="B222" s="109" t="s">
        <v>661</v>
      </c>
      <c r="C222" s="80" t="s">
        <v>662</v>
      </c>
      <c r="D222" s="19"/>
      <c r="E222" s="19">
        <v>3</v>
      </c>
      <c r="F222" s="19">
        <v>2</v>
      </c>
      <c r="G222" s="19">
        <v>2</v>
      </c>
      <c r="H222" s="19">
        <v>1</v>
      </c>
      <c r="I222" s="19">
        <v>4</v>
      </c>
      <c r="J222" s="25"/>
      <c r="K222" s="24">
        <f t="shared" si="18"/>
        <v>12</v>
      </c>
      <c r="L222" s="35"/>
    </row>
    <row r="223" spans="1:12" ht="22.5">
      <c r="A223" s="162"/>
      <c r="B223" s="109" t="s">
        <v>663</v>
      </c>
      <c r="C223" s="80" t="s">
        <v>664</v>
      </c>
      <c r="D223" s="19">
        <v>2</v>
      </c>
      <c r="E223" s="19">
        <v>2</v>
      </c>
      <c r="F223" s="19">
        <v>2</v>
      </c>
      <c r="G223" s="19">
        <v>2</v>
      </c>
      <c r="H223" s="19">
        <v>2</v>
      </c>
      <c r="I223" s="19">
        <v>2</v>
      </c>
      <c r="J223" s="25"/>
      <c r="K223" s="24">
        <f t="shared" si="18"/>
        <v>12</v>
      </c>
      <c r="L223" s="35"/>
    </row>
    <row r="224" spans="1:12" ht="22.5">
      <c r="A224" s="162"/>
      <c r="B224" s="109" t="s">
        <v>665</v>
      </c>
      <c r="C224" s="80" t="s">
        <v>666</v>
      </c>
      <c r="D224" s="19"/>
      <c r="E224" s="19"/>
      <c r="F224" s="19"/>
      <c r="G224" s="19"/>
      <c r="H224" s="19"/>
      <c r="I224" s="19"/>
      <c r="J224" s="25"/>
      <c r="K224" s="24" t="str">
        <f t="shared" si="18"/>
        <v/>
      </c>
      <c r="L224" s="35"/>
    </row>
    <row r="225" spans="1:12" ht="22.5">
      <c r="A225" s="162"/>
      <c r="B225" s="109" t="s">
        <v>667</v>
      </c>
      <c r="C225" s="80" t="s">
        <v>668</v>
      </c>
      <c r="D225" s="19"/>
      <c r="E225" s="19"/>
      <c r="F225" s="19"/>
      <c r="G225" s="19">
        <v>1</v>
      </c>
      <c r="H225" s="19">
        <v>2</v>
      </c>
      <c r="I225" s="19"/>
      <c r="J225" s="25"/>
      <c r="K225" s="24">
        <f t="shared" si="18"/>
        <v>3</v>
      </c>
      <c r="L225" s="35"/>
    </row>
    <row r="226" spans="1:12" ht="22.5">
      <c r="A226" s="162"/>
      <c r="B226" s="109" t="s">
        <v>669</v>
      </c>
      <c r="C226" s="80" t="s">
        <v>670</v>
      </c>
      <c r="D226" s="19"/>
      <c r="E226" s="19"/>
      <c r="F226" s="19"/>
      <c r="G226" s="19"/>
      <c r="H226" s="19"/>
      <c r="I226" s="19"/>
      <c r="J226" s="25"/>
      <c r="K226" s="24" t="str">
        <f t="shared" si="18"/>
        <v/>
      </c>
      <c r="L226" s="35"/>
    </row>
    <row r="227" spans="1:12" ht="22.5">
      <c r="A227" s="162"/>
      <c r="B227" s="103" t="s">
        <v>671</v>
      </c>
      <c r="C227" s="80" t="s">
        <v>672</v>
      </c>
      <c r="D227" s="19"/>
      <c r="E227" s="19"/>
      <c r="F227" s="19"/>
      <c r="G227" s="19"/>
      <c r="H227" s="19"/>
      <c r="I227" s="19"/>
      <c r="J227" s="25"/>
      <c r="K227" s="24" t="str">
        <f t="shared" si="18"/>
        <v/>
      </c>
      <c r="L227" s="35"/>
    </row>
    <row r="228" spans="1:12" ht="22.5">
      <c r="A228" s="162"/>
      <c r="B228" s="103" t="s">
        <v>673</v>
      </c>
      <c r="C228" s="80" t="s">
        <v>674</v>
      </c>
      <c r="D228" s="19">
        <v>3</v>
      </c>
      <c r="E228" s="19">
        <v>2</v>
      </c>
      <c r="F228" s="19">
        <v>2</v>
      </c>
      <c r="G228" s="19">
        <v>3</v>
      </c>
      <c r="H228" s="19">
        <v>1</v>
      </c>
      <c r="I228" s="19">
        <v>2</v>
      </c>
      <c r="J228" s="25"/>
      <c r="K228" s="24">
        <f t="shared" si="18"/>
        <v>13</v>
      </c>
      <c r="L228" s="35"/>
    </row>
    <row r="229" spans="1:12" ht="22.5">
      <c r="A229" s="162"/>
      <c r="B229" s="96" t="s">
        <v>675</v>
      </c>
      <c r="C229" s="80" t="s">
        <v>676</v>
      </c>
      <c r="D229" s="19">
        <v>2</v>
      </c>
      <c r="E229" s="19">
        <v>2</v>
      </c>
      <c r="F229" s="19">
        <v>1</v>
      </c>
      <c r="G229" s="19">
        <v>2</v>
      </c>
      <c r="H229" s="19">
        <v>1</v>
      </c>
      <c r="I229" s="19">
        <v>1</v>
      </c>
      <c r="J229" s="25"/>
      <c r="K229" s="24">
        <f t="shared" si="18"/>
        <v>9</v>
      </c>
      <c r="L229" s="35"/>
    </row>
    <row r="230" spans="1:12" ht="22.5">
      <c r="A230" s="162"/>
      <c r="B230" s="103" t="s">
        <v>677</v>
      </c>
      <c r="C230" s="80" t="s">
        <v>678</v>
      </c>
      <c r="D230" s="19">
        <v>3</v>
      </c>
      <c r="E230" s="19">
        <v>2</v>
      </c>
      <c r="F230" s="19">
        <v>2</v>
      </c>
      <c r="G230" s="19">
        <v>1</v>
      </c>
      <c r="H230" s="19">
        <v>2</v>
      </c>
      <c r="I230" s="19">
        <v>1</v>
      </c>
      <c r="J230" s="25"/>
      <c r="K230" s="24">
        <f t="shared" si="18"/>
        <v>11</v>
      </c>
      <c r="L230" s="35"/>
    </row>
    <row r="231" spans="1:12" ht="22.5">
      <c r="A231" s="162"/>
      <c r="B231" s="103" t="s">
        <v>679</v>
      </c>
      <c r="C231" s="80" t="s">
        <v>678</v>
      </c>
      <c r="D231" s="19">
        <v>3</v>
      </c>
      <c r="E231" s="19">
        <v>3</v>
      </c>
      <c r="F231" s="19">
        <v>2</v>
      </c>
      <c r="G231" s="19">
        <v>3</v>
      </c>
      <c r="H231" s="19">
        <v>4</v>
      </c>
      <c r="I231" s="19">
        <v>2</v>
      </c>
      <c r="J231" s="25"/>
      <c r="K231" s="24">
        <f t="shared" ref="K231:K234" si="19">IF(AND(D231="",E231="",F231="",G231="",H231="",I231="",J231=""),"",SUM(D231:J231))</f>
        <v>17</v>
      </c>
      <c r="L231" s="35"/>
    </row>
    <row r="232" spans="1:12" ht="22.5">
      <c r="A232" s="162"/>
      <c r="B232" s="96" t="s">
        <v>680</v>
      </c>
      <c r="C232" s="80" t="s">
        <v>681</v>
      </c>
      <c r="D232" s="19"/>
      <c r="E232" s="19"/>
      <c r="F232" s="19"/>
      <c r="G232" s="19"/>
      <c r="H232" s="19"/>
      <c r="I232" s="19"/>
      <c r="J232" s="25"/>
      <c r="K232" s="24" t="str">
        <f t="shared" si="19"/>
        <v/>
      </c>
      <c r="L232" s="35"/>
    </row>
    <row r="233" spans="1:12" ht="22.5">
      <c r="A233" s="162"/>
      <c r="B233" s="96" t="s">
        <v>682</v>
      </c>
      <c r="C233" s="80" t="s">
        <v>681</v>
      </c>
      <c r="D233" s="19"/>
      <c r="E233" s="19"/>
      <c r="F233" s="19"/>
      <c r="G233" s="19"/>
      <c r="H233" s="19"/>
      <c r="I233" s="19"/>
      <c r="J233" s="25"/>
      <c r="K233" s="24" t="str">
        <f t="shared" si="19"/>
        <v/>
      </c>
      <c r="L233" s="35"/>
    </row>
    <row r="234" spans="1:12" ht="22.5">
      <c r="A234" s="162"/>
      <c r="B234" s="103"/>
      <c r="C234" s="80" t="str">
        <f>IF(B234="","",VLOOKUP(B234,SMV!$B$6:$D$1037,2,FALSE))</f>
        <v/>
      </c>
      <c r="D234" s="19"/>
      <c r="E234" s="19"/>
      <c r="F234" s="19"/>
      <c r="G234" s="19"/>
      <c r="H234" s="19"/>
      <c r="I234" s="19"/>
      <c r="J234" s="25"/>
      <c r="K234" s="24" t="str">
        <f t="shared" si="19"/>
        <v/>
      </c>
      <c r="L234" s="35"/>
    </row>
    <row r="235" spans="1:12" ht="22.5">
      <c r="A235" s="162"/>
      <c r="B235" s="157" t="s">
        <v>683</v>
      </c>
      <c r="C235" s="164"/>
      <c r="D235" s="130">
        <f t="shared" ref="D235:I235" si="20">SUM(D214:D234)</f>
        <v>25</v>
      </c>
      <c r="E235" s="130">
        <f t="shared" si="20"/>
        <v>23</v>
      </c>
      <c r="F235" s="130">
        <f>SUM(F214:F234)</f>
        <v>21</v>
      </c>
      <c r="G235" s="130">
        <f t="shared" si="20"/>
        <v>24</v>
      </c>
      <c r="H235" s="130">
        <f t="shared" si="20"/>
        <v>24</v>
      </c>
      <c r="I235" s="130">
        <f t="shared" si="20"/>
        <v>22</v>
      </c>
      <c r="J235" s="23" t="str">
        <f>IF(AND(J214="",J215="",J216="",J217="",J227="",J228="",J234=""),"",SUM(J214:J234))</f>
        <v/>
      </c>
      <c r="K235" s="24">
        <f>SUM(K214:K234)</f>
        <v>139</v>
      </c>
      <c r="L235" s="35"/>
    </row>
    <row r="236" spans="1:12" ht="22.5">
      <c r="A236" s="162"/>
      <c r="B236" s="166" t="s">
        <v>684</v>
      </c>
      <c r="C236" s="167"/>
      <c r="D236" s="45">
        <f>'DAILY SUMMARY'!K2</f>
        <v>571</v>
      </c>
      <c r="E236" s="45">
        <f>'DAILY SUMMARY'!K8</f>
        <v>575</v>
      </c>
      <c r="F236" s="45">
        <f>'DAILY SUMMARY'!K14</f>
        <v>573</v>
      </c>
      <c r="G236" s="45">
        <f>'DAILY SUMMARY'!K20</f>
        <v>576</v>
      </c>
      <c r="H236" s="45">
        <f>'DAILY SUMMARY'!K26</f>
        <v>576</v>
      </c>
      <c r="I236" s="45">
        <f>'DAILY SUMMARY'!K32</f>
        <v>647</v>
      </c>
      <c r="J236" s="45"/>
      <c r="K236" s="102">
        <f>SUM(D236:I236)</f>
        <v>3518</v>
      </c>
      <c r="L236" s="35"/>
    </row>
    <row r="237" spans="1:12" ht="22.5">
      <c r="A237" s="162"/>
      <c r="B237" s="157" t="s">
        <v>643</v>
      </c>
      <c r="C237" s="158"/>
      <c r="D237" s="187">
        <f>'DAILY SUMMARY'!K3</f>
        <v>546</v>
      </c>
      <c r="E237" s="45">
        <f>'DAILY SUMMARY'!K9</f>
        <v>552</v>
      </c>
      <c r="F237" s="45">
        <f>'DAILY SUMMARY'!K15</f>
        <v>552</v>
      </c>
      <c r="G237" s="45">
        <f>'DAILY SUMMARY'!K21</f>
        <v>552</v>
      </c>
      <c r="H237" s="45">
        <f>'DAILY SUMMARY'!K27</f>
        <v>552</v>
      </c>
      <c r="I237" s="45">
        <f>'DAILY SUMMARY'!K33</f>
        <v>625</v>
      </c>
      <c r="J237" s="45"/>
      <c r="K237" s="102">
        <f>SUM(D237:I237)</f>
        <v>3379</v>
      </c>
      <c r="L237" s="188"/>
    </row>
    <row r="238" spans="1:12" ht="22.5">
      <c r="A238" s="162"/>
      <c r="B238" s="157" t="s">
        <v>685</v>
      </c>
      <c r="C238" s="158"/>
      <c r="D238" s="124">
        <f>'DAILY SUMMARY'!K5</f>
        <v>4.3782837127845885E-2</v>
      </c>
      <c r="E238" s="124">
        <f>'DAILY SUMMARY'!K11</f>
        <v>0.04</v>
      </c>
      <c r="F238" s="124">
        <f>'DAILY SUMMARY'!K17</f>
        <v>3.6649214659685861E-2</v>
      </c>
      <c r="G238" s="124">
        <f>'DAILY SUMMARY'!K23</f>
        <v>4.1666666666666664E-2</v>
      </c>
      <c r="H238" s="124">
        <f>'DAILY SUMMARY'!K29</f>
        <v>4.1666666666666664E-2</v>
      </c>
      <c r="I238" s="124">
        <f>'DAILY SUMMARY'!K35</f>
        <v>3.4003091190108192E-2</v>
      </c>
      <c r="J238" s="124"/>
      <c r="K238" s="124">
        <f>AVERAGE(D238:I238)</f>
        <v>3.9628079385162211E-2</v>
      </c>
      <c r="L238" s="35"/>
    </row>
    <row r="239" spans="1:12" ht="23.25" thickBot="1">
      <c r="A239" s="163"/>
      <c r="B239" s="159" t="s">
        <v>699</v>
      </c>
      <c r="C239" s="160"/>
      <c r="D239" s="127">
        <f>'DAILY SUMMARY'!K6</f>
        <v>0.2875020098039216</v>
      </c>
      <c r="E239" s="127">
        <f>'DAILY SUMMARY'!K12</f>
        <v>0.27535685185185188</v>
      </c>
      <c r="F239" s="127">
        <f>'DAILY SUMMARY'!K18</f>
        <v>0.27535685185185188</v>
      </c>
      <c r="G239" s="127">
        <f>'DAILY SUMMARY'!K24</f>
        <v>0.40258518518518516</v>
      </c>
      <c r="H239" s="127">
        <f>'DAILY SUMMARY'!K30</f>
        <v>0.3748206896551724</v>
      </c>
      <c r="I239" s="127">
        <f>'DAILY SUMMARY'!K36</f>
        <v>0.43125897988505746</v>
      </c>
      <c r="J239" s="127"/>
      <c r="K239" s="127">
        <f>AVERAGE(D239:I239)</f>
        <v>0.34114676137217342</v>
      </c>
      <c r="L239" s="128"/>
    </row>
    <row r="240" spans="1:12" ht="22.5">
      <c r="A240" s="161" t="s">
        <v>712</v>
      </c>
      <c r="B240" s="105" t="s">
        <v>645</v>
      </c>
      <c r="C240" s="81" t="s">
        <v>646</v>
      </c>
      <c r="D240" s="20">
        <v>1</v>
      </c>
      <c r="E240" s="20">
        <v>2</v>
      </c>
      <c r="F240" s="20">
        <v>5</v>
      </c>
      <c r="G240" s="20">
        <v>3</v>
      </c>
      <c r="H240" s="20">
        <v>5</v>
      </c>
      <c r="I240" s="20">
        <v>5</v>
      </c>
      <c r="J240" s="125"/>
      <c r="K240" s="26">
        <f t="shared" ref="K240:K260" si="21">IF(AND(D240="",E240="",F240="",G240="",H240="",I240="",J240=""),"",SUM(D240:J240))</f>
        <v>21</v>
      </c>
      <c r="L240" s="126"/>
    </row>
    <row r="241" spans="1:12" ht="22.5">
      <c r="A241" s="162"/>
      <c r="B241" s="109" t="s">
        <v>647</v>
      </c>
      <c r="C241" s="80" t="s">
        <v>648</v>
      </c>
      <c r="D241" s="19"/>
      <c r="E241" s="22"/>
      <c r="F241" s="22"/>
      <c r="G241" s="19"/>
      <c r="H241" s="19"/>
      <c r="I241" s="19"/>
      <c r="J241" s="25"/>
      <c r="K241" s="24" t="str">
        <f t="shared" si="21"/>
        <v/>
      </c>
      <c r="L241" s="35"/>
    </row>
    <row r="242" spans="1:12" ht="22.5">
      <c r="A242" s="162"/>
      <c r="B242" s="109" t="s">
        <v>649</v>
      </c>
      <c r="C242" s="80" t="s">
        <v>650</v>
      </c>
      <c r="D242" s="19"/>
      <c r="E242" s="22">
        <v>1</v>
      </c>
      <c r="F242" s="22"/>
      <c r="G242" s="19">
        <v>2</v>
      </c>
      <c r="H242" s="19">
        <v>2</v>
      </c>
      <c r="I242" s="19">
        <v>2</v>
      </c>
      <c r="J242" s="25"/>
      <c r="K242" s="24">
        <f t="shared" si="21"/>
        <v>7</v>
      </c>
      <c r="L242" s="35"/>
    </row>
    <row r="243" spans="1:12" ht="22.5">
      <c r="A243" s="162"/>
      <c r="B243" s="109" t="s">
        <v>651</v>
      </c>
      <c r="C243" s="80" t="s">
        <v>652</v>
      </c>
      <c r="D243" s="19"/>
      <c r="E243" s="19"/>
      <c r="F243" s="19"/>
      <c r="G243" s="19"/>
      <c r="H243" s="19"/>
      <c r="I243" s="19"/>
      <c r="J243" s="25"/>
      <c r="K243" s="24" t="str">
        <f t="shared" si="21"/>
        <v/>
      </c>
      <c r="L243" s="35"/>
    </row>
    <row r="244" spans="1:12" ht="22.5">
      <c r="A244" s="162"/>
      <c r="B244" s="109" t="s">
        <v>653</v>
      </c>
      <c r="C244" s="80" t="s">
        <v>654</v>
      </c>
      <c r="D244" s="19"/>
      <c r="E244" s="19"/>
      <c r="F244" s="19"/>
      <c r="G244" s="19"/>
      <c r="H244" s="19"/>
      <c r="I244" s="19"/>
      <c r="J244" s="25"/>
      <c r="K244" s="24" t="str">
        <f t="shared" si="21"/>
        <v/>
      </c>
      <c r="L244" s="35"/>
    </row>
    <row r="245" spans="1:12" ht="22.5">
      <c r="A245" s="162"/>
      <c r="B245" s="109" t="s">
        <v>655</v>
      </c>
      <c r="C245" s="80" t="s">
        <v>656</v>
      </c>
      <c r="D245" s="19">
        <v>3</v>
      </c>
      <c r="E245" s="19">
        <v>1</v>
      </c>
      <c r="F245" s="19">
        <v>3</v>
      </c>
      <c r="G245" s="19">
        <v>4</v>
      </c>
      <c r="H245" s="19">
        <v>3</v>
      </c>
      <c r="I245" s="19">
        <v>2</v>
      </c>
      <c r="J245" s="25"/>
      <c r="K245" s="24">
        <f t="shared" si="21"/>
        <v>16</v>
      </c>
      <c r="L245" s="35"/>
    </row>
    <row r="246" spans="1:12" ht="22.5">
      <c r="A246" s="162"/>
      <c r="B246" s="109" t="s">
        <v>657</v>
      </c>
      <c r="C246" s="80" t="s">
        <v>658</v>
      </c>
      <c r="D246" s="19"/>
      <c r="E246" s="19"/>
      <c r="F246" s="19">
        <v>1</v>
      </c>
      <c r="G246" s="19"/>
      <c r="H246" s="19"/>
      <c r="I246" s="19"/>
      <c r="J246" s="25"/>
      <c r="K246" s="24">
        <f t="shared" si="21"/>
        <v>1</v>
      </c>
      <c r="L246" s="35"/>
    </row>
    <row r="247" spans="1:12" ht="22.5">
      <c r="A247" s="162"/>
      <c r="B247" s="109" t="s">
        <v>659</v>
      </c>
      <c r="C247" s="80" t="s">
        <v>660</v>
      </c>
      <c r="D247" s="19">
        <v>3</v>
      </c>
      <c r="E247" s="19"/>
      <c r="F247" s="19"/>
      <c r="G247" s="19">
        <v>4</v>
      </c>
      <c r="H247" s="19">
        <v>2</v>
      </c>
      <c r="I247" s="19">
        <v>6</v>
      </c>
      <c r="J247" s="25"/>
      <c r="K247" s="24">
        <f t="shared" si="21"/>
        <v>15</v>
      </c>
      <c r="L247" s="35"/>
    </row>
    <row r="248" spans="1:12" ht="22.5">
      <c r="A248" s="162"/>
      <c r="B248" s="109" t="s">
        <v>661</v>
      </c>
      <c r="C248" s="80" t="s">
        <v>662</v>
      </c>
      <c r="D248" s="19"/>
      <c r="E248" s="19">
        <v>2</v>
      </c>
      <c r="F248" s="19">
        <v>2</v>
      </c>
      <c r="G248" s="19">
        <v>1</v>
      </c>
      <c r="H248" s="19">
        <v>5</v>
      </c>
      <c r="I248" s="19">
        <v>2</v>
      </c>
      <c r="J248" s="25"/>
      <c r="K248" s="24">
        <f t="shared" si="21"/>
        <v>12</v>
      </c>
      <c r="L248" s="35"/>
    </row>
    <row r="249" spans="1:12" ht="22.5">
      <c r="A249" s="162"/>
      <c r="B249" s="109" t="s">
        <v>663</v>
      </c>
      <c r="C249" s="80" t="s">
        <v>664</v>
      </c>
      <c r="D249" s="19">
        <v>1</v>
      </c>
      <c r="E249" s="19">
        <v>1</v>
      </c>
      <c r="F249" s="19">
        <v>3</v>
      </c>
      <c r="G249" s="19">
        <v>3</v>
      </c>
      <c r="H249" s="19">
        <v>2</v>
      </c>
      <c r="I249" s="19">
        <v>4</v>
      </c>
      <c r="J249" s="25"/>
      <c r="K249" s="24">
        <f t="shared" si="21"/>
        <v>14</v>
      </c>
      <c r="L249" s="35"/>
    </row>
    <row r="250" spans="1:12" ht="22.5">
      <c r="A250" s="162"/>
      <c r="B250" s="109" t="s">
        <v>665</v>
      </c>
      <c r="C250" s="80" t="s">
        <v>666</v>
      </c>
      <c r="D250" s="19"/>
      <c r="E250" s="19"/>
      <c r="F250" s="19"/>
      <c r="G250" s="19"/>
      <c r="H250" s="19"/>
      <c r="I250" s="19"/>
      <c r="J250" s="25"/>
      <c r="K250" s="24" t="str">
        <f t="shared" si="21"/>
        <v/>
      </c>
      <c r="L250" s="35"/>
    </row>
    <row r="251" spans="1:12" ht="22.5">
      <c r="A251" s="162"/>
      <c r="B251" s="109" t="s">
        <v>667</v>
      </c>
      <c r="C251" s="80" t="s">
        <v>668</v>
      </c>
      <c r="D251" s="19"/>
      <c r="E251" s="19"/>
      <c r="F251" s="19"/>
      <c r="G251" s="19">
        <v>1</v>
      </c>
      <c r="H251" s="19"/>
      <c r="I251" s="19">
        <v>3</v>
      </c>
      <c r="J251" s="25"/>
      <c r="K251" s="24">
        <f t="shared" si="21"/>
        <v>4</v>
      </c>
      <c r="L251" s="35"/>
    </row>
    <row r="252" spans="1:12" ht="22.5">
      <c r="A252" s="162"/>
      <c r="B252" s="109" t="s">
        <v>669</v>
      </c>
      <c r="C252" s="80" t="s">
        <v>670</v>
      </c>
      <c r="D252" s="19"/>
      <c r="E252" s="19">
        <v>3</v>
      </c>
      <c r="F252" s="19"/>
      <c r="G252" s="19"/>
      <c r="H252" s="19"/>
      <c r="I252" s="19"/>
      <c r="J252" s="25"/>
      <c r="K252" s="24">
        <f t="shared" si="21"/>
        <v>3</v>
      </c>
      <c r="L252" s="35"/>
    </row>
    <row r="253" spans="1:12" ht="22.5">
      <c r="A253" s="162"/>
      <c r="B253" s="103" t="s">
        <v>671</v>
      </c>
      <c r="C253" s="80" t="s">
        <v>672</v>
      </c>
      <c r="D253" s="19"/>
      <c r="E253" s="19"/>
      <c r="F253" s="19"/>
      <c r="G253" s="19"/>
      <c r="H253" s="19"/>
      <c r="I253" s="19"/>
      <c r="J253" s="25"/>
      <c r="K253" s="24" t="str">
        <f t="shared" si="21"/>
        <v/>
      </c>
      <c r="L253" s="35"/>
    </row>
    <row r="254" spans="1:12" ht="22.5">
      <c r="A254" s="162"/>
      <c r="B254" s="103" t="s">
        <v>673</v>
      </c>
      <c r="C254" s="80" t="s">
        <v>674</v>
      </c>
      <c r="D254" s="19">
        <v>1</v>
      </c>
      <c r="E254" s="19">
        <v>2</v>
      </c>
      <c r="F254" s="19">
        <v>2</v>
      </c>
      <c r="G254" s="19">
        <v>2</v>
      </c>
      <c r="H254" s="19">
        <v>1</v>
      </c>
      <c r="I254" s="19">
        <v>1</v>
      </c>
      <c r="J254" s="25"/>
      <c r="K254" s="24">
        <f t="shared" si="21"/>
        <v>9</v>
      </c>
      <c r="L254" s="35"/>
    </row>
    <row r="255" spans="1:12" ht="22.5">
      <c r="A255" s="162"/>
      <c r="B255" s="96" t="s">
        <v>675</v>
      </c>
      <c r="C255" s="80" t="s">
        <v>676</v>
      </c>
      <c r="D255" s="19">
        <v>2</v>
      </c>
      <c r="E255" s="19">
        <v>2</v>
      </c>
      <c r="F255" s="19">
        <v>3</v>
      </c>
      <c r="G255" s="19">
        <v>3</v>
      </c>
      <c r="H255" s="19">
        <v>2</v>
      </c>
      <c r="I255" s="19">
        <v>4</v>
      </c>
      <c r="J255" s="25"/>
      <c r="K255" s="24">
        <f t="shared" si="21"/>
        <v>16</v>
      </c>
      <c r="L255" s="35"/>
    </row>
    <row r="256" spans="1:12" ht="22.5">
      <c r="A256" s="162"/>
      <c r="B256" s="103" t="s">
        <v>677</v>
      </c>
      <c r="C256" s="80" t="s">
        <v>678</v>
      </c>
      <c r="D256" s="19">
        <v>3</v>
      </c>
      <c r="E256" s="19">
        <v>2</v>
      </c>
      <c r="F256" s="19">
        <v>2</v>
      </c>
      <c r="G256" s="19"/>
      <c r="H256" s="19">
        <v>2</v>
      </c>
      <c r="I256" s="19">
        <v>2</v>
      </c>
      <c r="J256" s="25"/>
      <c r="K256" s="24">
        <f t="shared" si="21"/>
        <v>11</v>
      </c>
      <c r="L256" s="35"/>
    </row>
    <row r="257" spans="1:12" ht="22.5">
      <c r="A257" s="162"/>
      <c r="B257" s="103" t="s">
        <v>679</v>
      </c>
      <c r="C257" s="80" t="s">
        <v>678</v>
      </c>
      <c r="D257" s="19">
        <v>3</v>
      </c>
      <c r="E257" s="19">
        <v>4</v>
      </c>
      <c r="F257" s="19">
        <v>6</v>
      </c>
      <c r="G257" s="19">
        <v>2</v>
      </c>
      <c r="H257" s="19">
        <v>4</v>
      </c>
      <c r="I257" s="19">
        <v>3</v>
      </c>
      <c r="J257" s="25"/>
      <c r="K257" s="24">
        <f t="shared" si="21"/>
        <v>22</v>
      </c>
      <c r="L257" s="35"/>
    </row>
    <row r="258" spans="1:12" ht="22.5">
      <c r="A258" s="162"/>
      <c r="B258" s="96" t="s">
        <v>680</v>
      </c>
      <c r="C258" s="80" t="s">
        <v>681</v>
      </c>
      <c r="D258" s="19">
        <v>1</v>
      </c>
      <c r="E258" s="19">
        <v>2</v>
      </c>
      <c r="F258" s="19">
        <v>3</v>
      </c>
      <c r="G258" s="19">
        <v>1</v>
      </c>
      <c r="H258" s="19">
        <v>1</v>
      </c>
      <c r="I258" s="19">
        <v>1</v>
      </c>
      <c r="J258" s="25"/>
      <c r="K258" s="24">
        <f t="shared" si="21"/>
        <v>9</v>
      </c>
      <c r="L258" s="35"/>
    </row>
    <row r="259" spans="1:12" ht="22.5">
      <c r="A259" s="162"/>
      <c r="B259" s="96" t="s">
        <v>682</v>
      </c>
      <c r="C259" s="80" t="s">
        <v>681</v>
      </c>
      <c r="D259" s="19"/>
      <c r="E259" s="19"/>
      <c r="F259" s="19"/>
      <c r="G259" s="19"/>
      <c r="H259" s="19"/>
      <c r="I259" s="19"/>
      <c r="J259" s="25"/>
      <c r="K259" s="24" t="str">
        <f t="shared" si="21"/>
        <v/>
      </c>
      <c r="L259" s="35"/>
    </row>
    <row r="260" spans="1:12" ht="22.5">
      <c r="A260" s="162"/>
      <c r="B260" s="103"/>
      <c r="C260" s="80" t="str">
        <f>IF(B260="","",VLOOKUP(B260,SMV!$B$6:$D$1037,2,FALSE))</f>
        <v/>
      </c>
      <c r="D260" s="19"/>
      <c r="E260" s="19"/>
      <c r="F260" s="19"/>
      <c r="G260" s="19"/>
      <c r="H260" s="19"/>
      <c r="I260" s="19"/>
      <c r="J260" s="25"/>
      <c r="K260" s="24" t="str">
        <f t="shared" si="21"/>
        <v/>
      </c>
      <c r="L260" s="35"/>
    </row>
    <row r="261" spans="1:12" ht="22.5">
      <c r="A261" s="162"/>
      <c r="B261" s="157" t="s">
        <v>683</v>
      </c>
      <c r="C261" s="164"/>
      <c r="D261" s="130">
        <f t="shared" ref="D261:I261" si="22">IF(AND(D240="",D241="",D242="",D243="",D253="",D254="",D255="",D256="",D257="",D258="",D259="",D260=""),"",SUM(D240:D260))</f>
        <v>18</v>
      </c>
      <c r="E261" s="130">
        <f t="shared" si="22"/>
        <v>22</v>
      </c>
      <c r="F261" s="130">
        <f t="shared" si="22"/>
        <v>30</v>
      </c>
      <c r="G261" s="130">
        <f t="shared" si="22"/>
        <v>26</v>
      </c>
      <c r="H261" s="130">
        <f t="shared" si="22"/>
        <v>29</v>
      </c>
      <c r="I261" s="130">
        <f t="shared" si="22"/>
        <v>35</v>
      </c>
      <c r="J261" s="23" t="str">
        <f>IF(AND(J240="",J241="",J242="",J243="",J253="",J254="",J260=""),"",SUM(J240:J260))</f>
        <v/>
      </c>
      <c r="K261" s="24">
        <f>IF(AND(K240="",K241="",K242="",K243="",K253="",K254="",K260=""),"",SUM(K240:K260))</f>
        <v>160</v>
      </c>
      <c r="L261" s="35"/>
    </row>
    <row r="262" spans="1:12" ht="22.5">
      <c r="A262" s="162"/>
      <c r="B262" s="166" t="s">
        <v>684</v>
      </c>
      <c r="C262" s="167"/>
      <c r="D262" s="45">
        <f>'DAILY SUMMARY'!L2</f>
        <v>510</v>
      </c>
      <c r="E262" s="45">
        <f>'DAILY SUMMARY'!L8</f>
        <v>526</v>
      </c>
      <c r="F262" s="45">
        <f>'DAILY SUMMARY'!L14</f>
        <v>770</v>
      </c>
      <c r="G262" s="45">
        <f>'DAILY SUMMARY'!L20</f>
        <v>566</v>
      </c>
      <c r="H262" s="45">
        <f>'DAILY SUMMARY'!L26</f>
        <v>849</v>
      </c>
      <c r="I262" s="45">
        <f>'DAILY SUMMARY'!L32</f>
        <v>995</v>
      </c>
      <c r="J262" s="45"/>
      <c r="K262" s="102">
        <f>SUM(D262:I262)</f>
        <v>4216</v>
      </c>
      <c r="L262" s="35"/>
    </row>
    <row r="263" spans="1:12" ht="22.5">
      <c r="A263" s="162"/>
      <c r="B263" s="157" t="s">
        <v>643</v>
      </c>
      <c r="C263" s="158"/>
      <c r="D263" s="45">
        <f>'DAILY SUMMARY'!L3</f>
        <v>492</v>
      </c>
      <c r="E263" s="45">
        <f>'DAILY SUMMARY'!L9</f>
        <v>504</v>
      </c>
      <c r="F263" s="45">
        <f>'DAILY SUMMARY'!L15</f>
        <v>740</v>
      </c>
      <c r="G263" s="45">
        <f>'DAILY SUMMARY'!L21</f>
        <v>540</v>
      </c>
      <c r="H263" s="45">
        <f>'DAILY SUMMARY'!L27</f>
        <v>820</v>
      </c>
      <c r="I263" s="45">
        <f>'DAILY SUMMARY'!L33</f>
        <v>960</v>
      </c>
      <c r="J263" s="45"/>
      <c r="K263" s="102">
        <f>SUM(D263:I263)</f>
        <v>4056</v>
      </c>
      <c r="L263" s="188"/>
    </row>
    <row r="264" spans="1:12" ht="22.5">
      <c r="A264" s="162"/>
      <c r="B264" s="157" t="s">
        <v>685</v>
      </c>
      <c r="C264" s="158"/>
      <c r="D264" s="124">
        <f>'DAILY SUMMARY'!L5</f>
        <v>3.5294117647058823E-2</v>
      </c>
      <c r="E264" s="124">
        <f>'DAILY SUMMARY'!L11</f>
        <v>4.1825095057034217E-2</v>
      </c>
      <c r="F264" s="124">
        <f>'DAILY SUMMARY'!L17</f>
        <v>3.896103896103896E-2</v>
      </c>
      <c r="G264" s="124">
        <f>'DAILY SUMMARY'!L23</f>
        <v>4.5936395759717315E-2</v>
      </c>
      <c r="H264" s="124">
        <f>'DAILY SUMMARY'!L29</f>
        <v>3.4157832744405182E-2</v>
      </c>
      <c r="I264" s="124">
        <f>'DAILY SUMMARY'!L35</f>
        <v>3.5175879396984924E-2</v>
      </c>
      <c r="J264" s="124"/>
      <c r="K264" s="124">
        <f>AVERAGE(D264:I264)</f>
        <v>3.8558393261039901E-2</v>
      </c>
      <c r="L264" s="35"/>
    </row>
    <row r="265" spans="1:12" ht="23.25" thickBot="1">
      <c r="A265" s="163"/>
      <c r="B265" s="159" t="s">
        <v>699</v>
      </c>
      <c r="C265" s="160"/>
      <c r="D265" s="127">
        <f>'DAILY SUMMARY'!L6</f>
        <v>0.20466428571428572</v>
      </c>
      <c r="E265" s="127">
        <f>'DAILY SUMMARY'!L12</f>
        <v>0.20121982758620691</v>
      </c>
      <c r="F265" s="127">
        <f>'DAILY SUMMARY'!L18</f>
        <v>0.15254226190476192</v>
      </c>
      <c r="G265" s="127">
        <f>'DAILY SUMMARY'!L24</f>
        <v>0.13831967213114754</v>
      </c>
      <c r="H265" s="127">
        <f>'DAILY SUMMARY'!L30</f>
        <v>0.19428472222222221</v>
      </c>
      <c r="I265" s="127">
        <f>'DAILY SUMMARY'!L36</f>
        <v>0.25</v>
      </c>
      <c r="J265" s="127"/>
      <c r="K265" s="127">
        <f>AVERAGE(D265:I265)</f>
        <v>0.19017179492643735</v>
      </c>
      <c r="L265" s="128"/>
    </row>
    <row r="266" spans="1:12" ht="22.5">
      <c r="A266" s="161" t="s">
        <v>713</v>
      </c>
      <c r="B266" s="105" t="s">
        <v>645</v>
      </c>
      <c r="C266" s="81" t="s">
        <v>646</v>
      </c>
      <c r="D266" s="20"/>
      <c r="E266" s="20"/>
      <c r="F266" s="20">
        <v>4</v>
      </c>
      <c r="G266" s="20">
        <v>3</v>
      </c>
      <c r="H266" s="20">
        <v>5</v>
      </c>
      <c r="I266" s="20">
        <v>6</v>
      </c>
      <c r="J266" s="125"/>
      <c r="K266" s="26">
        <f t="shared" ref="K266:K286" si="23">IF(AND(D266="",E266="",F266="",G266="",H266="",I266="",J266=""),"",SUM(D266:J266))</f>
        <v>18</v>
      </c>
      <c r="L266" s="126"/>
    </row>
    <row r="267" spans="1:12" ht="22.5">
      <c r="A267" s="162"/>
      <c r="B267" s="109" t="s">
        <v>647</v>
      </c>
      <c r="C267" s="80" t="s">
        <v>648</v>
      </c>
      <c r="D267" s="19"/>
      <c r="E267" s="22"/>
      <c r="F267" s="19"/>
      <c r="G267" s="22"/>
      <c r="H267" s="19"/>
      <c r="I267" s="19"/>
      <c r="J267" s="25"/>
      <c r="K267" s="24" t="str">
        <f t="shared" si="23"/>
        <v/>
      </c>
      <c r="L267" s="35"/>
    </row>
    <row r="268" spans="1:12" ht="22.5">
      <c r="A268" s="162"/>
      <c r="B268" s="109" t="s">
        <v>649</v>
      </c>
      <c r="C268" s="80" t="s">
        <v>650</v>
      </c>
      <c r="D268" s="19"/>
      <c r="E268" s="22"/>
      <c r="F268" s="19"/>
      <c r="G268" s="22"/>
      <c r="H268" s="19"/>
      <c r="I268" s="19"/>
      <c r="J268" s="25"/>
      <c r="K268" s="24" t="str">
        <f t="shared" si="23"/>
        <v/>
      </c>
      <c r="L268" s="35"/>
    </row>
    <row r="269" spans="1:12" ht="22.5">
      <c r="A269" s="162"/>
      <c r="B269" s="109" t="s">
        <v>651</v>
      </c>
      <c r="C269" s="80" t="s">
        <v>652</v>
      </c>
      <c r="D269" s="19"/>
      <c r="E269" s="19"/>
      <c r="F269" s="19"/>
      <c r="G269" s="19"/>
      <c r="H269" s="19"/>
      <c r="I269" s="19"/>
      <c r="J269" s="25"/>
      <c r="K269" s="24" t="str">
        <f t="shared" si="23"/>
        <v/>
      </c>
      <c r="L269" s="35"/>
    </row>
    <row r="270" spans="1:12" ht="22.5">
      <c r="A270" s="162"/>
      <c r="B270" s="109" t="s">
        <v>653</v>
      </c>
      <c r="C270" s="80" t="s">
        <v>654</v>
      </c>
      <c r="D270" s="19"/>
      <c r="E270" s="19"/>
      <c r="F270" s="19"/>
      <c r="G270" s="19"/>
      <c r="H270" s="19"/>
      <c r="I270" s="19"/>
      <c r="J270" s="25"/>
      <c r="K270" s="24" t="str">
        <f t="shared" si="23"/>
        <v/>
      </c>
      <c r="L270" s="35"/>
    </row>
    <row r="271" spans="1:12" ht="22.5">
      <c r="A271" s="162"/>
      <c r="B271" s="109" t="s">
        <v>655</v>
      </c>
      <c r="C271" s="80" t="s">
        <v>656</v>
      </c>
      <c r="D271" s="19"/>
      <c r="E271" s="19"/>
      <c r="F271" s="19"/>
      <c r="G271" s="19">
        <v>1</v>
      </c>
      <c r="H271" s="19"/>
      <c r="I271" s="19"/>
      <c r="J271" s="25"/>
      <c r="K271" s="24">
        <f t="shared" si="23"/>
        <v>1</v>
      </c>
      <c r="L271" s="35"/>
    </row>
    <row r="272" spans="1:12" ht="22.5">
      <c r="A272" s="162"/>
      <c r="B272" s="109" t="s">
        <v>657</v>
      </c>
      <c r="C272" s="80" t="s">
        <v>658</v>
      </c>
      <c r="D272" s="19"/>
      <c r="E272" s="19"/>
      <c r="F272" s="19"/>
      <c r="G272" s="19"/>
      <c r="H272" s="19"/>
      <c r="I272" s="19"/>
      <c r="J272" s="25"/>
      <c r="K272" s="24" t="str">
        <f t="shared" si="23"/>
        <v/>
      </c>
      <c r="L272" s="35"/>
    </row>
    <row r="273" spans="1:12" ht="22.5">
      <c r="A273" s="162"/>
      <c r="B273" s="109" t="s">
        <v>659</v>
      </c>
      <c r="C273" s="80" t="s">
        <v>660</v>
      </c>
      <c r="D273" s="19"/>
      <c r="E273" s="19"/>
      <c r="F273" s="19"/>
      <c r="G273" s="19"/>
      <c r="H273" s="19">
        <v>1</v>
      </c>
      <c r="I273" s="19"/>
      <c r="J273" s="25"/>
      <c r="K273" s="24">
        <f t="shared" si="23"/>
        <v>1</v>
      </c>
      <c r="L273" s="35"/>
    </row>
    <row r="274" spans="1:12" ht="22.5">
      <c r="A274" s="162"/>
      <c r="B274" s="109" t="s">
        <v>661</v>
      </c>
      <c r="C274" s="80" t="s">
        <v>662</v>
      </c>
      <c r="D274" s="19"/>
      <c r="E274" s="19"/>
      <c r="F274" s="19"/>
      <c r="G274" s="19">
        <v>3</v>
      </c>
      <c r="H274" s="19">
        <v>5</v>
      </c>
      <c r="I274" s="19">
        <v>1</v>
      </c>
      <c r="J274" s="25"/>
      <c r="K274" s="24">
        <f t="shared" si="23"/>
        <v>9</v>
      </c>
      <c r="L274" s="35"/>
    </row>
    <row r="275" spans="1:12" ht="22.5">
      <c r="A275" s="162"/>
      <c r="B275" s="109" t="s">
        <v>663</v>
      </c>
      <c r="C275" s="80" t="s">
        <v>664</v>
      </c>
      <c r="D275" s="19"/>
      <c r="E275" s="19"/>
      <c r="F275" s="19">
        <v>2</v>
      </c>
      <c r="G275" s="19">
        <v>3</v>
      </c>
      <c r="H275" s="19">
        <v>1</v>
      </c>
      <c r="I275" s="19">
        <v>5</v>
      </c>
      <c r="J275" s="25"/>
      <c r="K275" s="24">
        <f t="shared" si="23"/>
        <v>11</v>
      </c>
      <c r="L275" s="35"/>
    </row>
    <row r="276" spans="1:12" ht="22.5">
      <c r="A276" s="162"/>
      <c r="B276" s="109" t="s">
        <v>665</v>
      </c>
      <c r="C276" s="80" t="s">
        <v>666</v>
      </c>
      <c r="D276" s="19"/>
      <c r="E276" s="19"/>
      <c r="F276" s="19"/>
      <c r="G276" s="19"/>
      <c r="H276" s="19"/>
      <c r="I276" s="19"/>
      <c r="J276" s="25"/>
      <c r="K276" s="24" t="str">
        <f t="shared" si="23"/>
        <v/>
      </c>
      <c r="L276" s="35"/>
    </row>
    <row r="277" spans="1:12" ht="22.5">
      <c r="A277" s="162"/>
      <c r="B277" s="109" t="s">
        <v>667</v>
      </c>
      <c r="C277" s="80" t="s">
        <v>668</v>
      </c>
      <c r="D277" s="19"/>
      <c r="E277" s="19"/>
      <c r="F277" s="19"/>
      <c r="G277" s="19"/>
      <c r="H277" s="19"/>
      <c r="I277" s="19"/>
      <c r="J277" s="25"/>
      <c r="K277" s="24" t="str">
        <f t="shared" si="23"/>
        <v/>
      </c>
      <c r="L277" s="35"/>
    </row>
    <row r="278" spans="1:12" ht="22.5">
      <c r="A278" s="162"/>
      <c r="B278" s="109" t="s">
        <v>669</v>
      </c>
      <c r="C278" s="80" t="s">
        <v>670</v>
      </c>
      <c r="D278" s="19"/>
      <c r="E278" s="19"/>
      <c r="F278" s="19"/>
      <c r="G278" s="19"/>
      <c r="H278" s="19"/>
      <c r="I278" s="19"/>
      <c r="J278" s="25"/>
      <c r="K278" s="24" t="str">
        <f t="shared" si="23"/>
        <v/>
      </c>
      <c r="L278" s="35"/>
    </row>
    <row r="279" spans="1:12" ht="22.5">
      <c r="A279" s="162"/>
      <c r="B279" s="103" t="s">
        <v>671</v>
      </c>
      <c r="C279" s="80" t="s">
        <v>672</v>
      </c>
      <c r="D279" s="19"/>
      <c r="E279" s="19"/>
      <c r="F279" s="19"/>
      <c r="G279" s="19"/>
      <c r="H279" s="19"/>
      <c r="I279" s="19"/>
      <c r="J279" s="25"/>
      <c r="K279" s="24" t="str">
        <f t="shared" si="23"/>
        <v/>
      </c>
      <c r="L279" s="35"/>
    </row>
    <row r="280" spans="1:12" ht="22.5">
      <c r="A280" s="162"/>
      <c r="B280" s="103" t="s">
        <v>673</v>
      </c>
      <c r="C280" s="80" t="s">
        <v>674</v>
      </c>
      <c r="D280" s="19"/>
      <c r="E280" s="19"/>
      <c r="F280" s="19"/>
      <c r="G280" s="19"/>
      <c r="H280" s="19">
        <v>1</v>
      </c>
      <c r="I280" s="19">
        <v>4</v>
      </c>
      <c r="J280" s="25"/>
      <c r="K280" s="24">
        <f t="shared" si="23"/>
        <v>5</v>
      </c>
      <c r="L280" s="35"/>
    </row>
    <row r="281" spans="1:12" ht="22.5">
      <c r="A281" s="162"/>
      <c r="B281" s="96" t="s">
        <v>675</v>
      </c>
      <c r="C281" s="80" t="s">
        <v>676</v>
      </c>
      <c r="D281" s="19"/>
      <c r="E281" s="19"/>
      <c r="F281" s="19">
        <v>6</v>
      </c>
      <c r="G281" s="19">
        <v>3</v>
      </c>
      <c r="H281" s="19">
        <v>7</v>
      </c>
      <c r="I281" s="19">
        <v>6</v>
      </c>
      <c r="J281" s="25"/>
      <c r="K281" s="24">
        <f t="shared" si="23"/>
        <v>22</v>
      </c>
      <c r="L281" s="35"/>
    </row>
    <row r="282" spans="1:12" ht="22.5">
      <c r="A282" s="162"/>
      <c r="B282" s="103" t="s">
        <v>677</v>
      </c>
      <c r="C282" s="80" t="s">
        <v>678</v>
      </c>
      <c r="D282" s="19"/>
      <c r="E282" s="19"/>
      <c r="F282" s="19"/>
      <c r="G282" s="19"/>
      <c r="H282" s="19"/>
      <c r="I282" s="19"/>
      <c r="J282" s="25"/>
      <c r="K282" s="24" t="str">
        <f t="shared" si="23"/>
        <v/>
      </c>
      <c r="L282" s="35"/>
    </row>
    <row r="283" spans="1:12" ht="22.5">
      <c r="A283" s="162"/>
      <c r="B283" s="103" t="s">
        <v>679</v>
      </c>
      <c r="C283" s="80" t="s">
        <v>678</v>
      </c>
      <c r="D283" s="19"/>
      <c r="E283" s="19"/>
      <c r="F283" s="19">
        <v>11</v>
      </c>
      <c r="G283" s="19">
        <v>6</v>
      </c>
      <c r="H283" s="19">
        <v>7</v>
      </c>
      <c r="I283" s="19">
        <v>4</v>
      </c>
      <c r="J283" s="25"/>
      <c r="K283" s="24">
        <f t="shared" si="23"/>
        <v>28</v>
      </c>
      <c r="L283" s="35"/>
    </row>
    <row r="284" spans="1:12" ht="22.5">
      <c r="A284" s="162"/>
      <c r="B284" s="96" t="s">
        <v>680</v>
      </c>
      <c r="C284" s="80" t="s">
        <v>681</v>
      </c>
      <c r="D284" s="19"/>
      <c r="E284" s="19"/>
      <c r="F284" s="19">
        <v>3</v>
      </c>
      <c r="G284" s="19"/>
      <c r="H284" s="19">
        <v>2</v>
      </c>
      <c r="I284" s="19">
        <v>3</v>
      </c>
      <c r="J284" s="25"/>
      <c r="K284" s="24">
        <f t="shared" si="23"/>
        <v>8</v>
      </c>
      <c r="L284" s="35"/>
    </row>
    <row r="285" spans="1:12" ht="22.5">
      <c r="A285" s="162"/>
      <c r="B285" s="96" t="s">
        <v>682</v>
      </c>
      <c r="C285" s="80" t="s">
        <v>681</v>
      </c>
      <c r="D285" s="19"/>
      <c r="E285" s="19"/>
      <c r="F285" s="19"/>
      <c r="G285" s="19"/>
      <c r="H285" s="19"/>
      <c r="I285" s="19"/>
      <c r="J285" s="25"/>
      <c r="K285" s="24" t="str">
        <f t="shared" si="23"/>
        <v/>
      </c>
      <c r="L285" s="35"/>
    </row>
    <row r="286" spans="1:12" ht="22.5">
      <c r="A286" s="162"/>
      <c r="B286" s="103"/>
      <c r="C286" s="80" t="str">
        <f>IF(B286="","",VLOOKUP(B286,SMV!$B$6:$D$1037,2,FALSE))</f>
        <v/>
      </c>
      <c r="D286" s="19"/>
      <c r="E286" s="19"/>
      <c r="F286" s="19"/>
      <c r="G286" s="19"/>
      <c r="H286" s="19"/>
      <c r="I286" s="19"/>
      <c r="J286" s="25"/>
      <c r="K286" s="24" t="str">
        <f t="shared" si="23"/>
        <v/>
      </c>
      <c r="L286" s="35"/>
    </row>
    <row r="287" spans="1:12" ht="22.5">
      <c r="A287" s="162"/>
      <c r="B287" s="157" t="s">
        <v>683</v>
      </c>
      <c r="C287" s="164"/>
      <c r="D287" s="130" t="str">
        <f t="shared" ref="D287:I287" si="24">IF(AND(D266="",D267="",D268="",D269="",D279="",D280="",D281="",D282="",D283="",D284="",D285="",D286=""),"",SUM(D266:D286))</f>
        <v/>
      </c>
      <c r="E287" s="130" t="str">
        <f t="shared" si="24"/>
        <v/>
      </c>
      <c r="F287" s="130">
        <f t="shared" si="24"/>
        <v>26</v>
      </c>
      <c r="G287" s="130">
        <f>IF(AND(G266="",G267="",G268="",G269="",G279="",G280="",G281="",G282="",G283="",G284="",G285="",G286=""),"",SUM(G266:G286))</f>
        <v>19</v>
      </c>
      <c r="H287" s="130">
        <f t="shared" si="24"/>
        <v>29</v>
      </c>
      <c r="I287" s="130">
        <f t="shared" si="24"/>
        <v>29</v>
      </c>
      <c r="J287" s="23" t="str">
        <f>IF(AND(J266="",J267="",J268="",J269="",J279="",J280="",J286=""),"",SUM(J266:J286))</f>
        <v/>
      </c>
      <c r="K287" s="24">
        <f>IF(AND(K266="",K267="",K268="",K269="",K279="",K280="",K286=""),"",SUM(K266:K286))</f>
        <v>103</v>
      </c>
      <c r="L287" s="35"/>
    </row>
    <row r="288" spans="1:12" ht="22.5">
      <c r="A288" s="162"/>
      <c r="B288" s="166" t="s">
        <v>684</v>
      </c>
      <c r="C288" s="167"/>
      <c r="D288" s="45">
        <f>'DAILY SUMMARY'!M2</f>
        <v>0</v>
      </c>
      <c r="E288" s="45">
        <f>'DAILY SUMMARY'!M8</f>
        <v>0</v>
      </c>
      <c r="F288" s="45">
        <f>'DAILY SUMMARY'!M14</f>
        <v>685</v>
      </c>
      <c r="G288" s="45">
        <f>'DAILY SUMMARY'!M20</f>
        <v>522</v>
      </c>
      <c r="H288" s="45">
        <f>'DAILY SUMMARY'!M26</f>
        <v>597</v>
      </c>
      <c r="I288" s="45">
        <f>'DAILY SUMMARY'!M32</f>
        <v>465</v>
      </c>
      <c r="J288" s="45"/>
      <c r="K288" s="102">
        <f>SUM(D288:I288)</f>
        <v>2269</v>
      </c>
      <c r="L288" s="35"/>
    </row>
    <row r="289" spans="1:12" ht="22.5">
      <c r="A289" s="162"/>
      <c r="B289" s="157" t="s">
        <v>643</v>
      </c>
      <c r="C289" s="158"/>
      <c r="D289" s="45">
        <f>'DAILY SUMMARY'!M3</f>
        <v>0</v>
      </c>
      <c r="E289" s="45">
        <f>'DAILY SUMMARY'!M9</f>
        <v>0</v>
      </c>
      <c r="F289" s="45">
        <f>'DAILY SUMMARY'!M15</f>
        <v>659</v>
      </c>
      <c r="G289" s="45">
        <f>'DAILY SUMMARY'!M21</f>
        <v>503</v>
      </c>
      <c r="H289" s="45">
        <f>'DAILY SUMMARY'!M27</f>
        <v>568</v>
      </c>
      <c r="I289" s="45">
        <f>'DAILY SUMMARY'!M33</f>
        <v>436</v>
      </c>
      <c r="J289" s="45"/>
      <c r="K289" s="102">
        <f>SUM(D289:I289)</f>
        <v>2166</v>
      </c>
      <c r="L289" s="35"/>
    </row>
    <row r="290" spans="1:12" ht="22.5">
      <c r="A290" s="162"/>
      <c r="B290" s="157" t="s">
        <v>685</v>
      </c>
      <c r="C290" s="158"/>
      <c r="D290" s="124">
        <f>'DAILY SUMMARY'!M5</f>
        <v>0</v>
      </c>
      <c r="E290" s="124">
        <f>'DAILY SUMMARY'!M11</f>
        <v>0</v>
      </c>
      <c r="F290" s="124">
        <f>'DAILY SUMMARY'!M17</f>
        <v>3.7956204379562042E-2</v>
      </c>
      <c r="G290" s="124">
        <f>'DAILY SUMMARY'!M23</f>
        <v>3.6398467432950193E-2</v>
      </c>
      <c r="H290" s="124">
        <f>'DAILY SUMMARY'!M29</f>
        <v>4.8576214405360134E-2</v>
      </c>
      <c r="I290" s="124">
        <f>'DAILY SUMMARY'!M35</f>
        <v>6.236559139784946E-2</v>
      </c>
      <c r="J290" s="124"/>
      <c r="K290" s="124">
        <f>AVERAGE(D290:I290)</f>
        <v>3.088274626928697E-2</v>
      </c>
      <c r="L290" s="35"/>
    </row>
    <row r="291" spans="1:12" ht="23.25" thickBot="1">
      <c r="A291" s="163"/>
      <c r="B291" s="159" t="s">
        <v>699</v>
      </c>
      <c r="C291" s="160"/>
      <c r="D291" s="127">
        <f>'DAILY SUMMARY'!M6</f>
        <v>0</v>
      </c>
      <c r="E291" s="127">
        <f>'DAILY SUMMARY'!M12</f>
        <v>0</v>
      </c>
      <c r="F291" s="127">
        <f>'DAILY SUMMARY'!M18</f>
        <v>0.3318864583333333</v>
      </c>
      <c r="G291" s="127">
        <f>'DAILY SUMMARY'!M24</f>
        <v>0.3836208333333333</v>
      </c>
      <c r="H291" s="127">
        <f>'DAILY SUMMARY'!M30</f>
        <v>0.36304062500000001</v>
      </c>
      <c r="I291" s="127">
        <f>'DAILY SUMMARY'!M36</f>
        <v>0.34040833333333331</v>
      </c>
      <c r="J291" s="127"/>
      <c r="K291" s="127">
        <f>AVERAGE(D291:I291)</f>
        <v>0.23649270833333333</v>
      </c>
      <c r="L291" s="128"/>
    </row>
    <row r="292" spans="1:12" ht="22.5" hidden="1">
      <c r="A292" s="161" t="s">
        <v>723</v>
      </c>
      <c r="B292" s="105" t="s">
        <v>645</v>
      </c>
      <c r="C292" s="81" t="s">
        <v>646</v>
      </c>
      <c r="D292" s="20"/>
      <c r="E292" s="20"/>
      <c r="F292" s="20"/>
      <c r="G292" s="20"/>
      <c r="H292" s="20"/>
      <c r="I292" s="20"/>
      <c r="J292" s="125"/>
      <c r="K292" s="26" t="str">
        <f t="shared" ref="K292:K312" si="25">IF(AND(D292="",E292="",F292="",G292="",H292="",I292="",J292=""),"",SUM(D292:J292))</f>
        <v/>
      </c>
      <c r="L292" s="126"/>
    </row>
    <row r="293" spans="1:12" ht="22.5" hidden="1">
      <c r="A293" s="162"/>
      <c r="B293" s="109" t="s">
        <v>647</v>
      </c>
      <c r="C293" s="80" t="s">
        <v>648</v>
      </c>
      <c r="D293" s="19"/>
      <c r="E293" s="22"/>
      <c r="F293" s="22"/>
      <c r="G293" s="19"/>
      <c r="H293" s="19"/>
      <c r="I293" s="19"/>
      <c r="J293" s="25"/>
      <c r="K293" s="24" t="str">
        <f t="shared" si="25"/>
        <v/>
      </c>
      <c r="L293" s="35"/>
    </row>
    <row r="294" spans="1:12" ht="22.5" hidden="1">
      <c r="A294" s="162"/>
      <c r="B294" s="109" t="s">
        <v>649</v>
      </c>
      <c r="C294" s="80" t="s">
        <v>650</v>
      </c>
      <c r="D294" s="19"/>
      <c r="E294" s="22"/>
      <c r="F294" s="22"/>
      <c r="G294" s="19"/>
      <c r="H294" s="19"/>
      <c r="I294" s="19"/>
      <c r="J294" s="25"/>
      <c r="K294" s="24" t="str">
        <f t="shared" si="25"/>
        <v/>
      </c>
      <c r="L294" s="35"/>
    </row>
    <row r="295" spans="1:12" ht="22.5" hidden="1">
      <c r="A295" s="162"/>
      <c r="B295" s="109" t="s">
        <v>651</v>
      </c>
      <c r="C295" s="80" t="s">
        <v>652</v>
      </c>
      <c r="D295" s="19"/>
      <c r="E295" s="19"/>
      <c r="F295" s="19"/>
      <c r="G295" s="19"/>
      <c r="H295" s="19"/>
      <c r="I295" s="19"/>
      <c r="J295" s="25"/>
      <c r="K295" s="24" t="str">
        <f t="shared" si="25"/>
        <v/>
      </c>
      <c r="L295" s="35"/>
    </row>
    <row r="296" spans="1:12" ht="22.5" hidden="1">
      <c r="A296" s="162"/>
      <c r="B296" s="109" t="s">
        <v>653</v>
      </c>
      <c r="C296" s="80" t="s">
        <v>654</v>
      </c>
      <c r="D296" s="19"/>
      <c r="E296" s="19"/>
      <c r="F296" s="19"/>
      <c r="G296" s="19"/>
      <c r="H296" s="19"/>
      <c r="I296" s="19"/>
      <c r="J296" s="25"/>
      <c r="K296" s="24" t="str">
        <f t="shared" si="25"/>
        <v/>
      </c>
      <c r="L296" s="35"/>
    </row>
    <row r="297" spans="1:12" ht="22.5" hidden="1">
      <c r="A297" s="162"/>
      <c r="B297" s="109" t="s">
        <v>655</v>
      </c>
      <c r="C297" s="80" t="s">
        <v>656</v>
      </c>
      <c r="D297" s="19"/>
      <c r="E297" s="19"/>
      <c r="F297" s="19"/>
      <c r="G297" s="19"/>
      <c r="H297" s="19"/>
      <c r="I297" s="19"/>
      <c r="J297" s="25"/>
      <c r="K297" s="24" t="str">
        <f t="shared" si="25"/>
        <v/>
      </c>
      <c r="L297" s="35"/>
    </row>
    <row r="298" spans="1:12" ht="22.5" hidden="1">
      <c r="A298" s="162"/>
      <c r="B298" s="109" t="s">
        <v>657</v>
      </c>
      <c r="C298" s="80" t="s">
        <v>658</v>
      </c>
      <c r="D298" s="19"/>
      <c r="E298" s="19"/>
      <c r="F298" s="19"/>
      <c r="G298" s="19"/>
      <c r="H298" s="19"/>
      <c r="I298" s="19"/>
      <c r="J298" s="25"/>
      <c r="K298" s="24" t="str">
        <f t="shared" si="25"/>
        <v/>
      </c>
      <c r="L298" s="35"/>
    </row>
    <row r="299" spans="1:12" ht="22.5" hidden="1">
      <c r="A299" s="162"/>
      <c r="B299" s="109" t="s">
        <v>659</v>
      </c>
      <c r="C299" s="80" t="s">
        <v>660</v>
      </c>
      <c r="D299" s="19"/>
      <c r="E299" s="19"/>
      <c r="F299" s="19"/>
      <c r="G299" s="19"/>
      <c r="H299" s="19"/>
      <c r="I299" s="19"/>
      <c r="J299" s="25"/>
      <c r="K299" s="24" t="str">
        <f t="shared" si="25"/>
        <v/>
      </c>
      <c r="L299" s="35"/>
    </row>
    <row r="300" spans="1:12" ht="22.5" hidden="1">
      <c r="A300" s="162"/>
      <c r="B300" s="109" t="s">
        <v>661</v>
      </c>
      <c r="C300" s="80" t="s">
        <v>662</v>
      </c>
      <c r="D300" s="19"/>
      <c r="E300" s="19"/>
      <c r="F300" s="19"/>
      <c r="G300" s="19"/>
      <c r="H300" s="19"/>
      <c r="I300" s="19"/>
      <c r="J300" s="25"/>
      <c r="K300" s="24" t="str">
        <f t="shared" si="25"/>
        <v/>
      </c>
      <c r="L300" s="35"/>
    </row>
    <row r="301" spans="1:12" ht="22.5" hidden="1">
      <c r="A301" s="162"/>
      <c r="B301" s="109" t="s">
        <v>663</v>
      </c>
      <c r="C301" s="80" t="s">
        <v>664</v>
      </c>
      <c r="D301" s="19"/>
      <c r="E301" s="19"/>
      <c r="F301" s="19"/>
      <c r="G301" s="19"/>
      <c r="H301" s="19"/>
      <c r="I301" s="19"/>
      <c r="J301" s="25"/>
      <c r="K301" s="24" t="str">
        <f t="shared" si="25"/>
        <v/>
      </c>
      <c r="L301" s="35"/>
    </row>
    <row r="302" spans="1:12" ht="22.5" hidden="1">
      <c r="A302" s="162"/>
      <c r="B302" s="109" t="s">
        <v>665</v>
      </c>
      <c r="C302" s="80" t="s">
        <v>666</v>
      </c>
      <c r="D302" s="19"/>
      <c r="E302" s="19"/>
      <c r="F302" s="19"/>
      <c r="G302" s="19"/>
      <c r="H302" s="19"/>
      <c r="I302" s="19"/>
      <c r="J302" s="25"/>
      <c r="K302" s="24" t="str">
        <f t="shared" si="25"/>
        <v/>
      </c>
      <c r="L302" s="35"/>
    </row>
    <row r="303" spans="1:12" ht="22.5" hidden="1">
      <c r="A303" s="162"/>
      <c r="B303" s="109" t="s">
        <v>667</v>
      </c>
      <c r="C303" s="80" t="s">
        <v>668</v>
      </c>
      <c r="D303" s="19"/>
      <c r="E303" s="19"/>
      <c r="F303" s="19"/>
      <c r="G303" s="19"/>
      <c r="H303" s="19"/>
      <c r="I303" s="19"/>
      <c r="J303" s="25"/>
      <c r="K303" s="24" t="str">
        <f t="shared" si="25"/>
        <v/>
      </c>
      <c r="L303" s="35"/>
    </row>
    <row r="304" spans="1:12" ht="22.5" hidden="1">
      <c r="A304" s="162"/>
      <c r="B304" s="109" t="s">
        <v>669</v>
      </c>
      <c r="C304" s="80" t="s">
        <v>670</v>
      </c>
      <c r="D304" s="19"/>
      <c r="E304" s="19"/>
      <c r="F304" s="19"/>
      <c r="G304" s="19"/>
      <c r="H304" s="19"/>
      <c r="I304" s="19"/>
      <c r="J304" s="25"/>
      <c r="K304" s="24" t="str">
        <f t="shared" si="25"/>
        <v/>
      </c>
      <c r="L304" s="35"/>
    </row>
    <row r="305" spans="1:12" ht="22.5" hidden="1">
      <c r="A305" s="162"/>
      <c r="B305" s="103" t="s">
        <v>671</v>
      </c>
      <c r="C305" s="80" t="s">
        <v>672</v>
      </c>
      <c r="D305" s="19"/>
      <c r="E305" s="19"/>
      <c r="F305" s="19"/>
      <c r="G305" s="19"/>
      <c r="H305" s="19"/>
      <c r="I305" s="19"/>
      <c r="J305" s="25"/>
      <c r="K305" s="24" t="str">
        <f t="shared" si="25"/>
        <v/>
      </c>
      <c r="L305" s="35"/>
    </row>
    <row r="306" spans="1:12" ht="22.5" hidden="1">
      <c r="A306" s="162"/>
      <c r="B306" s="103" t="s">
        <v>673</v>
      </c>
      <c r="C306" s="80" t="s">
        <v>674</v>
      </c>
      <c r="D306" s="19"/>
      <c r="E306" s="19"/>
      <c r="F306" s="19"/>
      <c r="G306" s="19"/>
      <c r="H306" s="19"/>
      <c r="I306" s="19"/>
      <c r="J306" s="25"/>
      <c r="K306" s="24" t="str">
        <f t="shared" si="25"/>
        <v/>
      </c>
      <c r="L306" s="35"/>
    </row>
    <row r="307" spans="1:12" ht="22.5" hidden="1">
      <c r="A307" s="162"/>
      <c r="B307" s="96" t="s">
        <v>675</v>
      </c>
      <c r="C307" s="80" t="s">
        <v>676</v>
      </c>
      <c r="D307" s="19"/>
      <c r="E307" s="19"/>
      <c r="F307" s="19"/>
      <c r="G307" s="19"/>
      <c r="H307" s="19"/>
      <c r="I307" s="19"/>
      <c r="J307" s="25"/>
      <c r="K307" s="24" t="str">
        <f t="shared" si="25"/>
        <v/>
      </c>
      <c r="L307" s="35"/>
    </row>
    <row r="308" spans="1:12" ht="22.5" hidden="1">
      <c r="A308" s="162"/>
      <c r="B308" s="103" t="s">
        <v>677</v>
      </c>
      <c r="C308" s="80" t="s">
        <v>678</v>
      </c>
      <c r="D308" s="19"/>
      <c r="E308" s="19"/>
      <c r="F308" s="19"/>
      <c r="G308" s="19"/>
      <c r="H308" s="19"/>
      <c r="I308" s="19"/>
      <c r="J308" s="25"/>
      <c r="K308" s="24" t="str">
        <f t="shared" si="25"/>
        <v/>
      </c>
      <c r="L308" s="35"/>
    </row>
    <row r="309" spans="1:12" ht="22.5" hidden="1">
      <c r="A309" s="162"/>
      <c r="B309" s="103" t="s">
        <v>679</v>
      </c>
      <c r="C309" s="80" t="s">
        <v>678</v>
      </c>
      <c r="D309" s="19"/>
      <c r="E309" s="19"/>
      <c r="F309" s="19"/>
      <c r="G309" s="19"/>
      <c r="H309" s="19"/>
      <c r="I309" s="19"/>
      <c r="J309" s="25"/>
      <c r="K309" s="24" t="str">
        <f t="shared" si="25"/>
        <v/>
      </c>
      <c r="L309" s="35"/>
    </row>
    <row r="310" spans="1:12" ht="22.5" hidden="1">
      <c r="A310" s="162"/>
      <c r="B310" s="96" t="s">
        <v>680</v>
      </c>
      <c r="C310" s="80" t="s">
        <v>681</v>
      </c>
      <c r="D310" s="19"/>
      <c r="E310" s="19"/>
      <c r="F310" s="19"/>
      <c r="G310" s="19"/>
      <c r="H310" s="19"/>
      <c r="I310" s="19"/>
      <c r="J310" s="25"/>
      <c r="K310" s="24" t="str">
        <f t="shared" si="25"/>
        <v/>
      </c>
      <c r="L310" s="35"/>
    </row>
    <row r="311" spans="1:12" ht="22.5" hidden="1">
      <c r="A311" s="162"/>
      <c r="B311" s="96" t="s">
        <v>682</v>
      </c>
      <c r="C311" s="80" t="s">
        <v>681</v>
      </c>
      <c r="D311" s="19"/>
      <c r="E311" s="19"/>
      <c r="F311" s="19"/>
      <c r="G311" s="19"/>
      <c r="H311" s="19"/>
      <c r="I311" s="19"/>
      <c r="J311" s="25"/>
      <c r="K311" s="24" t="str">
        <f t="shared" si="25"/>
        <v/>
      </c>
      <c r="L311" s="35"/>
    </row>
    <row r="312" spans="1:12" ht="22.5" hidden="1">
      <c r="A312" s="162"/>
      <c r="B312" s="103"/>
      <c r="C312" s="80" t="str">
        <f>IF(B312="","",VLOOKUP(B312,SMV!$B$6:$D$1037,2,FALSE))</f>
        <v/>
      </c>
      <c r="D312" s="19"/>
      <c r="E312" s="19"/>
      <c r="F312" s="19"/>
      <c r="G312" s="19"/>
      <c r="H312" s="19"/>
      <c r="I312" s="19"/>
      <c r="J312" s="25"/>
      <c r="K312" s="24" t="str">
        <f t="shared" si="25"/>
        <v/>
      </c>
      <c r="L312" s="35"/>
    </row>
    <row r="313" spans="1:12" ht="22.5" hidden="1">
      <c r="A313" s="162"/>
      <c r="B313" s="157" t="s">
        <v>683</v>
      </c>
      <c r="C313" s="164"/>
      <c r="D313" s="130" t="str">
        <f t="shared" ref="D313:I313" si="26">IF(AND(D292="",D293="",D294="",D295="",D305="",D306="",D307="",D308="",D309="",D310="",D311="",D312=""),"",SUM(D292:D312))</f>
        <v/>
      </c>
      <c r="E313" s="130" t="str">
        <f t="shared" si="26"/>
        <v/>
      </c>
      <c r="F313" s="130">
        <f>'DAILY SUMMARY'!N16</f>
        <v>0</v>
      </c>
      <c r="G313" s="130" t="str">
        <f t="shared" si="26"/>
        <v/>
      </c>
      <c r="H313" s="130" t="str">
        <f t="shared" si="26"/>
        <v/>
      </c>
      <c r="I313" s="130" t="str">
        <f t="shared" si="26"/>
        <v/>
      </c>
      <c r="J313" s="23" t="str">
        <f>IF(AND(J292="",J293="",J294="",J295="",J305="",J306="",J312=""),"",SUM(J292:J312))</f>
        <v/>
      </c>
      <c r="K313" s="24" t="str">
        <f>IF(AND(K292="",K293="",K294="",K295="",K305="",K306="",K312=""),"",SUM(K292:K312))</f>
        <v/>
      </c>
      <c r="L313" s="35"/>
    </row>
    <row r="314" spans="1:12" ht="22.5" hidden="1">
      <c r="A314" s="162"/>
      <c r="B314" s="166" t="s">
        <v>684</v>
      </c>
      <c r="C314" s="167"/>
      <c r="D314" s="45">
        <f>'DAILY SUMMARY'!N2</f>
        <v>0</v>
      </c>
      <c r="E314" s="45">
        <f>'DAILY SUMMARY'!N8</f>
        <v>0</v>
      </c>
      <c r="F314" s="45">
        <f>'DAILY SUMMARY'!N14</f>
        <v>0</v>
      </c>
      <c r="G314" s="45">
        <f>'DAILY SUMMARY'!N20</f>
        <v>0</v>
      </c>
      <c r="H314" s="45">
        <f>'DAILY SUMMARY'!N26</f>
        <v>0</v>
      </c>
      <c r="I314" s="45">
        <f>'DAILY SUMMARY'!N32</f>
        <v>0</v>
      </c>
      <c r="J314" s="45"/>
      <c r="K314" s="102">
        <f>SUM(D314:I314)</f>
        <v>0</v>
      </c>
      <c r="L314" s="35"/>
    </row>
    <row r="315" spans="1:12" ht="22.5" hidden="1">
      <c r="A315" s="162"/>
      <c r="B315" s="157" t="s">
        <v>643</v>
      </c>
      <c r="C315" s="158"/>
      <c r="D315" s="45">
        <f>'DAILY SUMMARY'!N3</f>
        <v>0</v>
      </c>
      <c r="E315" s="45">
        <f>'DAILY SUMMARY'!N9</f>
        <v>0</v>
      </c>
      <c r="F315" s="45">
        <f>'DAILY SUMMARY'!N15</f>
        <v>0</v>
      </c>
      <c r="G315" s="45">
        <f>'DAILY SUMMARY'!N21</f>
        <v>0</v>
      </c>
      <c r="H315" s="45">
        <f>'DAILY SUMMARY'!N27</f>
        <v>0</v>
      </c>
      <c r="I315" s="45">
        <f>'DAILY SUMMARY'!N33</f>
        <v>0</v>
      </c>
      <c r="J315" s="45"/>
      <c r="K315" s="102">
        <f>SUM(D315:I315)</f>
        <v>0</v>
      </c>
      <c r="L315" s="35"/>
    </row>
    <row r="316" spans="1:12" ht="22.5" hidden="1">
      <c r="A316" s="162"/>
      <c r="B316" s="157" t="s">
        <v>685</v>
      </c>
      <c r="C316" s="158"/>
      <c r="D316" s="124">
        <f>'DAILY SUMMARY'!N5</f>
        <v>0</v>
      </c>
      <c r="E316" s="124">
        <f>'DAILY SUMMARY'!N11</f>
        <v>0</v>
      </c>
      <c r="F316" s="124">
        <f>'DAILY SUMMARY'!N17</f>
        <v>0</v>
      </c>
      <c r="G316" s="124">
        <f>'DAILY SUMMARY'!N23</f>
        <v>0</v>
      </c>
      <c r="H316" s="124">
        <f>'DAILY SUMMARY'!N29</f>
        <v>0</v>
      </c>
      <c r="I316" s="124">
        <f>'DAILY SUMMARY'!N35</f>
        <v>0</v>
      </c>
      <c r="J316" s="124"/>
      <c r="K316" s="124">
        <f>AVERAGE(D316:I316)</f>
        <v>0</v>
      </c>
      <c r="L316" s="35"/>
    </row>
    <row r="317" spans="1:12" ht="23.25" hidden="1" thickBot="1">
      <c r="A317" s="163"/>
      <c r="B317" s="159" t="s">
        <v>699</v>
      </c>
      <c r="C317" s="160"/>
      <c r="D317" s="127">
        <f>'DAILY SUMMARY'!N6</f>
        <v>0</v>
      </c>
      <c r="E317" s="127">
        <f>'DAILY SUMMARY'!N12</f>
        <v>0</v>
      </c>
      <c r="F317" s="127">
        <f>'DAILY SUMMARY'!N18</f>
        <v>0</v>
      </c>
      <c r="G317" s="127">
        <f>'DAILY SUMMARY'!N24</f>
        <v>0</v>
      </c>
      <c r="H317" s="127">
        <f>'DAILY SUMMARY'!N30</f>
        <v>0</v>
      </c>
      <c r="I317" s="127">
        <f>'DAILY SUMMARY'!N36</f>
        <v>0</v>
      </c>
      <c r="J317" s="127"/>
      <c r="K317" s="127">
        <f>AVERAGE(D317:I317)</f>
        <v>0</v>
      </c>
      <c r="L317" s="128"/>
    </row>
    <row r="318" spans="1:12" ht="22.5">
      <c r="A318" s="177" t="s">
        <v>715</v>
      </c>
      <c r="B318" s="105" t="s">
        <v>645</v>
      </c>
      <c r="C318" s="81" t="s">
        <v>646</v>
      </c>
      <c r="D318" s="20"/>
      <c r="E318" s="20"/>
      <c r="F318" s="20"/>
      <c r="G318" s="20"/>
      <c r="H318" s="20"/>
      <c r="I318" s="20"/>
      <c r="J318" s="125"/>
      <c r="K318" s="26" t="str">
        <f t="shared" ref="K318:K338" si="27">IF(AND(D318="",E318="",F318="",G318="",H318="",I318="",J318=""),"",SUM(D318:J318))</f>
        <v/>
      </c>
      <c r="L318" s="126"/>
    </row>
    <row r="319" spans="1:12" ht="22.5">
      <c r="A319" s="178"/>
      <c r="B319" s="109" t="s">
        <v>647</v>
      </c>
      <c r="C319" s="80" t="s">
        <v>648</v>
      </c>
      <c r="D319" s="19"/>
      <c r="E319" s="22"/>
      <c r="F319" s="22"/>
      <c r="G319" s="19"/>
      <c r="H319" s="19"/>
      <c r="I319" s="19"/>
      <c r="J319" s="25"/>
      <c r="K319" s="24" t="str">
        <f t="shared" si="27"/>
        <v/>
      </c>
      <c r="L319" s="35"/>
    </row>
    <row r="320" spans="1:12" ht="22.5">
      <c r="A320" s="178"/>
      <c r="B320" s="109" t="s">
        <v>649</v>
      </c>
      <c r="C320" s="80" t="s">
        <v>650</v>
      </c>
      <c r="D320" s="19"/>
      <c r="E320" s="22"/>
      <c r="F320" s="22"/>
      <c r="G320" s="19"/>
      <c r="H320" s="19"/>
      <c r="I320" s="19"/>
      <c r="J320" s="25"/>
      <c r="K320" s="24" t="str">
        <f t="shared" si="27"/>
        <v/>
      </c>
      <c r="L320" s="35"/>
    </row>
    <row r="321" spans="1:12" ht="22.5">
      <c r="A321" s="178"/>
      <c r="B321" s="109" t="s">
        <v>651</v>
      </c>
      <c r="C321" s="80" t="s">
        <v>652</v>
      </c>
      <c r="D321" s="19"/>
      <c r="E321" s="19"/>
      <c r="F321" s="19"/>
      <c r="G321" s="19"/>
      <c r="H321" s="19"/>
      <c r="I321" s="19"/>
      <c r="J321" s="25"/>
      <c r="K321" s="24" t="str">
        <f t="shared" si="27"/>
        <v/>
      </c>
      <c r="L321" s="35"/>
    </row>
    <row r="322" spans="1:12" ht="22.5">
      <c r="A322" s="178"/>
      <c r="B322" s="109" t="s">
        <v>653</v>
      </c>
      <c r="C322" s="80" t="s">
        <v>654</v>
      </c>
      <c r="D322" s="19"/>
      <c r="E322" s="19"/>
      <c r="F322" s="19"/>
      <c r="G322" s="19"/>
      <c r="H322" s="19"/>
      <c r="I322" s="19"/>
      <c r="J322" s="25"/>
      <c r="K322" s="24" t="str">
        <f t="shared" si="27"/>
        <v/>
      </c>
      <c r="L322" s="35"/>
    </row>
    <row r="323" spans="1:12" ht="22.5">
      <c r="A323" s="178"/>
      <c r="B323" s="109" t="s">
        <v>655</v>
      </c>
      <c r="C323" s="80" t="s">
        <v>656</v>
      </c>
      <c r="D323" s="19"/>
      <c r="E323" s="19"/>
      <c r="F323" s="19"/>
      <c r="G323" s="19"/>
      <c r="H323" s="19"/>
      <c r="I323" s="19"/>
      <c r="J323" s="25"/>
      <c r="K323" s="24" t="str">
        <f t="shared" si="27"/>
        <v/>
      </c>
      <c r="L323" s="35"/>
    </row>
    <row r="324" spans="1:12" ht="22.5">
      <c r="A324" s="178"/>
      <c r="B324" s="109" t="s">
        <v>657</v>
      </c>
      <c r="C324" s="80" t="s">
        <v>658</v>
      </c>
      <c r="D324" s="19"/>
      <c r="E324" s="19"/>
      <c r="F324" s="19"/>
      <c r="G324" s="19"/>
      <c r="H324" s="19"/>
      <c r="I324" s="19"/>
      <c r="J324" s="25"/>
      <c r="K324" s="24" t="str">
        <f t="shared" si="27"/>
        <v/>
      </c>
      <c r="L324" s="35"/>
    </row>
    <row r="325" spans="1:12" ht="22.5">
      <c r="A325" s="178"/>
      <c r="B325" s="109" t="s">
        <v>659</v>
      </c>
      <c r="C325" s="80" t="s">
        <v>660</v>
      </c>
      <c r="D325" s="19"/>
      <c r="E325" s="19"/>
      <c r="F325" s="19"/>
      <c r="G325" s="19"/>
      <c r="H325" s="19"/>
      <c r="I325" s="19"/>
      <c r="J325" s="25"/>
      <c r="K325" s="24" t="str">
        <f t="shared" si="27"/>
        <v/>
      </c>
      <c r="L325" s="35"/>
    </row>
    <row r="326" spans="1:12" ht="22.5">
      <c r="A326" s="178"/>
      <c r="B326" s="109" t="s">
        <v>661</v>
      </c>
      <c r="C326" s="80" t="s">
        <v>662</v>
      </c>
      <c r="D326" s="19"/>
      <c r="E326" s="19"/>
      <c r="F326" s="19"/>
      <c r="G326" s="19"/>
      <c r="H326" s="19"/>
      <c r="I326" s="19"/>
      <c r="J326" s="25"/>
      <c r="K326" s="24" t="str">
        <f t="shared" si="27"/>
        <v/>
      </c>
      <c r="L326" s="35"/>
    </row>
    <row r="327" spans="1:12" ht="22.5">
      <c r="A327" s="178"/>
      <c r="B327" s="109" t="s">
        <v>663</v>
      </c>
      <c r="C327" s="80" t="s">
        <v>664</v>
      </c>
      <c r="D327" s="19"/>
      <c r="E327" s="19"/>
      <c r="F327" s="19"/>
      <c r="G327" s="19"/>
      <c r="H327" s="19"/>
      <c r="I327" s="19"/>
      <c r="J327" s="25"/>
      <c r="K327" s="24" t="str">
        <f t="shared" si="27"/>
        <v/>
      </c>
      <c r="L327" s="35"/>
    </row>
    <row r="328" spans="1:12" ht="22.5">
      <c r="A328" s="178"/>
      <c r="B328" s="109" t="s">
        <v>665</v>
      </c>
      <c r="C328" s="80" t="s">
        <v>666</v>
      </c>
      <c r="D328" s="19"/>
      <c r="E328" s="19"/>
      <c r="F328" s="19"/>
      <c r="G328" s="19"/>
      <c r="H328" s="19"/>
      <c r="I328" s="19"/>
      <c r="J328" s="25"/>
      <c r="K328" s="24" t="str">
        <f t="shared" si="27"/>
        <v/>
      </c>
      <c r="L328" s="35"/>
    </row>
    <row r="329" spans="1:12" ht="22.5">
      <c r="A329" s="178"/>
      <c r="B329" s="109" t="s">
        <v>667</v>
      </c>
      <c r="C329" s="80" t="s">
        <v>668</v>
      </c>
      <c r="D329" s="19"/>
      <c r="E329" s="19"/>
      <c r="F329" s="19"/>
      <c r="G329" s="19"/>
      <c r="H329" s="19"/>
      <c r="I329" s="19"/>
      <c r="J329" s="25"/>
      <c r="K329" s="24" t="str">
        <f t="shared" si="27"/>
        <v/>
      </c>
      <c r="L329" s="35"/>
    </row>
    <row r="330" spans="1:12" ht="22.5">
      <c r="A330" s="178"/>
      <c r="B330" s="109" t="s">
        <v>669</v>
      </c>
      <c r="C330" s="80" t="s">
        <v>670</v>
      </c>
      <c r="D330" s="19"/>
      <c r="E330" s="19"/>
      <c r="F330" s="19"/>
      <c r="G330" s="19"/>
      <c r="H330" s="19"/>
      <c r="I330" s="19"/>
      <c r="J330" s="25"/>
      <c r="K330" s="24" t="str">
        <f t="shared" si="27"/>
        <v/>
      </c>
      <c r="L330" s="35"/>
    </row>
    <row r="331" spans="1:12" ht="22.5">
      <c r="A331" s="178"/>
      <c r="B331" s="103" t="s">
        <v>671</v>
      </c>
      <c r="C331" s="80" t="s">
        <v>672</v>
      </c>
      <c r="D331" s="19"/>
      <c r="E331" s="19"/>
      <c r="F331" s="19"/>
      <c r="G331" s="19"/>
      <c r="H331" s="19"/>
      <c r="I331" s="19"/>
      <c r="J331" s="25"/>
      <c r="K331" s="24" t="str">
        <f t="shared" si="27"/>
        <v/>
      </c>
      <c r="L331" s="35"/>
    </row>
    <row r="332" spans="1:12" ht="22.5">
      <c r="A332" s="178"/>
      <c r="B332" s="103" t="s">
        <v>673</v>
      </c>
      <c r="C332" s="80" t="s">
        <v>674</v>
      </c>
      <c r="D332" s="19"/>
      <c r="E332" s="19"/>
      <c r="F332" s="19"/>
      <c r="G332" s="19"/>
      <c r="H332" s="19"/>
      <c r="I332" s="19"/>
      <c r="J332" s="25"/>
      <c r="K332" s="24" t="str">
        <f t="shared" si="27"/>
        <v/>
      </c>
      <c r="L332" s="35"/>
    </row>
    <row r="333" spans="1:12" ht="22.5">
      <c r="A333" s="178"/>
      <c r="B333" s="96" t="s">
        <v>675</v>
      </c>
      <c r="C333" s="80" t="s">
        <v>676</v>
      </c>
      <c r="D333" s="19"/>
      <c r="E333" s="19"/>
      <c r="F333" s="19"/>
      <c r="G333" s="19"/>
      <c r="H333" s="19"/>
      <c r="I333" s="19"/>
      <c r="J333" s="25"/>
      <c r="K333" s="24" t="str">
        <f t="shared" si="27"/>
        <v/>
      </c>
      <c r="L333" s="35"/>
    </row>
    <row r="334" spans="1:12" ht="22.5">
      <c r="A334" s="178"/>
      <c r="B334" s="103" t="s">
        <v>677</v>
      </c>
      <c r="C334" s="80" t="s">
        <v>678</v>
      </c>
      <c r="D334" s="19"/>
      <c r="E334" s="19"/>
      <c r="F334" s="19"/>
      <c r="G334" s="19"/>
      <c r="H334" s="19"/>
      <c r="I334" s="19"/>
      <c r="J334" s="25"/>
      <c r="K334" s="24" t="str">
        <f t="shared" si="27"/>
        <v/>
      </c>
      <c r="L334" s="35"/>
    </row>
    <row r="335" spans="1:12" ht="22.5">
      <c r="A335" s="178"/>
      <c r="B335" s="103" t="s">
        <v>679</v>
      </c>
      <c r="C335" s="80" t="s">
        <v>678</v>
      </c>
      <c r="D335" s="19"/>
      <c r="E335" s="19"/>
      <c r="F335" s="19"/>
      <c r="G335" s="19"/>
      <c r="H335" s="19"/>
      <c r="I335" s="19"/>
      <c r="J335" s="25"/>
      <c r="K335" s="24" t="str">
        <f t="shared" si="27"/>
        <v/>
      </c>
      <c r="L335" s="35"/>
    </row>
    <row r="336" spans="1:12" ht="22.5">
      <c r="A336" s="178"/>
      <c r="B336" s="96" t="s">
        <v>680</v>
      </c>
      <c r="C336" s="80" t="s">
        <v>681</v>
      </c>
      <c r="D336" s="19"/>
      <c r="E336" s="19"/>
      <c r="F336" s="19"/>
      <c r="G336" s="19"/>
      <c r="H336" s="19"/>
      <c r="I336" s="19"/>
      <c r="J336" s="25"/>
      <c r="K336" s="24" t="str">
        <f t="shared" si="27"/>
        <v/>
      </c>
      <c r="L336" s="35"/>
    </row>
    <row r="337" spans="1:12" ht="22.5">
      <c r="A337" s="178"/>
      <c r="B337" s="96" t="s">
        <v>682</v>
      </c>
      <c r="C337" s="80" t="s">
        <v>681</v>
      </c>
      <c r="D337" s="19"/>
      <c r="E337" s="19"/>
      <c r="F337" s="19"/>
      <c r="G337" s="19"/>
      <c r="H337" s="19"/>
      <c r="I337" s="19"/>
      <c r="J337" s="25"/>
      <c r="K337" s="24" t="str">
        <f t="shared" si="27"/>
        <v/>
      </c>
      <c r="L337" s="35"/>
    </row>
    <row r="338" spans="1:12" ht="22.5">
      <c r="A338" s="178"/>
      <c r="B338" s="103"/>
      <c r="C338" s="80" t="str">
        <f>IF(B338="","",VLOOKUP(B338,SMV!$B$6:$D$1037,2,FALSE))</f>
        <v/>
      </c>
      <c r="D338" s="19"/>
      <c r="E338" s="19"/>
      <c r="F338" s="19"/>
      <c r="G338" s="19"/>
      <c r="H338" s="19"/>
      <c r="I338" s="19"/>
      <c r="J338" s="25"/>
      <c r="K338" s="24" t="str">
        <f t="shared" si="27"/>
        <v/>
      </c>
      <c r="L338" s="35"/>
    </row>
    <row r="339" spans="1:12" ht="22.5">
      <c r="A339" s="178"/>
      <c r="B339" s="172" t="s">
        <v>683</v>
      </c>
      <c r="C339" s="173"/>
      <c r="D339" s="130">
        <f>'DAILY SUMMARY'!O4</f>
        <v>0</v>
      </c>
      <c r="E339" s="130">
        <f>'DAILY SUMMARY'!O10</f>
        <v>0</v>
      </c>
      <c r="F339" s="130">
        <f>'DAILY SUMMARY'!O16</f>
        <v>0</v>
      </c>
      <c r="G339" s="130">
        <f>'DAILY SUMMARY'!O22</f>
        <v>0</v>
      </c>
      <c r="H339" s="130">
        <f>'DAILY SUMMARY'!O28</f>
        <v>0</v>
      </c>
      <c r="I339" s="130">
        <f>'DAILY SUMMARY'!O34</f>
        <v>0</v>
      </c>
      <c r="J339" s="23" t="str">
        <f>IF(AND(J318="",J319="",J320="",J321="",J331="",J332="",J338=""),"",SUM(J318:J338))</f>
        <v/>
      </c>
      <c r="K339" s="24">
        <f>SUM(D339:I339)</f>
        <v>0</v>
      </c>
      <c r="L339" s="35"/>
    </row>
    <row r="340" spans="1:12" ht="22.5">
      <c r="A340" s="178"/>
      <c r="B340" s="166" t="s">
        <v>684</v>
      </c>
      <c r="C340" s="167"/>
      <c r="D340" s="45">
        <f>'DAILY SUMMARY'!O2</f>
        <v>0</v>
      </c>
      <c r="E340" s="45">
        <f>'DAILY SUMMARY'!O8</f>
        <v>0</v>
      </c>
      <c r="F340" s="45">
        <f>'DAILY SUMMARY'!O14</f>
        <v>0</v>
      </c>
      <c r="G340" s="45">
        <f>'DAILY SUMMARY'!O20</f>
        <v>0</v>
      </c>
      <c r="H340" s="45">
        <f>'DAILY SUMMARY'!O26</f>
        <v>0</v>
      </c>
      <c r="I340" s="45">
        <f>'DAILY SUMMARY'!O32</f>
        <v>0</v>
      </c>
      <c r="J340" s="45"/>
      <c r="K340" s="102">
        <f>SUM(D340:I340)</f>
        <v>0</v>
      </c>
      <c r="L340" s="35"/>
    </row>
    <row r="341" spans="1:12" ht="22.5">
      <c r="A341" s="178"/>
      <c r="B341" s="172" t="s">
        <v>643</v>
      </c>
      <c r="C341" s="174"/>
      <c r="D341" s="45">
        <f>'DAILY SUMMARY'!O3</f>
        <v>0</v>
      </c>
      <c r="E341" s="45">
        <f>'DAILY SUMMARY'!O9</f>
        <v>0</v>
      </c>
      <c r="F341" s="45">
        <f>'DAILY SUMMARY'!O15</f>
        <v>0</v>
      </c>
      <c r="G341" s="45">
        <f>'DAILY SUMMARY'!O21</f>
        <v>0</v>
      </c>
      <c r="H341" s="45">
        <f>'DAILY SUMMARY'!O27</f>
        <v>0</v>
      </c>
      <c r="I341" s="45">
        <f>'DAILY SUMMARY'!O33</f>
        <v>0</v>
      </c>
      <c r="J341" s="45"/>
      <c r="K341" s="102">
        <f>SUM(D341:I341)</f>
        <v>0</v>
      </c>
      <c r="L341" s="35"/>
    </row>
    <row r="342" spans="1:12" ht="22.5">
      <c r="A342" s="178"/>
      <c r="B342" s="172" t="s">
        <v>685</v>
      </c>
      <c r="C342" s="174"/>
      <c r="D342" s="124">
        <f>'DAILY SUMMARY'!O5</f>
        <v>0</v>
      </c>
      <c r="E342" s="124">
        <f>'DAILY SUMMARY'!O11</f>
        <v>0</v>
      </c>
      <c r="F342" s="124">
        <f>'DAILY SUMMARY'!O17</f>
        <v>0</v>
      </c>
      <c r="G342" s="124">
        <f>'DAILY SUMMARY'!O23</f>
        <v>0</v>
      </c>
      <c r="H342" s="124">
        <f>'DAILY SUMMARY'!O29</f>
        <v>0</v>
      </c>
      <c r="I342" s="124">
        <f>'DAILY SUMMARY'!O35</f>
        <v>0</v>
      </c>
      <c r="J342" s="124"/>
      <c r="K342" s="124">
        <f>SUM(D342:I342)</f>
        <v>0</v>
      </c>
      <c r="L342" s="35"/>
    </row>
    <row r="343" spans="1:12" ht="23.25" thickBot="1">
      <c r="A343" s="179"/>
      <c r="B343" s="175" t="s">
        <v>699</v>
      </c>
      <c r="C343" s="176"/>
      <c r="D343" s="127">
        <f>'DAILY SUMMARY'!O6</f>
        <v>0</v>
      </c>
      <c r="E343" s="127">
        <f>'DAILY SUMMARY'!O12</f>
        <v>0</v>
      </c>
      <c r="F343" s="127">
        <f>'DAILY SUMMARY'!O18</f>
        <v>0</v>
      </c>
      <c r="G343" s="127">
        <f>'DAILY SUMMARY'!O24</f>
        <v>0</v>
      </c>
      <c r="H343" s="127">
        <f>'DAILY SUMMARY'!O30</f>
        <v>0</v>
      </c>
      <c r="I343" s="127">
        <f>'DAILY SUMMARY'!O36</f>
        <v>0</v>
      </c>
      <c r="J343" s="127"/>
      <c r="K343" s="127">
        <f>SUM(D343:I343)</f>
        <v>0</v>
      </c>
      <c r="L343" s="128"/>
    </row>
  </sheetData>
  <sortState ref="B71:I73">
    <sortCondition ref="B71:B73"/>
  </sortState>
  <mergeCells count="13">
    <mergeCell ref="B30:C30"/>
    <mergeCell ref="B31:C31"/>
    <mergeCell ref="A6:A31"/>
    <mergeCell ref="B28:C28"/>
    <mergeCell ref="B29:C29"/>
    <mergeCell ref="A4:A5"/>
    <mergeCell ref="B27:C27"/>
    <mergeCell ref="A1:L2"/>
    <mergeCell ref="A3:L3"/>
    <mergeCell ref="L4:L5"/>
    <mergeCell ref="B4:B5"/>
    <mergeCell ref="C4:C5"/>
    <mergeCell ref="K4:K5"/>
  </mergeCells>
  <phoneticPr fontId="44" type="noConversion"/>
  <printOptions horizontalCentered="1"/>
  <pageMargins left="0.2" right="0.2" top="0.25" bottom="0" header="0.3" footer="0.3"/>
  <pageSetup paperSize="9" scale="8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00B050"/>
  </sheetPr>
  <dimension ref="B1:AE114"/>
  <sheetViews>
    <sheetView showGridLines="0" zoomScale="57" zoomScaleNormal="57" workbookViewId="0">
      <selection activeCell="AB51" sqref="AB51"/>
    </sheetView>
  </sheetViews>
  <sheetFormatPr defaultRowHeight="12.75"/>
  <cols>
    <col min="1" max="1" width="4.7109375" style="41" customWidth="1"/>
    <col min="2" max="2" width="17.85546875" style="41" customWidth="1"/>
    <col min="3" max="3" width="12.140625" style="41" customWidth="1"/>
    <col min="4" max="4" width="12" style="41" customWidth="1"/>
    <col min="5" max="6" width="11.140625" style="41" customWidth="1"/>
    <col min="7" max="8" width="12.42578125" style="41" customWidth="1"/>
    <col min="9" max="9" width="11.140625" style="41" customWidth="1"/>
    <col min="10" max="10" width="12.140625" style="41" customWidth="1"/>
    <col min="11" max="11" width="12.5703125" style="41" customWidth="1"/>
    <col min="12" max="12" width="12.42578125" style="41" customWidth="1"/>
    <col min="13" max="14" width="11.140625" style="41" customWidth="1"/>
    <col min="15" max="15" width="12.42578125" style="41" customWidth="1"/>
    <col min="16" max="16" width="12.7109375" style="41" customWidth="1"/>
    <col min="17" max="18" width="11.140625" style="41" customWidth="1"/>
    <col min="19" max="20" width="12.42578125" style="41" customWidth="1"/>
    <col min="21" max="22" width="11.140625" style="41" customWidth="1"/>
    <col min="23" max="23" width="12.42578125" style="41" customWidth="1"/>
    <col min="24" max="24" width="12" style="41" customWidth="1"/>
    <col min="25" max="26" width="11.140625" style="41" customWidth="1"/>
    <col min="27" max="27" width="16.28515625" style="41" customWidth="1"/>
    <col min="28" max="28" width="17" style="41" customWidth="1"/>
    <col min="29" max="29" width="15.5703125" style="41" customWidth="1"/>
    <col min="30" max="30" width="13.28515625" style="41" customWidth="1"/>
    <col min="31" max="31" width="15.7109375" style="41" customWidth="1"/>
    <col min="32" max="239" width="9.140625" style="41"/>
    <col min="240" max="240" width="0" style="41" hidden="1" customWidth="1"/>
    <col min="241" max="241" width="15.28515625" style="41" customWidth="1"/>
    <col min="242" max="242" width="12.7109375" style="41" customWidth="1"/>
    <col min="243" max="256" width="9.7109375" style="41" customWidth="1"/>
    <col min="257" max="258" width="19.5703125" style="41" customWidth="1"/>
    <col min="259" max="495" width="9.140625" style="41"/>
    <col min="496" max="496" width="0" style="41" hidden="1" customWidth="1"/>
    <col min="497" max="497" width="15.28515625" style="41" customWidth="1"/>
    <col min="498" max="498" width="12.7109375" style="41" customWidth="1"/>
    <col min="499" max="512" width="9.7109375" style="41" customWidth="1"/>
    <col min="513" max="514" width="19.5703125" style="41" customWidth="1"/>
    <col min="515" max="751" width="9.140625" style="41"/>
    <col min="752" max="752" width="0" style="41" hidden="1" customWidth="1"/>
    <col min="753" max="753" width="15.28515625" style="41" customWidth="1"/>
    <col min="754" max="754" width="12.7109375" style="41" customWidth="1"/>
    <col min="755" max="768" width="9.7109375" style="41" customWidth="1"/>
    <col min="769" max="770" width="19.5703125" style="41" customWidth="1"/>
    <col min="771" max="1007" width="9.140625" style="41"/>
    <col min="1008" max="1008" width="0" style="41" hidden="1" customWidth="1"/>
    <col min="1009" max="1009" width="15.28515625" style="41" customWidth="1"/>
    <col min="1010" max="1010" width="12.7109375" style="41" customWidth="1"/>
    <col min="1011" max="1024" width="9.7109375" style="41" customWidth="1"/>
    <col min="1025" max="1026" width="19.5703125" style="41" customWidth="1"/>
    <col min="1027" max="1263" width="9.140625" style="41"/>
    <col min="1264" max="1264" width="0" style="41" hidden="1" customWidth="1"/>
    <col min="1265" max="1265" width="15.28515625" style="41" customWidth="1"/>
    <col min="1266" max="1266" width="12.7109375" style="41" customWidth="1"/>
    <col min="1267" max="1280" width="9.7109375" style="41" customWidth="1"/>
    <col min="1281" max="1282" width="19.5703125" style="41" customWidth="1"/>
    <col min="1283" max="1519" width="9.140625" style="41"/>
    <col min="1520" max="1520" width="0" style="41" hidden="1" customWidth="1"/>
    <col min="1521" max="1521" width="15.28515625" style="41" customWidth="1"/>
    <col min="1522" max="1522" width="12.7109375" style="41" customWidth="1"/>
    <col min="1523" max="1536" width="9.7109375" style="41" customWidth="1"/>
    <col min="1537" max="1538" width="19.5703125" style="41" customWidth="1"/>
    <col min="1539" max="1775" width="9.140625" style="41"/>
    <col min="1776" max="1776" width="0" style="41" hidden="1" customWidth="1"/>
    <col min="1777" max="1777" width="15.28515625" style="41" customWidth="1"/>
    <col min="1778" max="1778" width="12.7109375" style="41" customWidth="1"/>
    <col min="1779" max="1792" width="9.7109375" style="41" customWidth="1"/>
    <col min="1793" max="1794" width="19.5703125" style="41" customWidth="1"/>
    <col min="1795" max="2031" width="9.140625" style="41"/>
    <col min="2032" max="2032" width="0" style="41" hidden="1" customWidth="1"/>
    <col min="2033" max="2033" width="15.28515625" style="41" customWidth="1"/>
    <col min="2034" max="2034" width="12.7109375" style="41" customWidth="1"/>
    <col min="2035" max="2048" width="9.7109375" style="41" customWidth="1"/>
    <col min="2049" max="2050" width="19.5703125" style="41" customWidth="1"/>
    <col min="2051" max="2287" width="9.140625" style="41"/>
    <col min="2288" max="2288" width="0" style="41" hidden="1" customWidth="1"/>
    <col min="2289" max="2289" width="15.28515625" style="41" customWidth="1"/>
    <col min="2290" max="2290" width="12.7109375" style="41" customWidth="1"/>
    <col min="2291" max="2304" width="9.7109375" style="41" customWidth="1"/>
    <col min="2305" max="2306" width="19.5703125" style="41" customWidth="1"/>
    <col min="2307" max="2543" width="9.140625" style="41"/>
    <col min="2544" max="2544" width="0" style="41" hidden="1" customWidth="1"/>
    <col min="2545" max="2545" width="15.28515625" style="41" customWidth="1"/>
    <col min="2546" max="2546" width="12.7109375" style="41" customWidth="1"/>
    <col min="2547" max="2560" width="9.7109375" style="41" customWidth="1"/>
    <col min="2561" max="2562" width="19.5703125" style="41" customWidth="1"/>
    <col min="2563" max="2799" width="9.140625" style="41"/>
    <col min="2800" max="2800" width="0" style="41" hidden="1" customWidth="1"/>
    <col min="2801" max="2801" width="15.28515625" style="41" customWidth="1"/>
    <col min="2802" max="2802" width="12.7109375" style="41" customWidth="1"/>
    <col min="2803" max="2816" width="9.7109375" style="41" customWidth="1"/>
    <col min="2817" max="2818" width="19.5703125" style="41" customWidth="1"/>
    <col min="2819" max="3055" width="9.140625" style="41"/>
    <col min="3056" max="3056" width="0" style="41" hidden="1" customWidth="1"/>
    <col min="3057" max="3057" width="15.28515625" style="41" customWidth="1"/>
    <col min="3058" max="3058" width="12.7109375" style="41" customWidth="1"/>
    <col min="3059" max="3072" width="9.7109375" style="41" customWidth="1"/>
    <col min="3073" max="3074" width="19.5703125" style="41" customWidth="1"/>
    <col min="3075" max="3311" width="9.140625" style="41"/>
    <col min="3312" max="3312" width="0" style="41" hidden="1" customWidth="1"/>
    <col min="3313" max="3313" width="15.28515625" style="41" customWidth="1"/>
    <col min="3314" max="3314" width="12.7109375" style="41" customWidth="1"/>
    <col min="3315" max="3328" width="9.7109375" style="41" customWidth="1"/>
    <col min="3329" max="3330" width="19.5703125" style="41" customWidth="1"/>
    <col min="3331" max="3567" width="9.140625" style="41"/>
    <col min="3568" max="3568" width="0" style="41" hidden="1" customWidth="1"/>
    <col min="3569" max="3569" width="15.28515625" style="41" customWidth="1"/>
    <col min="3570" max="3570" width="12.7109375" style="41" customWidth="1"/>
    <col min="3571" max="3584" width="9.7109375" style="41" customWidth="1"/>
    <col min="3585" max="3586" width="19.5703125" style="41" customWidth="1"/>
    <col min="3587" max="3823" width="9.140625" style="41"/>
    <col min="3824" max="3824" width="0" style="41" hidden="1" customWidth="1"/>
    <col min="3825" max="3825" width="15.28515625" style="41" customWidth="1"/>
    <col min="3826" max="3826" width="12.7109375" style="41" customWidth="1"/>
    <col min="3827" max="3840" width="9.7109375" style="41" customWidth="1"/>
    <col min="3841" max="3842" width="19.5703125" style="41" customWidth="1"/>
    <col min="3843" max="4079" width="9.140625" style="41"/>
    <col min="4080" max="4080" width="0" style="41" hidden="1" customWidth="1"/>
    <col min="4081" max="4081" width="15.28515625" style="41" customWidth="1"/>
    <col min="4082" max="4082" width="12.7109375" style="41" customWidth="1"/>
    <col min="4083" max="4096" width="9.7109375" style="41" customWidth="1"/>
    <col min="4097" max="4098" width="19.5703125" style="41" customWidth="1"/>
    <col min="4099" max="4335" width="9.140625" style="41"/>
    <col min="4336" max="4336" width="0" style="41" hidden="1" customWidth="1"/>
    <col min="4337" max="4337" width="15.28515625" style="41" customWidth="1"/>
    <col min="4338" max="4338" width="12.7109375" style="41" customWidth="1"/>
    <col min="4339" max="4352" width="9.7109375" style="41" customWidth="1"/>
    <col min="4353" max="4354" width="19.5703125" style="41" customWidth="1"/>
    <col min="4355" max="4591" width="9.140625" style="41"/>
    <col min="4592" max="4592" width="0" style="41" hidden="1" customWidth="1"/>
    <col min="4593" max="4593" width="15.28515625" style="41" customWidth="1"/>
    <col min="4594" max="4594" width="12.7109375" style="41" customWidth="1"/>
    <col min="4595" max="4608" width="9.7109375" style="41" customWidth="1"/>
    <col min="4609" max="4610" width="19.5703125" style="41" customWidth="1"/>
    <col min="4611" max="4847" width="9.140625" style="41"/>
    <col min="4848" max="4848" width="0" style="41" hidden="1" customWidth="1"/>
    <col min="4849" max="4849" width="15.28515625" style="41" customWidth="1"/>
    <col min="4850" max="4850" width="12.7109375" style="41" customWidth="1"/>
    <col min="4851" max="4864" width="9.7109375" style="41" customWidth="1"/>
    <col min="4865" max="4866" width="19.5703125" style="41" customWidth="1"/>
    <col min="4867" max="5103" width="9.140625" style="41"/>
    <col min="5104" max="5104" width="0" style="41" hidden="1" customWidth="1"/>
    <col min="5105" max="5105" width="15.28515625" style="41" customWidth="1"/>
    <col min="5106" max="5106" width="12.7109375" style="41" customWidth="1"/>
    <col min="5107" max="5120" width="9.7109375" style="41" customWidth="1"/>
    <col min="5121" max="5122" width="19.5703125" style="41" customWidth="1"/>
    <col min="5123" max="5359" width="9.140625" style="41"/>
    <col min="5360" max="5360" width="0" style="41" hidden="1" customWidth="1"/>
    <col min="5361" max="5361" width="15.28515625" style="41" customWidth="1"/>
    <col min="5362" max="5362" width="12.7109375" style="41" customWidth="1"/>
    <col min="5363" max="5376" width="9.7109375" style="41" customWidth="1"/>
    <col min="5377" max="5378" width="19.5703125" style="41" customWidth="1"/>
    <col min="5379" max="5615" width="9.140625" style="41"/>
    <col min="5616" max="5616" width="0" style="41" hidden="1" customWidth="1"/>
    <col min="5617" max="5617" width="15.28515625" style="41" customWidth="1"/>
    <col min="5618" max="5618" width="12.7109375" style="41" customWidth="1"/>
    <col min="5619" max="5632" width="9.7109375" style="41" customWidth="1"/>
    <col min="5633" max="5634" width="19.5703125" style="41" customWidth="1"/>
    <col min="5635" max="5871" width="9.140625" style="41"/>
    <col min="5872" max="5872" width="0" style="41" hidden="1" customWidth="1"/>
    <col min="5873" max="5873" width="15.28515625" style="41" customWidth="1"/>
    <col min="5874" max="5874" width="12.7109375" style="41" customWidth="1"/>
    <col min="5875" max="5888" width="9.7109375" style="41" customWidth="1"/>
    <col min="5889" max="5890" width="19.5703125" style="41" customWidth="1"/>
    <col min="5891" max="6127" width="9.140625" style="41"/>
    <col min="6128" max="6128" width="0" style="41" hidden="1" customWidth="1"/>
    <col min="6129" max="6129" width="15.28515625" style="41" customWidth="1"/>
    <col min="6130" max="6130" width="12.7109375" style="41" customWidth="1"/>
    <col min="6131" max="6144" width="9.7109375" style="41" customWidth="1"/>
    <col min="6145" max="6146" width="19.5703125" style="41" customWidth="1"/>
    <col min="6147" max="6383" width="9.140625" style="41"/>
    <col min="6384" max="6384" width="0" style="41" hidden="1" customWidth="1"/>
    <col min="6385" max="6385" width="15.28515625" style="41" customWidth="1"/>
    <col min="6386" max="6386" width="12.7109375" style="41" customWidth="1"/>
    <col min="6387" max="6400" width="9.7109375" style="41" customWidth="1"/>
    <col min="6401" max="6402" width="19.5703125" style="41" customWidth="1"/>
    <col min="6403" max="6639" width="9.140625" style="41"/>
    <col min="6640" max="6640" width="0" style="41" hidden="1" customWidth="1"/>
    <col min="6641" max="6641" width="15.28515625" style="41" customWidth="1"/>
    <col min="6642" max="6642" width="12.7109375" style="41" customWidth="1"/>
    <col min="6643" max="6656" width="9.7109375" style="41" customWidth="1"/>
    <col min="6657" max="6658" width="19.5703125" style="41" customWidth="1"/>
    <col min="6659" max="6895" width="9.140625" style="41"/>
    <col min="6896" max="6896" width="0" style="41" hidden="1" customWidth="1"/>
    <col min="6897" max="6897" width="15.28515625" style="41" customWidth="1"/>
    <col min="6898" max="6898" width="12.7109375" style="41" customWidth="1"/>
    <col min="6899" max="6912" width="9.7109375" style="41" customWidth="1"/>
    <col min="6913" max="6914" width="19.5703125" style="41" customWidth="1"/>
    <col min="6915" max="7151" width="9.140625" style="41"/>
    <col min="7152" max="7152" width="0" style="41" hidden="1" customWidth="1"/>
    <col min="7153" max="7153" width="15.28515625" style="41" customWidth="1"/>
    <col min="7154" max="7154" width="12.7109375" style="41" customWidth="1"/>
    <col min="7155" max="7168" width="9.7109375" style="41" customWidth="1"/>
    <col min="7169" max="7170" width="19.5703125" style="41" customWidth="1"/>
    <col min="7171" max="7407" width="9.140625" style="41"/>
    <col min="7408" max="7408" width="0" style="41" hidden="1" customWidth="1"/>
    <col min="7409" max="7409" width="15.28515625" style="41" customWidth="1"/>
    <col min="7410" max="7410" width="12.7109375" style="41" customWidth="1"/>
    <col min="7411" max="7424" width="9.7109375" style="41" customWidth="1"/>
    <col min="7425" max="7426" width="19.5703125" style="41" customWidth="1"/>
    <col min="7427" max="7663" width="9.140625" style="41"/>
    <col min="7664" max="7664" width="0" style="41" hidden="1" customWidth="1"/>
    <col min="7665" max="7665" width="15.28515625" style="41" customWidth="1"/>
    <col min="7666" max="7666" width="12.7109375" style="41" customWidth="1"/>
    <col min="7667" max="7680" width="9.7109375" style="41" customWidth="1"/>
    <col min="7681" max="7682" width="19.5703125" style="41" customWidth="1"/>
    <col min="7683" max="7919" width="9.140625" style="41"/>
    <col min="7920" max="7920" width="0" style="41" hidden="1" customWidth="1"/>
    <col min="7921" max="7921" width="15.28515625" style="41" customWidth="1"/>
    <col min="7922" max="7922" width="12.7109375" style="41" customWidth="1"/>
    <col min="7923" max="7936" width="9.7109375" style="41" customWidth="1"/>
    <col min="7937" max="7938" width="19.5703125" style="41" customWidth="1"/>
    <col min="7939" max="8175" width="9.140625" style="41"/>
    <col min="8176" max="8176" width="0" style="41" hidden="1" customWidth="1"/>
    <col min="8177" max="8177" width="15.28515625" style="41" customWidth="1"/>
    <col min="8178" max="8178" width="12.7109375" style="41" customWidth="1"/>
    <col min="8179" max="8192" width="9.7109375" style="41" customWidth="1"/>
    <col min="8193" max="8194" width="19.5703125" style="41" customWidth="1"/>
    <col min="8195" max="8431" width="9.140625" style="41"/>
    <col min="8432" max="8432" width="0" style="41" hidden="1" customWidth="1"/>
    <col min="8433" max="8433" width="15.28515625" style="41" customWidth="1"/>
    <col min="8434" max="8434" width="12.7109375" style="41" customWidth="1"/>
    <col min="8435" max="8448" width="9.7109375" style="41" customWidth="1"/>
    <col min="8449" max="8450" width="19.5703125" style="41" customWidth="1"/>
    <col min="8451" max="8687" width="9.140625" style="41"/>
    <col min="8688" max="8688" width="0" style="41" hidden="1" customWidth="1"/>
    <col min="8689" max="8689" width="15.28515625" style="41" customWidth="1"/>
    <col min="8690" max="8690" width="12.7109375" style="41" customWidth="1"/>
    <col min="8691" max="8704" width="9.7109375" style="41" customWidth="1"/>
    <col min="8705" max="8706" width="19.5703125" style="41" customWidth="1"/>
    <col min="8707" max="8943" width="9.140625" style="41"/>
    <col min="8944" max="8944" width="0" style="41" hidden="1" customWidth="1"/>
    <col min="8945" max="8945" width="15.28515625" style="41" customWidth="1"/>
    <col min="8946" max="8946" width="12.7109375" style="41" customWidth="1"/>
    <col min="8947" max="8960" width="9.7109375" style="41" customWidth="1"/>
    <col min="8961" max="8962" width="19.5703125" style="41" customWidth="1"/>
    <col min="8963" max="9199" width="9.140625" style="41"/>
    <col min="9200" max="9200" width="0" style="41" hidden="1" customWidth="1"/>
    <col min="9201" max="9201" width="15.28515625" style="41" customWidth="1"/>
    <col min="9202" max="9202" width="12.7109375" style="41" customWidth="1"/>
    <col min="9203" max="9216" width="9.7109375" style="41" customWidth="1"/>
    <col min="9217" max="9218" width="19.5703125" style="41" customWidth="1"/>
    <col min="9219" max="9455" width="9.140625" style="41"/>
    <col min="9456" max="9456" width="0" style="41" hidden="1" customWidth="1"/>
    <col min="9457" max="9457" width="15.28515625" style="41" customWidth="1"/>
    <col min="9458" max="9458" width="12.7109375" style="41" customWidth="1"/>
    <col min="9459" max="9472" width="9.7109375" style="41" customWidth="1"/>
    <col min="9473" max="9474" width="19.5703125" style="41" customWidth="1"/>
    <col min="9475" max="9711" width="9.140625" style="41"/>
    <col min="9712" max="9712" width="0" style="41" hidden="1" customWidth="1"/>
    <col min="9713" max="9713" width="15.28515625" style="41" customWidth="1"/>
    <col min="9714" max="9714" width="12.7109375" style="41" customWidth="1"/>
    <col min="9715" max="9728" width="9.7109375" style="41" customWidth="1"/>
    <col min="9729" max="9730" width="19.5703125" style="41" customWidth="1"/>
    <col min="9731" max="9967" width="9.140625" style="41"/>
    <col min="9968" max="9968" width="0" style="41" hidden="1" customWidth="1"/>
    <col min="9969" max="9969" width="15.28515625" style="41" customWidth="1"/>
    <col min="9970" max="9970" width="12.7109375" style="41" customWidth="1"/>
    <col min="9971" max="9984" width="9.7109375" style="41" customWidth="1"/>
    <col min="9985" max="9986" width="19.5703125" style="41" customWidth="1"/>
    <col min="9987" max="10223" width="9.140625" style="41"/>
    <col min="10224" max="10224" width="0" style="41" hidden="1" customWidth="1"/>
    <col min="10225" max="10225" width="15.28515625" style="41" customWidth="1"/>
    <col min="10226" max="10226" width="12.7109375" style="41" customWidth="1"/>
    <col min="10227" max="10240" width="9.7109375" style="41" customWidth="1"/>
    <col min="10241" max="10242" width="19.5703125" style="41" customWidth="1"/>
    <col min="10243" max="10479" width="9.140625" style="41"/>
    <col min="10480" max="10480" width="0" style="41" hidden="1" customWidth="1"/>
    <col min="10481" max="10481" width="15.28515625" style="41" customWidth="1"/>
    <col min="10482" max="10482" width="12.7109375" style="41" customWidth="1"/>
    <col min="10483" max="10496" width="9.7109375" style="41" customWidth="1"/>
    <col min="10497" max="10498" width="19.5703125" style="41" customWidth="1"/>
    <col min="10499" max="10735" width="9.140625" style="41"/>
    <col min="10736" max="10736" width="0" style="41" hidden="1" customWidth="1"/>
    <col min="10737" max="10737" width="15.28515625" style="41" customWidth="1"/>
    <col min="10738" max="10738" width="12.7109375" style="41" customWidth="1"/>
    <col min="10739" max="10752" width="9.7109375" style="41" customWidth="1"/>
    <col min="10753" max="10754" width="19.5703125" style="41" customWidth="1"/>
    <col min="10755" max="10991" width="9.140625" style="41"/>
    <col min="10992" max="10992" width="0" style="41" hidden="1" customWidth="1"/>
    <col min="10993" max="10993" width="15.28515625" style="41" customWidth="1"/>
    <col min="10994" max="10994" width="12.7109375" style="41" customWidth="1"/>
    <col min="10995" max="11008" width="9.7109375" style="41" customWidth="1"/>
    <col min="11009" max="11010" width="19.5703125" style="41" customWidth="1"/>
    <col min="11011" max="11247" width="9.140625" style="41"/>
    <col min="11248" max="11248" width="0" style="41" hidden="1" customWidth="1"/>
    <col min="11249" max="11249" width="15.28515625" style="41" customWidth="1"/>
    <col min="11250" max="11250" width="12.7109375" style="41" customWidth="1"/>
    <col min="11251" max="11264" width="9.7109375" style="41" customWidth="1"/>
    <col min="11265" max="11266" width="19.5703125" style="41" customWidth="1"/>
    <col min="11267" max="11503" width="9.140625" style="41"/>
    <col min="11504" max="11504" width="0" style="41" hidden="1" customWidth="1"/>
    <col min="11505" max="11505" width="15.28515625" style="41" customWidth="1"/>
    <col min="11506" max="11506" width="12.7109375" style="41" customWidth="1"/>
    <col min="11507" max="11520" width="9.7109375" style="41" customWidth="1"/>
    <col min="11521" max="11522" width="19.5703125" style="41" customWidth="1"/>
    <col min="11523" max="11759" width="9.140625" style="41"/>
    <col min="11760" max="11760" width="0" style="41" hidden="1" customWidth="1"/>
    <col min="11761" max="11761" width="15.28515625" style="41" customWidth="1"/>
    <col min="11762" max="11762" width="12.7109375" style="41" customWidth="1"/>
    <col min="11763" max="11776" width="9.7109375" style="41" customWidth="1"/>
    <col min="11777" max="11778" width="19.5703125" style="41" customWidth="1"/>
    <col min="11779" max="12015" width="9.140625" style="41"/>
    <col min="12016" max="12016" width="0" style="41" hidden="1" customWidth="1"/>
    <col min="12017" max="12017" width="15.28515625" style="41" customWidth="1"/>
    <col min="12018" max="12018" width="12.7109375" style="41" customWidth="1"/>
    <col min="12019" max="12032" width="9.7109375" style="41" customWidth="1"/>
    <col min="12033" max="12034" width="19.5703125" style="41" customWidth="1"/>
    <col min="12035" max="12271" width="9.140625" style="41"/>
    <col min="12272" max="12272" width="0" style="41" hidden="1" customWidth="1"/>
    <col min="12273" max="12273" width="15.28515625" style="41" customWidth="1"/>
    <col min="12274" max="12274" width="12.7109375" style="41" customWidth="1"/>
    <col min="12275" max="12288" width="9.7109375" style="41" customWidth="1"/>
    <col min="12289" max="12290" width="19.5703125" style="41" customWidth="1"/>
    <col min="12291" max="12527" width="9.140625" style="41"/>
    <col min="12528" max="12528" width="0" style="41" hidden="1" customWidth="1"/>
    <col min="12529" max="12529" width="15.28515625" style="41" customWidth="1"/>
    <col min="12530" max="12530" width="12.7109375" style="41" customWidth="1"/>
    <col min="12531" max="12544" width="9.7109375" style="41" customWidth="1"/>
    <col min="12545" max="12546" width="19.5703125" style="41" customWidth="1"/>
    <col min="12547" max="12783" width="9.140625" style="41"/>
    <col min="12784" max="12784" width="0" style="41" hidden="1" customWidth="1"/>
    <col min="12785" max="12785" width="15.28515625" style="41" customWidth="1"/>
    <col min="12786" max="12786" width="12.7109375" style="41" customWidth="1"/>
    <col min="12787" max="12800" width="9.7109375" style="41" customWidth="1"/>
    <col min="12801" max="12802" width="19.5703125" style="41" customWidth="1"/>
    <col min="12803" max="13039" width="9.140625" style="41"/>
    <col min="13040" max="13040" width="0" style="41" hidden="1" customWidth="1"/>
    <col min="13041" max="13041" width="15.28515625" style="41" customWidth="1"/>
    <col min="13042" max="13042" width="12.7109375" style="41" customWidth="1"/>
    <col min="13043" max="13056" width="9.7109375" style="41" customWidth="1"/>
    <col min="13057" max="13058" width="19.5703125" style="41" customWidth="1"/>
    <col min="13059" max="13295" width="9.140625" style="41"/>
    <col min="13296" max="13296" width="0" style="41" hidden="1" customWidth="1"/>
    <col min="13297" max="13297" width="15.28515625" style="41" customWidth="1"/>
    <col min="13298" max="13298" width="12.7109375" style="41" customWidth="1"/>
    <col min="13299" max="13312" width="9.7109375" style="41" customWidth="1"/>
    <col min="13313" max="13314" width="19.5703125" style="41" customWidth="1"/>
    <col min="13315" max="13551" width="9.140625" style="41"/>
    <col min="13552" max="13552" width="0" style="41" hidden="1" customWidth="1"/>
    <col min="13553" max="13553" width="15.28515625" style="41" customWidth="1"/>
    <col min="13554" max="13554" width="12.7109375" style="41" customWidth="1"/>
    <col min="13555" max="13568" width="9.7109375" style="41" customWidth="1"/>
    <col min="13569" max="13570" width="19.5703125" style="41" customWidth="1"/>
    <col min="13571" max="13807" width="9.140625" style="41"/>
    <col min="13808" max="13808" width="0" style="41" hidden="1" customWidth="1"/>
    <col min="13809" max="13809" width="15.28515625" style="41" customWidth="1"/>
    <col min="13810" max="13810" width="12.7109375" style="41" customWidth="1"/>
    <col min="13811" max="13824" width="9.7109375" style="41" customWidth="1"/>
    <col min="13825" max="13826" width="19.5703125" style="41" customWidth="1"/>
    <col min="13827" max="14063" width="9.140625" style="41"/>
    <col min="14064" max="14064" width="0" style="41" hidden="1" customWidth="1"/>
    <col min="14065" max="14065" width="15.28515625" style="41" customWidth="1"/>
    <col min="14066" max="14066" width="12.7109375" style="41" customWidth="1"/>
    <col min="14067" max="14080" width="9.7109375" style="41" customWidth="1"/>
    <col min="14081" max="14082" width="19.5703125" style="41" customWidth="1"/>
    <col min="14083" max="14319" width="9.140625" style="41"/>
    <col min="14320" max="14320" width="0" style="41" hidden="1" customWidth="1"/>
    <col min="14321" max="14321" width="15.28515625" style="41" customWidth="1"/>
    <col min="14322" max="14322" width="12.7109375" style="41" customWidth="1"/>
    <col min="14323" max="14336" width="9.7109375" style="41" customWidth="1"/>
    <col min="14337" max="14338" width="19.5703125" style="41" customWidth="1"/>
    <col min="14339" max="14575" width="9.140625" style="41"/>
    <col min="14576" max="14576" width="0" style="41" hidden="1" customWidth="1"/>
    <col min="14577" max="14577" width="15.28515625" style="41" customWidth="1"/>
    <col min="14578" max="14578" width="12.7109375" style="41" customWidth="1"/>
    <col min="14579" max="14592" width="9.7109375" style="41" customWidth="1"/>
    <col min="14593" max="14594" width="19.5703125" style="41" customWidth="1"/>
    <col min="14595" max="14831" width="9.140625" style="41"/>
    <col min="14832" max="14832" width="0" style="41" hidden="1" customWidth="1"/>
    <col min="14833" max="14833" width="15.28515625" style="41" customWidth="1"/>
    <col min="14834" max="14834" width="12.7109375" style="41" customWidth="1"/>
    <col min="14835" max="14848" width="9.7109375" style="41" customWidth="1"/>
    <col min="14849" max="14850" width="19.5703125" style="41" customWidth="1"/>
    <col min="14851" max="15087" width="9.140625" style="41"/>
    <col min="15088" max="15088" width="0" style="41" hidden="1" customWidth="1"/>
    <col min="15089" max="15089" width="15.28515625" style="41" customWidth="1"/>
    <col min="15090" max="15090" width="12.7109375" style="41" customWidth="1"/>
    <col min="15091" max="15104" width="9.7109375" style="41" customWidth="1"/>
    <col min="15105" max="15106" width="19.5703125" style="41" customWidth="1"/>
    <col min="15107" max="15343" width="9.140625" style="41"/>
    <col min="15344" max="15344" width="0" style="41" hidden="1" customWidth="1"/>
    <col min="15345" max="15345" width="15.28515625" style="41" customWidth="1"/>
    <col min="15346" max="15346" width="12.7109375" style="41" customWidth="1"/>
    <col min="15347" max="15360" width="9.7109375" style="41" customWidth="1"/>
    <col min="15361" max="15362" width="19.5703125" style="41" customWidth="1"/>
    <col min="15363" max="15599" width="9.140625" style="41"/>
    <col min="15600" max="15600" width="0" style="41" hidden="1" customWidth="1"/>
    <col min="15601" max="15601" width="15.28515625" style="41" customWidth="1"/>
    <col min="15602" max="15602" width="12.7109375" style="41" customWidth="1"/>
    <col min="15603" max="15616" width="9.7109375" style="41" customWidth="1"/>
    <col min="15617" max="15618" width="19.5703125" style="41" customWidth="1"/>
    <col min="15619" max="15855" width="9.140625" style="41"/>
    <col min="15856" max="15856" width="0" style="41" hidden="1" customWidth="1"/>
    <col min="15857" max="15857" width="15.28515625" style="41" customWidth="1"/>
    <col min="15858" max="15858" width="12.7109375" style="41" customWidth="1"/>
    <col min="15859" max="15872" width="9.7109375" style="41" customWidth="1"/>
    <col min="15873" max="15874" width="19.5703125" style="41" customWidth="1"/>
    <col min="15875" max="16111" width="9.140625" style="41"/>
    <col min="16112" max="16112" width="0" style="41" hidden="1" customWidth="1"/>
    <col min="16113" max="16113" width="15.28515625" style="41" customWidth="1"/>
    <col min="16114" max="16114" width="12.7109375" style="41" customWidth="1"/>
    <col min="16115" max="16128" width="9.7109375" style="41" customWidth="1"/>
    <col min="16129" max="16130" width="19.5703125" style="41" customWidth="1"/>
    <col min="16131" max="16384" width="9.140625" style="41"/>
  </cols>
  <sheetData>
    <row r="1" spans="2:31" ht="63.75" customHeight="1">
      <c r="B1" s="229" t="s">
        <v>714</v>
      </c>
      <c r="C1" s="229"/>
      <c r="D1" s="229"/>
      <c r="E1" s="229"/>
      <c r="F1" s="229"/>
      <c r="G1" s="229"/>
      <c r="H1" s="229"/>
      <c r="I1" s="229"/>
      <c r="J1" s="229"/>
      <c r="K1" s="229"/>
      <c r="L1" s="229"/>
      <c r="M1" s="229"/>
      <c r="N1" s="229"/>
      <c r="O1" s="229"/>
      <c r="P1" s="229"/>
      <c r="Q1" s="229"/>
      <c r="R1" s="229"/>
      <c r="S1" s="229"/>
      <c r="T1" s="229"/>
      <c r="U1" s="229"/>
      <c r="V1" s="229"/>
      <c r="W1" s="229"/>
      <c r="X1" s="229"/>
      <c r="Y1" s="229"/>
      <c r="Z1" s="229"/>
      <c r="AA1" s="229"/>
      <c r="AB1" s="229"/>
      <c r="AC1" s="229"/>
      <c r="AD1" s="229"/>
      <c r="AE1" s="229"/>
    </row>
    <row r="2" spans="2:31" ht="24.95" customHeight="1">
      <c r="B2" s="98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101"/>
      <c r="Z2" s="99"/>
      <c r="AA2" s="100"/>
      <c r="AB2" s="100"/>
      <c r="AC2" s="100"/>
      <c r="AD2" s="100"/>
      <c r="AE2" s="101"/>
    </row>
    <row r="3" spans="2:31" ht="23.25" customHeight="1">
      <c r="B3" s="42" t="s">
        <v>213</v>
      </c>
      <c r="C3" s="219">
        <f>'Weekly Inspection Report'!D5</f>
        <v>46279</v>
      </c>
      <c r="D3" s="219"/>
      <c r="E3" s="219"/>
      <c r="F3" s="219"/>
      <c r="G3" s="219">
        <f>'Weekly Inspection Report'!E5</f>
        <v>46280</v>
      </c>
      <c r="H3" s="219"/>
      <c r="I3" s="219"/>
      <c r="J3" s="219"/>
      <c r="K3" s="219">
        <f>'Weekly Inspection Report'!F5</f>
        <v>46281</v>
      </c>
      <c r="L3" s="219"/>
      <c r="M3" s="219"/>
      <c r="N3" s="219"/>
      <c r="O3" s="219">
        <f>'Weekly Inspection Report'!G5</f>
        <v>46282</v>
      </c>
      <c r="P3" s="219"/>
      <c r="Q3" s="219"/>
      <c r="R3" s="219"/>
      <c r="S3" s="219">
        <f>'Weekly Inspection Report'!H5</f>
        <v>46283</v>
      </c>
      <c r="T3" s="219"/>
      <c r="U3" s="219"/>
      <c r="V3" s="219"/>
      <c r="W3" s="219">
        <f>'Weekly Inspection Report'!I5</f>
        <v>46284</v>
      </c>
      <c r="X3" s="219"/>
      <c r="Y3" s="219"/>
      <c r="Z3" s="219"/>
      <c r="AA3" s="223" t="s">
        <v>115</v>
      </c>
      <c r="AB3" s="224"/>
      <c r="AC3" s="224"/>
      <c r="AD3" s="225"/>
      <c r="AE3" s="216" t="s">
        <v>707</v>
      </c>
    </row>
    <row r="4" spans="2:31" ht="23.25" customHeight="1">
      <c r="B4" s="230" t="s">
        <v>214</v>
      </c>
      <c r="C4" s="220">
        <f>C3</f>
        <v>46279</v>
      </c>
      <c r="D4" s="221"/>
      <c r="E4" s="221"/>
      <c r="F4" s="222"/>
      <c r="G4" s="220">
        <f>G3</f>
        <v>46280</v>
      </c>
      <c r="H4" s="221"/>
      <c r="I4" s="221"/>
      <c r="J4" s="222"/>
      <c r="K4" s="220">
        <f>K3</f>
        <v>46281</v>
      </c>
      <c r="L4" s="221"/>
      <c r="M4" s="221"/>
      <c r="N4" s="222"/>
      <c r="O4" s="220">
        <f>O3</f>
        <v>46282</v>
      </c>
      <c r="P4" s="221"/>
      <c r="Q4" s="221"/>
      <c r="R4" s="222"/>
      <c r="S4" s="220">
        <f>S3</f>
        <v>46283</v>
      </c>
      <c r="T4" s="221"/>
      <c r="U4" s="221"/>
      <c r="V4" s="222"/>
      <c r="W4" s="220">
        <f>W3</f>
        <v>46284</v>
      </c>
      <c r="X4" s="221"/>
      <c r="Y4" s="221"/>
      <c r="Z4" s="222"/>
      <c r="AA4" s="226"/>
      <c r="AB4" s="227"/>
      <c r="AC4" s="227"/>
      <c r="AD4" s="228"/>
      <c r="AE4" s="217"/>
    </row>
    <row r="5" spans="2:31" s="87" customFormat="1" ht="33" customHeight="1">
      <c r="B5" s="231"/>
      <c r="C5" s="129" t="s">
        <v>703</v>
      </c>
      <c r="D5" s="129" t="s">
        <v>706</v>
      </c>
      <c r="E5" s="129" t="s">
        <v>704</v>
      </c>
      <c r="F5" s="129" t="s">
        <v>705</v>
      </c>
      <c r="G5" s="129" t="s">
        <v>703</v>
      </c>
      <c r="H5" s="129" t="s">
        <v>706</v>
      </c>
      <c r="I5" s="129" t="s">
        <v>704</v>
      </c>
      <c r="J5" s="129" t="s">
        <v>705</v>
      </c>
      <c r="K5" s="129" t="s">
        <v>703</v>
      </c>
      <c r="L5" s="129" t="s">
        <v>706</v>
      </c>
      <c r="M5" s="129" t="s">
        <v>704</v>
      </c>
      <c r="N5" s="129" t="s">
        <v>705</v>
      </c>
      <c r="O5" s="129" t="s">
        <v>703</v>
      </c>
      <c r="P5" s="129" t="s">
        <v>706</v>
      </c>
      <c r="Q5" s="129" t="s">
        <v>704</v>
      </c>
      <c r="R5" s="129" t="s">
        <v>705</v>
      </c>
      <c r="S5" s="129" t="s">
        <v>703</v>
      </c>
      <c r="T5" s="129" t="s">
        <v>706</v>
      </c>
      <c r="U5" s="129" t="s">
        <v>704</v>
      </c>
      <c r="V5" s="129" t="s">
        <v>705</v>
      </c>
      <c r="W5" s="129" t="s">
        <v>703</v>
      </c>
      <c r="X5" s="129" t="s">
        <v>706</v>
      </c>
      <c r="Y5" s="129" t="s">
        <v>704</v>
      </c>
      <c r="Z5" s="129" t="s">
        <v>705</v>
      </c>
      <c r="AA5" s="129" t="s">
        <v>703</v>
      </c>
      <c r="AB5" s="129" t="s">
        <v>706</v>
      </c>
      <c r="AC5" s="129" t="s">
        <v>704</v>
      </c>
      <c r="AD5" s="129" t="s">
        <v>705</v>
      </c>
      <c r="AE5" s="218"/>
    </row>
    <row r="6" spans="2:31" ht="27.75" customHeight="1">
      <c r="B6" s="47" t="s">
        <v>444</v>
      </c>
      <c r="C6" s="132">
        <f>'Weekly Inspection Report'!D28</f>
        <v>216</v>
      </c>
      <c r="D6" s="131">
        <f>'Weekly Inspection Report'!D29</f>
        <v>200</v>
      </c>
      <c r="E6" s="131">
        <f>'Weekly Inspection Report'!D27</f>
        <v>16</v>
      </c>
      <c r="F6" s="48">
        <f>'Weekly Inspection Report'!D30</f>
        <v>7.407407407407407E-2</v>
      </c>
      <c r="G6" s="132">
        <f>'Weekly Inspection Report'!E28</f>
        <v>216</v>
      </c>
      <c r="H6" s="132">
        <f>'Weekly Inspection Report'!E29</f>
        <v>0</v>
      </c>
      <c r="I6" s="131">
        <f>'Weekly Inspection Report'!E27</f>
        <v>16</v>
      </c>
      <c r="J6" s="48">
        <f>'Weekly Inspection Report'!E30</f>
        <v>7.407407407407407E-2</v>
      </c>
      <c r="K6" s="132">
        <f>'Weekly Inspection Report'!F28</f>
        <v>212</v>
      </c>
      <c r="L6" s="132">
        <f>'Weekly Inspection Report'!F29</f>
        <v>150</v>
      </c>
      <c r="M6" s="131">
        <f>'Weekly Inspection Report'!F27</f>
        <v>12</v>
      </c>
      <c r="N6" s="48">
        <f>'Weekly Inspection Report'!F30</f>
        <v>5.6603773584905662E-2</v>
      </c>
      <c r="O6" s="132">
        <f>'Weekly Inspection Report'!G28</f>
        <v>219</v>
      </c>
      <c r="P6" s="132">
        <f>'Weekly Inspection Report'!G29</f>
        <v>205</v>
      </c>
      <c r="Q6" s="182">
        <f>'Weekly Inspection Report'!G27</f>
        <v>14</v>
      </c>
      <c r="R6" s="48">
        <f>'Weekly Inspection Report'!G30</f>
        <v>6.3926940639269403E-2</v>
      </c>
      <c r="S6" s="132">
        <f>'Weekly Inspection Report'!H28</f>
        <v>263</v>
      </c>
      <c r="T6" s="132">
        <f>'Weekly Inspection Report'!H29</f>
        <v>250</v>
      </c>
      <c r="U6" s="132">
        <f>'Weekly Inspection Report'!H27</f>
        <v>13</v>
      </c>
      <c r="V6" s="48">
        <f>'Weekly Inspection Report'!H30</f>
        <v>4.9429657794676805E-2</v>
      </c>
      <c r="W6" s="132">
        <f>'Weekly Inspection Report'!I28</f>
        <v>313</v>
      </c>
      <c r="X6" s="132">
        <f>'Weekly Inspection Report'!I29</f>
        <v>300</v>
      </c>
      <c r="Y6" s="131">
        <f>'Weekly Inspection Report'!I27</f>
        <v>13</v>
      </c>
      <c r="Z6" s="48">
        <f>'Weekly Inspection Report'!I30</f>
        <v>4.1533546325878593E-2</v>
      </c>
      <c r="AA6" s="49">
        <f t="shared" ref="AA6:AC7" si="0">SUM(C6,G6,K6,O6,S6,W6)</f>
        <v>1439</v>
      </c>
      <c r="AB6" s="49">
        <f t="shared" si="0"/>
        <v>1105</v>
      </c>
      <c r="AC6" s="49">
        <f t="shared" si="0"/>
        <v>84</v>
      </c>
      <c r="AD6" s="48">
        <f>AVERAGE(F6,J6,N6,R6,V6,Z6)</f>
        <v>5.9940344415479761E-2</v>
      </c>
      <c r="AE6" s="165">
        <f>'Weekly Inspection Report'!K31</f>
        <v>0.33403524216865338</v>
      </c>
    </row>
    <row r="7" spans="2:31" ht="27.75" customHeight="1">
      <c r="B7" s="47" t="s">
        <v>445</v>
      </c>
      <c r="C7" s="132">
        <f>'Weekly Inspection Report'!D54</f>
        <v>677</v>
      </c>
      <c r="D7" s="132">
        <f>'Weekly Inspection Report'!D55</f>
        <v>642</v>
      </c>
      <c r="E7" s="131">
        <f>'Weekly Inspection Report'!D53</f>
        <v>35</v>
      </c>
      <c r="F7" s="48">
        <f>'Weekly Inspection Report'!D56</f>
        <v>5.1698670605612999E-2</v>
      </c>
      <c r="G7" s="132">
        <f>'Weekly Inspection Report'!E54</f>
        <v>495</v>
      </c>
      <c r="H7" s="132">
        <f>'Weekly Inspection Report'!E55</f>
        <v>468</v>
      </c>
      <c r="I7" s="131">
        <f>'Weekly Inspection Report'!E53</f>
        <v>27</v>
      </c>
      <c r="J7" s="48">
        <f>'Weekly Inspection Report'!E56</f>
        <v>5.4545454545454543E-2</v>
      </c>
      <c r="K7" s="132">
        <f>'Weekly Inspection Report'!F54</f>
        <v>767</v>
      </c>
      <c r="L7" s="132">
        <f>'Weekly Inspection Report'!F55</f>
        <v>732</v>
      </c>
      <c r="M7" s="131">
        <f>'Weekly Inspection Report'!F53</f>
        <v>35</v>
      </c>
      <c r="N7" s="48">
        <f>'Weekly Inspection Report'!F56</f>
        <v>4.563233376792699E-2</v>
      </c>
      <c r="O7" s="132">
        <f>'Weekly Inspection Report'!G54</f>
        <v>649</v>
      </c>
      <c r="P7" s="132">
        <f>'Weekly Inspection Report'!G55</f>
        <v>624</v>
      </c>
      <c r="Q7" s="131">
        <f>'Weekly Inspection Report'!G53</f>
        <v>25</v>
      </c>
      <c r="R7" s="48">
        <f>'Weekly Inspection Report'!G56</f>
        <v>3.8520801232665637E-2</v>
      </c>
      <c r="S7" s="132">
        <f>'Weekly Inspection Report'!H54</f>
        <v>681</v>
      </c>
      <c r="T7" s="132">
        <f>'Weekly Inspection Report'!H55</f>
        <v>648</v>
      </c>
      <c r="U7" s="131">
        <f>'Weekly Inspection Report'!H53</f>
        <v>33</v>
      </c>
      <c r="V7" s="48">
        <f>'Weekly Inspection Report'!H56</f>
        <v>4.8458149779735685E-2</v>
      </c>
      <c r="W7" s="132">
        <f>'Weekly Inspection Report'!I54</f>
        <v>711</v>
      </c>
      <c r="X7" s="132">
        <f>'Weekly Inspection Report'!I55</f>
        <v>678</v>
      </c>
      <c r="Y7" s="131">
        <f>'Weekly Inspection Report'!I53</f>
        <v>33</v>
      </c>
      <c r="Z7" s="48">
        <f>'Weekly Inspection Report'!I56</f>
        <v>4.6413502109704644E-2</v>
      </c>
      <c r="AA7" s="49">
        <f t="shared" si="0"/>
        <v>3980</v>
      </c>
      <c r="AB7" s="49">
        <f t="shared" si="0"/>
        <v>3792</v>
      </c>
      <c r="AC7" s="49">
        <f t="shared" si="0"/>
        <v>188</v>
      </c>
      <c r="AD7" s="168">
        <f t="shared" ref="AD7:AD14" si="1">AVERAGE(F7,J7,N7,R7,V7,Z7)</f>
        <v>4.7544818673516752E-2</v>
      </c>
      <c r="AE7" s="165">
        <f>'Weekly Inspection Report'!K57</f>
        <v>0.35026760057471268</v>
      </c>
    </row>
    <row r="8" spans="2:31" ht="27.75" customHeight="1">
      <c r="B8" s="47" t="s">
        <v>446</v>
      </c>
      <c r="C8" s="132">
        <f>'Weekly Inspection Report'!D80</f>
        <v>372</v>
      </c>
      <c r="D8" s="132">
        <f>'Weekly Inspection Report'!D81</f>
        <v>350</v>
      </c>
      <c r="E8" s="131">
        <f>'Weekly Inspection Report'!D79</f>
        <v>22</v>
      </c>
      <c r="F8" s="48">
        <f>'Weekly Inspection Report'!D82</f>
        <v>5.9139784946236562E-2</v>
      </c>
      <c r="G8" s="132">
        <f>'Weekly Inspection Report'!E80</f>
        <v>372</v>
      </c>
      <c r="H8" s="132">
        <f>'Weekly Inspection Report'!E81</f>
        <v>350</v>
      </c>
      <c r="I8" s="131">
        <f>'Weekly Inspection Report'!E79</f>
        <v>22</v>
      </c>
      <c r="J8" s="48">
        <f>'Weekly Inspection Report'!E82</f>
        <v>5.9139784946236562E-2</v>
      </c>
      <c r="K8" s="132">
        <f>'Weekly Inspection Report'!F80</f>
        <v>372</v>
      </c>
      <c r="L8" s="132">
        <f>'Weekly Inspection Report'!F81</f>
        <v>350</v>
      </c>
      <c r="M8" s="131">
        <f>'Weekly Inspection Report'!F79</f>
        <v>22</v>
      </c>
      <c r="N8" s="48">
        <f>'Weekly Inspection Report'!F82</f>
        <v>5.9139784946236562E-2</v>
      </c>
      <c r="O8" s="132">
        <f>'Weekly Inspection Report'!G80</f>
        <v>425</v>
      </c>
      <c r="P8" s="132">
        <f>'Weekly Inspection Report'!G81</f>
        <v>404</v>
      </c>
      <c r="Q8" s="131">
        <f>'Weekly Inspection Report'!G79</f>
        <v>21</v>
      </c>
      <c r="R8" s="48">
        <f>'Weekly Inspection Report'!G82</f>
        <v>4.9411764705882349E-2</v>
      </c>
      <c r="S8" s="132">
        <f>'Weekly Inspection Report'!H80</f>
        <v>344</v>
      </c>
      <c r="T8" s="132">
        <f>'Weekly Inspection Report'!H81</f>
        <v>325</v>
      </c>
      <c r="U8" s="132">
        <f>'Weekly Inspection Report'!H79</f>
        <v>19</v>
      </c>
      <c r="V8" s="48">
        <f>'Weekly Inspection Report'!H82</f>
        <v>5.5232558139534885E-2</v>
      </c>
      <c r="W8" s="132">
        <f>'Weekly Inspection Report'!I80</f>
        <v>343</v>
      </c>
      <c r="X8" s="132">
        <f>'Weekly Inspection Report'!I81</f>
        <v>325</v>
      </c>
      <c r="Y8" s="131">
        <f>'Weekly Inspection Report'!I79</f>
        <v>18</v>
      </c>
      <c r="Z8" s="48">
        <f>'Weekly Inspection Report'!I82</f>
        <v>5.2478134110787174E-2</v>
      </c>
      <c r="AA8" s="49">
        <f>SUM(C8,G8,K8,O8,S8,W8)</f>
        <v>2228</v>
      </c>
      <c r="AB8" s="49">
        <f t="shared" ref="AB8:AB15" si="2">SUM(D8,H8,L8,P8,T8,X8)</f>
        <v>2104</v>
      </c>
      <c r="AC8" s="49">
        <f t="shared" ref="AC8:AC14" si="3">SUM(E8,I8,M8,Q8,U8,Y8)</f>
        <v>124</v>
      </c>
      <c r="AD8" s="168">
        <f t="shared" si="1"/>
        <v>5.5756968632485686E-2</v>
      </c>
      <c r="AE8" s="165">
        <f>'Weekly Inspection Report'!K83</f>
        <v>0.41946375836740418</v>
      </c>
    </row>
    <row r="9" spans="2:31" ht="27.75" customHeight="1">
      <c r="B9" s="47" t="s">
        <v>447</v>
      </c>
      <c r="C9" s="132">
        <f>'Weekly Inspection Report'!D106</f>
        <v>267</v>
      </c>
      <c r="D9" s="132">
        <f>'Weekly Inspection Report'!D107</f>
        <v>252</v>
      </c>
      <c r="E9" s="131">
        <f>'Weekly Inspection Report'!D105</f>
        <v>15</v>
      </c>
      <c r="F9" s="48">
        <f>'Weekly Inspection Report'!D108</f>
        <v>5.6179775280898875E-2</v>
      </c>
      <c r="G9" s="132">
        <f>'Weekly Inspection Report'!E106</f>
        <v>143</v>
      </c>
      <c r="H9" s="132">
        <f>'Weekly Inspection Report'!E107</f>
        <v>132</v>
      </c>
      <c r="I9" s="131">
        <f>'Weekly Inspection Report'!E105</f>
        <v>11</v>
      </c>
      <c r="J9" s="48">
        <f>'Weekly Inspection Report'!E108</f>
        <v>7.6923076923076927E-2</v>
      </c>
      <c r="K9" s="132">
        <f>'Weekly Inspection Report'!F106</f>
        <v>258</v>
      </c>
      <c r="L9" s="132">
        <f>'Weekly Inspection Report'!F107</f>
        <v>240</v>
      </c>
      <c r="M9" s="131">
        <f>'Weekly Inspection Report'!F105</f>
        <v>18</v>
      </c>
      <c r="N9" s="48">
        <f>'Weekly Inspection Report'!F108</f>
        <v>6.9767441860465115E-2</v>
      </c>
      <c r="O9" s="132">
        <f>'Weekly Inspection Report'!G106</f>
        <v>283</v>
      </c>
      <c r="P9" s="132">
        <f>'Weekly Inspection Report'!G107</f>
        <v>264</v>
      </c>
      <c r="Q9" s="131">
        <f>'Weekly Inspection Report'!G105</f>
        <v>19</v>
      </c>
      <c r="R9" s="48">
        <f>'Weekly Inspection Report'!G108</f>
        <v>6.7137809187279157E-2</v>
      </c>
      <c r="S9" s="132">
        <f>'Weekly Inspection Report'!H106</f>
        <v>268</v>
      </c>
      <c r="T9" s="132">
        <f>'Weekly Inspection Report'!H107</f>
        <v>252</v>
      </c>
      <c r="U9" s="131">
        <f>'Weekly Inspection Report'!H105</f>
        <v>16</v>
      </c>
      <c r="V9" s="48">
        <f>'Weekly Inspection Report'!H108</f>
        <v>5.9701492537313432E-2</v>
      </c>
      <c r="W9" s="132">
        <f>'Weekly Inspection Report'!I106</f>
        <v>508</v>
      </c>
      <c r="X9" s="132">
        <f>'Weekly Inspection Report'!I107</f>
        <v>480</v>
      </c>
      <c r="Y9" s="181">
        <f>'Weekly Inspection Report'!I105</f>
        <v>28</v>
      </c>
      <c r="Z9" s="48">
        <f>'Weekly Inspection Report'!I108</f>
        <v>5.5118110236220472E-2</v>
      </c>
      <c r="AA9" s="49">
        <f>SUM(C9,G9,K9,O9,S9,W9)</f>
        <v>1727</v>
      </c>
      <c r="AB9" s="49">
        <f t="shared" si="2"/>
        <v>1620</v>
      </c>
      <c r="AC9" s="49">
        <f t="shared" si="3"/>
        <v>107</v>
      </c>
      <c r="AD9" s="168">
        <f t="shared" si="1"/>
        <v>6.4137951004209007E-2</v>
      </c>
      <c r="AE9" s="165">
        <f>'Weekly Inspection Report'!K109</f>
        <v>0.21747179401709402</v>
      </c>
    </row>
    <row r="10" spans="2:31" ht="27.75" customHeight="1">
      <c r="B10" s="47" t="s">
        <v>448</v>
      </c>
      <c r="C10" s="132">
        <f>'Weekly Inspection Report'!D132</f>
        <v>1002</v>
      </c>
      <c r="D10" s="132">
        <f>'Weekly Inspection Report'!D133</f>
        <v>936</v>
      </c>
      <c r="E10" s="131">
        <f>'Weekly Inspection Report'!D131</f>
        <v>66</v>
      </c>
      <c r="F10" s="180">
        <f>'Weekly Inspection Report'!D134</f>
        <v>6.5868263473053898E-2</v>
      </c>
      <c r="G10" s="132">
        <f>'Weekly Inspection Report'!E132</f>
        <v>884</v>
      </c>
      <c r="H10" s="132">
        <f>'Weekly Inspection Report'!E133</f>
        <v>864</v>
      </c>
      <c r="I10" s="131">
        <f>'Weekly Inspection Report'!E131</f>
        <v>20</v>
      </c>
      <c r="J10" s="48">
        <f>'Weekly Inspection Report'!E134</f>
        <v>2.2624434389140271E-2</v>
      </c>
      <c r="K10" s="132">
        <f>'Weekly Inspection Report'!F132</f>
        <v>882</v>
      </c>
      <c r="L10" s="132">
        <f>'Weekly Inspection Report'!F133</f>
        <v>864</v>
      </c>
      <c r="M10" s="131">
        <f>'Weekly Inspection Report'!F131</f>
        <v>18</v>
      </c>
      <c r="N10" s="48">
        <f>'Weekly Inspection Report'!F134</f>
        <v>2.0408163265306121E-2</v>
      </c>
      <c r="O10" s="132">
        <f>'Weekly Inspection Report'!G132</f>
        <v>879</v>
      </c>
      <c r="P10" s="132">
        <f>'Weekly Inspection Report'!G133</f>
        <v>864</v>
      </c>
      <c r="Q10" s="131">
        <f>'Weekly Inspection Report'!G131</f>
        <v>15</v>
      </c>
      <c r="R10" s="48">
        <f>'Weekly Inspection Report'!G134</f>
        <v>1.7064846416382253E-2</v>
      </c>
      <c r="S10" s="132">
        <f>'Weekly Inspection Report'!H132</f>
        <v>820</v>
      </c>
      <c r="T10" s="132">
        <f>'Weekly Inspection Report'!H133</f>
        <v>792</v>
      </c>
      <c r="U10" s="131">
        <f>'Weekly Inspection Report'!H131</f>
        <v>28</v>
      </c>
      <c r="V10" s="48">
        <f>'Weekly Inspection Report'!H134</f>
        <v>3.4146341463414637E-2</v>
      </c>
      <c r="W10" s="132">
        <f>'Weekly Inspection Report'!I132</f>
        <v>744</v>
      </c>
      <c r="X10" s="132">
        <f>'Weekly Inspection Report'!I133</f>
        <v>720</v>
      </c>
      <c r="Y10" s="131">
        <f>'Weekly Inspection Report'!I131</f>
        <v>24</v>
      </c>
      <c r="Z10" s="48">
        <f>'Weekly Inspection Report'!I134</f>
        <v>3.2258064516129031E-2</v>
      </c>
      <c r="AA10" s="49">
        <f>SUM(C10,G10,K10,O10,S10,W10)</f>
        <v>5211</v>
      </c>
      <c r="AB10" s="49">
        <f t="shared" si="2"/>
        <v>5040</v>
      </c>
      <c r="AC10" s="49">
        <f t="shared" si="3"/>
        <v>171</v>
      </c>
      <c r="AD10" s="168">
        <f t="shared" si="1"/>
        <v>3.2061685587237702E-2</v>
      </c>
      <c r="AE10" s="165">
        <f>'Weekly Inspection Report'!K135</f>
        <v>0.41344302076872924</v>
      </c>
    </row>
    <row r="11" spans="2:31" ht="27.75" customHeight="1">
      <c r="B11" s="47" t="s">
        <v>449</v>
      </c>
      <c r="C11" s="132">
        <f>'Weekly Inspection Report'!D158</f>
        <v>346</v>
      </c>
      <c r="D11" s="132">
        <f>'Weekly Inspection Report'!D159</f>
        <v>324</v>
      </c>
      <c r="E11" s="131">
        <f>'Weekly Inspection Report'!D157</f>
        <v>22</v>
      </c>
      <c r="F11" s="48">
        <f>'Weekly Inspection Report'!D160</f>
        <v>6.358381502890173E-2</v>
      </c>
      <c r="G11" s="132">
        <f>'Weekly Inspection Report'!E158</f>
        <v>114</v>
      </c>
      <c r="H11" s="132">
        <f>'Weekly Inspection Report'!E159</f>
        <v>108</v>
      </c>
      <c r="I11" s="132">
        <f>'Weekly Inspection Report'!E157</f>
        <v>6</v>
      </c>
      <c r="J11" s="48">
        <f>'Weekly Inspection Report'!E160</f>
        <v>5.2631578947368418E-2</v>
      </c>
      <c r="K11" s="132">
        <f>'Weekly Inspection Report'!F158</f>
        <v>90</v>
      </c>
      <c r="L11" s="132">
        <f>'Weekly Inspection Report'!F159</f>
        <v>84</v>
      </c>
      <c r="M11" s="131">
        <f>'Weekly Inspection Report'!F157</f>
        <v>6</v>
      </c>
      <c r="N11" s="48">
        <f>'Weekly Inspection Report'!F160</f>
        <v>6.6666666666666666E-2</v>
      </c>
      <c r="O11" s="132">
        <f>'Weekly Inspection Report'!G158</f>
        <v>104</v>
      </c>
      <c r="P11" s="132">
        <f>'Weekly Inspection Report'!G159</f>
        <v>96</v>
      </c>
      <c r="Q11" s="131">
        <f>'Weekly Inspection Report'!G157</f>
        <v>8</v>
      </c>
      <c r="R11" s="48">
        <f>'Weekly Inspection Report'!G160</f>
        <v>7.6923076923076927E-2</v>
      </c>
      <c r="S11" s="132">
        <f>'Weekly Inspection Report'!H158</f>
        <v>104</v>
      </c>
      <c r="T11" s="132">
        <f>'Weekly Inspection Report'!H159</f>
        <v>96</v>
      </c>
      <c r="U11" s="131">
        <f>'Weekly Inspection Report'!H157</f>
        <v>8</v>
      </c>
      <c r="V11" s="48">
        <f>'Weekly Inspection Report'!H160</f>
        <v>7.6923076923076927E-2</v>
      </c>
      <c r="W11" s="132">
        <f>'Weekly Inspection Report'!I158</f>
        <v>117</v>
      </c>
      <c r="X11" s="132">
        <f>'Weekly Inspection Report'!I159</f>
        <v>108</v>
      </c>
      <c r="Y11" s="131">
        <f>'Weekly Inspection Report'!I157</f>
        <v>9</v>
      </c>
      <c r="Z11" s="48">
        <f>'Weekly Inspection Report'!I160</f>
        <v>7.6923076923076927E-2</v>
      </c>
      <c r="AA11" s="49">
        <f t="shared" ref="AA11:AA15" si="4">SUM(C11,G11,K11,O11,S11,W11)</f>
        <v>875</v>
      </c>
      <c r="AB11" s="49">
        <f>SUM(D11,H11,L11,P11,T11,X11)</f>
        <v>816</v>
      </c>
      <c r="AC11" s="49">
        <f t="shared" si="3"/>
        <v>59</v>
      </c>
      <c r="AD11" s="168">
        <f t="shared" si="1"/>
        <v>6.8941881902027935E-2</v>
      </c>
      <c r="AE11" s="85">
        <f>'Weekly Inspection Report'!K161</f>
        <v>0.15645774322660097</v>
      </c>
    </row>
    <row r="12" spans="2:31" ht="27.75" customHeight="1">
      <c r="B12" s="47" t="s">
        <v>450</v>
      </c>
      <c r="C12" s="132">
        <f>'Weekly Inspection Report'!D184</f>
        <v>0</v>
      </c>
      <c r="D12" s="132">
        <f>'Weekly Inspection Report'!D185</f>
        <v>0</v>
      </c>
      <c r="E12" s="131" t="str">
        <f>'Weekly Inspection Report'!D183</f>
        <v/>
      </c>
      <c r="F12" s="48">
        <f>'Weekly Inspection Report'!D186</f>
        <v>0</v>
      </c>
      <c r="G12" s="132">
        <f>'Weekly Inspection Report'!E184</f>
        <v>51</v>
      </c>
      <c r="H12" s="132">
        <f>'Weekly Inspection Report'!E185</f>
        <v>48</v>
      </c>
      <c r="I12" s="131">
        <f>'Weekly Inspection Report'!E183</f>
        <v>3</v>
      </c>
      <c r="J12" s="48">
        <f>'Weekly Inspection Report'!E186</f>
        <v>5.8823529411764705E-2</v>
      </c>
      <c r="K12" s="132">
        <f>'Weekly Inspection Report'!F184</f>
        <v>89</v>
      </c>
      <c r="L12" s="132">
        <f>'Weekly Inspection Report'!F185</f>
        <v>84</v>
      </c>
      <c r="M12" s="131">
        <f>'Weekly Inspection Report'!F183</f>
        <v>5</v>
      </c>
      <c r="N12" s="48">
        <f>'Weekly Inspection Report'!F186</f>
        <v>5.6179775280898875E-2</v>
      </c>
      <c r="O12" s="132">
        <f>'Weekly Inspection Report'!G184</f>
        <v>138</v>
      </c>
      <c r="P12" s="132">
        <f>'Weekly Inspection Report'!G185</f>
        <v>132</v>
      </c>
      <c r="Q12" s="131">
        <f>'Weekly Inspection Report'!G183</f>
        <v>6</v>
      </c>
      <c r="R12" s="48">
        <f>'Weekly Inspection Report'!G186</f>
        <v>4.3478260869565216E-2</v>
      </c>
      <c r="S12" s="132">
        <f>'Weekly Inspection Report'!H184</f>
        <v>212</v>
      </c>
      <c r="T12" s="132">
        <f>'Weekly Inspection Report'!H185</f>
        <v>204</v>
      </c>
      <c r="U12" s="131">
        <f>'Weekly Inspection Report'!H183</f>
        <v>8</v>
      </c>
      <c r="V12" s="48">
        <f>'Weekly Inspection Report'!H186</f>
        <v>3.7735849056603772E-2</v>
      </c>
      <c r="W12" s="132">
        <f>'Weekly Inspection Report'!I184</f>
        <v>113</v>
      </c>
      <c r="X12" s="132">
        <f>'Weekly Inspection Report'!I185</f>
        <v>108</v>
      </c>
      <c r="Y12" s="131">
        <f>'Weekly Inspection Report'!I183</f>
        <v>5</v>
      </c>
      <c r="Z12" s="48">
        <f>'Weekly Inspection Report'!I186</f>
        <v>4.4247787610619468E-2</v>
      </c>
      <c r="AA12" s="49">
        <f>SUM(C12,G12,K12,O12,S12,W12)</f>
        <v>603</v>
      </c>
      <c r="AB12" s="49">
        <f>SUM(D12,H12,L12,P12,T12,X12)</f>
        <v>576</v>
      </c>
      <c r="AC12" s="49">
        <f t="shared" si="3"/>
        <v>27</v>
      </c>
      <c r="AD12" s="168">
        <f t="shared" si="1"/>
        <v>4.0077533704908679E-2</v>
      </c>
      <c r="AE12" s="85">
        <f>'Weekly Inspection Report'!K187</f>
        <v>0.1598781301313629</v>
      </c>
    </row>
    <row r="13" spans="2:31" ht="27.75" customHeight="1">
      <c r="B13" s="47" t="s">
        <v>451</v>
      </c>
      <c r="C13" s="132">
        <f>'Weekly Inspection Report'!D210</f>
        <v>542</v>
      </c>
      <c r="D13" s="132">
        <f>'Weekly Inspection Report'!D211</f>
        <v>400</v>
      </c>
      <c r="E13" s="131">
        <f>'Weekly Inspection Report'!D209</f>
        <v>22</v>
      </c>
      <c r="F13" s="48">
        <f>'Weekly Inspection Report'!D212</f>
        <v>4.0590405904059039E-2</v>
      </c>
      <c r="G13" s="132">
        <f>'Weekly Inspection Report'!E210</f>
        <v>472</v>
      </c>
      <c r="H13" s="132">
        <f>'Weekly Inspection Report'!E211</f>
        <v>180</v>
      </c>
      <c r="I13" s="131">
        <f>'Weekly Inspection Report'!E209</f>
        <v>22</v>
      </c>
      <c r="J13" s="48">
        <f>'Weekly Inspection Report'!E212</f>
        <v>4.6610169491525424E-2</v>
      </c>
      <c r="K13" s="132">
        <f>'Weekly Inspection Report'!F210</f>
        <v>467</v>
      </c>
      <c r="L13" s="132">
        <f>'Weekly Inspection Report'!F211</f>
        <v>240</v>
      </c>
      <c r="M13" s="131">
        <f>'Weekly Inspection Report'!F209</f>
        <v>27</v>
      </c>
      <c r="N13" s="48">
        <f>'Weekly Inspection Report'!F212</f>
        <v>5.7815845824411134E-2</v>
      </c>
      <c r="O13" s="132">
        <f>'Weekly Inspection Report'!G210</f>
        <v>347</v>
      </c>
      <c r="P13" s="132">
        <f>'Weekly Inspection Report'!G211</f>
        <v>325</v>
      </c>
      <c r="Q13" s="131">
        <f>'Weekly Inspection Report'!G209</f>
        <v>22</v>
      </c>
      <c r="R13" s="48">
        <f>'Weekly Inspection Report'!G212</f>
        <v>6.3400576368876083E-2</v>
      </c>
      <c r="S13" s="132">
        <f>'Weekly Inspection Report'!H210</f>
        <v>472</v>
      </c>
      <c r="T13" s="132">
        <f>'Weekly Inspection Report'!H211</f>
        <v>440</v>
      </c>
      <c r="U13" s="131">
        <f>'Weekly Inspection Report'!H209</f>
        <v>32</v>
      </c>
      <c r="V13" s="48">
        <f>'Weekly Inspection Report'!H212</f>
        <v>6.7796610169491525E-2</v>
      </c>
      <c r="W13" s="132">
        <f>'Weekly Inspection Report'!I210</f>
        <v>450</v>
      </c>
      <c r="X13" s="132">
        <f>'Weekly Inspection Report'!I211</f>
        <v>425</v>
      </c>
      <c r="Y13" s="131">
        <f>'Weekly Inspection Report'!I209</f>
        <v>25</v>
      </c>
      <c r="Z13" s="48">
        <f>'Weekly Inspection Report'!I212</f>
        <v>5.5555555555555552E-2</v>
      </c>
      <c r="AA13" s="49">
        <f>SUM(C13,G13,K13,O13,S13,W13)</f>
        <v>2750</v>
      </c>
      <c r="AB13" s="49">
        <f t="shared" si="2"/>
        <v>2010</v>
      </c>
      <c r="AC13" s="49">
        <f t="shared" si="3"/>
        <v>150</v>
      </c>
      <c r="AD13" s="168">
        <f t="shared" si="1"/>
        <v>5.5294860552319781E-2</v>
      </c>
      <c r="AE13" s="85">
        <f>'Weekly Inspection Report'!K213</f>
        <v>0.43220455781358563</v>
      </c>
    </row>
    <row r="14" spans="2:31" ht="27.75" customHeight="1">
      <c r="B14" s="47" t="s">
        <v>452</v>
      </c>
      <c r="C14" s="132">
        <f>'Weekly Inspection Report'!D236</f>
        <v>571</v>
      </c>
      <c r="D14" s="132">
        <f>'Weekly Inspection Report'!D237</f>
        <v>546</v>
      </c>
      <c r="E14" s="131">
        <f>'Weekly Inspection Report'!D235</f>
        <v>25</v>
      </c>
      <c r="F14" s="48">
        <f>'Weekly Inspection Report'!D238</f>
        <v>4.3782837127845885E-2</v>
      </c>
      <c r="G14" s="132">
        <f>'Weekly Inspection Report'!E236</f>
        <v>575</v>
      </c>
      <c r="H14" s="132">
        <f>'Weekly Inspection Report'!E237</f>
        <v>552</v>
      </c>
      <c r="I14" s="131">
        <f>'Weekly Inspection Report'!E235</f>
        <v>23</v>
      </c>
      <c r="J14" s="48">
        <f>'Weekly Inspection Report'!E238</f>
        <v>0.04</v>
      </c>
      <c r="K14" s="132">
        <f>'Weekly Inspection Report'!F236</f>
        <v>573</v>
      </c>
      <c r="L14" s="132">
        <f>'Weekly Inspection Report'!F237</f>
        <v>552</v>
      </c>
      <c r="M14" s="131">
        <f>'Weekly Inspection Report'!F235</f>
        <v>21</v>
      </c>
      <c r="N14" s="48">
        <f>'Weekly Inspection Report'!F238</f>
        <v>3.6649214659685861E-2</v>
      </c>
      <c r="O14" s="132">
        <f>'Weekly Inspection Report'!G236</f>
        <v>576</v>
      </c>
      <c r="P14" s="132">
        <f>'Weekly Inspection Report'!G237</f>
        <v>552</v>
      </c>
      <c r="Q14" s="131">
        <f>'Weekly Inspection Report'!G235</f>
        <v>24</v>
      </c>
      <c r="R14" s="48">
        <f>'Weekly Inspection Report'!G238</f>
        <v>4.1666666666666664E-2</v>
      </c>
      <c r="S14" s="132">
        <f>'Weekly Inspection Report'!H236</f>
        <v>576</v>
      </c>
      <c r="T14" s="132">
        <f>'Weekly Inspection Report'!H237</f>
        <v>552</v>
      </c>
      <c r="U14" s="131">
        <f>'Weekly Inspection Report'!H235</f>
        <v>24</v>
      </c>
      <c r="V14" s="48">
        <f>'Weekly Inspection Report'!H238</f>
        <v>4.1666666666666664E-2</v>
      </c>
      <c r="W14" s="132">
        <f>'Weekly Inspection Report'!I236</f>
        <v>647</v>
      </c>
      <c r="X14" s="132">
        <f>'Weekly Inspection Report'!I237</f>
        <v>625</v>
      </c>
      <c r="Y14" s="131">
        <f>'Weekly Inspection Report'!I235</f>
        <v>22</v>
      </c>
      <c r="Z14" s="48">
        <f>'Weekly Inspection Report'!I238</f>
        <v>3.4003091190108192E-2</v>
      </c>
      <c r="AA14" s="49">
        <f t="shared" si="4"/>
        <v>3518</v>
      </c>
      <c r="AB14" s="49">
        <f t="shared" si="2"/>
        <v>3379</v>
      </c>
      <c r="AC14" s="49">
        <f t="shared" si="3"/>
        <v>139</v>
      </c>
      <c r="AD14" s="168">
        <f t="shared" si="1"/>
        <v>3.9628079385162211E-2</v>
      </c>
      <c r="AE14" s="165">
        <f>'Weekly Inspection Report'!K239</f>
        <v>0.34114676137217342</v>
      </c>
    </row>
    <row r="15" spans="2:31" ht="27.75" customHeight="1">
      <c r="B15" s="47" t="s">
        <v>453</v>
      </c>
      <c r="C15" s="132">
        <f>'Weekly Inspection Report'!D262</f>
        <v>510</v>
      </c>
      <c r="D15" s="132">
        <f>'Weekly Inspection Report'!D263</f>
        <v>492</v>
      </c>
      <c r="E15" s="131">
        <f>'Weekly Inspection Report'!D261</f>
        <v>18</v>
      </c>
      <c r="F15" s="48">
        <f>'Weekly Inspection Report'!D264</f>
        <v>3.5294117647058823E-2</v>
      </c>
      <c r="G15" s="132">
        <f>'Weekly Inspection Report'!E262</f>
        <v>526</v>
      </c>
      <c r="H15" s="132">
        <f>'Weekly Inspection Report'!E263</f>
        <v>504</v>
      </c>
      <c r="I15" s="131">
        <f>'Weekly Inspection Report'!E261</f>
        <v>22</v>
      </c>
      <c r="J15" s="48">
        <f>'Weekly Inspection Report'!E264</f>
        <v>4.1825095057034217E-2</v>
      </c>
      <c r="K15" s="132">
        <f>'Weekly Inspection Report'!F262</f>
        <v>770</v>
      </c>
      <c r="L15" s="132">
        <f>'Weekly Inspection Report'!F263</f>
        <v>740</v>
      </c>
      <c r="M15" s="131">
        <f>'Weekly Inspection Report'!F261</f>
        <v>30</v>
      </c>
      <c r="N15" s="48">
        <f>'Weekly Inspection Report'!F264</f>
        <v>3.896103896103896E-2</v>
      </c>
      <c r="O15" s="132">
        <f>'Weekly Inspection Report'!G262</f>
        <v>566</v>
      </c>
      <c r="P15" s="132">
        <f>'Weekly Inspection Report'!G263</f>
        <v>540</v>
      </c>
      <c r="Q15" s="132">
        <f>'Weekly Inspection Report'!G261</f>
        <v>26</v>
      </c>
      <c r="R15" s="48">
        <f>'Weekly Inspection Report'!G264</f>
        <v>4.5936395759717315E-2</v>
      </c>
      <c r="S15" s="132">
        <f>'Weekly Inspection Report'!H262</f>
        <v>849</v>
      </c>
      <c r="T15" s="132">
        <f>'Weekly Inspection Report'!H263</f>
        <v>820</v>
      </c>
      <c r="U15" s="131">
        <f>'Weekly Inspection Report'!H261</f>
        <v>29</v>
      </c>
      <c r="V15" s="48">
        <f>'Weekly Inspection Report'!H264</f>
        <v>3.4157832744405182E-2</v>
      </c>
      <c r="W15" s="132">
        <f>'Weekly Inspection Report'!I262</f>
        <v>995</v>
      </c>
      <c r="X15" s="132">
        <f>'Weekly Inspection Report'!I263</f>
        <v>960</v>
      </c>
      <c r="Y15" s="131">
        <f>'Weekly Inspection Report'!I261</f>
        <v>35</v>
      </c>
      <c r="Z15" s="48">
        <f>'Weekly Inspection Report'!I264</f>
        <v>3.5175879396984924E-2</v>
      </c>
      <c r="AA15" s="49">
        <f t="shared" si="4"/>
        <v>4216</v>
      </c>
      <c r="AB15" s="49">
        <f t="shared" si="2"/>
        <v>4056</v>
      </c>
      <c r="AC15" s="49">
        <f>SUM(E15,I15,M15,Q15,U15,Y15)</f>
        <v>160</v>
      </c>
      <c r="AD15" s="168">
        <f>AVERAGE(F15,J15,N15,R15,V15,Z15)</f>
        <v>3.8558393261039901E-2</v>
      </c>
      <c r="AE15" s="85">
        <f>'Weekly Inspection Report'!K265</f>
        <v>0.19017179492643735</v>
      </c>
    </row>
    <row r="16" spans="2:31" ht="27.75" customHeight="1">
      <c r="B16" s="47" t="s">
        <v>454</v>
      </c>
      <c r="C16" s="132">
        <f>'Weekly Inspection Report'!D288</f>
        <v>0</v>
      </c>
      <c r="D16" s="132">
        <f>'Weekly Inspection Report'!D289</f>
        <v>0</v>
      </c>
      <c r="E16" s="131" t="str">
        <f>'Weekly Inspection Report'!D287</f>
        <v/>
      </c>
      <c r="F16" s="48">
        <f>'Weekly Inspection Report'!D290</f>
        <v>0</v>
      </c>
      <c r="G16" s="132">
        <f>'Weekly Inspection Report'!E288</f>
        <v>0</v>
      </c>
      <c r="H16" s="132">
        <f>'Weekly Inspection Report'!E289</f>
        <v>0</v>
      </c>
      <c r="I16" s="131" t="str">
        <f>'Weekly Inspection Report'!E287</f>
        <v/>
      </c>
      <c r="J16" s="48">
        <f>'Weekly Inspection Report'!E290</f>
        <v>0</v>
      </c>
      <c r="K16" s="132">
        <f>'Weekly Inspection Report'!F288</f>
        <v>685</v>
      </c>
      <c r="L16" s="132">
        <f>'Weekly Inspection Report'!F289</f>
        <v>659</v>
      </c>
      <c r="M16" s="181">
        <f>'Weekly Inspection Report'!F287</f>
        <v>26</v>
      </c>
      <c r="N16" s="48">
        <f>'Weekly Inspection Report'!F290</f>
        <v>3.7956204379562042E-2</v>
      </c>
      <c r="O16" s="132">
        <f>'Weekly Inspection Report'!G288</f>
        <v>522</v>
      </c>
      <c r="P16" s="132">
        <f>'Weekly Inspection Report'!G289</f>
        <v>503</v>
      </c>
      <c r="Q16" s="131">
        <f>'Weekly Inspection Report'!G287</f>
        <v>19</v>
      </c>
      <c r="R16" s="48">
        <f>'Weekly Inspection Report'!G290</f>
        <v>3.6398467432950193E-2</v>
      </c>
      <c r="S16" s="132">
        <f>'Weekly Inspection Report'!H288</f>
        <v>597</v>
      </c>
      <c r="T16" s="132">
        <f>'Weekly Inspection Report'!H289</f>
        <v>568</v>
      </c>
      <c r="U16" s="131">
        <f>'Weekly Inspection Report'!H287</f>
        <v>29</v>
      </c>
      <c r="V16" s="48">
        <f>'Weekly Inspection Report'!H290</f>
        <v>4.8576214405360134E-2</v>
      </c>
      <c r="W16" s="132">
        <f>'Weekly Inspection Report'!I288</f>
        <v>465</v>
      </c>
      <c r="X16" s="132">
        <f>'Weekly Inspection Report'!I289</f>
        <v>436</v>
      </c>
      <c r="Y16" s="131">
        <f>'Weekly Inspection Report'!I287</f>
        <v>29</v>
      </c>
      <c r="Z16" s="48">
        <f>'Weekly Inspection Report'!I290</f>
        <v>6.236559139784946E-2</v>
      </c>
      <c r="AA16" s="49">
        <f>SUM(C16,G16,K16,O16,S16,W16)</f>
        <v>2269</v>
      </c>
      <c r="AB16" s="49">
        <f>SUM(D16,H16,L16,P16,T16,X16)</f>
        <v>2166</v>
      </c>
      <c r="AC16" s="49">
        <f>SUM(E16,I16,M16,Q16,U16,Y16)</f>
        <v>103</v>
      </c>
      <c r="AD16" s="168">
        <f>AVERAGE(F16,J16,N16,R16,V16,Z16)</f>
        <v>3.088274626928697E-2</v>
      </c>
      <c r="AE16" s="85">
        <f>'Weekly Inspection Report'!K291</f>
        <v>0.23649270833333333</v>
      </c>
    </row>
    <row r="17" spans="2:31" ht="27.75" hidden="1" customHeight="1">
      <c r="B17" s="47" t="s">
        <v>455</v>
      </c>
      <c r="C17" s="132"/>
      <c r="D17" s="131"/>
      <c r="E17" s="131"/>
      <c r="F17" s="48"/>
      <c r="G17" s="131"/>
      <c r="H17" s="131"/>
      <c r="I17" s="131"/>
      <c r="J17" s="48"/>
      <c r="K17" s="131"/>
      <c r="L17" s="131"/>
      <c r="M17" s="131"/>
      <c r="N17" s="48"/>
      <c r="O17" s="131"/>
      <c r="P17" s="131"/>
      <c r="Q17" s="131"/>
      <c r="R17" s="48"/>
      <c r="S17" s="131"/>
      <c r="T17" s="131"/>
      <c r="U17" s="131"/>
      <c r="V17" s="48"/>
      <c r="W17" s="131"/>
      <c r="X17" s="131"/>
      <c r="Y17" s="131"/>
      <c r="Z17" s="48"/>
      <c r="AA17" s="49"/>
      <c r="AB17" s="49"/>
      <c r="AC17" s="49"/>
      <c r="AD17" s="169"/>
      <c r="AE17" s="85"/>
    </row>
    <row r="18" spans="2:31" ht="27.75" hidden="1" customHeight="1">
      <c r="B18" s="47" t="s">
        <v>456</v>
      </c>
      <c r="C18" s="132"/>
      <c r="D18" s="131"/>
      <c r="E18" s="131"/>
      <c r="F18" s="48"/>
      <c r="G18" s="131"/>
      <c r="H18" s="131"/>
      <c r="I18" s="131"/>
      <c r="J18" s="48"/>
      <c r="K18" s="131"/>
      <c r="L18" s="131"/>
      <c r="M18" s="131"/>
      <c r="N18" s="48"/>
      <c r="O18" s="131"/>
      <c r="P18" s="131"/>
      <c r="Q18" s="131"/>
      <c r="R18" s="48"/>
      <c r="S18" s="131"/>
      <c r="T18" s="131"/>
      <c r="U18" s="131"/>
      <c r="V18" s="48"/>
      <c r="W18" s="131"/>
      <c r="X18" s="131"/>
      <c r="Y18" s="131"/>
      <c r="Z18" s="48"/>
      <c r="AA18" s="49"/>
      <c r="AB18" s="49"/>
      <c r="AC18" s="49"/>
      <c r="AD18" s="169"/>
      <c r="AE18" s="85"/>
    </row>
    <row r="19" spans="2:31" ht="27.75" hidden="1" customHeight="1">
      <c r="B19" s="47" t="s">
        <v>470</v>
      </c>
      <c r="C19" s="132"/>
      <c r="D19" s="131"/>
      <c r="E19" s="131"/>
      <c r="F19" s="48"/>
      <c r="G19" s="131"/>
      <c r="H19" s="131"/>
      <c r="I19" s="131"/>
      <c r="J19" s="48"/>
      <c r="K19" s="131"/>
      <c r="L19" s="131"/>
      <c r="M19" s="131"/>
      <c r="N19" s="48"/>
      <c r="O19" s="131"/>
      <c r="P19" s="131"/>
      <c r="Q19" s="131"/>
      <c r="R19" s="48"/>
      <c r="S19" s="131"/>
      <c r="T19" s="131"/>
      <c r="U19" s="131"/>
      <c r="V19" s="48"/>
      <c r="W19" s="131"/>
      <c r="X19" s="131"/>
      <c r="Y19" s="131"/>
      <c r="Z19" s="48"/>
      <c r="AA19" s="49"/>
      <c r="AB19" s="49"/>
      <c r="AC19" s="49"/>
      <c r="AD19" s="169"/>
      <c r="AE19" s="85"/>
    </row>
    <row r="20" spans="2:31" ht="27.75" hidden="1" customHeight="1">
      <c r="B20" s="47" t="s">
        <v>471</v>
      </c>
      <c r="C20" s="132"/>
      <c r="D20" s="131"/>
      <c r="E20" s="131"/>
      <c r="F20" s="48"/>
      <c r="G20" s="131"/>
      <c r="H20" s="131"/>
      <c r="I20" s="131"/>
      <c r="J20" s="48"/>
      <c r="K20" s="131"/>
      <c r="L20" s="131"/>
      <c r="M20" s="131"/>
      <c r="N20" s="48"/>
      <c r="O20" s="131"/>
      <c r="P20" s="131"/>
      <c r="Q20" s="131"/>
      <c r="R20" s="48"/>
      <c r="S20" s="131"/>
      <c r="T20" s="131"/>
      <c r="U20" s="131"/>
      <c r="V20" s="48"/>
      <c r="W20" s="131"/>
      <c r="X20" s="131"/>
      <c r="Y20" s="131"/>
      <c r="Z20" s="48"/>
      <c r="AA20" s="49"/>
      <c r="AB20" s="49"/>
      <c r="AC20" s="49"/>
      <c r="AD20" s="169"/>
      <c r="AE20" s="85"/>
    </row>
    <row r="21" spans="2:31" ht="27.75" hidden="1" customHeight="1">
      <c r="B21" s="47" t="s">
        <v>472</v>
      </c>
      <c r="C21" s="132"/>
      <c r="D21" s="131"/>
      <c r="E21" s="131"/>
      <c r="F21" s="48"/>
      <c r="G21" s="131"/>
      <c r="H21" s="131"/>
      <c r="I21" s="131"/>
      <c r="J21" s="48"/>
      <c r="K21" s="131"/>
      <c r="L21" s="131"/>
      <c r="M21" s="131"/>
      <c r="N21" s="48"/>
      <c r="O21" s="131"/>
      <c r="P21" s="131"/>
      <c r="Q21" s="131"/>
      <c r="R21" s="48"/>
      <c r="S21" s="131"/>
      <c r="T21" s="131"/>
      <c r="U21" s="131"/>
      <c r="V21" s="48"/>
      <c r="W21" s="131"/>
      <c r="X21" s="131"/>
      <c r="Y21" s="131"/>
      <c r="Z21" s="48"/>
      <c r="AA21" s="49"/>
      <c r="AB21" s="49"/>
      <c r="AC21" s="49"/>
      <c r="AD21" s="169"/>
      <c r="AE21" s="85"/>
    </row>
    <row r="22" spans="2:31" ht="27.75" hidden="1" customHeight="1">
      <c r="B22" s="47" t="s">
        <v>473</v>
      </c>
      <c r="C22" s="132"/>
      <c r="D22" s="132"/>
      <c r="E22" s="131"/>
      <c r="F22" s="48"/>
      <c r="G22" s="132"/>
      <c r="H22" s="132"/>
      <c r="I22" s="131"/>
      <c r="J22" s="48"/>
      <c r="K22" s="132"/>
      <c r="L22" s="132"/>
      <c r="M22" s="131"/>
      <c r="N22" s="48"/>
      <c r="O22" s="132"/>
      <c r="P22" s="132"/>
      <c r="Q22" s="131"/>
      <c r="R22" s="48"/>
      <c r="S22" s="132"/>
      <c r="T22" s="132"/>
      <c r="U22" s="131"/>
      <c r="V22" s="48"/>
      <c r="W22" s="132"/>
      <c r="X22" s="132"/>
      <c r="Y22" s="131"/>
      <c r="Z22" s="48"/>
      <c r="AA22" s="49"/>
      <c r="AB22" s="49"/>
      <c r="AC22" s="49"/>
      <c r="AD22" s="169"/>
      <c r="AE22" s="85"/>
    </row>
    <row r="23" spans="2:31" ht="27.75" hidden="1" customHeight="1">
      <c r="B23" s="47" t="s">
        <v>474</v>
      </c>
      <c r="C23" s="132"/>
      <c r="D23" s="132"/>
      <c r="E23" s="131"/>
      <c r="F23" s="48"/>
      <c r="G23" s="132"/>
      <c r="H23" s="132"/>
      <c r="I23" s="131"/>
      <c r="J23" s="48"/>
      <c r="K23" s="132"/>
      <c r="L23" s="132"/>
      <c r="M23" s="131"/>
      <c r="N23" s="48"/>
      <c r="O23" s="132"/>
      <c r="P23" s="132"/>
      <c r="Q23" s="131"/>
      <c r="R23" s="48"/>
      <c r="S23" s="132"/>
      <c r="T23" s="132"/>
      <c r="U23" s="131"/>
      <c r="V23" s="48"/>
      <c r="W23" s="132"/>
      <c r="X23" s="132"/>
      <c r="Y23" s="131"/>
      <c r="Z23" s="48"/>
      <c r="AA23" s="49"/>
      <c r="AB23" s="49"/>
      <c r="AC23" s="49"/>
      <c r="AD23" s="169"/>
      <c r="AE23" s="85"/>
    </row>
    <row r="24" spans="2:31" ht="27.75" hidden="1" customHeight="1">
      <c r="B24" s="47" t="s">
        <v>475</v>
      </c>
      <c r="C24" s="132"/>
      <c r="D24" s="132"/>
      <c r="E24" s="131"/>
      <c r="F24" s="48"/>
      <c r="G24" s="132"/>
      <c r="H24" s="132"/>
      <c r="I24" s="131"/>
      <c r="J24" s="48"/>
      <c r="K24" s="132"/>
      <c r="L24" s="132"/>
      <c r="M24" s="131"/>
      <c r="N24" s="48"/>
      <c r="O24" s="132"/>
      <c r="P24" s="132"/>
      <c r="Q24" s="131"/>
      <c r="R24" s="48"/>
      <c r="S24" s="132"/>
      <c r="T24" s="132"/>
      <c r="U24" s="131"/>
      <c r="V24" s="48"/>
      <c r="W24" s="132"/>
      <c r="X24" s="132"/>
      <c r="Y24" s="131"/>
      <c r="Z24" s="48"/>
      <c r="AA24" s="49"/>
      <c r="AB24" s="49"/>
      <c r="AC24" s="49"/>
      <c r="AD24" s="48"/>
      <c r="AE24" s="85" t="str">
        <f>'Weekly Inspection Report'!K241</f>
        <v/>
      </c>
    </row>
    <row r="25" spans="2:31" ht="27.75" hidden="1" customHeight="1">
      <c r="B25" s="47" t="s">
        <v>455</v>
      </c>
      <c r="C25" s="184">
        <f>'Weekly Inspection Report'!D314</f>
        <v>0</v>
      </c>
      <c r="D25" s="132">
        <f>'Weekly Inspection Report'!D315</f>
        <v>0</v>
      </c>
      <c r="E25" s="131" t="str">
        <f>'Weekly Inspection Report'!D313</f>
        <v/>
      </c>
      <c r="F25" s="48">
        <f>'Weekly Inspection Report'!D316</f>
        <v>0</v>
      </c>
      <c r="G25" s="132">
        <f>'Weekly Inspection Report'!E314</f>
        <v>0</v>
      </c>
      <c r="H25" s="132">
        <f>'Weekly Inspection Report'!E315</f>
        <v>0</v>
      </c>
      <c r="I25" s="131" t="str">
        <f>'Weekly Inspection Report'!E313</f>
        <v/>
      </c>
      <c r="J25" s="48">
        <f>'Weekly Inspection Report'!E316</f>
        <v>0</v>
      </c>
      <c r="K25" s="132">
        <f>'Weekly Inspection Report'!F314</f>
        <v>0</v>
      </c>
      <c r="L25" s="132">
        <f>'Weekly Inspection Report'!F315</f>
        <v>0</v>
      </c>
      <c r="M25" s="131">
        <f>'Weekly Inspection Report'!F313</f>
        <v>0</v>
      </c>
      <c r="N25" s="48">
        <f>'Weekly Inspection Report'!F316</f>
        <v>0</v>
      </c>
      <c r="O25" s="132">
        <f>'Weekly Inspection Report'!G314</f>
        <v>0</v>
      </c>
      <c r="P25" s="132">
        <f>'Weekly Inspection Report'!G315</f>
        <v>0</v>
      </c>
      <c r="Q25" s="131" t="str">
        <f>'Weekly Inspection Report'!G313</f>
        <v/>
      </c>
      <c r="R25" s="48">
        <f>'Weekly Inspection Report'!G316</f>
        <v>0</v>
      </c>
      <c r="S25" s="132">
        <f>'Weekly Inspection Report'!H314</f>
        <v>0</v>
      </c>
      <c r="T25" s="132">
        <f>'Weekly Inspection Report'!H315</f>
        <v>0</v>
      </c>
      <c r="U25" s="131" t="str">
        <f>'Weekly Inspection Report'!H313</f>
        <v/>
      </c>
      <c r="V25" s="48">
        <f>'Weekly Inspection Report'!H316</f>
        <v>0</v>
      </c>
      <c r="W25" s="132">
        <f>'Weekly Inspection Report'!I314</f>
        <v>0</v>
      </c>
      <c r="X25" s="132">
        <f>'Weekly Inspection Report'!I315</f>
        <v>0</v>
      </c>
      <c r="Y25" s="131" t="str">
        <f>'Weekly Inspection Report'!I313</f>
        <v/>
      </c>
      <c r="Z25" s="48">
        <f>'Weekly Inspection Report'!I316</f>
        <v>0</v>
      </c>
      <c r="AA25" s="49">
        <f>SUM(C25,G25,K25,O25,S25,W25)</f>
        <v>0</v>
      </c>
      <c r="AB25" s="49">
        <f>SUM(D25,H25,L25,P25,T25,X25)</f>
        <v>0</v>
      </c>
      <c r="AC25" s="49">
        <f>SUM(E25,I25,M25,Q25,U25,Y25)</f>
        <v>0</v>
      </c>
      <c r="AD25" s="168">
        <f>SUM(F25,J25,N25,R25,V25,Z25)</f>
        <v>0</v>
      </c>
      <c r="AE25" s="85">
        <f>'Weekly Inspection Report'!K316</f>
        <v>0</v>
      </c>
    </row>
    <row r="26" spans="2:31" ht="27.75" customHeight="1">
      <c r="B26" s="185" t="s">
        <v>696</v>
      </c>
      <c r="C26" s="132">
        <f>'Weekly Inspection Report'!D340</f>
        <v>0</v>
      </c>
      <c r="D26" s="183">
        <f>'Weekly Inspection Report'!D341</f>
        <v>0</v>
      </c>
      <c r="E26" s="131">
        <f>'Weekly Inspection Report'!D339</f>
        <v>0</v>
      </c>
      <c r="F26" s="48">
        <f>'Weekly Inspection Report'!D342</f>
        <v>0</v>
      </c>
      <c r="G26" s="132">
        <f>'Weekly Inspection Report'!E340</f>
        <v>0</v>
      </c>
      <c r="H26" s="132">
        <f>'Weekly Inspection Report'!E341</f>
        <v>0</v>
      </c>
      <c r="I26" s="131">
        <f>'Weekly Inspection Report'!E339</f>
        <v>0</v>
      </c>
      <c r="J26" s="48">
        <f>'Weekly Inspection Report'!E342</f>
        <v>0</v>
      </c>
      <c r="K26" s="132">
        <f>'Weekly Inspection Report'!F340</f>
        <v>0</v>
      </c>
      <c r="L26" s="132">
        <f>'Weekly Inspection Report'!F341</f>
        <v>0</v>
      </c>
      <c r="M26" s="131">
        <f>'Weekly Inspection Report'!F339</f>
        <v>0</v>
      </c>
      <c r="N26" s="48">
        <f>'Weekly Inspection Report'!F342</f>
        <v>0</v>
      </c>
      <c r="O26" s="132">
        <f>'Weekly Inspection Report'!G340</f>
        <v>0</v>
      </c>
      <c r="P26" s="132">
        <f>'Weekly Inspection Report'!G341</f>
        <v>0</v>
      </c>
      <c r="Q26" s="131">
        <f>'Weekly Inspection Report'!G339</f>
        <v>0</v>
      </c>
      <c r="R26" s="48">
        <f>'Weekly Inspection Report'!G342</f>
        <v>0</v>
      </c>
      <c r="S26" s="132">
        <f>'Weekly Inspection Report'!H340</f>
        <v>0</v>
      </c>
      <c r="T26" s="132">
        <f>'Weekly Inspection Report'!H341</f>
        <v>0</v>
      </c>
      <c r="U26" s="131">
        <f>'Weekly Inspection Report'!H339</f>
        <v>0</v>
      </c>
      <c r="V26" s="48">
        <f>'Weekly Inspection Report'!H342</f>
        <v>0</v>
      </c>
      <c r="W26" s="132">
        <f>'Weekly Inspection Report'!I340</f>
        <v>0</v>
      </c>
      <c r="X26" s="132">
        <f>'Weekly Inspection Report'!I341</f>
        <v>0</v>
      </c>
      <c r="Y26" s="131">
        <f>'Weekly Inspection Report'!I339</f>
        <v>0</v>
      </c>
      <c r="Z26" s="48">
        <f>'Weekly Inspection Report'!I342</f>
        <v>0</v>
      </c>
      <c r="AA26" s="49">
        <f>SUM(C26,G26,K26,O26,S26,W26)</f>
        <v>0</v>
      </c>
      <c r="AB26" s="49">
        <f>SUM(D26,H26,L26,P26,T26,X26)</f>
        <v>0</v>
      </c>
      <c r="AC26" s="49">
        <f>SUM(E26,I26,M26,Q26,U26,Y26)</f>
        <v>0</v>
      </c>
      <c r="AD26" s="168">
        <f>'Weekly Inspection Report'!K342</f>
        <v>0</v>
      </c>
      <c r="AE26" s="85">
        <f>'Weekly Inspection Report'!K343</f>
        <v>0</v>
      </c>
    </row>
    <row r="27" spans="2:31" ht="27.95" customHeight="1">
      <c r="B27" s="50" t="s">
        <v>115</v>
      </c>
      <c r="C27" s="51">
        <f>IF(AND(C6="",C7="",C8="",C9="",C10="",C11="",C12="",C13="",C14),"",SUM(C6:C26))</f>
        <v>4503</v>
      </c>
      <c r="D27" s="51">
        <f>IF(AND(D6="",D7="",D8="",D9="",D10="",D11="",D12="",D13="",D14),"",SUM(D6:D26))</f>
        <v>4142</v>
      </c>
      <c r="E27" s="51">
        <f>IF(AND(E6="",E7="",E8="",E9="",E10="",E11="",E12="",E13="",E14),"",SUM(E6:E26))</f>
        <v>241</v>
      </c>
      <c r="F27" s="52">
        <f>AVERAGE(F6:F26)</f>
        <v>3.7708595699057067E-2</v>
      </c>
      <c r="G27" s="51">
        <f>IF(AND(G6="",G7="",G8="",G9="",G10="",G11="",G12="",G13="",G14),"",SUM(G6:G26))</f>
        <v>3848</v>
      </c>
      <c r="H27" s="51">
        <f>IF(AND(H6="",H7="",H8="",H9="",H10="",H11="",H12="",H13="",H14),"",SUM(H6:H26))</f>
        <v>3206</v>
      </c>
      <c r="I27" s="51">
        <f>IF(AND(I6="",I7="",I8="",I9="",I10="",I11="",I12="",I13="",I14),"",SUM(I6:I26))</f>
        <v>172</v>
      </c>
      <c r="J27" s="52">
        <f>AVERAGE(J6:J26)</f>
        <v>4.0553630598898084E-2</v>
      </c>
      <c r="K27" s="51">
        <f>IF(AND(K6="",K7="",K8="",K9="",K10="",K11="",K12="",K13="",K14),"",SUM(K6:K26))</f>
        <v>5165</v>
      </c>
      <c r="L27" s="51">
        <f>IF(AND(L6="",L7="",L8="",L9="",L10="",L11="",L12="",L13="",L14),"",SUM(L6:L26))</f>
        <v>4695</v>
      </c>
      <c r="M27" s="51">
        <f>IF(AND(M6="",M7="",M8="",M9="",M10="",M11="",M12="",M13="",M14),"",SUM(M6:M26))</f>
        <v>220</v>
      </c>
      <c r="N27" s="52">
        <f>AVERAGE(N6:N25)</f>
        <v>4.5481686933091993E-2</v>
      </c>
      <c r="O27" s="51">
        <f>IF(AND(O6="",O7="",O8="",O9="",O10="",O11="",O12="",O13="",O14),"",SUM(O6:O26))</f>
        <v>4708</v>
      </c>
      <c r="P27" s="51">
        <f>IF(AND(P6="",P7="",P8="",P9="",P10="",P11="",P12="",P13="",P14),"",SUM(P6:P26))</f>
        <v>4509</v>
      </c>
      <c r="Q27" s="51">
        <f>IF(AND(Q6="",Q7="",Q8="",Q9="",Q10="",Q11="",Q12="",Q13="",Q14),"",SUM(Q6:Q26))</f>
        <v>199</v>
      </c>
      <c r="R27" s="52">
        <f>AVERAGE(R6:R26)</f>
        <v>4.1835815861717793E-2</v>
      </c>
      <c r="S27" s="51">
        <f>IF(AND(S6="",S7="",S8="",S9="",S10="",S11="",S12="",S13="",S14),"",SUM(S6:S26))</f>
        <v>5186</v>
      </c>
      <c r="T27" s="51">
        <f>IF(AND(T6="",T7="",T8="",T9="",T10="",T11="",T12="",T13="",T14),"",SUM(T6:T26))</f>
        <v>4947</v>
      </c>
      <c r="U27" s="51">
        <f>IF(AND(U6="",U7="",U8="",U9="",U10="",U11="",U12="",U13="",U14),"",SUM(U6:U26))</f>
        <v>239</v>
      </c>
      <c r="V27" s="52">
        <f>AVERAGE(V6:V26)</f>
        <v>4.2601880744636896E-2</v>
      </c>
      <c r="W27" s="51">
        <f>IF(AND(W6="",W7="",W8="",W9="",W10="",W11="",W12="",W13="",W14),"",SUM(W6:W26))</f>
        <v>5406</v>
      </c>
      <c r="X27" s="51">
        <f>IF(AND(X6="",X7="",X8="",X9="",X10="",X11="",X12="",X13="",X14),"",SUM(X6:X26))</f>
        <v>5165</v>
      </c>
      <c r="Y27" s="51">
        <f>IF(AND(Y6="",Y7="",Y8="",Y9="",Y10="",Y11="",Y12="",Y13="",Y14),"",SUM(Y6:Y26))</f>
        <v>241</v>
      </c>
      <c r="Z27" s="52">
        <f>AVERAGE(Z6:Z25)</f>
        <v>4.4672694947742869E-2</v>
      </c>
      <c r="AA27" s="53">
        <f>SUM(AA6:AA26)</f>
        <v>28816</v>
      </c>
      <c r="AB27" s="53">
        <f>SUM(AB6:AB26)</f>
        <v>26664</v>
      </c>
      <c r="AC27" s="53">
        <f>SUM(AC6:AC26)</f>
        <v>1312</v>
      </c>
      <c r="AD27" s="170">
        <f>AVERAGE(AD6:AD26)</f>
        <v>4.0986558722128801E-2</v>
      </c>
      <c r="AE27" s="86">
        <f>AVERAGE(AE6:AE26)</f>
        <v>0.25007947013077597</v>
      </c>
    </row>
    <row r="28" spans="2:31" ht="15.75">
      <c r="B28" s="43"/>
      <c r="C28" s="214"/>
      <c r="D28" s="215"/>
      <c r="E28" s="214"/>
      <c r="F28" s="215"/>
      <c r="G28" s="214"/>
      <c r="H28" s="214"/>
      <c r="I28" s="214"/>
      <c r="J28" s="215"/>
      <c r="K28" s="214"/>
      <c r="L28" s="214"/>
      <c r="M28" s="214"/>
      <c r="N28" s="215"/>
      <c r="O28" s="214"/>
      <c r="P28" s="214"/>
      <c r="Q28" s="214"/>
      <c r="R28" s="215"/>
      <c r="S28" s="214"/>
      <c r="T28" s="214"/>
      <c r="U28" s="214"/>
      <c r="V28" s="215"/>
      <c r="W28" s="214"/>
      <c r="X28" s="214"/>
      <c r="Y28" s="214"/>
      <c r="Z28" s="215"/>
    </row>
    <row r="29" spans="2:31" ht="15.75">
      <c r="B29" s="43"/>
      <c r="C29" s="43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spans="2:31" ht="20.25">
      <c r="B30" s="189"/>
      <c r="C30" s="43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spans="2:31" ht="15.75">
      <c r="B31" s="43"/>
      <c r="C31" s="43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spans="2:31" ht="15.75">
      <c r="B32" s="43"/>
      <c r="C32" s="43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spans="2:26" ht="15.75">
      <c r="B33" s="43"/>
      <c r="C33" s="43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spans="2:26" ht="15.75" customHeight="1">
      <c r="B34" s="43"/>
      <c r="C34" s="43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spans="2:26" ht="15.75">
      <c r="B35" s="43"/>
      <c r="C35" s="43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spans="2:26" ht="15.75">
      <c r="B36" s="43"/>
      <c r="C36" s="43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44" spans="2:26" ht="15.75" customHeight="1"/>
    <row r="54" ht="15.75" customHeight="1"/>
    <row r="64" ht="15.75" customHeight="1"/>
    <row r="74" ht="15.75" customHeight="1"/>
    <row r="84" ht="15.75" customHeight="1"/>
    <row r="94" ht="15.75" customHeight="1"/>
    <row r="104" ht="15.75" customHeight="1"/>
    <row r="114" ht="15.75" customHeight="1"/>
  </sheetData>
  <mergeCells count="23">
    <mergeCell ref="B1:AE1"/>
    <mergeCell ref="B4:B5"/>
    <mergeCell ref="G4:J4"/>
    <mergeCell ref="K4:N4"/>
    <mergeCell ref="O4:R4"/>
    <mergeCell ref="S4:V4"/>
    <mergeCell ref="W4:Z4"/>
    <mergeCell ref="G3:J3"/>
    <mergeCell ref="K3:N3"/>
    <mergeCell ref="O3:R3"/>
    <mergeCell ref="S3:V3"/>
    <mergeCell ref="W3:Z3"/>
    <mergeCell ref="W28:Z28"/>
    <mergeCell ref="AE3:AE5"/>
    <mergeCell ref="C28:D28"/>
    <mergeCell ref="G28:J28"/>
    <mergeCell ref="K28:N28"/>
    <mergeCell ref="O28:R28"/>
    <mergeCell ref="S28:V28"/>
    <mergeCell ref="C3:F3"/>
    <mergeCell ref="C4:F4"/>
    <mergeCell ref="AA3:AD4"/>
    <mergeCell ref="E28:F28"/>
  </mergeCells>
  <phoneticPr fontId="44" type="noConversion"/>
  <pageMargins left="0" right="0" top="0.25" bottom="0.25" header="0.31496062992126" footer="0.31496062992126"/>
  <pageSetup paperSize="9" scale="75" orientation="landscape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/>
  </sheetPr>
  <dimension ref="A1:P42"/>
  <sheetViews>
    <sheetView zoomScale="86" zoomScaleNormal="86" workbookViewId="0">
      <selection activeCell="H16" sqref="H16"/>
    </sheetView>
  </sheetViews>
  <sheetFormatPr defaultRowHeight="15"/>
  <cols>
    <col min="1" max="1" width="13" customWidth="1"/>
    <col min="2" max="2" width="17.28515625" bestFit="1" customWidth="1"/>
    <col min="3" max="13" width="10.85546875" customWidth="1"/>
    <col min="14" max="14" width="10.85546875" hidden="1" customWidth="1"/>
    <col min="15" max="15" width="14.5703125" customWidth="1"/>
    <col min="16" max="16" width="13.85546875" customWidth="1"/>
  </cols>
  <sheetData>
    <row r="1" spans="1:16" ht="35.25" customHeight="1">
      <c r="A1" t="s">
        <v>728</v>
      </c>
      <c r="B1" s="110" t="s">
        <v>688</v>
      </c>
      <c r="C1" s="111" t="s">
        <v>689</v>
      </c>
      <c r="D1" s="111" t="s">
        <v>690</v>
      </c>
      <c r="E1" s="111" t="s">
        <v>691</v>
      </c>
      <c r="F1" s="111" t="s">
        <v>716</v>
      </c>
      <c r="G1" s="111" t="s">
        <v>692</v>
      </c>
      <c r="H1" s="111" t="s">
        <v>693</v>
      </c>
      <c r="I1" s="111" t="s">
        <v>717</v>
      </c>
      <c r="J1" s="111" t="s">
        <v>718</v>
      </c>
      <c r="K1" s="111" t="s">
        <v>694</v>
      </c>
      <c r="L1" s="111" t="s">
        <v>652</v>
      </c>
      <c r="M1" s="111" t="s">
        <v>678</v>
      </c>
      <c r="N1" s="111" t="s">
        <v>722</v>
      </c>
      <c r="O1" s="111" t="s">
        <v>696</v>
      </c>
      <c r="P1" s="112" t="s">
        <v>115</v>
      </c>
    </row>
    <row r="2" spans="1:16" ht="30.75" customHeight="1">
      <c r="B2" s="113" t="s">
        <v>642</v>
      </c>
      <c r="C2" s="114">
        <v>216</v>
      </c>
      <c r="D2" s="114">
        <v>677</v>
      </c>
      <c r="E2" s="114">
        <v>372</v>
      </c>
      <c r="F2" s="114">
        <v>267</v>
      </c>
      <c r="G2" s="114">
        <v>1002</v>
      </c>
      <c r="H2" s="114">
        <v>346</v>
      </c>
      <c r="I2" s="114">
        <v>0</v>
      </c>
      <c r="J2" s="114">
        <v>542</v>
      </c>
      <c r="K2" s="114">
        <v>571</v>
      </c>
      <c r="L2" s="115">
        <v>510</v>
      </c>
      <c r="M2" s="114">
        <v>0</v>
      </c>
      <c r="N2" s="114">
        <v>0</v>
      </c>
      <c r="O2" s="114">
        <v>0</v>
      </c>
      <c r="P2" s="116">
        <v>4503</v>
      </c>
    </row>
    <row r="3" spans="1:16" ht="30.75" customHeight="1">
      <c r="B3" s="113" t="s">
        <v>643</v>
      </c>
      <c r="C3" s="114">
        <v>200</v>
      </c>
      <c r="D3" s="114">
        <v>642</v>
      </c>
      <c r="E3" s="190">
        <v>350</v>
      </c>
      <c r="F3" s="114">
        <v>252</v>
      </c>
      <c r="G3" s="114">
        <v>936</v>
      </c>
      <c r="H3" s="114">
        <v>324</v>
      </c>
      <c r="I3" s="114">
        <v>0</v>
      </c>
      <c r="J3" s="114">
        <v>400</v>
      </c>
      <c r="K3" s="114">
        <v>546</v>
      </c>
      <c r="L3" s="114">
        <v>492</v>
      </c>
      <c r="M3" s="114">
        <v>0</v>
      </c>
      <c r="N3" s="114">
        <v>0</v>
      </c>
      <c r="O3" s="114">
        <v>0</v>
      </c>
      <c r="P3" s="116">
        <v>4142</v>
      </c>
    </row>
    <row r="4" spans="1:16" ht="30.75" customHeight="1">
      <c r="B4" s="171" t="s">
        <v>644</v>
      </c>
      <c r="C4" s="114">
        <v>16</v>
      </c>
      <c r="D4" s="114">
        <v>35</v>
      </c>
      <c r="E4" s="114">
        <v>22</v>
      </c>
      <c r="F4" s="114">
        <v>15</v>
      </c>
      <c r="G4" s="114">
        <v>66</v>
      </c>
      <c r="H4" s="114">
        <v>22</v>
      </c>
      <c r="I4" s="114">
        <v>0</v>
      </c>
      <c r="J4" s="114">
        <v>22</v>
      </c>
      <c r="K4" s="114">
        <v>25</v>
      </c>
      <c r="L4" s="115">
        <v>18</v>
      </c>
      <c r="M4" s="114">
        <v>0</v>
      </c>
      <c r="N4" s="114">
        <v>0</v>
      </c>
      <c r="O4" s="114">
        <v>0</v>
      </c>
      <c r="P4" s="116">
        <v>241</v>
      </c>
    </row>
    <row r="5" spans="1:16" ht="30.75" customHeight="1">
      <c r="B5" s="113" t="s">
        <v>685</v>
      </c>
      <c r="C5" s="117">
        <v>7.407407407407407E-2</v>
      </c>
      <c r="D5" s="117">
        <v>5.1698670605612999E-2</v>
      </c>
      <c r="E5" s="117">
        <v>5.9139784946236562E-2</v>
      </c>
      <c r="F5" s="117">
        <v>5.6179775280898875E-2</v>
      </c>
      <c r="G5" s="117">
        <v>6.5868263473053898E-2</v>
      </c>
      <c r="H5" s="117">
        <v>6.358381502890173E-2</v>
      </c>
      <c r="I5" s="118">
        <v>0</v>
      </c>
      <c r="J5" s="118">
        <v>4.0590405904059039E-2</v>
      </c>
      <c r="K5" s="117">
        <v>4.3782837127845885E-2</v>
      </c>
      <c r="L5" s="117">
        <v>3.5294117647058823E-2</v>
      </c>
      <c r="M5" s="117">
        <v>0</v>
      </c>
      <c r="N5" s="118">
        <v>0</v>
      </c>
      <c r="O5" s="117">
        <v>0</v>
      </c>
      <c r="P5" s="119">
        <v>3.7708595699057067E-2</v>
      </c>
    </row>
    <row r="6" spans="1:16" ht="30.75" customHeight="1" thickBot="1">
      <c r="B6" s="120" t="s">
        <v>697</v>
      </c>
      <c r="C6" s="121">
        <v>0.35021551724137934</v>
      </c>
      <c r="D6" s="121">
        <v>0.32601562499999998</v>
      </c>
      <c r="E6" s="121">
        <v>0.44762731481481483</v>
      </c>
      <c r="F6" s="121">
        <v>0.252525</v>
      </c>
      <c r="G6" s="121">
        <v>0.375</v>
      </c>
      <c r="H6" s="121">
        <v>0.14428125</v>
      </c>
      <c r="I6" s="121">
        <v>0</v>
      </c>
      <c r="J6" s="121">
        <v>0.34717857142857145</v>
      </c>
      <c r="K6" s="122">
        <v>0.2875020098039216</v>
      </c>
      <c r="L6" s="122">
        <v>0.20466428571428572</v>
      </c>
      <c r="M6" s="122">
        <v>0</v>
      </c>
      <c r="N6" s="122">
        <v>0</v>
      </c>
      <c r="O6" s="122">
        <v>0</v>
      </c>
      <c r="P6" s="123">
        <v>0.24863723400027027</v>
      </c>
    </row>
    <row r="7" spans="1:16" ht="35.25" customHeight="1">
      <c r="A7" t="s">
        <v>724</v>
      </c>
      <c r="B7" s="110" t="s">
        <v>688</v>
      </c>
      <c r="C7" s="111" t="s">
        <v>689</v>
      </c>
      <c r="D7" s="111" t="s">
        <v>690</v>
      </c>
      <c r="E7" s="111" t="s">
        <v>691</v>
      </c>
      <c r="F7" s="111" t="s">
        <v>716</v>
      </c>
      <c r="G7" s="111" t="s">
        <v>692</v>
      </c>
      <c r="H7" s="111" t="s">
        <v>693</v>
      </c>
      <c r="I7" s="111" t="s">
        <v>717</v>
      </c>
      <c r="J7" s="111" t="s">
        <v>718</v>
      </c>
      <c r="K7" s="111" t="s">
        <v>694</v>
      </c>
      <c r="L7" s="111" t="s">
        <v>652</v>
      </c>
      <c r="M7" s="111" t="s">
        <v>678</v>
      </c>
      <c r="N7" s="111" t="s">
        <v>722</v>
      </c>
      <c r="O7" s="111" t="s">
        <v>696</v>
      </c>
      <c r="P7" s="112" t="s">
        <v>115</v>
      </c>
    </row>
    <row r="8" spans="1:16" ht="30.75" customHeight="1">
      <c r="B8" s="113" t="s">
        <v>642</v>
      </c>
      <c r="C8" s="114">
        <v>216</v>
      </c>
      <c r="D8" s="114">
        <v>495</v>
      </c>
      <c r="E8" s="114">
        <v>372</v>
      </c>
      <c r="F8" s="114">
        <v>143</v>
      </c>
      <c r="G8" s="114">
        <v>884</v>
      </c>
      <c r="H8" s="114">
        <v>114</v>
      </c>
      <c r="I8" s="114">
        <v>51</v>
      </c>
      <c r="J8" s="114">
        <v>472</v>
      </c>
      <c r="K8" s="114">
        <v>575</v>
      </c>
      <c r="L8" s="115">
        <v>526</v>
      </c>
      <c r="M8" s="114">
        <v>0</v>
      </c>
      <c r="N8" s="114">
        <v>0</v>
      </c>
      <c r="O8" s="114">
        <v>0</v>
      </c>
      <c r="P8" s="116">
        <v>3848</v>
      </c>
    </row>
    <row r="9" spans="1:16" ht="30.75" customHeight="1">
      <c r="B9" s="113" t="s">
        <v>643</v>
      </c>
      <c r="C9" s="114">
        <v>0</v>
      </c>
      <c r="D9" s="114">
        <v>468</v>
      </c>
      <c r="E9" s="190">
        <v>350</v>
      </c>
      <c r="F9" s="114">
        <v>132</v>
      </c>
      <c r="G9" s="114">
        <v>864</v>
      </c>
      <c r="H9" s="114">
        <v>108</v>
      </c>
      <c r="I9" s="114">
        <v>48</v>
      </c>
      <c r="J9" s="114">
        <v>180</v>
      </c>
      <c r="K9" s="114">
        <v>552</v>
      </c>
      <c r="L9" s="114">
        <v>504</v>
      </c>
      <c r="M9" s="114">
        <v>0</v>
      </c>
      <c r="N9" s="114">
        <v>0</v>
      </c>
      <c r="O9" s="114">
        <v>0</v>
      </c>
      <c r="P9" s="116">
        <v>3206</v>
      </c>
    </row>
    <row r="10" spans="1:16" ht="30.75" customHeight="1">
      <c r="B10" s="171" t="s">
        <v>644</v>
      </c>
      <c r="C10" s="114">
        <v>16</v>
      </c>
      <c r="D10" s="114">
        <v>27</v>
      </c>
      <c r="E10" s="114">
        <v>22</v>
      </c>
      <c r="F10" s="114">
        <v>11</v>
      </c>
      <c r="G10" s="114">
        <v>20</v>
      </c>
      <c r="H10" s="114">
        <v>6</v>
      </c>
      <c r="I10" s="114">
        <v>3</v>
      </c>
      <c r="J10" s="114">
        <v>22</v>
      </c>
      <c r="K10" s="114">
        <v>23</v>
      </c>
      <c r="L10" s="115">
        <v>22</v>
      </c>
      <c r="M10" s="114">
        <v>0</v>
      </c>
      <c r="N10" s="114">
        <v>0</v>
      </c>
      <c r="O10" s="114">
        <v>0</v>
      </c>
      <c r="P10" s="116">
        <v>172</v>
      </c>
    </row>
    <row r="11" spans="1:16" ht="30.75" customHeight="1">
      <c r="B11" s="113" t="s">
        <v>685</v>
      </c>
      <c r="C11" s="117">
        <v>7.407407407407407E-2</v>
      </c>
      <c r="D11" s="117">
        <v>5.4545454545454543E-2</v>
      </c>
      <c r="E11" s="117">
        <v>5.9139784946236562E-2</v>
      </c>
      <c r="F11" s="117">
        <v>7.6923076923076927E-2</v>
      </c>
      <c r="G11" s="117">
        <v>2.2624434389140271E-2</v>
      </c>
      <c r="H11" s="117">
        <v>5.2631578947368418E-2</v>
      </c>
      <c r="I11" s="118">
        <v>5.8823529411764705E-2</v>
      </c>
      <c r="J11" s="118">
        <v>4.6610169491525424E-2</v>
      </c>
      <c r="K11" s="117">
        <v>0.04</v>
      </c>
      <c r="L11" s="117">
        <v>4.1825095057034217E-2</v>
      </c>
      <c r="M11" s="117">
        <v>0</v>
      </c>
      <c r="N11" s="118">
        <v>0</v>
      </c>
      <c r="O11" s="117">
        <v>0</v>
      </c>
      <c r="P11" s="119">
        <v>4.0553630598898084E-2</v>
      </c>
    </row>
    <row r="12" spans="1:16" ht="30.75" customHeight="1" thickBot="1">
      <c r="B12" s="120" t="s">
        <v>697</v>
      </c>
      <c r="C12" s="121">
        <v>0</v>
      </c>
      <c r="D12" s="121">
        <v>0.23765625000000001</v>
      </c>
      <c r="E12" s="121">
        <v>0.43948863636363639</v>
      </c>
      <c r="F12" s="121">
        <v>0.11127750000000002</v>
      </c>
      <c r="G12" s="121">
        <v>0.32680555555555552</v>
      </c>
      <c r="H12" s="121">
        <v>4.63125E-2</v>
      </c>
      <c r="I12" s="121">
        <v>9.285714285714286E-2</v>
      </c>
      <c r="J12" s="121">
        <v>0.10317500000000002</v>
      </c>
      <c r="K12" s="122">
        <v>0.27535685185185188</v>
      </c>
      <c r="L12" s="122">
        <v>0.20121982758620691</v>
      </c>
      <c r="M12" s="122">
        <v>0</v>
      </c>
      <c r="N12" s="122">
        <v>0</v>
      </c>
      <c r="O12" s="122">
        <v>0</v>
      </c>
      <c r="P12" s="123">
        <v>0.16674084220130853</v>
      </c>
    </row>
    <row r="13" spans="1:16" ht="30.75" customHeight="1">
      <c r="A13" t="s">
        <v>725</v>
      </c>
      <c r="B13" s="110" t="s">
        <v>688</v>
      </c>
      <c r="C13" s="111" t="s">
        <v>689</v>
      </c>
      <c r="D13" s="111" t="s">
        <v>690</v>
      </c>
      <c r="E13" s="111" t="s">
        <v>691</v>
      </c>
      <c r="F13" s="111" t="s">
        <v>716</v>
      </c>
      <c r="G13" s="111" t="s">
        <v>692</v>
      </c>
      <c r="H13" s="111" t="s">
        <v>693</v>
      </c>
      <c r="I13" s="111" t="s">
        <v>717</v>
      </c>
      <c r="J13" s="111" t="s">
        <v>718</v>
      </c>
      <c r="K13" s="111" t="s">
        <v>694</v>
      </c>
      <c r="L13" s="111" t="s">
        <v>652</v>
      </c>
      <c r="M13" s="111" t="s">
        <v>678</v>
      </c>
      <c r="N13" s="111" t="s">
        <v>695</v>
      </c>
      <c r="O13" s="111" t="s">
        <v>696</v>
      </c>
      <c r="P13" s="112" t="s">
        <v>115</v>
      </c>
    </row>
    <row r="14" spans="1:16" ht="30.75" customHeight="1">
      <c r="B14" s="113" t="s">
        <v>642</v>
      </c>
      <c r="C14" s="114">
        <v>212</v>
      </c>
      <c r="D14" s="114">
        <v>767</v>
      </c>
      <c r="E14" s="114">
        <v>372</v>
      </c>
      <c r="F14" s="114">
        <v>258</v>
      </c>
      <c r="G14" s="114">
        <v>882</v>
      </c>
      <c r="H14" s="114">
        <v>90</v>
      </c>
      <c r="I14" s="114">
        <v>89</v>
      </c>
      <c r="J14" s="114">
        <v>467</v>
      </c>
      <c r="K14" s="115">
        <v>573</v>
      </c>
      <c r="L14" s="115">
        <v>770</v>
      </c>
      <c r="M14" s="114">
        <v>685</v>
      </c>
      <c r="N14" s="114">
        <v>0</v>
      </c>
      <c r="O14" s="114">
        <v>0</v>
      </c>
      <c r="P14" s="116">
        <v>5165</v>
      </c>
    </row>
    <row r="15" spans="1:16" ht="30.75" customHeight="1">
      <c r="B15" s="113" t="s">
        <v>643</v>
      </c>
      <c r="C15" s="114">
        <v>150</v>
      </c>
      <c r="D15" s="114">
        <v>732</v>
      </c>
      <c r="E15" s="114">
        <v>350</v>
      </c>
      <c r="F15" s="114">
        <v>240</v>
      </c>
      <c r="G15" s="114">
        <v>864</v>
      </c>
      <c r="H15" s="114">
        <v>84</v>
      </c>
      <c r="I15" s="114">
        <v>84</v>
      </c>
      <c r="J15" s="114">
        <v>240</v>
      </c>
      <c r="K15" s="115">
        <v>552</v>
      </c>
      <c r="L15" s="115">
        <v>740</v>
      </c>
      <c r="M15" s="114">
        <v>659</v>
      </c>
      <c r="N15" s="114">
        <v>0</v>
      </c>
      <c r="O15" s="114">
        <v>0</v>
      </c>
      <c r="P15" s="116">
        <v>4695</v>
      </c>
    </row>
    <row r="16" spans="1:16" ht="30.75" customHeight="1">
      <c r="B16" s="113" t="s">
        <v>644</v>
      </c>
      <c r="C16" s="114">
        <v>12</v>
      </c>
      <c r="D16" s="114">
        <v>35</v>
      </c>
      <c r="E16" s="114">
        <v>22</v>
      </c>
      <c r="F16" s="114">
        <v>18</v>
      </c>
      <c r="G16" s="114">
        <v>18</v>
      </c>
      <c r="H16" s="114">
        <v>6</v>
      </c>
      <c r="I16" s="114">
        <v>5</v>
      </c>
      <c r="J16" s="114">
        <v>27</v>
      </c>
      <c r="K16" s="115">
        <v>21</v>
      </c>
      <c r="L16" s="115">
        <v>30</v>
      </c>
      <c r="M16" s="114">
        <v>26</v>
      </c>
      <c r="N16" s="114">
        <v>0</v>
      </c>
      <c r="O16" s="114">
        <v>0</v>
      </c>
      <c r="P16" s="116">
        <v>220</v>
      </c>
    </row>
    <row r="17" spans="1:16" ht="30.75" customHeight="1">
      <c r="B17" s="113" t="s">
        <v>685</v>
      </c>
      <c r="C17" s="117">
        <v>5.6603773584905662E-2</v>
      </c>
      <c r="D17" s="117">
        <v>4.563233376792699E-2</v>
      </c>
      <c r="E17" s="117">
        <v>5.9139784946236562E-2</v>
      </c>
      <c r="F17" s="117">
        <v>6.9767441860465115E-2</v>
      </c>
      <c r="G17" s="117">
        <v>2.0408163265306121E-2</v>
      </c>
      <c r="H17" s="117">
        <v>6.6666666666666666E-2</v>
      </c>
      <c r="I17" s="118">
        <v>5.6179775280898875E-2</v>
      </c>
      <c r="J17" s="118">
        <v>5.7815845824411134E-2</v>
      </c>
      <c r="K17" s="118">
        <v>3.6649214659685861E-2</v>
      </c>
      <c r="L17" s="118">
        <v>3.896103896103896E-2</v>
      </c>
      <c r="M17" s="117">
        <v>3.7956204379562042E-2</v>
      </c>
      <c r="N17" s="118">
        <v>0</v>
      </c>
      <c r="O17" s="117">
        <v>0</v>
      </c>
      <c r="P17" s="119">
        <v>4.198309563054646E-2</v>
      </c>
    </row>
    <row r="18" spans="1:16" ht="30.75" customHeight="1" thickBot="1">
      <c r="B18" s="120" t="s">
        <v>697</v>
      </c>
      <c r="C18" s="121">
        <v>0.26266163793103448</v>
      </c>
      <c r="D18" s="121">
        <v>0.33872844827586207</v>
      </c>
      <c r="E18" s="121">
        <v>0.431640625</v>
      </c>
      <c r="F18" s="121">
        <v>0.18438333333333332</v>
      </c>
      <c r="G18" s="121">
        <v>0.3605839416058394</v>
      </c>
      <c r="H18" s="121">
        <v>0.17499999999999999</v>
      </c>
      <c r="I18" s="121">
        <v>0.16250000000000001</v>
      </c>
      <c r="J18" s="122">
        <v>0.13756666666666667</v>
      </c>
      <c r="K18" s="122">
        <v>0.27535685185185188</v>
      </c>
      <c r="L18" s="122">
        <v>0.15254226190476192</v>
      </c>
      <c r="M18" s="122">
        <v>0.3318864583333333</v>
      </c>
      <c r="N18" s="122">
        <v>0</v>
      </c>
      <c r="O18" s="122">
        <v>0</v>
      </c>
      <c r="P18" s="123">
        <v>0.25571365680933483</v>
      </c>
    </row>
    <row r="19" spans="1:16" ht="35.25" customHeight="1">
      <c r="A19" t="s">
        <v>726</v>
      </c>
      <c r="B19" s="110" t="s">
        <v>688</v>
      </c>
      <c r="C19" s="111" t="s">
        <v>689</v>
      </c>
      <c r="D19" s="111" t="s">
        <v>690</v>
      </c>
      <c r="E19" s="111" t="s">
        <v>691</v>
      </c>
      <c r="F19" s="111" t="s">
        <v>716</v>
      </c>
      <c r="G19" s="111" t="s">
        <v>692</v>
      </c>
      <c r="H19" s="111" t="s">
        <v>693</v>
      </c>
      <c r="I19" s="111" t="s">
        <v>717</v>
      </c>
      <c r="J19" s="111" t="s">
        <v>718</v>
      </c>
      <c r="K19" s="111" t="s">
        <v>694</v>
      </c>
      <c r="L19" s="111" t="s">
        <v>652</v>
      </c>
      <c r="M19" s="111" t="s">
        <v>678</v>
      </c>
      <c r="N19" s="111" t="s">
        <v>722</v>
      </c>
      <c r="O19" s="111" t="s">
        <v>696</v>
      </c>
      <c r="P19" s="112" t="s">
        <v>115</v>
      </c>
    </row>
    <row r="20" spans="1:16" ht="30.75" customHeight="1">
      <c r="B20" s="113" t="s">
        <v>642</v>
      </c>
      <c r="C20" s="114">
        <v>219</v>
      </c>
      <c r="D20" s="114">
        <v>649</v>
      </c>
      <c r="E20" s="114">
        <v>425</v>
      </c>
      <c r="F20" s="114">
        <v>283</v>
      </c>
      <c r="G20" s="114">
        <v>879</v>
      </c>
      <c r="H20" s="114">
        <v>104</v>
      </c>
      <c r="I20" s="114">
        <v>138</v>
      </c>
      <c r="J20" s="114">
        <v>347</v>
      </c>
      <c r="K20" s="115">
        <v>576</v>
      </c>
      <c r="L20" s="115">
        <v>566</v>
      </c>
      <c r="M20" s="114">
        <v>522</v>
      </c>
      <c r="N20" s="114">
        <v>0</v>
      </c>
      <c r="O20" s="114">
        <v>0</v>
      </c>
      <c r="P20" s="116">
        <v>4708</v>
      </c>
    </row>
    <row r="21" spans="1:16" ht="30.75" customHeight="1">
      <c r="B21" s="113" t="s">
        <v>643</v>
      </c>
      <c r="C21" s="114">
        <v>205</v>
      </c>
      <c r="D21" s="114">
        <v>624</v>
      </c>
      <c r="E21" s="114">
        <v>404</v>
      </c>
      <c r="F21" s="114">
        <v>264</v>
      </c>
      <c r="G21" s="114">
        <v>864</v>
      </c>
      <c r="H21" s="114">
        <v>96</v>
      </c>
      <c r="I21" s="114">
        <v>132</v>
      </c>
      <c r="J21" s="114">
        <v>325</v>
      </c>
      <c r="K21" s="115">
        <v>552</v>
      </c>
      <c r="L21" s="115">
        <v>540</v>
      </c>
      <c r="M21" s="114">
        <v>503</v>
      </c>
      <c r="N21" s="114">
        <v>0</v>
      </c>
      <c r="O21" s="114">
        <v>0</v>
      </c>
      <c r="P21" s="116">
        <v>4509</v>
      </c>
    </row>
    <row r="22" spans="1:16" ht="30.75" customHeight="1">
      <c r="B22" s="113" t="s">
        <v>644</v>
      </c>
      <c r="C22" s="114">
        <v>14</v>
      </c>
      <c r="D22" s="114">
        <v>25</v>
      </c>
      <c r="E22" s="114">
        <v>21</v>
      </c>
      <c r="F22" s="114">
        <v>19</v>
      </c>
      <c r="G22" s="114">
        <v>15</v>
      </c>
      <c r="H22" s="114">
        <v>8</v>
      </c>
      <c r="I22" s="114">
        <v>6</v>
      </c>
      <c r="J22" s="114">
        <v>22</v>
      </c>
      <c r="K22" s="115">
        <v>24</v>
      </c>
      <c r="L22" s="115">
        <v>26</v>
      </c>
      <c r="M22" s="114">
        <v>19</v>
      </c>
      <c r="N22" s="114">
        <v>0</v>
      </c>
      <c r="O22" s="114">
        <v>0</v>
      </c>
      <c r="P22" s="116">
        <v>199</v>
      </c>
    </row>
    <row r="23" spans="1:16" ht="30.75" customHeight="1">
      <c r="B23" s="113" t="s">
        <v>685</v>
      </c>
      <c r="C23" s="117">
        <v>6.3926940639269403E-2</v>
      </c>
      <c r="D23" s="117">
        <v>3.8520801232665637E-2</v>
      </c>
      <c r="E23" s="117">
        <v>4.9411764705882349E-2</v>
      </c>
      <c r="F23" s="117">
        <v>6.7137809187279157E-2</v>
      </c>
      <c r="G23" s="117">
        <v>1.7064846416382253E-2</v>
      </c>
      <c r="H23" s="117">
        <v>7.6923076923076927E-2</v>
      </c>
      <c r="I23" s="118">
        <v>4.3478260869565216E-2</v>
      </c>
      <c r="J23" s="118">
        <v>6.3400576368876083E-2</v>
      </c>
      <c r="K23" s="118">
        <v>4.1666666666666664E-2</v>
      </c>
      <c r="L23" s="118">
        <v>4.5936395759717315E-2</v>
      </c>
      <c r="M23" s="117">
        <v>3.6398467432950193E-2</v>
      </c>
      <c r="N23" s="118">
        <v>0</v>
      </c>
      <c r="O23" s="117">
        <v>0</v>
      </c>
      <c r="P23" s="119">
        <v>4.1835815861717793E-2</v>
      </c>
    </row>
    <row r="24" spans="1:16" ht="30.75" customHeight="1" thickBot="1">
      <c r="B24" s="120" t="s">
        <v>697</v>
      </c>
      <c r="C24" s="121">
        <v>0.3878707561728395</v>
      </c>
      <c r="D24" s="121">
        <v>0.29914224137931028</v>
      </c>
      <c r="E24" s="121">
        <v>0.42503906250000006</v>
      </c>
      <c r="F24" s="121">
        <v>0.22900319999999999</v>
      </c>
      <c r="G24" s="121">
        <v>0.53463529411764699</v>
      </c>
      <c r="H24" s="121">
        <v>0.18571428571428572</v>
      </c>
      <c r="I24" s="121">
        <v>0.21312500000000001</v>
      </c>
      <c r="J24" s="122">
        <v>0.5801350308641976</v>
      </c>
      <c r="K24" s="122">
        <v>0.40258518518518516</v>
      </c>
      <c r="L24" s="122">
        <v>0.13831967213114754</v>
      </c>
      <c r="M24" s="122">
        <v>0.3836208333333333</v>
      </c>
      <c r="N24" s="122">
        <v>0</v>
      </c>
      <c r="O24" s="122">
        <v>0</v>
      </c>
      <c r="P24" s="123">
        <v>0.34356277830890425</v>
      </c>
    </row>
    <row r="25" spans="1:16" ht="35.25" customHeight="1">
      <c r="A25" t="s">
        <v>698</v>
      </c>
      <c r="B25" s="110" t="s">
        <v>688</v>
      </c>
      <c r="C25" s="111" t="s">
        <v>689</v>
      </c>
      <c r="D25" s="111" t="s">
        <v>690</v>
      </c>
      <c r="E25" s="111" t="s">
        <v>691</v>
      </c>
      <c r="F25" s="111" t="s">
        <v>716</v>
      </c>
      <c r="G25" s="111" t="s">
        <v>692</v>
      </c>
      <c r="H25" s="111" t="s">
        <v>693</v>
      </c>
      <c r="I25" s="111" t="s">
        <v>717</v>
      </c>
      <c r="J25" s="111" t="s">
        <v>718</v>
      </c>
      <c r="K25" s="111" t="s">
        <v>694</v>
      </c>
      <c r="L25" s="111" t="s">
        <v>652</v>
      </c>
      <c r="M25" s="111" t="s">
        <v>678</v>
      </c>
      <c r="N25" s="111" t="s">
        <v>695</v>
      </c>
      <c r="O25" s="111" t="s">
        <v>696</v>
      </c>
      <c r="P25" s="112" t="s">
        <v>115</v>
      </c>
    </row>
    <row r="26" spans="1:16" ht="30.75" customHeight="1">
      <c r="B26" s="113" t="s">
        <v>642</v>
      </c>
      <c r="C26" s="114">
        <v>263</v>
      </c>
      <c r="D26" s="114">
        <v>681</v>
      </c>
      <c r="E26" s="114">
        <v>344</v>
      </c>
      <c r="F26" s="114">
        <v>268</v>
      </c>
      <c r="G26" s="114">
        <v>820</v>
      </c>
      <c r="H26" s="114">
        <v>104</v>
      </c>
      <c r="I26" s="114">
        <v>212</v>
      </c>
      <c r="J26" s="114">
        <v>472</v>
      </c>
      <c r="K26" s="115">
        <v>576</v>
      </c>
      <c r="L26" s="115">
        <v>849</v>
      </c>
      <c r="M26" s="114">
        <v>597</v>
      </c>
      <c r="N26" s="114">
        <v>0</v>
      </c>
      <c r="O26" s="114">
        <v>0</v>
      </c>
      <c r="P26" s="116">
        <v>5186</v>
      </c>
    </row>
    <row r="27" spans="1:16" ht="30.75" customHeight="1">
      <c r="B27" s="113" t="s">
        <v>643</v>
      </c>
      <c r="C27" s="114">
        <v>250</v>
      </c>
      <c r="D27" s="114">
        <v>648</v>
      </c>
      <c r="E27" s="114">
        <v>325</v>
      </c>
      <c r="F27" s="114">
        <v>252</v>
      </c>
      <c r="G27" s="114">
        <v>792</v>
      </c>
      <c r="H27" s="114">
        <v>96</v>
      </c>
      <c r="I27" s="114">
        <v>204</v>
      </c>
      <c r="J27" s="114">
        <v>440</v>
      </c>
      <c r="K27" s="115">
        <v>552</v>
      </c>
      <c r="L27" s="115">
        <v>820</v>
      </c>
      <c r="M27" s="114">
        <v>568</v>
      </c>
      <c r="N27" s="114">
        <v>0</v>
      </c>
      <c r="O27" s="114">
        <v>0</v>
      </c>
      <c r="P27" s="116">
        <v>4947</v>
      </c>
    </row>
    <row r="28" spans="1:16" ht="30.75" customHeight="1">
      <c r="B28" s="113" t="s">
        <v>644</v>
      </c>
      <c r="C28" s="114">
        <v>13</v>
      </c>
      <c r="D28" s="114">
        <v>33</v>
      </c>
      <c r="E28" s="114">
        <v>19</v>
      </c>
      <c r="F28" s="114">
        <v>16</v>
      </c>
      <c r="G28" s="114">
        <v>28</v>
      </c>
      <c r="H28" s="114">
        <v>8</v>
      </c>
      <c r="I28" s="114">
        <v>8</v>
      </c>
      <c r="J28" s="114">
        <v>32</v>
      </c>
      <c r="K28" s="115">
        <v>24</v>
      </c>
      <c r="L28" s="115">
        <v>29</v>
      </c>
      <c r="M28" s="114">
        <v>29</v>
      </c>
      <c r="N28" s="114">
        <v>0</v>
      </c>
      <c r="O28" s="114">
        <v>0</v>
      </c>
      <c r="P28" s="116">
        <v>239</v>
      </c>
    </row>
    <row r="29" spans="1:16" ht="30.75" customHeight="1">
      <c r="B29" s="113" t="s">
        <v>685</v>
      </c>
      <c r="C29" s="117">
        <v>4.9429657794676805E-2</v>
      </c>
      <c r="D29" s="117">
        <v>4.8458149779735685E-2</v>
      </c>
      <c r="E29" s="117">
        <v>5.5232558139534885E-2</v>
      </c>
      <c r="F29" s="117">
        <v>5.9701492537313432E-2</v>
      </c>
      <c r="G29" s="117">
        <v>3.4146341463414637E-2</v>
      </c>
      <c r="H29" s="117">
        <v>7.6923076923076927E-2</v>
      </c>
      <c r="I29" s="118">
        <v>3.7735849056603772E-2</v>
      </c>
      <c r="J29" s="118">
        <v>6.7796610169491525E-2</v>
      </c>
      <c r="K29" s="118">
        <v>4.1666666666666664E-2</v>
      </c>
      <c r="L29" s="118">
        <v>3.4157832744405182E-2</v>
      </c>
      <c r="M29" s="117">
        <v>4.8576214405360134E-2</v>
      </c>
      <c r="N29" s="118">
        <v>0</v>
      </c>
      <c r="O29" s="117">
        <v>0</v>
      </c>
      <c r="P29" s="119">
        <v>4.2601880744636896E-2</v>
      </c>
    </row>
    <row r="30" spans="1:16" ht="30.75" customHeight="1" thickBot="1">
      <c r="B30" s="120" t="s">
        <v>697</v>
      </c>
      <c r="C30" s="121">
        <v>0.45611979166666666</v>
      </c>
      <c r="D30" s="121">
        <v>0.4236724137931035</v>
      </c>
      <c r="E30" s="121">
        <v>0.3899753787878788</v>
      </c>
      <c r="F30" s="121">
        <v>0.21551673076923075</v>
      </c>
      <c r="G30" s="121">
        <v>0.46285555555555558</v>
      </c>
      <c r="H30" s="121">
        <v>0.18571428571428572</v>
      </c>
      <c r="I30" s="121">
        <v>0.2890625</v>
      </c>
      <c r="J30" s="122">
        <v>0.68032738095238099</v>
      </c>
      <c r="K30" s="122">
        <v>0.3748206896551724</v>
      </c>
      <c r="L30" s="122">
        <v>0.19428472222222221</v>
      </c>
      <c r="M30" s="122">
        <v>0.36304062500000001</v>
      </c>
      <c r="N30" s="122">
        <v>0</v>
      </c>
      <c r="O30" s="122">
        <v>0</v>
      </c>
      <c r="P30" s="123">
        <v>0.36685364310149959</v>
      </c>
    </row>
    <row r="31" spans="1:16" ht="35.25" customHeight="1">
      <c r="A31" t="s">
        <v>727</v>
      </c>
      <c r="B31" s="110" t="s">
        <v>688</v>
      </c>
      <c r="C31" s="111" t="s">
        <v>689</v>
      </c>
      <c r="D31" s="111" t="s">
        <v>690</v>
      </c>
      <c r="E31" s="111" t="s">
        <v>691</v>
      </c>
      <c r="F31" s="111" t="s">
        <v>716</v>
      </c>
      <c r="G31" s="111" t="s">
        <v>692</v>
      </c>
      <c r="H31" s="111" t="s">
        <v>693</v>
      </c>
      <c r="I31" s="111" t="s">
        <v>717</v>
      </c>
      <c r="J31" s="111" t="s">
        <v>718</v>
      </c>
      <c r="K31" s="111" t="s">
        <v>694</v>
      </c>
      <c r="L31" s="111" t="s">
        <v>652</v>
      </c>
      <c r="M31" s="111" t="s">
        <v>678</v>
      </c>
      <c r="N31" s="111" t="s">
        <v>695</v>
      </c>
      <c r="O31" s="111" t="s">
        <v>696</v>
      </c>
      <c r="P31" s="112" t="s">
        <v>115</v>
      </c>
    </row>
    <row r="32" spans="1:16" ht="30.75" customHeight="1">
      <c r="B32" s="113" t="s">
        <v>642</v>
      </c>
      <c r="C32" s="114">
        <v>313</v>
      </c>
      <c r="D32" s="114">
        <v>711</v>
      </c>
      <c r="E32" s="114">
        <v>343</v>
      </c>
      <c r="F32" s="114">
        <v>508</v>
      </c>
      <c r="G32" s="114">
        <v>744</v>
      </c>
      <c r="H32" s="114">
        <v>117</v>
      </c>
      <c r="I32" s="114">
        <v>113</v>
      </c>
      <c r="J32" s="115">
        <v>450</v>
      </c>
      <c r="K32" s="115">
        <v>647</v>
      </c>
      <c r="L32" s="115">
        <v>995</v>
      </c>
      <c r="M32" s="114">
        <v>465</v>
      </c>
      <c r="N32" s="114">
        <v>0</v>
      </c>
      <c r="O32" s="114">
        <v>0</v>
      </c>
      <c r="P32" s="116">
        <v>5406</v>
      </c>
    </row>
    <row r="33" spans="2:16" ht="30.75" customHeight="1">
      <c r="B33" s="113" t="s">
        <v>643</v>
      </c>
      <c r="C33" s="114">
        <v>300</v>
      </c>
      <c r="D33" s="114">
        <v>678</v>
      </c>
      <c r="E33" s="114">
        <v>325</v>
      </c>
      <c r="F33" s="114">
        <v>480</v>
      </c>
      <c r="G33" s="114">
        <v>720</v>
      </c>
      <c r="H33" s="114">
        <v>108</v>
      </c>
      <c r="I33" s="114">
        <v>108</v>
      </c>
      <c r="J33" s="115">
        <v>425</v>
      </c>
      <c r="K33" s="115">
        <v>625</v>
      </c>
      <c r="L33" s="115">
        <v>960</v>
      </c>
      <c r="M33" s="114">
        <v>436</v>
      </c>
      <c r="N33" s="114">
        <v>0</v>
      </c>
      <c r="O33" s="114">
        <v>0</v>
      </c>
      <c r="P33" s="116">
        <v>5165</v>
      </c>
    </row>
    <row r="34" spans="2:16" ht="30.75" customHeight="1">
      <c r="B34" s="113" t="s">
        <v>644</v>
      </c>
      <c r="C34" s="114">
        <v>13</v>
      </c>
      <c r="D34" s="114">
        <v>33</v>
      </c>
      <c r="E34" s="114">
        <v>18</v>
      </c>
      <c r="F34" s="114">
        <v>28</v>
      </c>
      <c r="G34" s="114">
        <v>24</v>
      </c>
      <c r="H34" s="114">
        <v>9</v>
      </c>
      <c r="I34" s="114">
        <v>5</v>
      </c>
      <c r="J34" s="115">
        <v>25</v>
      </c>
      <c r="K34" s="115">
        <v>22</v>
      </c>
      <c r="L34" s="115">
        <v>35</v>
      </c>
      <c r="M34" s="114">
        <v>29</v>
      </c>
      <c r="N34" s="114">
        <v>0</v>
      </c>
      <c r="O34" s="114">
        <v>0</v>
      </c>
      <c r="P34" s="116">
        <v>241</v>
      </c>
    </row>
    <row r="35" spans="2:16" ht="30.75" customHeight="1">
      <c r="B35" s="113" t="s">
        <v>685</v>
      </c>
      <c r="C35" s="117">
        <v>4.1533546325878593E-2</v>
      </c>
      <c r="D35" s="117">
        <v>4.6413502109704644E-2</v>
      </c>
      <c r="E35" s="117">
        <v>5.2478134110787174E-2</v>
      </c>
      <c r="F35" s="117">
        <v>5.5118110236220472E-2</v>
      </c>
      <c r="G35" s="117">
        <v>3.2258064516129031E-2</v>
      </c>
      <c r="H35" s="117">
        <v>7.6923076923076927E-2</v>
      </c>
      <c r="I35" s="118">
        <v>4.4247787610619468E-2</v>
      </c>
      <c r="J35" s="118">
        <v>5.5555555555555552E-2</v>
      </c>
      <c r="K35" s="118">
        <v>3.4003091190108192E-2</v>
      </c>
      <c r="L35" s="118">
        <v>3.5175879396984924E-2</v>
      </c>
      <c r="M35" s="117">
        <v>6.236559139784946E-2</v>
      </c>
      <c r="N35" s="118">
        <v>0</v>
      </c>
      <c r="O35" s="117">
        <v>0</v>
      </c>
      <c r="P35" s="119">
        <v>4.1236333797916497E-2</v>
      </c>
    </row>
    <row r="36" spans="2:16" ht="30.75" customHeight="1" thickBot="1">
      <c r="B36" s="120" t="s">
        <v>697</v>
      </c>
      <c r="C36" s="121">
        <v>0.54734375000000002</v>
      </c>
      <c r="D36" s="121">
        <v>0.47639062500000001</v>
      </c>
      <c r="E36" s="121">
        <v>0.38301153273809524</v>
      </c>
      <c r="F36" s="121">
        <v>0.31212499999999999</v>
      </c>
      <c r="G36" s="121">
        <v>0.42077777777777775</v>
      </c>
      <c r="H36" s="121">
        <v>0.20172413793103447</v>
      </c>
      <c r="I36" s="121">
        <v>0.20172413793103447</v>
      </c>
      <c r="J36" s="122">
        <v>0.74484469696969702</v>
      </c>
      <c r="K36" s="122">
        <v>0.43125897988505746</v>
      </c>
      <c r="L36" s="122">
        <v>0.25</v>
      </c>
      <c r="M36" s="122">
        <v>0.34040833333333331</v>
      </c>
      <c r="N36" s="122">
        <v>0</v>
      </c>
      <c r="O36" s="122">
        <v>0</v>
      </c>
      <c r="P36" s="123">
        <v>0.39178263377873002</v>
      </c>
    </row>
    <row r="37" spans="2:16" ht="35.25" customHeight="1"/>
    <row r="38" spans="2:16" ht="30.75" customHeight="1"/>
    <row r="39" spans="2:16" ht="30.75" customHeight="1"/>
    <row r="40" spans="2:16" ht="30.75" customHeight="1"/>
    <row r="41" spans="2:16" ht="30.75" customHeight="1"/>
    <row r="42" spans="2:16" ht="30.75" customHeight="1"/>
  </sheetData>
  <phoneticPr fontId="44" type="noConversion"/>
  <pageMargins left="0.7" right="0.7" top="0.75" bottom="0.75" header="0.3" footer="0.3"/>
  <pageSetup paperSize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SMV</vt:lpstr>
      <vt:lpstr>Weekly Inspection Report</vt:lpstr>
      <vt:lpstr>Weekly Summary</vt:lpstr>
      <vt:lpstr>DAILY SUMMARY</vt:lpstr>
      <vt:lpstr>SMV!Print_Area</vt:lpstr>
      <vt:lpstr>'Weekly Summary'!Print_Area</vt:lpstr>
    </vt:vector>
  </TitlesOfParts>
  <Company>User-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savan</dc:creator>
  <cp:lastModifiedBy>Em Srey Leak</cp:lastModifiedBy>
  <cp:lastPrinted>2025-02-19T07:34:16Z</cp:lastPrinted>
  <dcterms:created xsi:type="dcterms:W3CDTF">2012-03-17T02:30:11Z</dcterms:created>
  <dcterms:modified xsi:type="dcterms:W3CDTF">2026-09-21T09:16:57Z</dcterms:modified>
</cp:coreProperties>
</file>