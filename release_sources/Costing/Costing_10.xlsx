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20202025DOCS1\WPL\BOM\PO BOM\New folder5474 AUG2026\"/>
    </mc:Choice>
  </mc:AlternateContent>
  <xr:revisionPtr revIDLastSave="0" documentId="8_{F883F010-64A5-48A4-9442-141D48C44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ING" sheetId="6" r:id="rId1"/>
    <sheet name="MINI MARKER" sheetId="7" r:id="rId2"/>
  </sheets>
  <definedNames>
    <definedName name="_xlnm.Print_Area" localSheetId="0">COSTING!$A$1:$S$43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1" i="6" l="1"/>
  <c r="H177" i="6"/>
  <c r="H144" i="6"/>
  <c r="H105" i="6"/>
  <c r="H71" i="6"/>
  <c r="H38" i="6"/>
  <c r="H39" i="6"/>
  <c r="H213" i="6"/>
  <c r="H209" i="6"/>
  <c r="H210" i="6" s="1"/>
  <c r="H179" i="6"/>
  <c r="H146" i="6"/>
  <c r="H107" i="6"/>
  <c r="H73" i="6"/>
  <c r="H40" i="6"/>
  <c r="F207" i="6"/>
  <c r="F206" i="6"/>
  <c r="C206" i="6"/>
  <c r="H206" i="6" s="1"/>
  <c r="F205" i="6"/>
  <c r="B205" i="6"/>
  <c r="A205" i="6"/>
  <c r="F204" i="6"/>
  <c r="B204" i="6"/>
  <c r="A204" i="6"/>
  <c r="F203" i="6"/>
  <c r="C203" i="6"/>
  <c r="B203" i="6"/>
  <c r="A203" i="6"/>
  <c r="F202" i="6"/>
  <c r="B202" i="6"/>
  <c r="A202" i="6"/>
  <c r="F201" i="6"/>
  <c r="B201" i="6"/>
  <c r="A201" i="6"/>
  <c r="F200" i="6"/>
  <c r="B200" i="6"/>
  <c r="A200" i="6"/>
  <c r="F199" i="6"/>
  <c r="B199" i="6"/>
  <c r="A199" i="6"/>
  <c r="C195" i="6"/>
  <c r="C207" i="6" s="1"/>
  <c r="H207" i="6" s="1"/>
  <c r="A195" i="6"/>
  <c r="H192" i="6"/>
  <c r="H205" i="6" s="1"/>
  <c r="H191" i="6"/>
  <c r="H204" i="6" s="1"/>
  <c r="H190" i="6"/>
  <c r="H203" i="6" s="1"/>
  <c r="H189" i="6"/>
  <c r="H202" i="6" s="1"/>
  <c r="H188" i="6"/>
  <c r="C201" i="6" s="1"/>
  <c r="H187" i="6"/>
  <c r="H200" i="6" s="1"/>
  <c r="H186" i="6"/>
  <c r="H199" i="6" s="1"/>
  <c r="F173" i="6"/>
  <c r="F172" i="6"/>
  <c r="C172" i="6"/>
  <c r="H172" i="6" s="1"/>
  <c r="F171" i="6"/>
  <c r="B171" i="6"/>
  <c r="A171" i="6"/>
  <c r="F170" i="6"/>
  <c r="B170" i="6"/>
  <c r="A170" i="6"/>
  <c r="F169" i="6"/>
  <c r="B169" i="6"/>
  <c r="A169" i="6"/>
  <c r="F168" i="6"/>
  <c r="B168" i="6"/>
  <c r="A168" i="6"/>
  <c r="F167" i="6"/>
  <c r="B167" i="6"/>
  <c r="A167" i="6"/>
  <c r="F166" i="6"/>
  <c r="B166" i="6"/>
  <c r="A166" i="6"/>
  <c r="F165" i="6"/>
  <c r="B165" i="6"/>
  <c r="A165" i="6"/>
  <c r="C161" i="6"/>
  <c r="C173" i="6" s="1"/>
  <c r="H173" i="6" s="1"/>
  <c r="A161" i="6"/>
  <c r="H158" i="6"/>
  <c r="H171" i="6" s="1"/>
  <c r="H157" i="6"/>
  <c r="H170" i="6" s="1"/>
  <c r="H156" i="6"/>
  <c r="C169" i="6" s="1"/>
  <c r="H155" i="6"/>
  <c r="H168" i="6" s="1"/>
  <c r="H154" i="6"/>
  <c r="H167" i="6" s="1"/>
  <c r="H153" i="6"/>
  <c r="H166" i="6" s="1"/>
  <c r="H152" i="6"/>
  <c r="H165" i="6" s="1"/>
  <c r="F140" i="6"/>
  <c r="F139" i="6"/>
  <c r="C139" i="6"/>
  <c r="H139" i="6" s="1"/>
  <c r="F138" i="6"/>
  <c r="B138" i="6"/>
  <c r="A138" i="6"/>
  <c r="F137" i="6"/>
  <c r="B137" i="6"/>
  <c r="A137" i="6"/>
  <c r="F136" i="6"/>
  <c r="B136" i="6"/>
  <c r="A136" i="6"/>
  <c r="F135" i="6"/>
  <c r="B135" i="6"/>
  <c r="A135" i="6"/>
  <c r="F134" i="6"/>
  <c r="B134" i="6"/>
  <c r="A134" i="6"/>
  <c r="F133" i="6"/>
  <c r="B133" i="6"/>
  <c r="A133" i="6"/>
  <c r="F132" i="6"/>
  <c r="B132" i="6"/>
  <c r="A132" i="6"/>
  <c r="C128" i="6"/>
  <c r="C140" i="6" s="1"/>
  <c r="H140" i="6" s="1"/>
  <c r="A128" i="6"/>
  <c r="H125" i="6"/>
  <c r="H138" i="6" s="1"/>
  <c r="H124" i="6"/>
  <c r="H137" i="6" s="1"/>
  <c r="H123" i="6"/>
  <c r="C136" i="6" s="1"/>
  <c r="H122" i="6"/>
  <c r="H135" i="6" s="1"/>
  <c r="H121" i="6"/>
  <c r="H134" i="6" s="1"/>
  <c r="H120" i="6"/>
  <c r="C133" i="6" s="1"/>
  <c r="H119" i="6"/>
  <c r="H132" i="6" s="1"/>
  <c r="H175" i="6" l="1"/>
  <c r="H176" i="6" s="1"/>
  <c r="H215" i="6"/>
  <c r="H212" i="6"/>
  <c r="H181" i="6"/>
  <c r="H178" i="6"/>
  <c r="C171" i="6"/>
  <c r="C135" i="6"/>
  <c r="C166" i="6"/>
  <c r="H201" i="6"/>
  <c r="C138" i="6"/>
  <c r="H169" i="6"/>
  <c r="H136" i="6"/>
  <c r="C200" i="6"/>
  <c r="C168" i="6"/>
  <c r="C205" i="6"/>
  <c r="C137" i="6"/>
  <c r="C165" i="6"/>
  <c r="C202" i="6"/>
  <c r="C132" i="6"/>
  <c r="C134" i="6"/>
  <c r="C170" i="6"/>
  <c r="C199" i="6"/>
  <c r="C167" i="6"/>
  <c r="C204" i="6"/>
  <c r="H133" i="6"/>
  <c r="H142" i="6" s="1"/>
  <c r="H143" i="6" s="1"/>
  <c r="H145" i="6" s="1"/>
  <c r="F101" i="6"/>
  <c r="F100" i="6"/>
  <c r="C100" i="6"/>
  <c r="H100" i="6" s="1"/>
  <c r="F99" i="6"/>
  <c r="B99" i="6"/>
  <c r="A99" i="6"/>
  <c r="F98" i="6"/>
  <c r="B98" i="6"/>
  <c r="A98" i="6"/>
  <c r="F97" i="6"/>
  <c r="B97" i="6"/>
  <c r="A97" i="6"/>
  <c r="H96" i="6"/>
  <c r="F96" i="6"/>
  <c r="B96" i="6"/>
  <c r="A96" i="6"/>
  <c r="F95" i="6"/>
  <c r="B95" i="6"/>
  <c r="A95" i="6"/>
  <c r="F94" i="6"/>
  <c r="B94" i="6"/>
  <c r="A94" i="6"/>
  <c r="F93" i="6"/>
  <c r="B93" i="6"/>
  <c r="A93" i="6"/>
  <c r="C89" i="6"/>
  <c r="C101" i="6" s="1"/>
  <c r="H101" i="6" s="1"/>
  <c r="A89" i="6"/>
  <c r="H86" i="6"/>
  <c r="H99" i="6" s="1"/>
  <c r="H85" i="6"/>
  <c r="H98" i="6" s="1"/>
  <c r="H84" i="6"/>
  <c r="H97" i="6" s="1"/>
  <c r="H83" i="6"/>
  <c r="C96" i="6" s="1"/>
  <c r="H82" i="6"/>
  <c r="C95" i="6" s="1"/>
  <c r="H81" i="6"/>
  <c r="C94" i="6" s="1"/>
  <c r="H80" i="6"/>
  <c r="H93" i="6" s="1"/>
  <c r="H103" i="6" l="1"/>
  <c r="H104" i="6" s="1"/>
  <c r="H148" i="6"/>
  <c r="C99" i="6"/>
  <c r="C97" i="6"/>
  <c r="H95" i="6"/>
  <c r="C93" i="6"/>
  <c r="H94" i="6"/>
  <c r="C98" i="6"/>
  <c r="H106" i="6" l="1"/>
  <c r="F67" i="6"/>
  <c r="F66" i="6"/>
  <c r="C66" i="6"/>
  <c r="H66" i="6" s="1"/>
  <c r="F65" i="6"/>
  <c r="B65" i="6"/>
  <c r="A65" i="6"/>
  <c r="F64" i="6"/>
  <c r="B64" i="6"/>
  <c r="A64" i="6"/>
  <c r="F63" i="6"/>
  <c r="B63" i="6"/>
  <c r="A63" i="6"/>
  <c r="F62" i="6"/>
  <c r="B62" i="6"/>
  <c r="A62" i="6"/>
  <c r="F61" i="6"/>
  <c r="B61" i="6"/>
  <c r="A61" i="6"/>
  <c r="F60" i="6"/>
  <c r="B60" i="6"/>
  <c r="A60" i="6"/>
  <c r="F59" i="6"/>
  <c r="B59" i="6"/>
  <c r="A59" i="6"/>
  <c r="C55" i="6"/>
  <c r="C67" i="6" s="1"/>
  <c r="H67" i="6" s="1"/>
  <c r="A55" i="6"/>
  <c r="H52" i="6"/>
  <c r="H65" i="6" s="1"/>
  <c r="H51" i="6"/>
  <c r="H64" i="6" s="1"/>
  <c r="H50" i="6"/>
  <c r="C63" i="6" s="1"/>
  <c r="H49" i="6"/>
  <c r="H62" i="6" s="1"/>
  <c r="H48" i="6"/>
  <c r="H61" i="6" s="1"/>
  <c r="H47" i="6"/>
  <c r="H60" i="6" s="1"/>
  <c r="H46" i="6"/>
  <c r="H109" i="6" l="1"/>
  <c r="C65" i="6"/>
  <c r="H63" i="6"/>
  <c r="C62" i="6"/>
  <c r="C60" i="6"/>
  <c r="H59" i="6"/>
  <c r="H69" i="6" s="1"/>
  <c r="H70" i="6" s="1"/>
  <c r="C59" i="6"/>
  <c r="C64" i="6"/>
  <c r="C61" i="6"/>
  <c r="A28" i="6"/>
  <c r="B28" i="6"/>
  <c r="F28" i="6"/>
  <c r="H15" i="6"/>
  <c r="H28" i="6" s="1"/>
  <c r="H72" i="6" l="1"/>
  <c r="C28" i="6"/>
  <c r="C33" i="6"/>
  <c r="H75" i="6" l="1"/>
  <c r="A27" i="6"/>
  <c r="A29" i="6"/>
  <c r="A30" i="6"/>
  <c r="A31" i="6"/>
  <c r="A32" i="6"/>
  <c r="F27" i="6" l="1"/>
  <c r="F29" i="6"/>
  <c r="F30" i="6"/>
  <c r="F31" i="6"/>
  <c r="F32" i="6"/>
  <c r="F33" i="6"/>
  <c r="F34" i="6"/>
  <c r="H18" i="6"/>
  <c r="H31" i="6" s="1"/>
  <c r="H17" i="6"/>
  <c r="C30" i="6" s="1"/>
  <c r="H16" i="6"/>
  <c r="H29" i="6" s="1"/>
  <c r="B27" i="6"/>
  <c r="B29" i="6"/>
  <c r="B30" i="6"/>
  <c r="B31" i="6"/>
  <c r="B32" i="6"/>
  <c r="C31" i="6" l="1"/>
  <c r="C29" i="6"/>
  <c r="H30" i="6"/>
  <c r="C22" i="6"/>
  <c r="H14" i="6" l="1"/>
  <c r="H27" i="6" l="1"/>
  <c r="C27" i="6"/>
  <c r="H19" i="6"/>
  <c r="H32" i="6" s="1"/>
  <c r="C34" i="6" l="1"/>
  <c r="C32" i="6" l="1"/>
  <c r="H13" i="6"/>
  <c r="C26" i="6" s="1"/>
  <c r="H33" i="6"/>
  <c r="F26" i="6"/>
  <c r="B26" i="6"/>
  <c r="A26" i="6"/>
  <c r="H34" i="6"/>
  <c r="A22" i="6"/>
  <c r="H26" i="6" l="1"/>
  <c r="H36" i="6" s="1"/>
  <c r="H37" i="6" s="1"/>
  <c r="H42" i="6" l="1"/>
  <c r="H41" i="6" l="1"/>
</calcChain>
</file>

<file path=xl/sharedStrings.xml><?xml version="1.0" encoding="utf-8"?>
<sst xmlns="http://schemas.openxmlformats.org/spreadsheetml/2006/main" count="354" uniqueCount="55">
  <si>
    <t>Items</t>
  </si>
  <si>
    <t>Main Fabric</t>
  </si>
  <si>
    <t>Thread Tex40</t>
  </si>
  <si>
    <t>DTM Body</t>
  </si>
  <si>
    <t xml:space="preserve">                           Production</t>
  </si>
  <si>
    <t>Construction Details</t>
  </si>
  <si>
    <t>VANTAGE RIVER TEXTILE</t>
  </si>
  <si>
    <t>Standard width and Yards per dozen</t>
  </si>
  <si>
    <t>Nº</t>
  </si>
  <si>
    <t xml:space="preserve">Description </t>
  </si>
  <si>
    <t>Color</t>
  </si>
  <si>
    <t>Width/size</t>
  </si>
  <si>
    <t>Qty/Unit</t>
  </si>
  <si>
    <t>Qty/Dozen</t>
  </si>
  <si>
    <t>-</t>
  </si>
  <si>
    <t>Sewing Thread</t>
  </si>
  <si>
    <t>Tex40</t>
  </si>
  <si>
    <t>SAH's</t>
  </si>
  <si>
    <t>Style</t>
  </si>
  <si>
    <t>SAH's per dozen</t>
  </si>
  <si>
    <t xml:space="preserve">Cost of items </t>
  </si>
  <si>
    <t>Quanlity/Dozen</t>
  </si>
  <si>
    <t>Product color</t>
  </si>
  <si>
    <t>Price per unit</t>
  </si>
  <si>
    <t>Price per dozen</t>
  </si>
  <si>
    <t>Carton</t>
  </si>
  <si>
    <t>Labor</t>
  </si>
  <si>
    <t>MFG COST:</t>
  </si>
  <si>
    <t>UNIT COST:</t>
  </si>
  <si>
    <t>Margin</t>
  </si>
  <si>
    <t>At Center Back Neck</t>
  </si>
  <si>
    <t>Sewing SMV</t>
  </si>
  <si>
    <t>Metal Snap Stud</t>
  </si>
  <si>
    <t xml:space="preserve">Metal Snap Prong </t>
  </si>
  <si>
    <t>Metal Snap Socket</t>
  </si>
  <si>
    <t>Size Range: XS-5XL</t>
  </si>
  <si>
    <t>4.5OZ/T150 (OB26*OB26) For Main Body</t>
  </si>
  <si>
    <t>ALSCO WHITE</t>
  </si>
  <si>
    <t>72.5"</t>
  </si>
  <si>
    <t>WPL</t>
  </si>
  <si>
    <t>Base Size : L-XL-2XL</t>
  </si>
  <si>
    <t>Date Folder Modified : 07 March 2022</t>
  </si>
  <si>
    <t>At Center front Closure</t>
  </si>
  <si>
    <t>Main Label</t>
  </si>
  <si>
    <t>Care Label</t>
  </si>
  <si>
    <t>DUTY</t>
  </si>
  <si>
    <t>LIST PRICE</t>
  </si>
  <si>
    <t>Export</t>
  </si>
  <si>
    <t>XL- 2XL</t>
  </si>
  <si>
    <t>3XL- 5XL</t>
  </si>
  <si>
    <t>saleprice</t>
  </si>
  <si>
    <t>SM-L</t>
  </si>
  <si>
    <t>black navy</t>
  </si>
  <si>
    <t>COOK SHIRT  103</t>
  </si>
  <si>
    <t>BLK 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</si>
</sst>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&quot;Pcs&quot;"/>
    <numFmt numFmtId="165" formatCode="0.000"/>
    <numFmt numFmtId="166" formatCode="0.0000&quot;USD&quot;"/>
    <numFmt numFmtId="167" formatCode="0.000\ &quot;USD&quot;"/>
    <numFmt numFmtId="168" formatCode="0.000\ &quot;Yards&quot;"/>
    <numFmt numFmtId="169" formatCode="0.000&quot;Cone&quot;"/>
    <numFmt numFmtId="170" formatCode="0.0000"/>
    <numFmt numFmtId="171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3" fillId="0" borderId="3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horizontal="right" vertical="center"/>
    </xf>
    <xf numFmtId="0" fontId="2" fillId="0" borderId="0" xfId="1" applyFont="1" applyAlignment="1">
      <alignment horizontal="center"/>
    </xf>
    <xf numFmtId="0" fontId="3" fillId="0" borderId="0" xfId="1" applyFont="1"/>
    <xf numFmtId="0" fontId="4" fillId="0" borderId="0" xfId="1" applyFont="1"/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5" fillId="0" borderId="2" xfId="1" applyFont="1" applyBorder="1"/>
    <xf numFmtId="0" fontId="5" fillId="0" borderId="3" xfId="1" applyFont="1" applyBorder="1"/>
    <xf numFmtId="0" fontId="1" fillId="0" borderId="0" xfId="1"/>
    <xf numFmtId="0" fontId="5" fillId="0" borderId="5" xfId="1" applyFont="1" applyBorder="1"/>
    <xf numFmtId="0" fontId="5" fillId="0" borderId="0" xfId="1" applyFont="1"/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5" xfId="1" applyBorder="1"/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4" xfId="1" applyFont="1" applyBorder="1" applyAlignment="1">
      <alignment horizontal="left"/>
    </xf>
    <xf numFmtId="0" fontId="1" fillId="0" borderId="1" xfId="1" applyBorder="1" applyAlignment="1">
      <alignment horizontal="left"/>
    </xf>
    <xf numFmtId="166" fontId="1" fillId="0" borderId="1" xfId="1" applyNumberFormat="1" applyBorder="1" applyAlignment="1">
      <alignment horizontal="center"/>
    </xf>
    <xf numFmtId="167" fontId="1" fillId="0" borderId="1" xfId="1" applyNumberFormat="1" applyBorder="1" applyAlignment="1">
      <alignment horizontal="center"/>
    </xf>
    <xf numFmtId="0" fontId="1" fillId="0" borderId="6" xfId="1" applyBorder="1"/>
    <xf numFmtId="0" fontId="1" fillId="0" borderId="10" xfId="1" applyBorder="1"/>
    <xf numFmtId="10" fontId="1" fillId="0" borderId="1" xfId="1" applyNumberFormat="1" applyBorder="1" applyAlignment="1">
      <alignment horizontal="center"/>
    </xf>
    <xf numFmtId="0" fontId="1" fillId="0" borderId="1" xfId="1" applyBorder="1" applyAlignment="1">
      <alignment vertical="center"/>
    </xf>
    <xf numFmtId="168" fontId="1" fillId="0" borderId="1" xfId="1" applyNumberFormat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 vertical="center"/>
    </xf>
    <xf numFmtId="165" fontId="1" fillId="0" borderId="11" xfId="1" applyNumberFormat="1" applyBorder="1" applyAlignment="1">
      <alignment horizontal="center"/>
    </xf>
    <xf numFmtId="0" fontId="0" fillId="3" borderId="10" xfId="0" applyFill="1" applyBorder="1" applyAlignment="1">
      <alignment horizontal="left"/>
    </xf>
    <xf numFmtId="0" fontId="6" fillId="0" borderId="3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166" fontId="1" fillId="4" borderId="1" xfId="1" applyNumberFormat="1" applyFill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8" fillId="0" borderId="8" xfId="1" applyFont="1" applyBorder="1" applyAlignment="1">
      <alignment vertical="center"/>
    </xf>
    <xf numFmtId="164" fontId="1" fillId="0" borderId="10" xfId="1" applyNumberFormat="1" applyBorder="1" applyAlignment="1">
      <alignment horizontal="center"/>
    </xf>
    <xf numFmtId="164" fontId="1" fillId="0" borderId="13" xfId="1" applyNumberFormat="1" applyBorder="1" applyAlignment="1">
      <alignment horizontal="center"/>
    </xf>
    <xf numFmtId="164" fontId="1" fillId="0" borderId="11" xfId="1" applyNumberFormat="1" applyBorder="1" applyAlignment="1">
      <alignment horizontal="center"/>
    </xf>
    <xf numFmtId="165" fontId="1" fillId="0" borderId="10" xfId="1" applyNumberFormat="1" applyBorder="1" applyAlignment="1">
      <alignment horizontal="center"/>
    </xf>
    <xf numFmtId="165" fontId="1" fillId="0" borderId="13" xfId="1" applyNumberFormat="1" applyBorder="1" applyAlignment="1">
      <alignment horizontal="center"/>
    </xf>
    <xf numFmtId="165" fontId="1" fillId="0" borderId="11" xfId="1" applyNumberFormat="1" applyBorder="1" applyAlignment="1">
      <alignment horizontal="center"/>
    </xf>
    <xf numFmtId="169" fontId="1" fillId="0" borderId="10" xfId="1" applyNumberFormat="1" applyBorder="1" applyAlignment="1">
      <alignment horizontal="center"/>
    </xf>
    <xf numFmtId="169" fontId="1" fillId="0" borderId="13" xfId="1" applyNumberFormat="1" applyBorder="1" applyAlignment="1">
      <alignment horizontal="center"/>
    </xf>
    <xf numFmtId="169" fontId="1" fillId="0" borderId="11" xfId="1" applyNumberForma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168" fontId="1" fillId="0" borderId="10" xfId="1" applyNumberForma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168" fontId="1" fillId="0" borderId="11" xfId="1" applyNumberForma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0" fillId="4" borderId="2" xfId="0" applyNumberFormat="1" applyFill="1" applyBorder="1" applyAlignment="1">
      <alignment horizontal="left"/>
    </xf>
    <xf numFmtId="165" fontId="0" fillId="4" borderId="3" xfId="0" applyNumberFormat="1" applyFill="1" applyBorder="1" applyAlignment="1">
      <alignment horizontal="left"/>
    </xf>
    <xf numFmtId="165" fontId="0" fillId="4" borderId="4" xfId="0" applyNumberFormat="1" applyFill="1" applyBorder="1" applyAlignment="1">
      <alignment horizontal="left"/>
    </xf>
    <xf numFmtId="0" fontId="5" fillId="2" borderId="1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170" fontId="5" fillId="0" borderId="10" xfId="0" applyNumberFormat="1" applyFont="1" applyBorder="1" applyAlignment="1">
      <alignment horizontal="center"/>
    </xf>
    <xf numFmtId="170" fontId="5" fillId="0" borderId="13" xfId="0" applyNumberFormat="1" applyFont="1" applyBorder="1" applyAlignment="1">
      <alignment horizontal="center"/>
    </xf>
    <xf numFmtId="170" fontId="5" fillId="0" borderId="11" xfId="0" applyNumberFormat="1" applyFont="1" applyBorder="1" applyAlignment="1">
      <alignment horizontal="center"/>
    </xf>
    <xf numFmtId="0" fontId="5" fillId="2" borderId="10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171" fontId="1" fillId="0" borderId="1" xfId="1" applyNumberForma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12</xdr:row>
      <xdr:rowOff>93028</xdr:rowOff>
    </xdr:from>
    <xdr:to>
      <xdr:col>13</xdr:col>
      <xdr:colOff>150336</xdr:colOff>
      <xdr:row>25</xdr:row>
      <xdr:rowOff>22355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75" y="2226628"/>
          <a:ext cx="2188686" cy="2351852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12</xdr:row>
      <xdr:rowOff>57150</xdr:rowOff>
    </xdr:from>
    <xdr:to>
      <xdr:col>18</xdr:col>
      <xdr:colOff>254784</xdr:colOff>
      <xdr:row>24</xdr:row>
      <xdr:rowOff>171967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150" y="2190750"/>
          <a:ext cx="2112159" cy="23468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63985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780" r="26304" b="4877"/>
        <a:stretch/>
      </xdr:blipFill>
      <xdr:spPr>
        <a:xfrm>
          <a:off x="0" y="0"/>
          <a:ext cx="9144000" cy="5397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S215"/>
  <sheetViews>
    <sheetView tabSelected="1" view="pageBreakPreview" topLeftCell="A174" zoomScale="75" zoomScaleNormal="75" zoomScaleSheetLayoutView="75" workbookViewId="0">
      <selection activeCell="M211" sqref="M211"/>
    </sheetView>
  </sheetViews>
  <sheetFormatPr defaultRowHeight="13.2" x14ac:dyDescent="0.25"/>
  <cols>
    <col min="1" max="1" width="5.44140625" style="13" customWidth="1"/>
    <col min="2" max="2" width="18.109375" style="13" customWidth="1"/>
    <col min="3" max="3" width="13.6640625" style="13" customWidth="1"/>
    <col min="4" max="4" width="23.88671875" style="13" customWidth="1"/>
    <col min="5" max="5" width="14.109375" style="13" customWidth="1"/>
    <col min="6" max="6" width="14.88671875" style="13" customWidth="1"/>
    <col min="7" max="7" width="14.44140625" style="13" customWidth="1"/>
    <col min="8" max="8" width="15.5546875" style="13" customWidth="1"/>
    <col min="9" max="19" width="6.33203125" style="13" customWidth="1"/>
    <col min="20" max="252" width="9.109375" style="13"/>
    <col min="253" max="253" width="5.44140625" style="13" customWidth="1"/>
    <col min="254" max="254" width="13.6640625" style="13" customWidth="1"/>
    <col min="255" max="255" width="23.6640625" style="13" customWidth="1"/>
    <col min="256" max="256" width="14.109375" style="13" customWidth="1"/>
    <col min="257" max="257" width="16.109375" style="13" customWidth="1"/>
    <col min="258" max="258" width="14.44140625" style="13" customWidth="1"/>
    <col min="259" max="259" width="16.44140625" style="13" customWidth="1"/>
    <col min="260" max="262" width="6.33203125" style="13" customWidth="1"/>
    <col min="263" max="263" width="8.109375" style="13" customWidth="1"/>
    <col min="264" max="265" width="6.6640625" style="13" bestFit="1" customWidth="1"/>
    <col min="266" max="266" width="5.44140625" style="13" customWidth="1"/>
    <col min="267" max="267" width="13.44140625" style="13" customWidth="1"/>
    <col min="268" max="508" width="9.109375" style="13"/>
    <col min="509" max="509" width="5.44140625" style="13" customWidth="1"/>
    <col min="510" max="510" width="13.6640625" style="13" customWidth="1"/>
    <col min="511" max="511" width="23.6640625" style="13" customWidth="1"/>
    <col min="512" max="512" width="14.109375" style="13" customWidth="1"/>
    <col min="513" max="513" width="16.109375" style="13" customWidth="1"/>
    <col min="514" max="514" width="14.44140625" style="13" customWidth="1"/>
    <col min="515" max="515" width="16.44140625" style="13" customWidth="1"/>
    <col min="516" max="518" width="6.33203125" style="13" customWidth="1"/>
    <col min="519" max="519" width="8.109375" style="13" customWidth="1"/>
    <col min="520" max="521" width="6.6640625" style="13" bestFit="1" customWidth="1"/>
    <col min="522" max="522" width="5.44140625" style="13" customWidth="1"/>
    <col min="523" max="523" width="13.44140625" style="13" customWidth="1"/>
    <col min="524" max="764" width="9.109375" style="13"/>
    <col min="765" max="765" width="5.44140625" style="13" customWidth="1"/>
    <col min="766" max="766" width="13.6640625" style="13" customWidth="1"/>
    <col min="767" max="767" width="23.6640625" style="13" customWidth="1"/>
    <col min="768" max="768" width="14.109375" style="13" customWidth="1"/>
    <col min="769" max="769" width="16.109375" style="13" customWidth="1"/>
    <col min="770" max="770" width="14.44140625" style="13" customWidth="1"/>
    <col min="771" max="771" width="16.44140625" style="13" customWidth="1"/>
    <col min="772" max="774" width="6.33203125" style="13" customWidth="1"/>
    <col min="775" max="775" width="8.109375" style="13" customWidth="1"/>
    <col min="776" max="777" width="6.6640625" style="13" bestFit="1" customWidth="1"/>
    <col min="778" max="778" width="5.44140625" style="13" customWidth="1"/>
    <col min="779" max="779" width="13.44140625" style="13" customWidth="1"/>
    <col min="780" max="1020" width="9.109375" style="13"/>
    <col min="1021" max="1021" width="5.44140625" style="13" customWidth="1"/>
    <col min="1022" max="1022" width="13.6640625" style="13" customWidth="1"/>
    <col min="1023" max="1023" width="23.6640625" style="13" customWidth="1"/>
    <col min="1024" max="1024" width="14.109375" style="13" customWidth="1"/>
    <col min="1025" max="1025" width="16.109375" style="13" customWidth="1"/>
    <col min="1026" max="1026" width="14.44140625" style="13" customWidth="1"/>
    <col min="1027" max="1027" width="16.44140625" style="13" customWidth="1"/>
    <col min="1028" max="1030" width="6.33203125" style="13" customWidth="1"/>
    <col min="1031" max="1031" width="8.109375" style="13" customWidth="1"/>
    <col min="1032" max="1033" width="6.6640625" style="13" bestFit="1" customWidth="1"/>
    <col min="1034" max="1034" width="5.44140625" style="13" customWidth="1"/>
    <col min="1035" max="1035" width="13.44140625" style="13" customWidth="1"/>
    <col min="1036" max="1276" width="9.109375" style="13"/>
    <col min="1277" max="1277" width="5.44140625" style="13" customWidth="1"/>
    <col min="1278" max="1278" width="13.6640625" style="13" customWidth="1"/>
    <col min="1279" max="1279" width="23.6640625" style="13" customWidth="1"/>
    <col min="1280" max="1280" width="14.109375" style="13" customWidth="1"/>
    <col min="1281" max="1281" width="16.109375" style="13" customWidth="1"/>
    <col min="1282" max="1282" width="14.44140625" style="13" customWidth="1"/>
    <col min="1283" max="1283" width="16.44140625" style="13" customWidth="1"/>
    <col min="1284" max="1286" width="6.33203125" style="13" customWidth="1"/>
    <col min="1287" max="1287" width="8.109375" style="13" customWidth="1"/>
    <col min="1288" max="1289" width="6.6640625" style="13" bestFit="1" customWidth="1"/>
    <col min="1290" max="1290" width="5.44140625" style="13" customWidth="1"/>
    <col min="1291" max="1291" width="13.44140625" style="13" customWidth="1"/>
    <col min="1292" max="1532" width="9.109375" style="13"/>
    <col min="1533" max="1533" width="5.44140625" style="13" customWidth="1"/>
    <col min="1534" max="1534" width="13.6640625" style="13" customWidth="1"/>
    <col min="1535" max="1535" width="23.6640625" style="13" customWidth="1"/>
    <col min="1536" max="1536" width="14.109375" style="13" customWidth="1"/>
    <col min="1537" max="1537" width="16.109375" style="13" customWidth="1"/>
    <col min="1538" max="1538" width="14.44140625" style="13" customWidth="1"/>
    <col min="1539" max="1539" width="16.44140625" style="13" customWidth="1"/>
    <col min="1540" max="1542" width="6.33203125" style="13" customWidth="1"/>
    <col min="1543" max="1543" width="8.109375" style="13" customWidth="1"/>
    <col min="1544" max="1545" width="6.6640625" style="13" bestFit="1" customWidth="1"/>
    <col min="1546" max="1546" width="5.44140625" style="13" customWidth="1"/>
    <col min="1547" max="1547" width="13.44140625" style="13" customWidth="1"/>
    <col min="1548" max="1788" width="9.109375" style="13"/>
    <col min="1789" max="1789" width="5.44140625" style="13" customWidth="1"/>
    <col min="1790" max="1790" width="13.6640625" style="13" customWidth="1"/>
    <col min="1791" max="1791" width="23.6640625" style="13" customWidth="1"/>
    <col min="1792" max="1792" width="14.109375" style="13" customWidth="1"/>
    <col min="1793" max="1793" width="16.109375" style="13" customWidth="1"/>
    <col min="1794" max="1794" width="14.44140625" style="13" customWidth="1"/>
    <col min="1795" max="1795" width="16.44140625" style="13" customWidth="1"/>
    <col min="1796" max="1798" width="6.33203125" style="13" customWidth="1"/>
    <col min="1799" max="1799" width="8.109375" style="13" customWidth="1"/>
    <col min="1800" max="1801" width="6.6640625" style="13" bestFit="1" customWidth="1"/>
    <col min="1802" max="1802" width="5.44140625" style="13" customWidth="1"/>
    <col min="1803" max="1803" width="13.44140625" style="13" customWidth="1"/>
    <col min="1804" max="2044" width="9.109375" style="13"/>
    <col min="2045" max="2045" width="5.44140625" style="13" customWidth="1"/>
    <col min="2046" max="2046" width="13.6640625" style="13" customWidth="1"/>
    <col min="2047" max="2047" width="23.6640625" style="13" customWidth="1"/>
    <col min="2048" max="2048" width="14.109375" style="13" customWidth="1"/>
    <col min="2049" max="2049" width="16.109375" style="13" customWidth="1"/>
    <col min="2050" max="2050" width="14.44140625" style="13" customWidth="1"/>
    <col min="2051" max="2051" width="16.44140625" style="13" customWidth="1"/>
    <col min="2052" max="2054" width="6.33203125" style="13" customWidth="1"/>
    <col min="2055" max="2055" width="8.109375" style="13" customWidth="1"/>
    <col min="2056" max="2057" width="6.6640625" style="13" bestFit="1" customWidth="1"/>
    <col min="2058" max="2058" width="5.44140625" style="13" customWidth="1"/>
    <col min="2059" max="2059" width="13.44140625" style="13" customWidth="1"/>
    <col min="2060" max="2300" width="9.109375" style="13"/>
    <col min="2301" max="2301" width="5.44140625" style="13" customWidth="1"/>
    <col min="2302" max="2302" width="13.6640625" style="13" customWidth="1"/>
    <col min="2303" max="2303" width="23.6640625" style="13" customWidth="1"/>
    <col min="2304" max="2304" width="14.109375" style="13" customWidth="1"/>
    <col min="2305" max="2305" width="16.109375" style="13" customWidth="1"/>
    <col min="2306" max="2306" width="14.44140625" style="13" customWidth="1"/>
    <col min="2307" max="2307" width="16.44140625" style="13" customWidth="1"/>
    <col min="2308" max="2310" width="6.33203125" style="13" customWidth="1"/>
    <col min="2311" max="2311" width="8.109375" style="13" customWidth="1"/>
    <col min="2312" max="2313" width="6.6640625" style="13" bestFit="1" customWidth="1"/>
    <col min="2314" max="2314" width="5.44140625" style="13" customWidth="1"/>
    <col min="2315" max="2315" width="13.44140625" style="13" customWidth="1"/>
    <col min="2316" max="2556" width="9.109375" style="13"/>
    <col min="2557" max="2557" width="5.44140625" style="13" customWidth="1"/>
    <col min="2558" max="2558" width="13.6640625" style="13" customWidth="1"/>
    <col min="2559" max="2559" width="23.6640625" style="13" customWidth="1"/>
    <col min="2560" max="2560" width="14.109375" style="13" customWidth="1"/>
    <col min="2561" max="2561" width="16.109375" style="13" customWidth="1"/>
    <col min="2562" max="2562" width="14.44140625" style="13" customWidth="1"/>
    <col min="2563" max="2563" width="16.44140625" style="13" customWidth="1"/>
    <col min="2564" max="2566" width="6.33203125" style="13" customWidth="1"/>
    <col min="2567" max="2567" width="8.109375" style="13" customWidth="1"/>
    <col min="2568" max="2569" width="6.6640625" style="13" bestFit="1" customWidth="1"/>
    <col min="2570" max="2570" width="5.44140625" style="13" customWidth="1"/>
    <col min="2571" max="2571" width="13.44140625" style="13" customWidth="1"/>
    <col min="2572" max="2812" width="9.109375" style="13"/>
    <col min="2813" max="2813" width="5.44140625" style="13" customWidth="1"/>
    <col min="2814" max="2814" width="13.6640625" style="13" customWidth="1"/>
    <col min="2815" max="2815" width="23.6640625" style="13" customWidth="1"/>
    <col min="2816" max="2816" width="14.109375" style="13" customWidth="1"/>
    <col min="2817" max="2817" width="16.109375" style="13" customWidth="1"/>
    <col min="2818" max="2818" width="14.44140625" style="13" customWidth="1"/>
    <col min="2819" max="2819" width="16.44140625" style="13" customWidth="1"/>
    <col min="2820" max="2822" width="6.33203125" style="13" customWidth="1"/>
    <col min="2823" max="2823" width="8.109375" style="13" customWidth="1"/>
    <col min="2824" max="2825" width="6.6640625" style="13" bestFit="1" customWidth="1"/>
    <col min="2826" max="2826" width="5.44140625" style="13" customWidth="1"/>
    <col min="2827" max="2827" width="13.44140625" style="13" customWidth="1"/>
    <col min="2828" max="3068" width="9.109375" style="13"/>
    <col min="3069" max="3069" width="5.44140625" style="13" customWidth="1"/>
    <col min="3070" max="3070" width="13.6640625" style="13" customWidth="1"/>
    <col min="3071" max="3071" width="23.6640625" style="13" customWidth="1"/>
    <col min="3072" max="3072" width="14.109375" style="13" customWidth="1"/>
    <col min="3073" max="3073" width="16.109375" style="13" customWidth="1"/>
    <col min="3074" max="3074" width="14.44140625" style="13" customWidth="1"/>
    <col min="3075" max="3075" width="16.44140625" style="13" customWidth="1"/>
    <col min="3076" max="3078" width="6.33203125" style="13" customWidth="1"/>
    <col min="3079" max="3079" width="8.109375" style="13" customWidth="1"/>
    <col min="3080" max="3081" width="6.6640625" style="13" bestFit="1" customWidth="1"/>
    <col min="3082" max="3082" width="5.44140625" style="13" customWidth="1"/>
    <col min="3083" max="3083" width="13.44140625" style="13" customWidth="1"/>
    <col min="3084" max="3324" width="9.109375" style="13"/>
    <col min="3325" max="3325" width="5.44140625" style="13" customWidth="1"/>
    <col min="3326" max="3326" width="13.6640625" style="13" customWidth="1"/>
    <col min="3327" max="3327" width="23.6640625" style="13" customWidth="1"/>
    <col min="3328" max="3328" width="14.109375" style="13" customWidth="1"/>
    <col min="3329" max="3329" width="16.109375" style="13" customWidth="1"/>
    <col min="3330" max="3330" width="14.44140625" style="13" customWidth="1"/>
    <col min="3331" max="3331" width="16.44140625" style="13" customWidth="1"/>
    <col min="3332" max="3334" width="6.33203125" style="13" customWidth="1"/>
    <col min="3335" max="3335" width="8.109375" style="13" customWidth="1"/>
    <col min="3336" max="3337" width="6.6640625" style="13" bestFit="1" customWidth="1"/>
    <col min="3338" max="3338" width="5.44140625" style="13" customWidth="1"/>
    <col min="3339" max="3339" width="13.44140625" style="13" customWidth="1"/>
    <col min="3340" max="3580" width="9.109375" style="13"/>
    <col min="3581" max="3581" width="5.44140625" style="13" customWidth="1"/>
    <col min="3582" max="3582" width="13.6640625" style="13" customWidth="1"/>
    <col min="3583" max="3583" width="23.6640625" style="13" customWidth="1"/>
    <col min="3584" max="3584" width="14.109375" style="13" customWidth="1"/>
    <col min="3585" max="3585" width="16.109375" style="13" customWidth="1"/>
    <col min="3586" max="3586" width="14.44140625" style="13" customWidth="1"/>
    <col min="3587" max="3587" width="16.44140625" style="13" customWidth="1"/>
    <col min="3588" max="3590" width="6.33203125" style="13" customWidth="1"/>
    <col min="3591" max="3591" width="8.109375" style="13" customWidth="1"/>
    <col min="3592" max="3593" width="6.6640625" style="13" bestFit="1" customWidth="1"/>
    <col min="3594" max="3594" width="5.44140625" style="13" customWidth="1"/>
    <col min="3595" max="3595" width="13.44140625" style="13" customWidth="1"/>
    <col min="3596" max="3836" width="9.109375" style="13"/>
    <col min="3837" max="3837" width="5.44140625" style="13" customWidth="1"/>
    <col min="3838" max="3838" width="13.6640625" style="13" customWidth="1"/>
    <col min="3839" max="3839" width="23.6640625" style="13" customWidth="1"/>
    <col min="3840" max="3840" width="14.109375" style="13" customWidth="1"/>
    <col min="3841" max="3841" width="16.109375" style="13" customWidth="1"/>
    <col min="3842" max="3842" width="14.44140625" style="13" customWidth="1"/>
    <col min="3843" max="3843" width="16.44140625" style="13" customWidth="1"/>
    <col min="3844" max="3846" width="6.33203125" style="13" customWidth="1"/>
    <col min="3847" max="3847" width="8.109375" style="13" customWidth="1"/>
    <col min="3848" max="3849" width="6.6640625" style="13" bestFit="1" customWidth="1"/>
    <col min="3850" max="3850" width="5.44140625" style="13" customWidth="1"/>
    <col min="3851" max="3851" width="13.44140625" style="13" customWidth="1"/>
    <col min="3852" max="4092" width="9.109375" style="13"/>
    <col min="4093" max="4093" width="5.44140625" style="13" customWidth="1"/>
    <col min="4094" max="4094" width="13.6640625" style="13" customWidth="1"/>
    <col min="4095" max="4095" width="23.6640625" style="13" customWidth="1"/>
    <col min="4096" max="4096" width="14.109375" style="13" customWidth="1"/>
    <col min="4097" max="4097" width="16.109375" style="13" customWidth="1"/>
    <col min="4098" max="4098" width="14.44140625" style="13" customWidth="1"/>
    <col min="4099" max="4099" width="16.44140625" style="13" customWidth="1"/>
    <col min="4100" max="4102" width="6.33203125" style="13" customWidth="1"/>
    <col min="4103" max="4103" width="8.109375" style="13" customWidth="1"/>
    <col min="4104" max="4105" width="6.6640625" style="13" bestFit="1" customWidth="1"/>
    <col min="4106" max="4106" width="5.44140625" style="13" customWidth="1"/>
    <col min="4107" max="4107" width="13.44140625" style="13" customWidth="1"/>
    <col min="4108" max="4348" width="9.109375" style="13"/>
    <col min="4349" max="4349" width="5.44140625" style="13" customWidth="1"/>
    <col min="4350" max="4350" width="13.6640625" style="13" customWidth="1"/>
    <col min="4351" max="4351" width="23.6640625" style="13" customWidth="1"/>
    <col min="4352" max="4352" width="14.109375" style="13" customWidth="1"/>
    <col min="4353" max="4353" width="16.109375" style="13" customWidth="1"/>
    <col min="4354" max="4354" width="14.44140625" style="13" customWidth="1"/>
    <col min="4355" max="4355" width="16.44140625" style="13" customWidth="1"/>
    <col min="4356" max="4358" width="6.33203125" style="13" customWidth="1"/>
    <col min="4359" max="4359" width="8.109375" style="13" customWidth="1"/>
    <col min="4360" max="4361" width="6.6640625" style="13" bestFit="1" customWidth="1"/>
    <col min="4362" max="4362" width="5.44140625" style="13" customWidth="1"/>
    <col min="4363" max="4363" width="13.44140625" style="13" customWidth="1"/>
    <col min="4364" max="4604" width="9.109375" style="13"/>
    <col min="4605" max="4605" width="5.44140625" style="13" customWidth="1"/>
    <col min="4606" max="4606" width="13.6640625" style="13" customWidth="1"/>
    <col min="4607" max="4607" width="23.6640625" style="13" customWidth="1"/>
    <col min="4608" max="4608" width="14.109375" style="13" customWidth="1"/>
    <col min="4609" max="4609" width="16.109375" style="13" customWidth="1"/>
    <col min="4610" max="4610" width="14.44140625" style="13" customWidth="1"/>
    <col min="4611" max="4611" width="16.44140625" style="13" customWidth="1"/>
    <col min="4612" max="4614" width="6.33203125" style="13" customWidth="1"/>
    <col min="4615" max="4615" width="8.109375" style="13" customWidth="1"/>
    <col min="4616" max="4617" width="6.6640625" style="13" bestFit="1" customWidth="1"/>
    <col min="4618" max="4618" width="5.44140625" style="13" customWidth="1"/>
    <col min="4619" max="4619" width="13.44140625" style="13" customWidth="1"/>
    <col min="4620" max="4860" width="9.109375" style="13"/>
    <col min="4861" max="4861" width="5.44140625" style="13" customWidth="1"/>
    <col min="4862" max="4862" width="13.6640625" style="13" customWidth="1"/>
    <col min="4863" max="4863" width="23.6640625" style="13" customWidth="1"/>
    <col min="4864" max="4864" width="14.109375" style="13" customWidth="1"/>
    <col min="4865" max="4865" width="16.109375" style="13" customWidth="1"/>
    <col min="4866" max="4866" width="14.44140625" style="13" customWidth="1"/>
    <col min="4867" max="4867" width="16.44140625" style="13" customWidth="1"/>
    <col min="4868" max="4870" width="6.33203125" style="13" customWidth="1"/>
    <col min="4871" max="4871" width="8.109375" style="13" customWidth="1"/>
    <col min="4872" max="4873" width="6.6640625" style="13" bestFit="1" customWidth="1"/>
    <col min="4874" max="4874" width="5.44140625" style="13" customWidth="1"/>
    <col min="4875" max="4875" width="13.44140625" style="13" customWidth="1"/>
    <col min="4876" max="5116" width="9.109375" style="13"/>
    <col min="5117" max="5117" width="5.44140625" style="13" customWidth="1"/>
    <col min="5118" max="5118" width="13.6640625" style="13" customWidth="1"/>
    <col min="5119" max="5119" width="23.6640625" style="13" customWidth="1"/>
    <col min="5120" max="5120" width="14.109375" style="13" customWidth="1"/>
    <col min="5121" max="5121" width="16.109375" style="13" customWidth="1"/>
    <col min="5122" max="5122" width="14.44140625" style="13" customWidth="1"/>
    <col min="5123" max="5123" width="16.44140625" style="13" customWidth="1"/>
    <col min="5124" max="5126" width="6.33203125" style="13" customWidth="1"/>
    <col min="5127" max="5127" width="8.109375" style="13" customWidth="1"/>
    <col min="5128" max="5129" width="6.6640625" style="13" bestFit="1" customWidth="1"/>
    <col min="5130" max="5130" width="5.44140625" style="13" customWidth="1"/>
    <col min="5131" max="5131" width="13.44140625" style="13" customWidth="1"/>
    <col min="5132" max="5372" width="9.109375" style="13"/>
    <col min="5373" max="5373" width="5.44140625" style="13" customWidth="1"/>
    <col min="5374" max="5374" width="13.6640625" style="13" customWidth="1"/>
    <col min="5375" max="5375" width="23.6640625" style="13" customWidth="1"/>
    <col min="5376" max="5376" width="14.109375" style="13" customWidth="1"/>
    <col min="5377" max="5377" width="16.109375" style="13" customWidth="1"/>
    <col min="5378" max="5378" width="14.44140625" style="13" customWidth="1"/>
    <col min="5379" max="5379" width="16.44140625" style="13" customWidth="1"/>
    <col min="5380" max="5382" width="6.33203125" style="13" customWidth="1"/>
    <col min="5383" max="5383" width="8.109375" style="13" customWidth="1"/>
    <col min="5384" max="5385" width="6.6640625" style="13" bestFit="1" customWidth="1"/>
    <col min="5386" max="5386" width="5.44140625" style="13" customWidth="1"/>
    <col min="5387" max="5387" width="13.44140625" style="13" customWidth="1"/>
    <col min="5388" max="5628" width="9.109375" style="13"/>
    <col min="5629" max="5629" width="5.44140625" style="13" customWidth="1"/>
    <col min="5630" max="5630" width="13.6640625" style="13" customWidth="1"/>
    <col min="5631" max="5631" width="23.6640625" style="13" customWidth="1"/>
    <col min="5632" max="5632" width="14.109375" style="13" customWidth="1"/>
    <col min="5633" max="5633" width="16.109375" style="13" customWidth="1"/>
    <col min="5634" max="5634" width="14.44140625" style="13" customWidth="1"/>
    <col min="5635" max="5635" width="16.44140625" style="13" customWidth="1"/>
    <col min="5636" max="5638" width="6.33203125" style="13" customWidth="1"/>
    <col min="5639" max="5639" width="8.109375" style="13" customWidth="1"/>
    <col min="5640" max="5641" width="6.6640625" style="13" bestFit="1" customWidth="1"/>
    <col min="5642" max="5642" width="5.44140625" style="13" customWidth="1"/>
    <col min="5643" max="5643" width="13.44140625" style="13" customWidth="1"/>
    <col min="5644" max="5884" width="9.109375" style="13"/>
    <col min="5885" max="5885" width="5.44140625" style="13" customWidth="1"/>
    <col min="5886" max="5886" width="13.6640625" style="13" customWidth="1"/>
    <col min="5887" max="5887" width="23.6640625" style="13" customWidth="1"/>
    <col min="5888" max="5888" width="14.109375" style="13" customWidth="1"/>
    <col min="5889" max="5889" width="16.109375" style="13" customWidth="1"/>
    <col min="5890" max="5890" width="14.44140625" style="13" customWidth="1"/>
    <col min="5891" max="5891" width="16.44140625" style="13" customWidth="1"/>
    <col min="5892" max="5894" width="6.33203125" style="13" customWidth="1"/>
    <col min="5895" max="5895" width="8.109375" style="13" customWidth="1"/>
    <col min="5896" max="5897" width="6.6640625" style="13" bestFit="1" customWidth="1"/>
    <col min="5898" max="5898" width="5.44140625" style="13" customWidth="1"/>
    <col min="5899" max="5899" width="13.44140625" style="13" customWidth="1"/>
    <col min="5900" max="6140" width="9.109375" style="13"/>
    <col min="6141" max="6141" width="5.44140625" style="13" customWidth="1"/>
    <col min="6142" max="6142" width="13.6640625" style="13" customWidth="1"/>
    <col min="6143" max="6143" width="23.6640625" style="13" customWidth="1"/>
    <col min="6144" max="6144" width="14.109375" style="13" customWidth="1"/>
    <col min="6145" max="6145" width="16.109375" style="13" customWidth="1"/>
    <col min="6146" max="6146" width="14.44140625" style="13" customWidth="1"/>
    <col min="6147" max="6147" width="16.44140625" style="13" customWidth="1"/>
    <col min="6148" max="6150" width="6.33203125" style="13" customWidth="1"/>
    <col min="6151" max="6151" width="8.109375" style="13" customWidth="1"/>
    <col min="6152" max="6153" width="6.6640625" style="13" bestFit="1" customWidth="1"/>
    <col min="6154" max="6154" width="5.44140625" style="13" customWidth="1"/>
    <col min="6155" max="6155" width="13.44140625" style="13" customWidth="1"/>
    <col min="6156" max="6396" width="9.109375" style="13"/>
    <col min="6397" max="6397" width="5.44140625" style="13" customWidth="1"/>
    <col min="6398" max="6398" width="13.6640625" style="13" customWidth="1"/>
    <col min="6399" max="6399" width="23.6640625" style="13" customWidth="1"/>
    <col min="6400" max="6400" width="14.109375" style="13" customWidth="1"/>
    <col min="6401" max="6401" width="16.109375" style="13" customWidth="1"/>
    <col min="6402" max="6402" width="14.44140625" style="13" customWidth="1"/>
    <col min="6403" max="6403" width="16.44140625" style="13" customWidth="1"/>
    <col min="6404" max="6406" width="6.33203125" style="13" customWidth="1"/>
    <col min="6407" max="6407" width="8.109375" style="13" customWidth="1"/>
    <col min="6408" max="6409" width="6.6640625" style="13" bestFit="1" customWidth="1"/>
    <col min="6410" max="6410" width="5.44140625" style="13" customWidth="1"/>
    <col min="6411" max="6411" width="13.44140625" style="13" customWidth="1"/>
    <col min="6412" max="6652" width="9.109375" style="13"/>
    <col min="6653" max="6653" width="5.44140625" style="13" customWidth="1"/>
    <col min="6654" max="6654" width="13.6640625" style="13" customWidth="1"/>
    <col min="6655" max="6655" width="23.6640625" style="13" customWidth="1"/>
    <col min="6656" max="6656" width="14.109375" style="13" customWidth="1"/>
    <col min="6657" max="6657" width="16.109375" style="13" customWidth="1"/>
    <col min="6658" max="6658" width="14.44140625" style="13" customWidth="1"/>
    <col min="6659" max="6659" width="16.44140625" style="13" customWidth="1"/>
    <col min="6660" max="6662" width="6.33203125" style="13" customWidth="1"/>
    <col min="6663" max="6663" width="8.109375" style="13" customWidth="1"/>
    <col min="6664" max="6665" width="6.6640625" style="13" bestFit="1" customWidth="1"/>
    <col min="6666" max="6666" width="5.44140625" style="13" customWidth="1"/>
    <col min="6667" max="6667" width="13.44140625" style="13" customWidth="1"/>
    <col min="6668" max="6908" width="9.109375" style="13"/>
    <col min="6909" max="6909" width="5.44140625" style="13" customWidth="1"/>
    <col min="6910" max="6910" width="13.6640625" style="13" customWidth="1"/>
    <col min="6911" max="6911" width="23.6640625" style="13" customWidth="1"/>
    <col min="6912" max="6912" width="14.109375" style="13" customWidth="1"/>
    <col min="6913" max="6913" width="16.109375" style="13" customWidth="1"/>
    <col min="6914" max="6914" width="14.44140625" style="13" customWidth="1"/>
    <col min="6915" max="6915" width="16.44140625" style="13" customWidth="1"/>
    <col min="6916" max="6918" width="6.33203125" style="13" customWidth="1"/>
    <col min="6919" max="6919" width="8.109375" style="13" customWidth="1"/>
    <col min="6920" max="6921" width="6.6640625" style="13" bestFit="1" customWidth="1"/>
    <col min="6922" max="6922" width="5.44140625" style="13" customWidth="1"/>
    <col min="6923" max="6923" width="13.44140625" style="13" customWidth="1"/>
    <col min="6924" max="7164" width="9.109375" style="13"/>
    <col min="7165" max="7165" width="5.44140625" style="13" customWidth="1"/>
    <col min="7166" max="7166" width="13.6640625" style="13" customWidth="1"/>
    <col min="7167" max="7167" width="23.6640625" style="13" customWidth="1"/>
    <col min="7168" max="7168" width="14.109375" style="13" customWidth="1"/>
    <col min="7169" max="7169" width="16.109375" style="13" customWidth="1"/>
    <col min="7170" max="7170" width="14.44140625" style="13" customWidth="1"/>
    <col min="7171" max="7171" width="16.44140625" style="13" customWidth="1"/>
    <col min="7172" max="7174" width="6.33203125" style="13" customWidth="1"/>
    <col min="7175" max="7175" width="8.109375" style="13" customWidth="1"/>
    <col min="7176" max="7177" width="6.6640625" style="13" bestFit="1" customWidth="1"/>
    <col min="7178" max="7178" width="5.44140625" style="13" customWidth="1"/>
    <col min="7179" max="7179" width="13.44140625" style="13" customWidth="1"/>
    <col min="7180" max="7420" width="9.109375" style="13"/>
    <col min="7421" max="7421" width="5.44140625" style="13" customWidth="1"/>
    <col min="7422" max="7422" width="13.6640625" style="13" customWidth="1"/>
    <col min="7423" max="7423" width="23.6640625" style="13" customWidth="1"/>
    <col min="7424" max="7424" width="14.109375" style="13" customWidth="1"/>
    <col min="7425" max="7425" width="16.109375" style="13" customWidth="1"/>
    <col min="7426" max="7426" width="14.44140625" style="13" customWidth="1"/>
    <col min="7427" max="7427" width="16.44140625" style="13" customWidth="1"/>
    <col min="7428" max="7430" width="6.33203125" style="13" customWidth="1"/>
    <col min="7431" max="7431" width="8.109375" style="13" customWidth="1"/>
    <col min="7432" max="7433" width="6.6640625" style="13" bestFit="1" customWidth="1"/>
    <col min="7434" max="7434" width="5.44140625" style="13" customWidth="1"/>
    <col min="7435" max="7435" width="13.44140625" style="13" customWidth="1"/>
    <col min="7436" max="7676" width="9.109375" style="13"/>
    <col min="7677" max="7677" width="5.44140625" style="13" customWidth="1"/>
    <col min="7678" max="7678" width="13.6640625" style="13" customWidth="1"/>
    <col min="7679" max="7679" width="23.6640625" style="13" customWidth="1"/>
    <col min="7680" max="7680" width="14.109375" style="13" customWidth="1"/>
    <col min="7681" max="7681" width="16.109375" style="13" customWidth="1"/>
    <col min="7682" max="7682" width="14.44140625" style="13" customWidth="1"/>
    <col min="7683" max="7683" width="16.44140625" style="13" customWidth="1"/>
    <col min="7684" max="7686" width="6.33203125" style="13" customWidth="1"/>
    <col min="7687" max="7687" width="8.109375" style="13" customWidth="1"/>
    <col min="7688" max="7689" width="6.6640625" style="13" bestFit="1" customWidth="1"/>
    <col min="7690" max="7690" width="5.44140625" style="13" customWidth="1"/>
    <col min="7691" max="7691" width="13.44140625" style="13" customWidth="1"/>
    <col min="7692" max="7932" width="9.109375" style="13"/>
    <col min="7933" max="7933" width="5.44140625" style="13" customWidth="1"/>
    <col min="7934" max="7934" width="13.6640625" style="13" customWidth="1"/>
    <col min="7935" max="7935" width="23.6640625" style="13" customWidth="1"/>
    <col min="7936" max="7936" width="14.109375" style="13" customWidth="1"/>
    <col min="7937" max="7937" width="16.109375" style="13" customWidth="1"/>
    <col min="7938" max="7938" width="14.44140625" style="13" customWidth="1"/>
    <col min="7939" max="7939" width="16.44140625" style="13" customWidth="1"/>
    <col min="7940" max="7942" width="6.33203125" style="13" customWidth="1"/>
    <col min="7943" max="7943" width="8.109375" style="13" customWidth="1"/>
    <col min="7944" max="7945" width="6.6640625" style="13" bestFit="1" customWidth="1"/>
    <col min="7946" max="7946" width="5.44140625" style="13" customWidth="1"/>
    <col min="7947" max="7947" width="13.44140625" style="13" customWidth="1"/>
    <col min="7948" max="8188" width="9.109375" style="13"/>
    <col min="8189" max="8189" width="5.44140625" style="13" customWidth="1"/>
    <col min="8190" max="8190" width="13.6640625" style="13" customWidth="1"/>
    <col min="8191" max="8191" width="23.6640625" style="13" customWidth="1"/>
    <col min="8192" max="8192" width="14.109375" style="13" customWidth="1"/>
    <col min="8193" max="8193" width="16.109375" style="13" customWidth="1"/>
    <col min="8194" max="8194" width="14.44140625" style="13" customWidth="1"/>
    <col min="8195" max="8195" width="16.44140625" style="13" customWidth="1"/>
    <col min="8196" max="8198" width="6.33203125" style="13" customWidth="1"/>
    <col min="8199" max="8199" width="8.109375" style="13" customWidth="1"/>
    <col min="8200" max="8201" width="6.6640625" style="13" bestFit="1" customWidth="1"/>
    <col min="8202" max="8202" width="5.44140625" style="13" customWidth="1"/>
    <col min="8203" max="8203" width="13.44140625" style="13" customWidth="1"/>
    <col min="8204" max="8444" width="9.109375" style="13"/>
    <col min="8445" max="8445" width="5.44140625" style="13" customWidth="1"/>
    <col min="8446" max="8446" width="13.6640625" style="13" customWidth="1"/>
    <col min="8447" max="8447" width="23.6640625" style="13" customWidth="1"/>
    <col min="8448" max="8448" width="14.109375" style="13" customWidth="1"/>
    <col min="8449" max="8449" width="16.109375" style="13" customWidth="1"/>
    <col min="8450" max="8450" width="14.44140625" style="13" customWidth="1"/>
    <col min="8451" max="8451" width="16.44140625" style="13" customWidth="1"/>
    <col min="8452" max="8454" width="6.33203125" style="13" customWidth="1"/>
    <col min="8455" max="8455" width="8.109375" style="13" customWidth="1"/>
    <col min="8456" max="8457" width="6.6640625" style="13" bestFit="1" customWidth="1"/>
    <col min="8458" max="8458" width="5.44140625" style="13" customWidth="1"/>
    <col min="8459" max="8459" width="13.44140625" style="13" customWidth="1"/>
    <col min="8460" max="8700" width="9.109375" style="13"/>
    <col min="8701" max="8701" width="5.44140625" style="13" customWidth="1"/>
    <col min="8702" max="8702" width="13.6640625" style="13" customWidth="1"/>
    <col min="8703" max="8703" width="23.6640625" style="13" customWidth="1"/>
    <col min="8704" max="8704" width="14.109375" style="13" customWidth="1"/>
    <col min="8705" max="8705" width="16.109375" style="13" customWidth="1"/>
    <col min="8706" max="8706" width="14.44140625" style="13" customWidth="1"/>
    <col min="8707" max="8707" width="16.44140625" style="13" customWidth="1"/>
    <col min="8708" max="8710" width="6.33203125" style="13" customWidth="1"/>
    <col min="8711" max="8711" width="8.109375" style="13" customWidth="1"/>
    <col min="8712" max="8713" width="6.6640625" style="13" bestFit="1" customWidth="1"/>
    <col min="8714" max="8714" width="5.44140625" style="13" customWidth="1"/>
    <col min="8715" max="8715" width="13.44140625" style="13" customWidth="1"/>
    <col min="8716" max="8956" width="9.109375" style="13"/>
    <col min="8957" max="8957" width="5.44140625" style="13" customWidth="1"/>
    <col min="8958" max="8958" width="13.6640625" style="13" customWidth="1"/>
    <col min="8959" max="8959" width="23.6640625" style="13" customWidth="1"/>
    <col min="8960" max="8960" width="14.109375" style="13" customWidth="1"/>
    <col min="8961" max="8961" width="16.109375" style="13" customWidth="1"/>
    <col min="8962" max="8962" width="14.44140625" style="13" customWidth="1"/>
    <col min="8963" max="8963" width="16.44140625" style="13" customWidth="1"/>
    <col min="8964" max="8966" width="6.33203125" style="13" customWidth="1"/>
    <col min="8967" max="8967" width="8.109375" style="13" customWidth="1"/>
    <col min="8968" max="8969" width="6.6640625" style="13" bestFit="1" customWidth="1"/>
    <col min="8970" max="8970" width="5.44140625" style="13" customWidth="1"/>
    <col min="8971" max="8971" width="13.44140625" style="13" customWidth="1"/>
    <col min="8972" max="9212" width="9.109375" style="13"/>
    <col min="9213" max="9213" width="5.44140625" style="13" customWidth="1"/>
    <col min="9214" max="9214" width="13.6640625" style="13" customWidth="1"/>
    <col min="9215" max="9215" width="23.6640625" style="13" customWidth="1"/>
    <col min="9216" max="9216" width="14.109375" style="13" customWidth="1"/>
    <col min="9217" max="9217" width="16.109375" style="13" customWidth="1"/>
    <col min="9218" max="9218" width="14.44140625" style="13" customWidth="1"/>
    <col min="9219" max="9219" width="16.44140625" style="13" customWidth="1"/>
    <col min="9220" max="9222" width="6.33203125" style="13" customWidth="1"/>
    <col min="9223" max="9223" width="8.109375" style="13" customWidth="1"/>
    <col min="9224" max="9225" width="6.6640625" style="13" bestFit="1" customWidth="1"/>
    <col min="9226" max="9226" width="5.44140625" style="13" customWidth="1"/>
    <col min="9227" max="9227" width="13.44140625" style="13" customWidth="1"/>
    <col min="9228" max="9468" width="9.109375" style="13"/>
    <col min="9469" max="9469" width="5.44140625" style="13" customWidth="1"/>
    <col min="9470" max="9470" width="13.6640625" style="13" customWidth="1"/>
    <col min="9471" max="9471" width="23.6640625" style="13" customWidth="1"/>
    <col min="9472" max="9472" width="14.109375" style="13" customWidth="1"/>
    <col min="9473" max="9473" width="16.109375" style="13" customWidth="1"/>
    <col min="9474" max="9474" width="14.44140625" style="13" customWidth="1"/>
    <col min="9475" max="9475" width="16.44140625" style="13" customWidth="1"/>
    <col min="9476" max="9478" width="6.33203125" style="13" customWidth="1"/>
    <col min="9479" max="9479" width="8.109375" style="13" customWidth="1"/>
    <col min="9480" max="9481" width="6.6640625" style="13" bestFit="1" customWidth="1"/>
    <col min="9482" max="9482" width="5.44140625" style="13" customWidth="1"/>
    <col min="9483" max="9483" width="13.44140625" style="13" customWidth="1"/>
    <col min="9484" max="9724" width="9.109375" style="13"/>
    <col min="9725" max="9725" width="5.44140625" style="13" customWidth="1"/>
    <col min="9726" max="9726" width="13.6640625" style="13" customWidth="1"/>
    <col min="9727" max="9727" width="23.6640625" style="13" customWidth="1"/>
    <col min="9728" max="9728" width="14.109375" style="13" customWidth="1"/>
    <col min="9729" max="9729" width="16.109375" style="13" customWidth="1"/>
    <col min="9730" max="9730" width="14.44140625" style="13" customWidth="1"/>
    <col min="9731" max="9731" width="16.44140625" style="13" customWidth="1"/>
    <col min="9732" max="9734" width="6.33203125" style="13" customWidth="1"/>
    <col min="9735" max="9735" width="8.109375" style="13" customWidth="1"/>
    <col min="9736" max="9737" width="6.6640625" style="13" bestFit="1" customWidth="1"/>
    <col min="9738" max="9738" width="5.44140625" style="13" customWidth="1"/>
    <col min="9739" max="9739" width="13.44140625" style="13" customWidth="1"/>
    <col min="9740" max="9980" width="9.109375" style="13"/>
    <col min="9981" max="9981" width="5.44140625" style="13" customWidth="1"/>
    <col min="9982" max="9982" width="13.6640625" style="13" customWidth="1"/>
    <col min="9983" max="9983" width="23.6640625" style="13" customWidth="1"/>
    <col min="9984" max="9984" width="14.109375" style="13" customWidth="1"/>
    <col min="9985" max="9985" width="16.109375" style="13" customWidth="1"/>
    <col min="9986" max="9986" width="14.44140625" style="13" customWidth="1"/>
    <col min="9987" max="9987" width="16.44140625" style="13" customWidth="1"/>
    <col min="9988" max="9990" width="6.33203125" style="13" customWidth="1"/>
    <col min="9991" max="9991" width="8.109375" style="13" customWidth="1"/>
    <col min="9992" max="9993" width="6.6640625" style="13" bestFit="1" customWidth="1"/>
    <col min="9994" max="9994" width="5.44140625" style="13" customWidth="1"/>
    <col min="9995" max="9995" width="13.44140625" style="13" customWidth="1"/>
    <col min="9996" max="10236" width="9.109375" style="13"/>
    <col min="10237" max="10237" width="5.44140625" style="13" customWidth="1"/>
    <col min="10238" max="10238" width="13.6640625" style="13" customWidth="1"/>
    <col min="10239" max="10239" width="23.6640625" style="13" customWidth="1"/>
    <col min="10240" max="10240" width="14.109375" style="13" customWidth="1"/>
    <col min="10241" max="10241" width="16.109375" style="13" customWidth="1"/>
    <col min="10242" max="10242" width="14.44140625" style="13" customWidth="1"/>
    <col min="10243" max="10243" width="16.44140625" style="13" customWidth="1"/>
    <col min="10244" max="10246" width="6.33203125" style="13" customWidth="1"/>
    <col min="10247" max="10247" width="8.109375" style="13" customWidth="1"/>
    <col min="10248" max="10249" width="6.6640625" style="13" bestFit="1" customWidth="1"/>
    <col min="10250" max="10250" width="5.44140625" style="13" customWidth="1"/>
    <col min="10251" max="10251" width="13.44140625" style="13" customWidth="1"/>
    <col min="10252" max="10492" width="9.109375" style="13"/>
    <col min="10493" max="10493" width="5.44140625" style="13" customWidth="1"/>
    <col min="10494" max="10494" width="13.6640625" style="13" customWidth="1"/>
    <col min="10495" max="10495" width="23.6640625" style="13" customWidth="1"/>
    <col min="10496" max="10496" width="14.109375" style="13" customWidth="1"/>
    <col min="10497" max="10497" width="16.109375" style="13" customWidth="1"/>
    <col min="10498" max="10498" width="14.44140625" style="13" customWidth="1"/>
    <col min="10499" max="10499" width="16.44140625" style="13" customWidth="1"/>
    <col min="10500" max="10502" width="6.33203125" style="13" customWidth="1"/>
    <col min="10503" max="10503" width="8.109375" style="13" customWidth="1"/>
    <col min="10504" max="10505" width="6.6640625" style="13" bestFit="1" customWidth="1"/>
    <col min="10506" max="10506" width="5.44140625" style="13" customWidth="1"/>
    <col min="10507" max="10507" width="13.44140625" style="13" customWidth="1"/>
    <col min="10508" max="10748" width="9.109375" style="13"/>
    <col min="10749" max="10749" width="5.44140625" style="13" customWidth="1"/>
    <col min="10750" max="10750" width="13.6640625" style="13" customWidth="1"/>
    <col min="10751" max="10751" width="23.6640625" style="13" customWidth="1"/>
    <col min="10752" max="10752" width="14.109375" style="13" customWidth="1"/>
    <col min="10753" max="10753" width="16.109375" style="13" customWidth="1"/>
    <col min="10754" max="10754" width="14.44140625" style="13" customWidth="1"/>
    <col min="10755" max="10755" width="16.44140625" style="13" customWidth="1"/>
    <col min="10756" max="10758" width="6.33203125" style="13" customWidth="1"/>
    <col min="10759" max="10759" width="8.109375" style="13" customWidth="1"/>
    <col min="10760" max="10761" width="6.6640625" style="13" bestFit="1" customWidth="1"/>
    <col min="10762" max="10762" width="5.44140625" style="13" customWidth="1"/>
    <col min="10763" max="10763" width="13.44140625" style="13" customWidth="1"/>
    <col min="10764" max="11004" width="9.109375" style="13"/>
    <col min="11005" max="11005" width="5.44140625" style="13" customWidth="1"/>
    <col min="11006" max="11006" width="13.6640625" style="13" customWidth="1"/>
    <col min="11007" max="11007" width="23.6640625" style="13" customWidth="1"/>
    <col min="11008" max="11008" width="14.109375" style="13" customWidth="1"/>
    <col min="11009" max="11009" width="16.109375" style="13" customWidth="1"/>
    <col min="11010" max="11010" width="14.44140625" style="13" customWidth="1"/>
    <col min="11011" max="11011" width="16.44140625" style="13" customWidth="1"/>
    <col min="11012" max="11014" width="6.33203125" style="13" customWidth="1"/>
    <col min="11015" max="11015" width="8.109375" style="13" customWidth="1"/>
    <col min="11016" max="11017" width="6.6640625" style="13" bestFit="1" customWidth="1"/>
    <col min="11018" max="11018" width="5.44140625" style="13" customWidth="1"/>
    <col min="11019" max="11019" width="13.44140625" style="13" customWidth="1"/>
    <col min="11020" max="11260" width="9.109375" style="13"/>
    <col min="11261" max="11261" width="5.44140625" style="13" customWidth="1"/>
    <col min="11262" max="11262" width="13.6640625" style="13" customWidth="1"/>
    <col min="11263" max="11263" width="23.6640625" style="13" customWidth="1"/>
    <col min="11264" max="11264" width="14.109375" style="13" customWidth="1"/>
    <col min="11265" max="11265" width="16.109375" style="13" customWidth="1"/>
    <col min="11266" max="11266" width="14.44140625" style="13" customWidth="1"/>
    <col min="11267" max="11267" width="16.44140625" style="13" customWidth="1"/>
    <col min="11268" max="11270" width="6.33203125" style="13" customWidth="1"/>
    <col min="11271" max="11271" width="8.109375" style="13" customWidth="1"/>
    <col min="11272" max="11273" width="6.6640625" style="13" bestFit="1" customWidth="1"/>
    <col min="11274" max="11274" width="5.44140625" style="13" customWidth="1"/>
    <col min="11275" max="11275" width="13.44140625" style="13" customWidth="1"/>
    <col min="11276" max="11516" width="9.109375" style="13"/>
    <col min="11517" max="11517" width="5.44140625" style="13" customWidth="1"/>
    <col min="11518" max="11518" width="13.6640625" style="13" customWidth="1"/>
    <col min="11519" max="11519" width="23.6640625" style="13" customWidth="1"/>
    <col min="11520" max="11520" width="14.109375" style="13" customWidth="1"/>
    <col min="11521" max="11521" width="16.109375" style="13" customWidth="1"/>
    <col min="11522" max="11522" width="14.44140625" style="13" customWidth="1"/>
    <col min="11523" max="11523" width="16.44140625" style="13" customWidth="1"/>
    <col min="11524" max="11526" width="6.33203125" style="13" customWidth="1"/>
    <col min="11527" max="11527" width="8.109375" style="13" customWidth="1"/>
    <col min="11528" max="11529" width="6.6640625" style="13" bestFit="1" customWidth="1"/>
    <col min="11530" max="11530" width="5.44140625" style="13" customWidth="1"/>
    <col min="11531" max="11531" width="13.44140625" style="13" customWidth="1"/>
    <col min="11532" max="11772" width="9.109375" style="13"/>
    <col min="11773" max="11773" width="5.44140625" style="13" customWidth="1"/>
    <col min="11774" max="11774" width="13.6640625" style="13" customWidth="1"/>
    <col min="11775" max="11775" width="23.6640625" style="13" customWidth="1"/>
    <col min="11776" max="11776" width="14.109375" style="13" customWidth="1"/>
    <col min="11777" max="11777" width="16.109375" style="13" customWidth="1"/>
    <col min="11778" max="11778" width="14.44140625" style="13" customWidth="1"/>
    <col min="11779" max="11779" width="16.44140625" style="13" customWidth="1"/>
    <col min="11780" max="11782" width="6.33203125" style="13" customWidth="1"/>
    <col min="11783" max="11783" width="8.109375" style="13" customWidth="1"/>
    <col min="11784" max="11785" width="6.6640625" style="13" bestFit="1" customWidth="1"/>
    <col min="11786" max="11786" width="5.44140625" style="13" customWidth="1"/>
    <col min="11787" max="11787" width="13.44140625" style="13" customWidth="1"/>
    <col min="11788" max="12028" width="9.109375" style="13"/>
    <col min="12029" max="12029" width="5.44140625" style="13" customWidth="1"/>
    <col min="12030" max="12030" width="13.6640625" style="13" customWidth="1"/>
    <col min="12031" max="12031" width="23.6640625" style="13" customWidth="1"/>
    <col min="12032" max="12032" width="14.109375" style="13" customWidth="1"/>
    <col min="12033" max="12033" width="16.109375" style="13" customWidth="1"/>
    <col min="12034" max="12034" width="14.44140625" style="13" customWidth="1"/>
    <col min="12035" max="12035" width="16.44140625" style="13" customWidth="1"/>
    <col min="12036" max="12038" width="6.33203125" style="13" customWidth="1"/>
    <col min="12039" max="12039" width="8.109375" style="13" customWidth="1"/>
    <col min="12040" max="12041" width="6.6640625" style="13" bestFit="1" customWidth="1"/>
    <col min="12042" max="12042" width="5.44140625" style="13" customWidth="1"/>
    <col min="12043" max="12043" width="13.44140625" style="13" customWidth="1"/>
    <col min="12044" max="12284" width="9.109375" style="13"/>
    <col min="12285" max="12285" width="5.44140625" style="13" customWidth="1"/>
    <col min="12286" max="12286" width="13.6640625" style="13" customWidth="1"/>
    <col min="12287" max="12287" width="23.6640625" style="13" customWidth="1"/>
    <col min="12288" max="12288" width="14.109375" style="13" customWidth="1"/>
    <col min="12289" max="12289" width="16.109375" style="13" customWidth="1"/>
    <col min="12290" max="12290" width="14.44140625" style="13" customWidth="1"/>
    <col min="12291" max="12291" width="16.44140625" style="13" customWidth="1"/>
    <col min="12292" max="12294" width="6.33203125" style="13" customWidth="1"/>
    <col min="12295" max="12295" width="8.109375" style="13" customWidth="1"/>
    <col min="12296" max="12297" width="6.6640625" style="13" bestFit="1" customWidth="1"/>
    <col min="12298" max="12298" width="5.44140625" style="13" customWidth="1"/>
    <col min="12299" max="12299" width="13.44140625" style="13" customWidth="1"/>
    <col min="12300" max="12540" width="9.109375" style="13"/>
    <col min="12541" max="12541" width="5.44140625" style="13" customWidth="1"/>
    <col min="12542" max="12542" width="13.6640625" style="13" customWidth="1"/>
    <col min="12543" max="12543" width="23.6640625" style="13" customWidth="1"/>
    <col min="12544" max="12544" width="14.109375" style="13" customWidth="1"/>
    <col min="12545" max="12545" width="16.109375" style="13" customWidth="1"/>
    <col min="12546" max="12546" width="14.44140625" style="13" customWidth="1"/>
    <col min="12547" max="12547" width="16.44140625" style="13" customWidth="1"/>
    <col min="12548" max="12550" width="6.33203125" style="13" customWidth="1"/>
    <col min="12551" max="12551" width="8.109375" style="13" customWidth="1"/>
    <col min="12552" max="12553" width="6.6640625" style="13" bestFit="1" customWidth="1"/>
    <col min="12554" max="12554" width="5.44140625" style="13" customWidth="1"/>
    <col min="12555" max="12555" width="13.44140625" style="13" customWidth="1"/>
    <col min="12556" max="12796" width="9.109375" style="13"/>
    <col min="12797" max="12797" width="5.44140625" style="13" customWidth="1"/>
    <col min="12798" max="12798" width="13.6640625" style="13" customWidth="1"/>
    <col min="12799" max="12799" width="23.6640625" style="13" customWidth="1"/>
    <col min="12800" max="12800" width="14.109375" style="13" customWidth="1"/>
    <col min="12801" max="12801" width="16.109375" style="13" customWidth="1"/>
    <col min="12802" max="12802" width="14.44140625" style="13" customWidth="1"/>
    <col min="12803" max="12803" width="16.44140625" style="13" customWidth="1"/>
    <col min="12804" max="12806" width="6.33203125" style="13" customWidth="1"/>
    <col min="12807" max="12807" width="8.109375" style="13" customWidth="1"/>
    <col min="12808" max="12809" width="6.6640625" style="13" bestFit="1" customWidth="1"/>
    <col min="12810" max="12810" width="5.44140625" style="13" customWidth="1"/>
    <col min="12811" max="12811" width="13.44140625" style="13" customWidth="1"/>
    <col min="12812" max="13052" width="9.109375" style="13"/>
    <col min="13053" max="13053" width="5.44140625" style="13" customWidth="1"/>
    <col min="13054" max="13054" width="13.6640625" style="13" customWidth="1"/>
    <col min="13055" max="13055" width="23.6640625" style="13" customWidth="1"/>
    <col min="13056" max="13056" width="14.109375" style="13" customWidth="1"/>
    <col min="13057" max="13057" width="16.109375" style="13" customWidth="1"/>
    <col min="13058" max="13058" width="14.44140625" style="13" customWidth="1"/>
    <col min="13059" max="13059" width="16.44140625" style="13" customWidth="1"/>
    <col min="13060" max="13062" width="6.33203125" style="13" customWidth="1"/>
    <col min="13063" max="13063" width="8.109375" style="13" customWidth="1"/>
    <col min="13064" max="13065" width="6.6640625" style="13" bestFit="1" customWidth="1"/>
    <col min="13066" max="13066" width="5.44140625" style="13" customWidth="1"/>
    <col min="13067" max="13067" width="13.44140625" style="13" customWidth="1"/>
    <col min="13068" max="13308" width="9.109375" style="13"/>
    <col min="13309" max="13309" width="5.44140625" style="13" customWidth="1"/>
    <col min="13310" max="13310" width="13.6640625" style="13" customWidth="1"/>
    <col min="13311" max="13311" width="23.6640625" style="13" customWidth="1"/>
    <col min="13312" max="13312" width="14.109375" style="13" customWidth="1"/>
    <col min="13313" max="13313" width="16.109375" style="13" customWidth="1"/>
    <col min="13314" max="13314" width="14.44140625" style="13" customWidth="1"/>
    <col min="13315" max="13315" width="16.44140625" style="13" customWidth="1"/>
    <col min="13316" max="13318" width="6.33203125" style="13" customWidth="1"/>
    <col min="13319" max="13319" width="8.109375" style="13" customWidth="1"/>
    <col min="13320" max="13321" width="6.6640625" style="13" bestFit="1" customWidth="1"/>
    <col min="13322" max="13322" width="5.44140625" style="13" customWidth="1"/>
    <col min="13323" max="13323" width="13.44140625" style="13" customWidth="1"/>
    <col min="13324" max="13564" width="9.109375" style="13"/>
    <col min="13565" max="13565" width="5.44140625" style="13" customWidth="1"/>
    <col min="13566" max="13566" width="13.6640625" style="13" customWidth="1"/>
    <col min="13567" max="13567" width="23.6640625" style="13" customWidth="1"/>
    <col min="13568" max="13568" width="14.109375" style="13" customWidth="1"/>
    <col min="13569" max="13569" width="16.109375" style="13" customWidth="1"/>
    <col min="13570" max="13570" width="14.44140625" style="13" customWidth="1"/>
    <col min="13571" max="13571" width="16.44140625" style="13" customWidth="1"/>
    <col min="13572" max="13574" width="6.33203125" style="13" customWidth="1"/>
    <col min="13575" max="13575" width="8.109375" style="13" customWidth="1"/>
    <col min="13576" max="13577" width="6.6640625" style="13" bestFit="1" customWidth="1"/>
    <col min="13578" max="13578" width="5.44140625" style="13" customWidth="1"/>
    <col min="13579" max="13579" width="13.44140625" style="13" customWidth="1"/>
    <col min="13580" max="13820" width="9.109375" style="13"/>
    <col min="13821" max="13821" width="5.44140625" style="13" customWidth="1"/>
    <col min="13822" max="13822" width="13.6640625" style="13" customWidth="1"/>
    <col min="13823" max="13823" width="23.6640625" style="13" customWidth="1"/>
    <col min="13824" max="13824" width="14.109375" style="13" customWidth="1"/>
    <col min="13825" max="13825" width="16.109375" style="13" customWidth="1"/>
    <col min="13826" max="13826" width="14.44140625" style="13" customWidth="1"/>
    <col min="13827" max="13827" width="16.44140625" style="13" customWidth="1"/>
    <col min="13828" max="13830" width="6.33203125" style="13" customWidth="1"/>
    <col min="13831" max="13831" width="8.109375" style="13" customWidth="1"/>
    <col min="13832" max="13833" width="6.6640625" style="13" bestFit="1" customWidth="1"/>
    <col min="13834" max="13834" width="5.44140625" style="13" customWidth="1"/>
    <col min="13835" max="13835" width="13.44140625" style="13" customWidth="1"/>
    <col min="13836" max="14076" width="9.109375" style="13"/>
    <col min="14077" max="14077" width="5.44140625" style="13" customWidth="1"/>
    <col min="14078" max="14078" width="13.6640625" style="13" customWidth="1"/>
    <col min="14079" max="14079" width="23.6640625" style="13" customWidth="1"/>
    <col min="14080" max="14080" width="14.109375" style="13" customWidth="1"/>
    <col min="14081" max="14081" width="16.109375" style="13" customWidth="1"/>
    <col min="14082" max="14082" width="14.44140625" style="13" customWidth="1"/>
    <col min="14083" max="14083" width="16.44140625" style="13" customWidth="1"/>
    <col min="14084" max="14086" width="6.33203125" style="13" customWidth="1"/>
    <col min="14087" max="14087" width="8.109375" style="13" customWidth="1"/>
    <col min="14088" max="14089" width="6.6640625" style="13" bestFit="1" customWidth="1"/>
    <col min="14090" max="14090" width="5.44140625" style="13" customWidth="1"/>
    <col min="14091" max="14091" width="13.44140625" style="13" customWidth="1"/>
    <col min="14092" max="14332" width="9.109375" style="13"/>
    <col min="14333" max="14333" width="5.44140625" style="13" customWidth="1"/>
    <col min="14334" max="14334" width="13.6640625" style="13" customWidth="1"/>
    <col min="14335" max="14335" width="23.6640625" style="13" customWidth="1"/>
    <col min="14336" max="14336" width="14.109375" style="13" customWidth="1"/>
    <col min="14337" max="14337" width="16.109375" style="13" customWidth="1"/>
    <col min="14338" max="14338" width="14.44140625" style="13" customWidth="1"/>
    <col min="14339" max="14339" width="16.44140625" style="13" customWidth="1"/>
    <col min="14340" max="14342" width="6.33203125" style="13" customWidth="1"/>
    <col min="14343" max="14343" width="8.109375" style="13" customWidth="1"/>
    <col min="14344" max="14345" width="6.6640625" style="13" bestFit="1" customWidth="1"/>
    <col min="14346" max="14346" width="5.44140625" style="13" customWidth="1"/>
    <col min="14347" max="14347" width="13.44140625" style="13" customWidth="1"/>
    <col min="14348" max="14588" width="9.109375" style="13"/>
    <col min="14589" max="14589" width="5.44140625" style="13" customWidth="1"/>
    <col min="14590" max="14590" width="13.6640625" style="13" customWidth="1"/>
    <col min="14591" max="14591" width="23.6640625" style="13" customWidth="1"/>
    <col min="14592" max="14592" width="14.109375" style="13" customWidth="1"/>
    <col min="14593" max="14593" width="16.109375" style="13" customWidth="1"/>
    <col min="14594" max="14594" width="14.44140625" style="13" customWidth="1"/>
    <col min="14595" max="14595" width="16.44140625" style="13" customWidth="1"/>
    <col min="14596" max="14598" width="6.33203125" style="13" customWidth="1"/>
    <col min="14599" max="14599" width="8.109375" style="13" customWidth="1"/>
    <col min="14600" max="14601" width="6.6640625" style="13" bestFit="1" customWidth="1"/>
    <col min="14602" max="14602" width="5.44140625" style="13" customWidth="1"/>
    <col min="14603" max="14603" width="13.44140625" style="13" customWidth="1"/>
    <col min="14604" max="14844" width="9.109375" style="13"/>
    <col min="14845" max="14845" width="5.44140625" style="13" customWidth="1"/>
    <col min="14846" max="14846" width="13.6640625" style="13" customWidth="1"/>
    <col min="14847" max="14847" width="23.6640625" style="13" customWidth="1"/>
    <col min="14848" max="14848" width="14.109375" style="13" customWidth="1"/>
    <col min="14849" max="14849" width="16.109375" style="13" customWidth="1"/>
    <col min="14850" max="14850" width="14.44140625" style="13" customWidth="1"/>
    <col min="14851" max="14851" width="16.44140625" style="13" customWidth="1"/>
    <col min="14852" max="14854" width="6.33203125" style="13" customWidth="1"/>
    <col min="14855" max="14855" width="8.109375" style="13" customWidth="1"/>
    <col min="14856" max="14857" width="6.6640625" style="13" bestFit="1" customWidth="1"/>
    <col min="14858" max="14858" width="5.44140625" style="13" customWidth="1"/>
    <col min="14859" max="14859" width="13.44140625" style="13" customWidth="1"/>
    <col min="14860" max="15100" width="9.109375" style="13"/>
    <col min="15101" max="15101" width="5.44140625" style="13" customWidth="1"/>
    <col min="15102" max="15102" width="13.6640625" style="13" customWidth="1"/>
    <col min="15103" max="15103" width="23.6640625" style="13" customWidth="1"/>
    <col min="15104" max="15104" width="14.109375" style="13" customWidth="1"/>
    <col min="15105" max="15105" width="16.109375" style="13" customWidth="1"/>
    <col min="15106" max="15106" width="14.44140625" style="13" customWidth="1"/>
    <col min="15107" max="15107" width="16.44140625" style="13" customWidth="1"/>
    <col min="15108" max="15110" width="6.33203125" style="13" customWidth="1"/>
    <col min="15111" max="15111" width="8.109375" style="13" customWidth="1"/>
    <col min="15112" max="15113" width="6.6640625" style="13" bestFit="1" customWidth="1"/>
    <col min="15114" max="15114" width="5.44140625" style="13" customWidth="1"/>
    <col min="15115" max="15115" width="13.44140625" style="13" customWidth="1"/>
    <col min="15116" max="15356" width="9.109375" style="13"/>
    <col min="15357" max="15357" width="5.44140625" style="13" customWidth="1"/>
    <col min="15358" max="15358" width="13.6640625" style="13" customWidth="1"/>
    <col min="15359" max="15359" width="23.6640625" style="13" customWidth="1"/>
    <col min="15360" max="15360" width="14.109375" style="13" customWidth="1"/>
    <col min="15361" max="15361" width="16.109375" style="13" customWidth="1"/>
    <col min="15362" max="15362" width="14.44140625" style="13" customWidth="1"/>
    <col min="15363" max="15363" width="16.44140625" style="13" customWidth="1"/>
    <col min="15364" max="15366" width="6.33203125" style="13" customWidth="1"/>
    <col min="15367" max="15367" width="8.109375" style="13" customWidth="1"/>
    <col min="15368" max="15369" width="6.6640625" style="13" bestFit="1" customWidth="1"/>
    <col min="15370" max="15370" width="5.44140625" style="13" customWidth="1"/>
    <col min="15371" max="15371" width="13.44140625" style="13" customWidth="1"/>
    <col min="15372" max="15612" width="9.109375" style="13"/>
    <col min="15613" max="15613" width="5.44140625" style="13" customWidth="1"/>
    <col min="15614" max="15614" width="13.6640625" style="13" customWidth="1"/>
    <col min="15615" max="15615" width="23.6640625" style="13" customWidth="1"/>
    <col min="15616" max="15616" width="14.109375" style="13" customWidth="1"/>
    <col min="15617" max="15617" width="16.109375" style="13" customWidth="1"/>
    <col min="15618" max="15618" width="14.44140625" style="13" customWidth="1"/>
    <col min="15619" max="15619" width="16.44140625" style="13" customWidth="1"/>
    <col min="15620" max="15622" width="6.33203125" style="13" customWidth="1"/>
    <col min="15623" max="15623" width="8.109375" style="13" customWidth="1"/>
    <col min="15624" max="15625" width="6.6640625" style="13" bestFit="1" customWidth="1"/>
    <col min="15626" max="15626" width="5.44140625" style="13" customWidth="1"/>
    <col min="15627" max="15627" width="13.44140625" style="13" customWidth="1"/>
    <col min="15628" max="15868" width="9.109375" style="13"/>
    <col min="15869" max="15869" width="5.44140625" style="13" customWidth="1"/>
    <col min="15870" max="15870" width="13.6640625" style="13" customWidth="1"/>
    <col min="15871" max="15871" width="23.6640625" style="13" customWidth="1"/>
    <col min="15872" max="15872" width="14.109375" style="13" customWidth="1"/>
    <col min="15873" max="15873" width="16.109375" style="13" customWidth="1"/>
    <col min="15874" max="15874" width="14.44140625" style="13" customWidth="1"/>
    <col min="15875" max="15875" width="16.44140625" style="13" customWidth="1"/>
    <col min="15876" max="15878" width="6.33203125" style="13" customWidth="1"/>
    <col min="15879" max="15879" width="8.109375" style="13" customWidth="1"/>
    <col min="15880" max="15881" width="6.6640625" style="13" bestFit="1" customWidth="1"/>
    <col min="15882" max="15882" width="5.44140625" style="13" customWidth="1"/>
    <col min="15883" max="15883" width="13.44140625" style="13" customWidth="1"/>
    <col min="15884" max="16124" width="9.109375" style="13"/>
    <col min="16125" max="16125" width="5.44140625" style="13" customWidth="1"/>
    <col min="16126" max="16126" width="13.6640625" style="13" customWidth="1"/>
    <col min="16127" max="16127" width="23.6640625" style="13" customWidth="1"/>
    <col min="16128" max="16128" width="14.109375" style="13" customWidth="1"/>
    <col min="16129" max="16129" width="16.109375" style="13" customWidth="1"/>
    <col min="16130" max="16130" width="14.44140625" style="13" customWidth="1"/>
    <col min="16131" max="16131" width="16.44140625" style="13" customWidth="1"/>
    <col min="16132" max="16134" width="6.33203125" style="13" customWidth="1"/>
    <col min="16135" max="16135" width="8.109375" style="13" customWidth="1"/>
    <col min="16136" max="16137" width="6.6640625" style="13" bestFit="1" customWidth="1"/>
    <col min="16138" max="16138" width="5.44140625" style="13" customWidth="1"/>
    <col min="16139" max="16139" width="13.44140625" style="13" customWidth="1"/>
    <col min="16140" max="16384" width="9.109375" style="13"/>
  </cols>
  <sheetData>
    <row r="1" spans="1:19" s="6" customFormat="1" ht="20.399999999999999" x14ac:dyDescent="0.25">
      <c r="A1" s="41" t="s">
        <v>39</v>
      </c>
      <c r="B1" s="40"/>
      <c r="C1" s="1"/>
      <c r="D1" s="1"/>
      <c r="E1" s="2"/>
      <c r="F1" s="3"/>
      <c r="G1" s="2"/>
      <c r="H1" s="4" t="s">
        <v>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6" customFormat="1" ht="15.6" x14ac:dyDescent="0.25">
      <c r="A2" s="86" t="s">
        <v>53</v>
      </c>
      <c r="B2" s="86"/>
      <c r="C2" s="86"/>
      <c r="D2" s="86"/>
      <c r="E2" s="86"/>
      <c r="F2" s="86"/>
      <c r="G2" s="86"/>
      <c r="H2" s="87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6" customFormat="1" ht="15.6" x14ac:dyDescent="0.3">
      <c r="A3" s="88" t="s">
        <v>5</v>
      </c>
      <c r="B3" s="89"/>
      <c r="C3" s="89"/>
      <c r="D3" s="89"/>
      <c r="E3" s="89"/>
      <c r="F3" s="89"/>
      <c r="G3" s="89"/>
      <c r="H3" s="90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6" customFormat="1" ht="15.6" x14ac:dyDescent="0.3">
      <c r="A4" s="8"/>
      <c r="B4" s="9"/>
      <c r="C4" s="9"/>
      <c r="D4" s="9"/>
      <c r="E4" s="9"/>
      <c r="F4" s="9"/>
      <c r="G4" s="9"/>
      <c r="H4" s="10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5" customHeight="1" x14ac:dyDescent="0.25">
      <c r="A5" s="91" t="s">
        <v>6</v>
      </c>
      <c r="B5" s="92"/>
      <c r="C5" s="92"/>
      <c r="D5" s="92"/>
      <c r="E5" s="92"/>
      <c r="F5" s="92"/>
      <c r="G5" s="92"/>
      <c r="H5" s="93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15" customHeight="1" x14ac:dyDescent="0.25">
      <c r="A6" s="94" t="s">
        <v>35</v>
      </c>
      <c r="B6" s="95"/>
      <c r="C6" s="95"/>
      <c r="D6" s="95"/>
      <c r="E6" s="95"/>
      <c r="F6" s="95"/>
      <c r="G6" s="95"/>
      <c r="H6" s="96"/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ht="15" customHeight="1" x14ac:dyDescent="0.25">
      <c r="A7" s="94" t="s">
        <v>40</v>
      </c>
      <c r="B7" s="95"/>
      <c r="C7" s="95"/>
      <c r="D7" s="95"/>
      <c r="E7" s="95"/>
      <c r="F7" s="95"/>
      <c r="G7" s="95"/>
      <c r="H7" s="96"/>
      <c r="I7" s="14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ht="15" customHeight="1" x14ac:dyDescent="0.25">
      <c r="A8" s="94" t="s">
        <v>41</v>
      </c>
      <c r="B8" s="95"/>
      <c r="C8" s="95"/>
      <c r="D8" s="95"/>
      <c r="E8" s="95"/>
      <c r="F8" s="95"/>
      <c r="G8" s="95"/>
      <c r="H8" s="96"/>
      <c r="I8" s="14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ht="15" customHeight="1" x14ac:dyDescent="0.25">
      <c r="A9" s="44"/>
      <c r="B9" s="45"/>
      <c r="C9" s="45"/>
      <c r="D9" s="45"/>
      <c r="E9" s="45"/>
      <c r="F9" s="45"/>
      <c r="G9" s="45"/>
      <c r="H9" s="46"/>
      <c r="I9" s="14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ht="17.399999999999999" x14ac:dyDescent="0.25">
      <c r="A10" s="16"/>
      <c r="B10" s="17"/>
      <c r="C10" s="17"/>
      <c r="D10" s="17"/>
      <c r="E10" s="47" t="s">
        <v>51</v>
      </c>
      <c r="F10" s="17"/>
      <c r="G10" s="17"/>
      <c r="H10" s="18"/>
      <c r="I10" s="19"/>
    </row>
    <row r="11" spans="1:19" x14ac:dyDescent="0.25">
      <c r="A11" s="68" t="s">
        <v>7</v>
      </c>
      <c r="B11" s="68"/>
      <c r="C11" s="68"/>
      <c r="D11" s="68"/>
      <c r="E11" s="68"/>
      <c r="F11" s="68"/>
      <c r="G11" s="68"/>
      <c r="H11" s="68"/>
      <c r="I11" s="97"/>
      <c r="J11" s="98"/>
      <c r="K11" s="98"/>
      <c r="L11" s="98"/>
      <c r="M11" s="98"/>
      <c r="N11" s="98"/>
      <c r="O11" s="98"/>
      <c r="P11" s="98"/>
      <c r="Q11" s="98"/>
      <c r="R11" s="98"/>
      <c r="S11" s="98"/>
    </row>
    <row r="12" spans="1:19" ht="15" customHeight="1" x14ac:dyDescent="0.25">
      <c r="A12" s="20" t="s">
        <v>8</v>
      </c>
      <c r="B12" s="21" t="s">
        <v>0</v>
      </c>
      <c r="C12" s="69" t="s">
        <v>9</v>
      </c>
      <c r="D12" s="70"/>
      <c r="E12" s="20" t="s">
        <v>10</v>
      </c>
      <c r="F12" s="20" t="s">
        <v>11</v>
      </c>
      <c r="G12" s="20" t="s">
        <v>12</v>
      </c>
      <c r="H12" s="20" t="s">
        <v>13</v>
      </c>
      <c r="I12" s="99"/>
      <c r="J12" s="100"/>
      <c r="K12" s="100"/>
      <c r="L12" s="100"/>
      <c r="M12" s="100"/>
      <c r="N12" s="100"/>
      <c r="O12" s="100"/>
      <c r="P12" s="100"/>
      <c r="Q12" s="100"/>
      <c r="R12" s="100"/>
      <c r="S12" s="100"/>
    </row>
    <row r="13" spans="1:19" ht="15" customHeight="1" x14ac:dyDescent="0.25">
      <c r="A13" s="22">
        <v>1</v>
      </c>
      <c r="B13" s="23" t="s">
        <v>1</v>
      </c>
      <c r="C13" s="71" t="s">
        <v>36</v>
      </c>
      <c r="D13" s="72"/>
      <c r="E13" s="24" t="s">
        <v>37</v>
      </c>
      <c r="F13" s="24" t="s">
        <v>38</v>
      </c>
      <c r="G13" s="35">
        <v>0.89</v>
      </c>
      <c r="H13" s="35">
        <f t="shared" ref="H13:H19" si="0">IF(G13="","",G13*12)</f>
        <v>10.68</v>
      </c>
      <c r="I13" s="99"/>
      <c r="J13" s="100"/>
      <c r="K13" s="100"/>
      <c r="L13" s="100"/>
      <c r="M13" s="100"/>
      <c r="N13" s="100"/>
      <c r="O13" s="100"/>
      <c r="P13" s="100"/>
      <c r="Q13" s="100"/>
      <c r="R13" s="100"/>
      <c r="S13" s="100"/>
    </row>
    <row r="14" spans="1:19" ht="15" customHeight="1" x14ac:dyDescent="0.25">
      <c r="A14" s="22">
        <v>2</v>
      </c>
      <c r="B14" s="23" t="s">
        <v>43</v>
      </c>
      <c r="C14" s="71" t="s">
        <v>30</v>
      </c>
      <c r="D14" s="72"/>
      <c r="E14" s="24" t="s">
        <v>14</v>
      </c>
      <c r="F14" s="24" t="s">
        <v>14</v>
      </c>
      <c r="G14" s="25">
        <v>1</v>
      </c>
      <c r="H14" s="25">
        <f t="shared" ref="H14:H18" si="1">IF(G14="","",G14*12)</f>
        <v>12</v>
      </c>
      <c r="I14" s="99"/>
      <c r="J14" s="100"/>
      <c r="K14" s="100"/>
      <c r="L14" s="100"/>
      <c r="M14" s="100"/>
      <c r="N14" s="100"/>
      <c r="O14" s="100"/>
      <c r="P14" s="100"/>
      <c r="Q14" s="100"/>
      <c r="R14" s="100"/>
      <c r="S14" s="100"/>
    </row>
    <row r="15" spans="1:19" ht="15" customHeight="1" x14ac:dyDescent="0.25">
      <c r="A15" s="22">
        <v>3</v>
      </c>
      <c r="B15" s="23" t="s">
        <v>44</v>
      </c>
      <c r="C15" s="71" t="s">
        <v>44</v>
      </c>
      <c r="D15" s="72"/>
      <c r="E15" s="24" t="s">
        <v>14</v>
      </c>
      <c r="F15" s="24" t="s">
        <v>14</v>
      </c>
      <c r="G15" s="25">
        <v>1</v>
      </c>
      <c r="H15" s="25">
        <f t="shared" ref="H15" si="2">IF(G15="","",G15*12)</f>
        <v>12</v>
      </c>
      <c r="I15" s="99"/>
      <c r="J15" s="100"/>
      <c r="K15" s="100"/>
      <c r="L15" s="100"/>
      <c r="M15" s="100"/>
      <c r="N15" s="100"/>
      <c r="O15" s="100"/>
      <c r="P15" s="100"/>
      <c r="Q15" s="100"/>
      <c r="R15" s="100"/>
      <c r="S15" s="100"/>
    </row>
    <row r="16" spans="1:19" ht="15" customHeight="1" x14ac:dyDescent="0.25">
      <c r="A16" s="22">
        <v>4</v>
      </c>
      <c r="B16" s="23" t="s">
        <v>32</v>
      </c>
      <c r="C16" s="71" t="s">
        <v>42</v>
      </c>
      <c r="D16" s="72"/>
      <c r="E16" s="24" t="s">
        <v>14</v>
      </c>
      <c r="F16" s="24" t="s">
        <v>14</v>
      </c>
      <c r="G16" s="25">
        <v>6</v>
      </c>
      <c r="H16" s="25">
        <f t="shared" si="1"/>
        <v>72</v>
      </c>
      <c r="I16" s="99"/>
      <c r="J16" s="100"/>
      <c r="K16" s="100"/>
      <c r="L16" s="100"/>
      <c r="M16" s="100"/>
      <c r="N16" s="100"/>
      <c r="O16" s="100"/>
      <c r="P16" s="100"/>
      <c r="Q16" s="100"/>
      <c r="R16" s="100"/>
      <c r="S16" s="100"/>
    </row>
    <row r="17" spans="1:19" ht="15" customHeight="1" x14ac:dyDescent="0.25">
      <c r="A17" s="22">
        <v>5</v>
      </c>
      <c r="B17" s="23" t="s">
        <v>33</v>
      </c>
      <c r="C17" s="71" t="s">
        <v>42</v>
      </c>
      <c r="D17" s="72"/>
      <c r="E17" s="24" t="s">
        <v>14</v>
      </c>
      <c r="F17" s="24" t="s">
        <v>14</v>
      </c>
      <c r="G17" s="25">
        <v>12</v>
      </c>
      <c r="H17" s="25">
        <f t="shared" si="1"/>
        <v>144</v>
      </c>
      <c r="I17" s="99"/>
      <c r="J17" s="100"/>
      <c r="K17" s="100"/>
      <c r="L17" s="100"/>
      <c r="M17" s="100"/>
      <c r="N17" s="100"/>
      <c r="O17" s="100"/>
      <c r="P17" s="100"/>
      <c r="Q17" s="100"/>
      <c r="R17" s="100"/>
      <c r="S17" s="100"/>
    </row>
    <row r="18" spans="1:19" ht="15" customHeight="1" x14ac:dyDescent="0.25">
      <c r="A18" s="22">
        <v>6</v>
      </c>
      <c r="B18" s="23" t="s">
        <v>34</v>
      </c>
      <c r="C18" s="71" t="s">
        <v>42</v>
      </c>
      <c r="D18" s="72"/>
      <c r="E18" s="24" t="s">
        <v>14</v>
      </c>
      <c r="F18" s="24" t="s">
        <v>14</v>
      </c>
      <c r="G18" s="25">
        <v>6</v>
      </c>
      <c r="H18" s="25">
        <f t="shared" si="1"/>
        <v>72</v>
      </c>
      <c r="I18" s="99"/>
      <c r="J18" s="100"/>
      <c r="K18" s="100"/>
      <c r="L18" s="100"/>
      <c r="M18" s="100"/>
      <c r="N18" s="100"/>
      <c r="O18" s="100"/>
      <c r="P18" s="100"/>
      <c r="Q18" s="100"/>
      <c r="R18" s="100"/>
      <c r="S18" s="100"/>
    </row>
    <row r="19" spans="1:19" ht="15" customHeight="1" x14ac:dyDescent="0.25">
      <c r="A19" s="37">
        <v>7</v>
      </c>
      <c r="B19" s="34" t="s">
        <v>2</v>
      </c>
      <c r="C19" s="71" t="s">
        <v>15</v>
      </c>
      <c r="D19" s="72"/>
      <c r="E19" s="24" t="s">
        <v>3</v>
      </c>
      <c r="F19" s="24" t="s">
        <v>16</v>
      </c>
      <c r="G19" s="36">
        <v>2.1000000000000001E-2</v>
      </c>
      <c r="H19" s="36">
        <f t="shared" si="0"/>
        <v>0.252</v>
      </c>
      <c r="I19" s="99"/>
      <c r="J19" s="100"/>
      <c r="K19" s="100"/>
      <c r="L19" s="100"/>
      <c r="M19" s="100"/>
      <c r="N19" s="100"/>
      <c r="O19" s="100"/>
      <c r="P19" s="100"/>
      <c r="Q19" s="100"/>
      <c r="R19" s="100"/>
      <c r="S19" s="100"/>
    </row>
    <row r="20" spans="1:19" x14ac:dyDescent="0.25">
      <c r="A20" s="73" t="s">
        <v>17</v>
      </c>
      <c r="B20" s="74"/>
      <c r="C20" s="74"/>
      <c r="D20" s="74"/>
      <c r="E20" s="74"/>
      <c r="F20" s="74"/>
      <c r="G20" s="74"/>
      <c r="H20" s="75"/>
      <c r="I20" s="99"/>
      <c r="J20" s="100"/>
      <c r="K20" s="100"/>
      <c r="L20" s="100"/>
      <c r="M20" s="100"/>
      <c r="N20" s="100"/>
      <c r="O20" s="100"/>
      <c r="P20" s="100"/>
      <c r="Q20" s="100"/>
      <c r="R20" s="100"/>
      <c r="S20" s="100"/>
    </row>
    <row r="21" spans="1:19" ht="15" customHeight="1" x14ac:dyDescent="0.25">
      <c r="A21" s="82" t="s">
        <v>18</v>
      </c>
      <c r="B21" s="83"/>
      <c r="C21" s="57" t="s">
        <v>19</v>
      </c>
      <c r="D21" s="58"/>
      <c r="E21" s="58"/>
      <c r="F21" s="58"/>
      <c r="G21" s="58"/>
      <c r="H21" s="59"/>
      <c r="I21" s="99"/>
      <c r="J21" s="100"/>
      <c r="K21" s="100"/>
      <c r="L21" s="100"/>
      <c r="M21" s="100"/>
      <c r="N21" s="100"/>
      <c r="O21" s="100"/>
      <c r="P21" s="100"/>
      <c r="Q21" s="100"/>
      <c r="R21" s="100"/>
      <c r="S21" s="100"/>
    </row>
    <row r="22" spans="1:19" ht="15" customHeight="1" x14ac:dyDescent="0.3">
      <c r="A22" s="84" t="str">
        <f>A2</f>
        <v>COOK SHIRT  103</v>
      </c>
      <c r="B22" s="85"/>
      <c r="C22" s="76">
        <f>(SUM(C23:G23)*12)/60</f>
        <v>1.5</v>
      </c>
      <c r="D22" s="77"/>
      <c r="E22" s="77"/>
      <c r="F22" s="77"/>
      <c r="G22" s="78"/>
      <c r="H22" s="39"/>
      <c r="I22" s="99"/>
      <c r="J22" s="100"/>
      <c r="K22" s="100"/>
      <c r="L22" s="100"/>
      <c r="M22" s="100"/>
      <c r="N22" s="100"/>
      <c r="O22" s="100"/>
      <c r="P22" s="100"/>
      <c r="Q22" s="100"/>
      <c r="R22" s="100"/>
      <c r="S22" s="100"/>
    </row>
    <row r="23" spans="1:19" ht="15" customHeight="1" x14ac:dyDescent="0.3">
      <c r="A23" s="63" t="s">
        <v>31</v>
      </c>
      <c r="B23" s="64"/>
      <c r="C23" s="65">
        <v>7.5</v>
      </c>
      <c r="D23" s="66"/>
      <c r="E23" s="66"/>
      <c r="F23" s="66"/>
      <c r="G23" s="67"/>
      <c r="H23" s="38"/>
      <c r="I23" s="99"/>
      <c r="J23" s="100"/>
      <c r="K23" s="100"/>
      <c r="L23" s="100"/>
      <c r="M23" s="100"/>
      <c r="N23" s="100"/>
      <c r="O23" s="100"/>
      <c r="P23" s="100"/>
      <c r="Q23" s="100"/>
      <c r="R23" s="100"/>
      <c r="S23" s="100"/>
    </row>
    <row r="24" spans="1:19" x14ac:dyDescent="0.25">
      <c r="A24" s="79" t="s">
        <v>20</v>
      </c>
      <c r="B24" s="80"/>
      <c r="C24" s="80"/>
      <c r="D24" s="80"/>
      <c r="E24" s="80"/>
      <c r="F24" s="80"/>
      <c r="G24" s="80"/>
      <c r="H24" s="81"/>
      <c r="I24" s="99"/>
      <c r="J24" s="100"/>
      <c r="K24" s="100"/>
      <c r="L24" s="100"/>
      <c r="M24" s="100"/>
      <c r="N24" s="100"/>
      <c r="O24" s="100"/>
      <c r="P24" s="100"/>
      <c r="Q24" s="100"/>
      <c r="R24" s="100"/>
      <c r="S24" s="100"/>
    </row>
    <row r="25" spans="1:19" ht="15" customHeight="1" x14ac:dyDescent="0.25">
      <c r="A25" s="26" t="s">
        <v>8</v>
      </c>
      <c r="B25" s="27" t="s">
        <v>0</v>
      </c>
      <c r="C25" s="57" t="s">
        <v>21</v>
      </c>
      <c r="D25" s="58"/>
      <c r="E25" s="59"/>
      <c r="F25" s="26" t="s">
        <v>22</v>
      </c>
      <c r="G25" s="26" t="s">
        <v>23</v>
      </c>
      <c r="H25" s="26" t="s">
        <v>24</v>
      </c>
      <c r="I25" s="99"/>
      <c r="J25" s="100"/>
      <c r="K25" s="100"/>
      <c r="L25" s="100"/>
      <c r="M25" s="100"/>
      <c r="N25" s="100"/>
      <c r="O25" s="100"/>
      <c r="P25" s="100"/>
      <c r="Q25" s="100"/>
      <c r="R25" s="100"/>
      <c r="S25" s="100"/>
    </row>
    <row r="26" spans="1:19" ht="15" customHeight="1" x14ac:dyDescent="0.25">
      <c r="A26" s="24">
        <f t="shared" ref="A26:B32" si="3">IF(A13="","",A13)</f>
        <v>1</v>
      </c>
      <c r="B26" s="28" t="str">
        <f t="shared" si="3"/>
        <v>Main Fabric</v>
      </c>
      <c r="C26" s="60">
        <f t="shared" ref="C26:C32" si="4">IF(H13="","",H13)</f>
        <v>10.68</v>
      </c>
      <c r="D26" s="61"/>
      <c r="E26" s="62"/>
      <c r="F26" s="24" t="str">
        <f t="shared" ref="F26:F34" si="5">IF(E13="","",E13)</f>
        <v>ALSCO WHITE</v>
      </c>
      <c r="G26" s="42">
        <v>1.67</v>
      </c>
      <c r="H26" s="30">
        <f t="shared" ref="H26:H32" si="6">H13*G26</f>
        <v>17.835599999999999</v>
      </c>
      <c r="I26" s="99"/>
      <c r="J26" s="100"/>
      <c r="K26" s="100"/>
      <c r="L26" s="100"/>
      <c r="M26" s="100"/>
      <c r="N26" s="100"/>
      <c r="O26" s="100"/>
      <c r="P26" s="100"/>
      <c r="Q26" s="100"/>
      <c r="R26" s="100"/>
      <c r="S26" s="100"/>
    </row>
    <row r="27" spans="1:19" ht="15" customHeight="1" x14ac:dyDescent="0.25">
      <c r="A27" s="24">
        <f t="shared" si="3"/>
        <v>2</v>
      </c>
      <c r="B27" s="28" t="str">
        <f t="shared" si="3"/>
        <v>Main Label</v>
      </c>
      <c r="C27" s="48">
        <f t="shared" si="4"/>
        <v>12</v>
      </c>
      <c r="D27" s="49"/>
      <c r="E27" s="50"/>
      <c r="F27" s="24" t="str">
        <f t="shared" si="5"/>
        <v>-</v>
      </c>
      <c r="G27" s="43">
        <v>0.05</v>
      </c>
      <c r="H27" s="30">
        <f t="shared" si="6"/>
        <v>0.60000000000000009</v>
      </c>
      <c r="I27" s="99"/>
      <c r="J27" s="100"/>
      <c r="K27" s="100"/>
      <c r="L27" s="100"/>
      <c r="M27" s="100"/>
      <c r="N27" s="100"/>
      <c r="O27" s="100"/>
      <c r="P27" s="100"/>
      <c r="Q27" s="100"/>
      <c r="R27" s="100"/>
      <c r="S27" s="100"/>
    </row>
    <row r="28" spans="1:19" ht="15" customHeight="1" x14ac:dyDescent="0.25">
      <c r="A28" s="24">
        <f t="shared" si="3"/>
        <v>3</v>
      </c>
      <c r="B28" s="28" t="str">
        <f t="shared" si="3"/>
        <v>Care Label</v>
      </c>
      <c r="C28" s="48">
        <f t="shared" si="4"/>
        <v>12</v>
      </c>
      <c r="D28" s="49"/>
      <c r="E28" s="50"/>
      <c r="F28" s="24" t="str">
        <f t="shared" si="5"/>
        <v>-</v>
      </c>
      <c r="G28" s="43">
        <v>5.0000000000000001E-3</v>
      </c>
      <c r="H28" s="30">
        <f t="shared" si="6"/>
        <v>0.06</v>
      </c>
      <c r="I28" s="99"/>
      <c r="J28" s="100"/>
      <c r="K28" s="100"/>
      <c r="L28" s="100"/>
      <c r="M28" s="100"/>
      <c r="N28" s="100"/>
      <c r="O28" s="100"/>
      <c r="P28" s="100"/>
      <c r="Q28" s="100"/>
      <c r="R28" s="100"/>
      <c r="S28" s="100"/>
    </row>
    <row r="29" spans="1:19" ht="15" customHeight="1" x14ac:dyDescent="0.25">
      <c r="A29" s="24">
        <f t="shared" si="3"/>
        <v>4</v>
      </c>
      <c r="B29" s="28" t="str">
        <f t="shared" si="3"/>
        <v>Metal Snap Stud</v>
      </c>
      <c r="C29" s="48">
        <f t="shared" si="4"/>
        <v>72</v>
      </c>
      <c r="D29" s="49"/>
      <c r="E29" s="50"/>
      <c r="F29" s="24" t="str">
        <f t="shared" si="5"/>
        <v>-</v>
      </c>
      <c r="G29" s="29">
        <v>0.02</v>
      </c>
      <c r="H29" s="30">
        <f t="shared" si="6"/>
        <v>1.44</v>
      </c>
      <c r="I29" s="99"/>
      <c r="J29" s="100"/>
      <c r="K29" s="100"/>
      <c r="L29" s="100"/>
      <c r="M29" s="100"/>
      <c r="N29" s="100"/>
      <c r="O29" s="100"/>
      <c r="P29" s="100"/>
      <c r="Q29" s="100"/>
      <c r="R29" s="100"/>
      <c r="S29" s="100"/>
    </row>
    <row r="30" spans="1:19" ht="15" customHeight="1" x14ac:dyDescent="0.25">
      <c r="A30" s="24">
        <f t="shared" si="3"/>
        <v>5</v>
      </c>
      <c r="B30" s="28" t="str">
        <f t="shared" si="3"/>
        <v xml:space="preserve">Metal Snap Prong </v>
      </c>
      <c r="C30" s="48">
        <f t="shared" si="4"/>
        <v>144</v>
      </c>
      <c r="D30" s="49"/>
      <c r="E30" s="50"/>
      <c r="F30" s="24" t="str">
        <f t="shared" si="5"/>
        <v>-</v>
      </c>
      <c r="G30" s="29">
        <v>0.01</v>
      </c>
      <c r="H30" s="30">
        <f t="shared" si="6"/>
        <v>1.44</v>
      </c>
      <c r="I30" s="99"/>
      <c r="J30" s="100"/>
      <c r="K30" s="100"/>
      <c r="L30" s="100"/>
      <c r="M30" s="100"/>
      <c r="N30" s="100"/>
      <c r="O30" s="100"/>
      <c r="P30" s="100"/>
      <c r="Q30" s="100"/>
      <c r="R30" s="100"/>
      <c r="S30" s="100"/>
    </row>
    <row r="31" spans="1:19" ht="15" customHeight="1" x14ac:dyDescent="0.25">
      <c r="A31" s="24">
        <f t="shared" si="3"/>
        <v>6</v>
      </c>
      <c r="B31" s="28" t="str">
        <f t="shared" si="3"/>
        <v>Metal Snap Socket</v>
      </c>
      <c r="C31" s="48">
        <f t="shared" si="4"/>
        <v>72</v>
      </c>
      <c r="D31" s="49"/>
      <c r="E31" s="50"/>
      <c r="F31" s="24" t="str">
        <f t="shared" si="5"/>
        <v>-</v>
      </c>
      <c r="G31" s="29">
        <v>1.4999999999999999E-2</v>
      </c>
      <c r="H31" s="30">
        <f t="shared" si="6"/>
        <v>1.08</v>
      </c>
      <c r="I31" s="99"/>
      <c r="J31" s="100"/>
      <c r="K31" s="100"/>
      <c r="L31" s="100"/>
      <c r="M31" s="100"/>
      <c r="N31" s="100"/>
      <c r="O31" s="100"/>
      <c r="P31" s="100"/>
      <c r="Q31" s="100"/>
      <c r="R31" s="100"/>
      <c r="S31" s="100"/>
    </row>
    <row r="32" spans="1:19" ht="15" customHeight="1" x14ac:dyDescent="0.25">
      <c r="A32" s="24">
        <f t="shared" si="3"/>
        <v>7</v>
      </c>
      <c r="B32" s="28" t="str">
        <f t="shared" si="3"/>
        <v>Thread Tex40</v>
      </c>
      <c r="C32" s="54">
        <f t="shared" si="4"/>
        <v>0.252</v>
      </c>
      <c r="D32" s="55"/>
      <c r="E32" s="56"/>
      <c r="F32" s="24" t="str">
        <f t="shared" si="5"/>
        <v>DTM Body</v>
      </c>
      <c r="G32" s="29">
        <v>3.5</v>
      </c>
      <c r="H32" s="30">
        <f t="shared" si="6"/>
        <v>0.88200000000000001</v>
      </c>
      <c r="I32" s="99"/>
      <c r="J32" s="100"/>
      <c r="K32" s="100"/>
      <c r="L32" s="100"/>
      <c r="M32" s="100"/>
      <c r="N32" s="100"/>
      <c r="O32" s="100"/>
      <c r="P32" s="100"/>
      <c r="Q32" s="100"/>
      <c r="R32" s="100"/>
      <c r="S32" s="100"/>
    </row>
    <row r="33" spans="1:19" ht="15" customHeight="1" x14ac:dyDescent="0.25">
      <c r="A33" s="24">
        <v>8</v>
      </c>
      <c r="B33" s="28" t="s">
        <v>25</v>
      </c>
      <c r="C33" s="51">
        <f>1/72*12</f>
        <v>0.16666666666666666</v>
      </c>
      <c r="D33" s="52"/>
      <c r="E33" s="53"/>
      <c r="F33" s="24" t="str">
        <f t="shared" si="5"/>
        <v/>
      </c>
      <c r="G33" s="29">
        <v>0.99</v>
      </c>
      <c r="H33" s="30">
        <f t="shared" ref="H33:H34" si="7">IF(G33="","",C33*G33)</f>
        <v>0.16499999999999998</v>
      </c>
      <c r="I33" s="99"/>
      <c r="J33" s="100"/>
      <c r="K33" s="100"/>
      <c r="L33" s="100"/>
      <c r="M33" s="100"/>
      <c r="N33" s="100"/>
      <c r="O33" s="100"/>
      <c r="P33" s="100"/>
      <c r="Q33" s="100"/>
      <c r="R33" s="100"/>
      <c r="S33" s="100"/>
    </row>
    <row r="34" spans="1:19" ht="15" customHeight="1" x14ac:dyDescent="0.25">
      <c r="A34" s="24">
        <v>9</v>
      </c>
      <c r="B34" s="28" t="s">
        <v>26</v>
      </c>
      <c r="C34" s="51">
        <f>C22</f>
        <v>1.5</v>
      </c>
      <c r="D34" s="52"/>
      <c r="E34" s="53"/>
      <c r="F34" s="24" t="str">
        <f t="shared" si="5"/>
        <v/>
      </c>
      <c r="G34" s="29">
        <v>7.68</v>
      </c>
      <c r="H34" s="30">
        <f t="shared" si="7"/>
        <v>11.52</v>
      </c>
      <c r="I34" s="99"/>
      <c r="J34" s="100"/>
      <c r="K34" s="100"/>
      <c r="L34" s="100"/>
      <c r="M34" s="100"/>
      <c r="N34" s="100"/>
      <c r="O34" s="100"/>
      <c r="P34" s="100"/>
      <c r="Q34" s="100"/>
      <c r="R34" s="100"/>
      <c r="S34" s="100"/>
    </row>
    <row r="35" spans="1:19" x14ac:dyDescent="0.25">
      <c r="A35" s="19"/>
      <c r="H35" s="31"/>
      <c r="I35" s="99"/>
      <c r="J35" s="100"/>
      <c r="K35" s="100"/>
      <c r="L35" s="100"/>
      <c r="M35" s="100"/>
      <c r="N35" s="100"/>
      <c r="O35" s="100"/>
      <c r="P35" s="100"/>
      <c r="Q35" s="100"/>
      <c r="R35" s="100"/>
      <c r="S35" s="100"/>
    </row>
    <row r="36" spans="1:19" x14ac:dyDescent="0.25">
      <c r="A36" s="19"/>
      <c r="G36" s="32" t="s">
        <v>27</v>
      </c>
      <c r="H36" s="30">
        <f>SUM(H26:H34)</f>
        <v>35.022600000000004</v>
      </c>
      <c r="I36" s="99"/>
      <c r="J36" s="100"/>
      <c r="K36" s="100"/>
      <c r="L36" s="100"/>
      <c r="M36" s="100"/>
      <c r="N36" s="100"/>
      <c r="O36" s="100"/>
      <c r="P36" s="100"/>
      <c r="Q36" s="100"/>
      <c r="R36" s="100"/>
      <c r="S36" s="100"/>
    </row>
    <row r="37" spans="1:19" x14ac:dyDescent="0.25">
      <c r="A37" s="19"/>
      <c r="G37" s="32" t="s">
        <v>28</v>
      </c>
      <c r="H37" s="30">
        <f>(H36/12)</f>
        <v>2.9185500000000002</v>
      </c>
      <c r="I37" s="99"/>
      <c r="J37" s="100"/>
      <c r="K37" s="100"/>
      <c r="L37" s="100"/>
      <c r="M37" s="100"/>
      <c r="N37" s="100"/>
      <c r="O37" s="100"/>
      <c r="P37" s="100"/>
      <c r="Q37" s="100"/>
      <c r="R37" s="100"/>
      <c r="S37" s="100"/>
    </row>
    <row r="38" spans="1:19" x14ac:dyDescent="0.25">
      <c r="A38" s="19"/>
      <c r="G38" s="13" t="s">
        <v>50</v>
      </c>
      <c r="H38" s="30">
        <f>H37/0.905</f>
        <v>3.2249171270718233</v>
      </c>
      <c r="I38" s="99"/>
      <c r="J38" s="100"/>
      <c r="K38" s="100"/>
      <c r="L38" s="100"/>
      <c r="M38" s="100"/>
      <c r="N38" s="100"/>
      <c r="O38" s="100"/>
      <c r="P38" s="100"/>
      <c r="Q38" s="100"/>
      <c r="R38" s="100"/>
      <c r="S38" s="100"/>
    </row>
    <row r="39" spans="1:19" x14ac:dyDescent="0.25">
      <c r="A39" s="19"/>
      <c r="G39" s="13" t="s">
        <v>45</v>
      </c>
      <c r="H39" s="30">
        <f>H37*0.26</f>
        <v>0.75882300000000003</v>
      </c>
      <c r="I39" s="99"/>
      <c r="J39" s="100"/>
      <c r="K39" s="100"/>
      <c r="L39" s="100"/>
      <c r="M39" s="100"/>
      <c r="N39" s="100"/>
      <c r="O39" s="100"/>
      <c r="P39" s="100"/>
      <c r="Q39" s="100"/>
      <c r="R39" s="100"/>
      <c r="S39" s="100"/>
    </row>
    <row r="40" spans="1:19" x14ac:dyDescent="0.25">
      <c r="A40" s="19"/>
      <c r="G40" s="13" t="s">
        <v>47</v>
      </c>
      <c r="H40" s="30">
        <f>15000/(1170*72)</f>
        <v>0.17806267806267806</v>
      </c>
      <c r="I40" s="99"/>
      <c r="J40" s="100"/>
      <c r="K40" s="100"/>
      <c r="L40" s="100"/>
      <c r="M40" s="100"/>
      <c r="N40" s="100"/>
      <c r="O40" s="100"/>
      <c r="P40" s="100"/>
      <c r="Q40" s="100"/>
      <c r="R40" s="100"/>
      <c r="S40" s="100"/>
    </row>
    <row r="41" spans="1:19" x14ac:dyDescent="0.25">
      <c r="A41" s="19"/>
      <c r="G41" s="13" t="s">
        <v>46</v>
      </c>
      <c r="H41" s="103">
        <f>H38+H39+H40</f>
        <v>4.1618028051345011</v>
      </c>
      <c r="I41" s="99"/>
      <c r="J41" s="100"/>
      <c r="K41" s="100"/>
      <c r="L41" s="100"/>
      <c r="M41" s="100"/>
      <c r="N41" s="100"/>
      <c r="O41" s="100"/>
      <c r="P41" s="100"/>
      <c r="Q41" s="100"/>
      <c r="R41" s="100"/>
      <c r="S41" s="100"/>
    </row>
    <row r="42" spans="1:19" x14ac:dyDescent="0.25">
      <c r="A42" s="19"/>
      <c r="G42" s="13" t="s">
        <v>29</v>
      </c>
      <c r="H42" s="33">
        <f>(H38-H37)/H38</f>
        <v>9.4999999999999973E-2</v>
      </c>
      <c r="I42" s="101"/>
      <c r="J42" s="102"/>
      <c r="K42" s="102"/>
      <c r="L42" s="102"/>
      <c r="M42" s="102"/>
      <c r="N42" s="102"/>
      <c r="O42" s="102"/>
      <c r="P42" s="102"/>
      <c r="Q42" s="102"/>
      <c r="R42" s="102"/>
      <c r="S42" s="102"/>
    </row>
    <row r="43" spans="1:19" ht="17.399999999999999" x14ac:dyDescent="0.25">
      <c r="A43" s="19"/>
      <c r="E43" s="47" t="s">
        <v>48</v>
      </c>
      <c r="H43" s="31"/>
    </row>
    <row r="44" spans="1:19" x14ac:dyDescent="0.25">
      <c r="A44" s="68" t="s">
        <v>7</v>
      </c>
      <c r="B44" s="68"/>
      <c r="C44" s="68"/>
      <c r="D44" s="68"/>
      <c r="E44" s="68"/>
      <c r="F44" s="68"/>
      <c r="G44" s="68"/>
      <c r="H44" s="68"/>
    </row>
    <row r="45" spans="1:19" x14ac:dyDescent="0.25">
      <c r="A45" s="20" t="s">
        <v>8</v>
      </c>
      <c r="B45" s="21" t="s">
        <v>0</v>
      </c>
      <c r="C45" s="69" t="s">
        <v>9</v>
      </c>
      <c r="D45" s="70"/>
      <c r="E45" s="20" t="s">
        <v>10</v>
      </c>
      <c r="F45" s="20" t="s">
        <v>11</v>
      </c>
      <c r="G45" s="20" t="s">
        <v>12</v>
      </c>
      <c r="H45" s="20" t="s">
        <v>13</v>
      </c>
    </row>
    <row r="46" spans="1:19" x14ac:dyDescent="0.25">
      <c r="A46" s="22">
        <v>1</v>
      </c>
      <c r="B46" s="23" t="s">
        <v>1</v>
      </c>
      <c r="C46" s="71" t="s">
        <v>36</v>
      </c>
      <c r="D46" s="72"/>
      <c r="E46" s="24" t="s">
        <v>37</v>
      </c>
      <c r="F46" s="24" t="s">
        <v>38</v>
      </c>
      <c r="G46" s="35">
        <v>1.1000000000000001</v>
      </c>
      <c r="H46" s="35">
        <f t="shared" ref="H46:H52" si="8">IF(G46="","",G46*12)</f>
        <v>13.200000000000001</v>
      </c>
    </row>
    <row r="47" spans="1:19" x14ac:dyDescent="0.25">
      <c r="A47" s="22">
        <v>2</v>
      </c>
      <c r="B47" s="23" t="s">
        <v>43</v>
      </c>
      <c r="C47" s="71" t="s">
        <v>30</v>
      </c>
      <c r="D47" s="72"/>
      <c r="E47" s="24" t="s">
        <v>14</v>
      </c>
      <c r="F47" s="24" t="s">
        <v>14</v>
      </c>
      <c r="G47" s="25">
        <v>1</v>
      </c>
      <c r="H47" s="25">
        <f t="shared" si="8"/>
        <v>12</v>
      </c>
    </row>
    <row r="48" spans="1:19" x14ac:dyDescent="0.25">
      <c r="A48" s="22">
        <v>3</v>
      </c>
      <c r="B48" s="23" t="s">
        <v>44</v>
      </c>
      <c r="C48" s="71" t="s">
        <v>44</v>
      </c>
      <c r="D48" s="72"/>
      <c r="E48" s="24" t="s">
        <v>14</v>
      </c>
      <c r="F48" s="24" t="s">
        <v>14</v>
      </c>
      <c r="G48" s="25">
        <v>1</v>
      </c>
      <c r="H48" s="25">
        <f t="shared" si="8"/>
        <v>12</v>
      </c>
    </row>
    <row r="49" spans="1:8" x14ac:dyDescent="0.25">
      <c r="A49" s="22">
        <v>4</v>
      </c>
      <c r="B49" s="23" t="s">
        <v>32</v>
      </c>
      <c r="C49" s="71" t="s">
        <v>42</v>
      </c>
      <c r="D49" s="72"/>
      <c r="E49" s="24" t="s">
        <v>14</v>
      </c>
      <c r="F49" s="24" t="s">
        <v>14</v>
      </c>
      <c r="G49" s="25">
        <v>6</v>
      </c>
      <c r="H49" s="25">
        <f t="shared" si="8"/>
        <v>72</v>
      </c>
    </row>
    <row r="50" spans="1:8" x14ac:dyDescent="0.25">
      <c r="A50" s="22">
        <v>5</v>
      </c>
      <c r="B50" s="23" t="s">
        <v>33</v>
      </c>
      <c r="C50" s="71" t="s">
        <v>42</v>
      </c>
      <c r="D50" s="72"/>
      <c r="E50" s="24" t="s">
        <v>14</v>
      </c>
      <c r="F50" s="24" t="s">
        <v>14</v>
      </c>
      <c r="G50" s="25">
        <v>12</v>
      </c>
      <c r="H50" s="25">
        <f t="shared" si="8"/>
        <v>144</v>
      </c>
    </row>
    <row r="51" spans="1:8" x14ac:dyDescent="0.25">
      <c r="A51" s="22">
        <v>6</v>
      </c>
      <c r="B51" s="23" t="s">
        <v>34</v>
      </c>
      <c r="C51" s="71" t="s">
        <v>42</v>
      </c>
      <c r="D51" s="72"/>
      <c r="E51" s="24" t="s">
        <v>14</v>
      </c>
      <c r="F51" s="24" t="s">
        <v>14</v>
      </c>
      <c r="G51" s="25">
        <v>6</v>
      </c>
      <c r="H51" s="25">
        <f t="shared" si="8"/>
        <v>72</v>
      </c>
    </row>
    <row r="52" spans="1:8" x14ac:dyDescent="0.25">
      <c r="A52" s="37">
        <v>7</v>
      </c>
      <c r="B52" s="34" t="s">
        <v>2</v>
      </c>
      <c r="C52" s="71" t="s">
        <v>15</v>
      </c>
      <c r="D52" s="72"/>
      <c r="E52" s="24" t="s">
        <v>3</v>
      </c>
      <c r="F52" s="24" t="s">
        <v>16</v>
      </c>
      <c r="G52" s="36">
        <v>2.1000000000000001E-2</v>
      </c>
      <c r="H52" s="36">
        <f t="shared" si="8"/>
        <v>0.252</v>
      </c>
    </row>
    <row r="53" spans="1:8" x14ac:dyDescent="0.25">
      <c r="A53" s="73" t="s">
        <v>17</v>
      </c>
      <c r="B53" s="74"/>
      <c r="C53" s="74"/>
      <c r="D53" s="74"/>
      <c r="E53" s="74"/>
      <c r="F53" s="74"/>
      <c r="G53" s="74"/>
      <c r="H53" s="75"/>
    </row>
    <row r="54" spans="1:8" x14ac:dyDescent="0.25">
      <c r="A54" s="82" t="s">
        <v>18</v>
      </c>
      <c r="B54" s="83"/>
      <c r="C54" s="57" t="s">
        <v>19</v>
      </c>
      <c r="D54" s="58"/>
      <c r="E54" s="58"/>
      <c r="F54" s="58"/>
      <c r="G54" s="58"/>
      <c r="H54" s="59"/>
    </row>
    <row r="55" spans="1:8" ht="14.4" x14ac:dyDescent="0.3">
      <c r="A55" s="84">
        <f>A36</f>
        <v>0</v>
      </c>
      <c r="B55" s="85"/>
      <c r="C55" s="76">
        <f>(SUM(C56:G56)*12)/60</f>
        <v>1.5</v>
      </c>
      <c r="D55" s="77"/>
      <c r="E55" s="77"/>
      <c r="F55" s="77"/>
      <c r="G55" s="78"/>
      <c r="H55" s="39"/>
    </row>
    <row r="56" spans="1:8" ht="14.4" x14ac:dyDescent="0.3">
      <c r="A56" s="63" t="s">
        <v>31</v>
      </c>
      <c r="B56" s="64"/>
      <c r="C56" s="65">
        <v>7.5</v>
      </c>
      <c r="D56" s="66"/>
      <c r="E56" s="66"/>
      <c r="F56" s="66"/>
      <c r="G56" s="67"/>
      <c r="H56" s="38"/>
    </row>
    <row r="57" spans="1:8" x14ac:dyDescent="0.25">
      <c r="A57" s="79" t="s">
        <v>20</v>
      </c>
      <c r="B57" s="80"/>
      <c r="C57" s="80"/>
      <c r="D57" s="80"/>
      <c r="E57" s="80"/>
      <c r="F57" s="80"/>
      <c r="G57" s="80"/>
      <c r="H57" s="81"/>
    </row>
    <row r="58" spans="1:8" x14ac:dyDescent="0.25">
      <c r="A58" s="26" t="s">
        <v>8</v>
      </c>
      <c r="B58" s="27" t="s">
        <v>0</v>
      </c>
      <c r="C58" s="57" t="s">
        <v>21</v>
      </c>
      <c r="D58" s="58"/>
      <c r="E58" s="59"/>
      <c r="F58" s="26" t="s">
        <v>22</v>
      </c>
      <c r="G58" s="26" t="s">
        <v>23</v>
      </c>
      <c r="H58" s="26" t="s">
        <v>24</v>
      </c>
    </row>
    <row r="59" spans="1:8" x14ac:dyDescent="0.25">
      <c r="A59" s="24">
        <f t="shared" ref="A59:B65" si="9">IF(A46="","",A46)</f>
        <v>1</v>
      </c>
      <c r="B59" s="28" t="str">
        <f t="shared" si="9"/>
        <v>Main Fabric</v>
      </c>
      <c r="C59" s="60">
        <f t="shared" ref="C59:C65" si="10">IF(H46="","",H46)</f>
        <v>13.200000000000001</v>
      </c>
      <c r="D59" s="61"/>
      <c r="E59" s="62"/>
      <c r="F59" s="24" t="str">
        <f t="shared" ref="F59:F67" si="11">IF(E46="","",E46)</f>
        <v>ALSCO WHITE</v>
      </c>
      <c r="G59" s="42">
        <v>1.68</v>
      </c>
      <c r="H59" s="30">
        <f t="shared" ref="H59:H65" si="12">H46*G59</f>
        <v>22.176000000000002</v>
      </c>
    </row>
    <row r="60" spans="1:8" x14ac:dyDescent="0.25">
      <c r="A60" s="24">
        <f t="shared" si="9"/>
        <v>2</v>
      </c>
      <c r="B60" s="28" t="str">
        <f t="shared" si="9"/>
        <v>Main Label</v>
      </c>
      <c r="C60" s="48">
        <f t="shared" si="10"/>
        <v>12</v>
      </c>
      <c r="D60" s="49"/>
      <c r="E60" s="50"/>
      <c r="F60" s="24" t="str">
        <f t="shared" si="11"/>
        <v>-</v>
      </c>
      <c r="G60" s="43">
        <v>0.05</v>
      </c>
      <c r="H60" s="30">
        <f t="shared" si="12"/>
        <v>0.60000000000000009</v>
      </c>
    </row>
    <row r="61" spans="1:8" x14ac:dyDescent="0.25">
      <c r="A61" s="24">
        <f t="shared" si="9"/>
        <v>3</v>
      </c>
      <c r="B61" s="28" t="str">
        <f t="shared" si="9"/>
        <v>Care Label</v>
      </c>
      <c r="C61" s="48">
        <f t="shared" si="10"/>
        <v>12</v>
      </c>
      <c r="D61" s="49"/>
      <c r="E61" s="50"/>
      <c r="F61" s="24" t="str">
        <f t="shared" si="11"/>
        <v>-</v>
      </c>
      <c r="G61" s="43">
        <v>4.0000000000000001E-3</v>
      </c>
      <c r="H61" s="30">
        <f t="shared" si="12"/>
        <v>4.8000000000000001E-2</v>
      </c>
    </row>
    <row r="62" spans="1:8" x14ac:dyDescent="0.25">
      <c r="A62" s="24">
        <f t="shared" si="9"/>
        <v>4</v>
      </c>
      <c r="B62" s="28" t="str">
        <f t="shared" si="9"/>
        <v>Metal Snap Stud</v>
      </c>
      <c r="C62" s="48">
        <f t="shared" si="10"/>
        <v>72</v>
      </c>
      <c r="D62" s="49"/>
      <c r="E62" s="50"/>
      <c r="F62" s="24" t="str">
        <f t="shared" si="11"/>
        <v>-</v>
      </c>
      <c r="G62" s="29">
        <v>1.4999999999999999E-2</v>
      </c>
      <c r="H62" s="30">
        <f t="shared" si="12"/>
        <v>1.08</v>
      </c>
    </row>
    <row r="63" spans="1:8" x14ac:dyDescent="0.25">
      <c r="A63" s="24">
        <f t="shared" si="9"/>
        <v>5</v>
      </c>
      <c r="B63" s="28" t="str">
        <f t="shared" si="9"/>
        <v xml:space="preserve">Metal Snap Prong </v>
      </c>
      <c r="C63" s="48">
        <f t="shared" si="10"/>
        <v>144</v>
      </c>
      <c r="D63" s="49"/>
      <c r="E63" s="50"/>
      <c r="F63" s="24" t="str">
        <f t="shared" si="11"/>
        <v>-</v>
      </c>
      <c r="G63" s="29">
        <v>8.9999999999999993E-3</v>
      </c>
      <c r="H63" s="30">
        <f t="shared" si="12"/>
        <v>1.2959999999999998</v>
      </c>
    </row>
    <row r="64" spans="1:8" x14ac:dyDescent="0.25">
      <c r="A64" s="24">
        <f t="shared" si="9"/>
        <v>6</v>
      </c>
      <c r="B64" s="28" t="str">
        <f t="shared" si="9"/>
        <v>Metal Snap Socket</v>
      </c>
      <c r="C64" s="48">
        <f t="shared" si="10"/>
        <v>72</v>
      </c>
      <c r="D64" s="49"/>
      <c r="E64" s="50"/>
      <c r="F64" s="24" t="str">
        <f t="shared" si="11"/>
        <v>-</v>
      </c>
      <c r="G64" s="29">
        <v>0.02</v>
      </c>
      <c r="H64" s="30">
        <f t="shared" si="12"/>
        <v>1.44</v>
      </c>
    </row>
    <row r="65" spans="1:8" x14ac:dyDescent="0.25">
      <c r="A65" s="24">
        <f t="shared" si="9"/>
        <v>7</v>
      </c>
      <c r="B65" s="28" t="str">
        <f t="shared" si="9"/>
        <v>Thread Tex40</v>
      </c>
      <c r="C65" s="54">
        <f t="shared" si="10"/>
        <v>0.252</v>
      </c>
      <c r="D65" s="55"/>
      <c r="E65" s="56"/>
      <c r="F65" s="24" t="str">
        <f t="shared" si="11"/>
        <v>DTM Body</v>
      </c>
      <c r="G65" s="29">
        <v>3.5</v>
      </c>
      <c r="H65" s="30">
        <f t="shared" si="12"/>
        <v>0.88200000000000001</v>
      </c>
    </row>
    <row r="66" spans="1:8" x14ac:dyDescent="0.25">
      <c r="A66" s="24">
        <v>8</v>
      </c>
      <c r="B66" s="28" t="s">
        <v>25</v>
      </c>
      <c r="C66" s="51">
        <f>1/72*12</f>
        <v>0.16666666666666666</v>
      </c>
      <c r="D66" s="52"/>
      <c r="E66" s="53"/>
      <c r="F66" s="24" t="str">
        <f t="shared" si="11"/>
        <v/>
      </c>
      <c r="G66" s="29">
        <v>0.99</v>
      </c>
      <c r="H66" s="30">
        <f t="shared" ref="H66:H67" si="13">IF(G66="","",C66*G66)</f>
        <v>0.16499999999999998</v>
      </c>
    </row>
    <row r="67" spans="1:8" x14ac:dyDescent="0.25">
      <c r="A67" s="24">
        <v>9</v>
      </c>
      <c r="B67" s="28" t="s">
        <v>26</v>
      </c>
      <c r="C67" s="51">
        <f>C55</f>
        <v>1.5</v>
      </c>
      <c r="D67" s="52"/>
      <c r="E67" s="53"/>
      <c r="F67" s="24" t="str">
        <f t="shared" si="11"/>
        <v/>
      </c>
      <c r="G67" s="29">
        <v>7.68</v>
      </c>
      <c r="H67" s="30">
        <f t="shared" si="13"/>
        <v>11.52</v>
      </c>
    </row>
    <row r="68" spans="1:8" x14ac:dyDescent="0.25">
      <c r="A68" s="19"/>
      <c r="H68" s="31"/>
    </row>
    <row r="69" spans="1:8" x14ac:dyDescent="0.25">
      <c r="A69" s="19"/>
      <c r="G69" s="32" t="s">
        <v>27</v>
      </c>
      <c r="H69" s="30">
        <f>SUM(H59:H67)</f>
        <v>39.207000000000008</v>
      </c>
    </row>
    <row r="70" spans="1:8" x14ac:dyDescent="0.25">
      <c r="A70" s="19"/>
      <c r="C70" s="15"/>
      <c r="G70" s="32" t="s">
        <v>28</v>
      </c>
      <c r="H70" s="30">
        <f>(H69/12)</f>
        <v>3.2672500000000007</v>
      </c>
    </row>
    <row r="71" spans="1:8" x14ac:dyDescent="0.25">
      <c r="A71" s="19"/>
      <c r="G71" s="13" t="s">
        <v>50</v>
      </c>
      <c r="H71" s="30">
        <f>H70/0.89</f>
        <v>3.6710674157303376</v>
      </c>
    </row>
    <row r="72" spans="1:8" x14ac:dyDescent="0.25">
      <c r="A72" s="19"/>
      <c r="G72" s="13" t="s">
        <v>45</v>
      </c>
      <c r="H72" s="30">
        <f>H70*0.26</f>
        <v>0.84948500000000016</v>
      </c>
    </row>
    <row r="73" spans="1:8" x14ac:dyDescent="0.25">
      <c r="A73" s="19"/>
      <c r="G73" s="13" t="s">
        <v>47</v>
      </c>
      <c r="H73" s="30">
        <f>15000/(1170*72)</f>
        <v>0.17806267806267806</v>
      </c>
    </row>
    <row r="74" spans="1:8" x14ac:dyDescent="0.25">
      <c r="A74" s="19"/>
      <c r="G74" s="13" t="s">
        <v>46</v>
      </c>
      <c r="H74" s="30">
        <v>4.7</v>
      </c>
    </row>
    <row r="75" spans="1:8" x14ac:dyDescent="0.25">
      <c r="A75" s="19"/>
      <c r="G75" s="13" t="s">
        <v>29</v>
      </c>
      <c r="H75" s="33">
        <f>(H71-H70)/H71</f>
        <v>0.10999999999999995</v>
      </c>
    </row>
    <row r="77" spans="1:8" ht="17.399999999999999" x14ac:dyDescent="0.25">
      <c r="A77" s="19"/>
      <c r="E77" s="47" t="s">
        <v>49</v>
      </c>
      <c r="H77" s="31"/>
    </row>
    <row r="78" spans="1:8" x14ac:dyDescent="0.25">
      <c r="A78" s="68" t="s">
        <v>7</v>
      </c>
      <c r="B78" s="68"/>
      <c r="C78" s="68"/>
      <c r="D78" s="68"/>
      <c r="E78" s="68"/>
      <c r="F78" s="68"/>
      <c r="G78" s="68"/>
      <c r="H78" s="68"/>
    </row>
    <row r="79" spans="1:8" x14ac:dyDescent="0.25">
      <c r="A79" s="20" t="s">
        <v>8</v>
      </c>
      <c r="B79" s="21" t="s">
        <v>0</v>
      </c>
      <c r="C79" s="69" t="s">
        <v>9</v>
      </c>
      <c r="D79" s="70"/>
      <c r="E79" s="20" t="s">
        <v>10</v>
      </c>
      <c r="F79" s="20" t="s">
        <v>11</v>
      </c>
      <c r="G79" s="20" t="s">
        <v>12</v>
      </c>
      <c r="H79" s="20" t="s">
        <v>13</v>
      </c>
    </row>
    <row r="80" spans="1:8" x14ac:dyDescent="0.25">
      <c r="A80" s="22">
        <v>1</v>
      </c>
      <c r="B80" s="23" t="s">
        <v>1</v>
      </c>
      <c r="C80" s="71" t="s">
        <v>36</v>
      </c>
      <c r="D80" s="72"/>
      <c r="E80" s="24" t="s">
        <v>37</v>
      </c>
      <c r="F80" s="24" t="s">
        <v>38</v>
      </c>
      <c r="G80" s="35">
        <v>1.165</v>
      </c>
      <c r="H80" s="35">
        <f t="shared" ref="H80:H86" si="14">IF(G80="","",G80*12)</f>
        <v>13.98</v>
      </c>
    </row>
    <row r="81" spans="1:8" x14ac:dyDescent="0.25">
      <c r="A81" s="22">
        <v>2</v>
      </c>
      <c r="B81" s="23" t="s">
        <v>43</v>
      </c>
      <c r="C81" s="71" t="s">
        <v>30</v>
      </c>
      <c r="D81" s="72"/>
      <c r="E81" s="24" t="s">
        <v>14</v>
      </c>
      <c r="F81" s="24" t="s">
        <v>14</v>
      </c>
      <c r="G81" s="25">
        <v>1</v>
      </c>
      <c r="H81" s="25">
        <f t="shared" si="14"/>
        <v>12</v>
      </c>
    </row>
    <row r="82" spans="1:8" x14ac:dyDescent="0.25">
      <c r="A82" s="22">
        <v>3</v>
      </c>
      <c r="B82" s="23" t="s">
        <v>44</v>
      </c>
      <c r="C82" s="71" t="s">
        <v>44</v>
      </c>
      <c r="D82" s="72"/>
      <c r="E82" s="24" t="s">
        <v>14</v>
      </c>
      <c r="F82" s="24" t="s">
        <v>14</v>
      </c>
      <c r="G82" s="25">
        <v>1</v>
      </c>
      <c r="H82" s="25">
        <f t="shared" si="14"/>
        <v>12</v>
      </c>
    </row>
    <row r="83" spans="1:8" x14ac:dyDescent="0.25">
      <c r="A83" s="22">
        <v>4</v>
      </c>
      <c r="B83" s="23" t="s">
        <v>32</v>
      </c>
      <c r="C83" s="71" t="s">
        <v>42</v>
      </c>
      <c r="D83" s="72"/>
      <c r="E83" s="24" t="s">
        <v>14</v>
      </c>
      <c r="F83" s="24" t="s">
        <v>14</v>
      </c>
      <c r="G83" s="25">
        <v>6</v>
      </c>
      <c r="H83" s="25">
        <f t="shared" si="14"/>
        <v>72</v>
      </c>
    </row>
    <row r="84" spans="1:8" x14ac:dyDescent="0.25">
      <c r="A84" s="22">
        <v>5</v>
      </c>
      <c r="B84" s="23" t="s">
        <v>33</v>
      </c>
      <c r="C84" s="71" t="s">
        <v>42</v>
      </c>
      <c r="D84" s="72"/>
      <c r="E84" s="24" t="s">
        <v>14</v>
      </c>
      <c r="F84" s="24" t="s">
        <v>14</v>
      </c>
      <c r="G84" s="25">
        <v>12</v>
      </c>
      <c r="H84" s="25">
        <f t="shared" si="14"/>
        <v>144</v>
      </c>
    </row>
    <row r="85" spans="1:8" x14ac:dyDescent="0.25">
      <c r="A85" s="22">
        <v>6</v>
      </c>
      <c r="B85" s="23" t="s">
        <v>34</v>
      </c>
      <c r="C85" s="71" t="s">
        <v>42</v>
      </c>
      <c r="D85" s="72"/>
      <c r="E85" s="24" t="s">
        <v>14</v>
      </c>
      <c r="F85" s="24" t="s">
        <v>14</v>
      </c>
      <c r="G85" s="25">
        <v>6</v>
      </c>
      <c r="H85" s="25">
        <f t="shared" si="14"/>
        <v>72</v>
      </c>
    </row>
    <row r="86" spans="1:8" x14ac:dyDescent="0.25">
      <c r="A86" s="37">
        <v>7</v>
      </c>
      <c r="B86" s="34" t="s">
        <v>2</v>
      </c>
      <c r="C86" s="71" t="s">
        <v>15</v>
      </c>
      <c r="D86" s="72"/>
      <c r="E86" s="24" t="s">
        <v>3</v>
      </c>
      <c r="F86" s="24" t="s">
        <v>16</v>
      </c>
      <c r="G86" s="36">
        <v>2.1000000000000001E-2</v>
      </c>
      <c r="H86" s="36">
        <f t="shared" si="14"/>
        <v>0.252</v>
      </c>
    </row>
    <row r="87" spans="1:8" x14ac:dyDescent="0.25">
      <c r="A87" s="73" t="s">
        <v>17</v>
      </c>
      <c r="B87" s="74"/>
      <c r="C87" s="74"/>
      <c r="D87" s="74"/>
      <c r="E87" s="74"/>
      <c r="F87" s="74"/>
      <c r="G87" s="74"/>
      <c r="H87" s="75"/>
    </row>
    <row r="88" spans="1:8" x14ac:dyDescent="0.25">
      <c r="A88" s="82" t="s">
        <v>18</v>
      </c>
      <c r="B88" s="83"/>
      <c r="C88" s="57" t="s">
        <v>19</v>
      </c>
      <c r="D88" s="58"/>
      <c r="E88" s="58"/>
      <c r="F88" s="58"/>
      <c r="G88" s="58"/>
      <c r="H88" s="59"/>
    </row>
    <row r="89" spans="1:8" ht="14.4" x14ac:dyDescent="0.3">
      <c r="A89" s="84">
        <f>A70</f>
        <v>0</v>
      </c>
      <c r="B89" s="85"/>
      <c r="C89" s="76">
        <f>(SUM(C90:G90)*12)/60</f>
        <v>1.5</v>
      </c>
      <c r="D89" s="77"/>
      <c r="E89" s="77"/>
      <c r="F89" s="77"/>
      <c r="G89" s="78"/>
      <c r="H89" s="39"/>
    </row>
    <row r="90" spans="1:8" ht="14.4" x14ac:dyDescent="0.3">
      <c r="A90" s="63" t="s">
        <v>31</v>
      </c>
      <c r="B90" s="64"/>
      <c r="C90" s="65">
        <v>7.5</v>
      </c>
      <c r="D90" s="66"/>
      <c r="E90" s="66"/>
      <c r="F90" s="66"/>
      <c r="G90" s="67"/>
      <c r="H90" s="38"/>
    </row>
    <row r="91" spans="1:8" x14ac:dyDescent="0.25">
      <c r="A91" s="79" t="s">
        <v>20</v>
      </c>
      <c r="B91" s="80"/>
      <c r="C91" s="80"/>
      <c r="D91" s="80"/>
      <c r="E91" s="80"/>
      <c r="F91" s="80"/>
      <c r="G91" s="80"/>
      <c r="H91" s="81"/>
    </row>
    <row r="92" spans="1:8" x14ac:dyDescent="0.25">
      <c r="A92" s="26" t="s">
        <v>8</v>
      </c>
      <c r="B92" s="27" t="s">
        <v>0</v>
      </c>
      <c r="C92" s="57" t="s">
        <v>21</v>
      </c>
      <c r="D92" s="58"/>
      <c r="E92" s="59"/>
      <c r="F92" s="26" t="s">
        <v>22</v>
      </c>
      <c r="G92" s="26" t="s">
        <v>23</v>
      </c>
      <c r="H92" s="26" t="s">
        <v>24</v>
      </c>
    </row>
    <row r="93" spans="1:8" x14ac:dyDescent="0.25">
      <c r="A93" s="24">
        <f t="shared" ref="A93:B93" si="15">IF(A80="","",A80)</f>
        <v>1</v>
      </c>
      <c r="B93" s="28" t="str">
        <f t="shared" si="15"/>
        <v>Main Fabric</v>
      </c>
      <c r="C93" s="60">
        <f t="shared" ref="C93:C99" si="16">IF(H80="","",H80)</f>
        <v>13.98</v>
      </c>
      <c r="D93" s="61"/>
      <c r="E93" s="62"/>
      <c r="F93" s="24" t="str">
        <f t="shared" ref="F93:F101" si="17">IF(E80="","",E80)</f>
        <v>ALSCO WHITE</v>
      </c>
      <c r="G93" s="42">
        <v>1.68</v>
      </c>
      <c r="H93" s="30">
        <f t="shared" ref="H93:H99" si="18">H80*G93</f>
        <v>23.4864</v>
      </c>
    </row>
    <row r="94" spans="1:8" x14ac:dyDescent="0.25">
      <c r="A94" s="24">
        <f t="shared" ref="A94:B94" si="19">IF(A81="","",A81)</f>
        <v>2</v>
      </c>
      <c r="B94" s="28" t="str">
        <f t="shared" si="19"/>
        <v>Main Label</v>
      </c>
      <c r="C94" s="48">
        <f t="shared" si="16"/>
        <v>12</v>
      </c>
      <c r="D94" s="49"/>
      <c r="E94" s="50"/>
      <c r="F94" s="24" t="str">
        <f t="shared" si="17"/>
        <v>-</v>
      </c>
      <c r="G94" s="43">
        <v>0.05</v>
      </c>
      <c r="H94" s="30">
        <f t="shared" si="18"/>
        <v>0.60000000000000009</v>
      </c>
    </row>
    <row r="95" spans="1:8" x14ac:dyDescent="0.25">
      <c r="A95" s="24">
        <f t="shared" ref="A95:B95" si="20">IF(A82="","",A82)</f>
        <v>3</v>
      </c>
      <c r="B95" s="28" t="str">
        <f t="shared" si="20"/>
        <v>Care Label</v>
      </c>
      <c r="C95" s="48">
        <f t="shared" si="16"/>
        <v>12</v>
      </c>
      <c r="D95" s="49"/>
      <c r="E95" s="50"/>
      <c r="F95" s="24" t="str">
        <f t="shared" si="17"/>
        <v>-</v>
      </c>
      <c r="G95" s="43">
        <v>8.0000000000000002E-3</v>
      </c>
      <c r="H95" s="30">
        <f t="shared" si="18"/>
        <v>9.6000000000000002E-2</v>
      </c>
    </row>
    <row r="96" spans="1:8" x14ac:dyDescent="0.25">
      <c r="A96" s="24">
        <f t="shared" ref="A96:B96" si="21">IF(A83="","",A83)</f>
        <v>4</v>
      </c>
      <c r="B96" s="28" t="str">
        <f t="shared" si="21"/>
        <v>Metal Snap Stud</v>
      </c>
      <c r="C96" s="48">
        <f t="shared" si="16"/>
        <v>72</v>
      </c>
      <c r="D96" s="49"/>
      <c r="E96" s="50"/>
      <c r="F96" s="24" t="str">
        <f t="shared" si="17"/>
        <v>-</v>
      </c>
      <c r="G96" s="29">
        <v>1.4999999999999999E-2</v>
      </c>
      <c r="H96" s="30">
        <f t="shared" si="18"/>
        <v>1.08</v>
      </c>
    </row>
    <row r="97" spans="1:8" x14ac:dyDescent="0.25">
      <c r="A97" s="24">
        <f t="shared" ref="A97:B97" si="22">IF(A84="","",A84)</f>
        <v>5</v>
      </c>
      <c r="B97" s="28" t="str">
        <f t="shared" si="22"/>
        <v xml:space="preserve">Metal Snap Prong </v>
      </c>
      <c r="C97" s="48">
        <f t="shared" si="16"/>
        <v>144</v>
      </c>
      <c r="D97" s="49"/>
      <c r="E97" s="50"/>
      <c r="F97" s="24" t="str">
        <f t="shared" si="17"/>
        <v>-</v>
      </c>
      <c r="G97" s="29">
        <v>0.01</v>
      </c>
      <c r="H97" s="30">
        <f t="shared" si="18"/>
        <v>1.44</v>
      </c>
    </row>
    <row r="98" spans="1:8" x14ac:dyDescent="0.25">
      <c r="A98" s="24">
        <f t="shared" ref="A98:B98" si="23">IF(A85="","",A85)</f>
        <v>6</v>
      </c>
      <c r="B98" s="28" t="str">
        <f t="shared" si="23"/>
        <v>Metal Snap Socket</v>
      </c>
      <c r="C98" s="48">
        <f t="shared" si="16"/>
        <v>72</v>
      </c>
      <c r="D98" s="49"/>
      <c r="E98" s="50"/>
      <c r="F98" s="24" t="str">
        <f t="shared" si="17"/>
        <v>-</v>
      </c>
      <c r="G98" s="29">
        <v>0.02</v>
      </c>
      <c r="H98" s="30">
        <f t="shared" si="18"/>
        <v>1.44</v>
      </c>
    </row>
    <row r="99" spans="1:8" x14ac:dyDescent="0.25">
      <c r="A99" s="24">
        <f t="shared" ref="A99:B99" si="24">IF(A86="","",A86)</f>
        <v>7</v>
      </c>
      <c r="B99" s="28" t="str">
        <f t="shared" si="24"/>
        <v>Thread Tex40</v>
      </c>
      <c r="C99" s="54">
        <f t="shared" si="16"/>
        <v>0.252</v>
      </c>
      <c r="D99" s="55"/>
      <c r="E99" s="56"/>
      <c r="F99" s="24" t="str">
        <f t="shared" si="17"/>
        <v>DTM Body</v>
      </c>
      <c r="G99" s="29">
        <v>3.5</v>
      </c>
      <c r="H99" s="30">
        <f t="shared" si="18"/>
        <v>0.88200000000000001</v>
      </c>
    </row>
    <row r="100" spans="1:8" x14ac:dyDescent="0.25">
      <c r="A100" s="24">
        <v>8</v>
      </c>
      <c r="B100" s="28" t="s">
        <v>25</v>
      </c>
      <c r="C100" s="51">
        <f>1/72*12</f>
        <v>0.16666666666666666</v>
      </c>
      <c r="D100" s="52"/>
      <c r="E100" s="53"/>
      <c r="F100" s="24" t="str">
        <f t="shared" si="17"/>
        <v/>
      </c>
      <c r="G100" s="29">
        <v>0.9</v>
      </c>
      <c r="H100" s="30">
        <f t="shared" ref="H100:H101" si="25">IF(G100="","",C100*G100)</f>
        <v>0.15</v>
      </c>
    </row>
    <row r="101" spans="1:8" x14ac:dyDescent="0.25">
      <c r="A101" s="24">
        <v>9</v>
      </c>
      <c r="B101" s="28" t="s">
        <v>26</v>
      </c>
      <c r="C101" s="51">
        <f>C89</f>
        <v>1.5</v>
      </c>
      <c r="D101" s="52"/>
      <c r="E101" s="53"/>
      <c r="F101" s="24" t="str">
        <f t="shared" si="17"/>
        <v/>
      </c>
      <c r="G101" s="29">
        <v>7.68</v>
      </c>
      <c r="H101" s="30">
        <f t="shared" si="25"/>
        <v>11.52</v>
      </c>
    </row>
    <row r="102" spans="1:8" x14ac:dyDescent="0.25">
      <c r="A102" s="19"/>
      <c r="H102" s="31"/>
    </row>
    <row r="103" spans="1:8" x14ac:dyDescent="0.25">
      <c r="A103" s="19"/>
      <c r="G103" s="32" t="s">
        <v>27</v>
      </c>
      <c r="H103" s="30">
        <f>SUM(H93:H101)</f>
        <v>40.694400000000002</v>
      </c>
    </row>
    <row r="104" spans="1:8" x14ac:dyDescent="0.25">
      <c r="A104" s="19"/>
      <c r="C104" s="15"/>
      <c r="G104" s="32" t="s">
        <v>28</v>
      </c>
      <c r="H104" s="30">
        <f>(H103/12)</f>
        <v>3.3912</v>
      </c>
    </row>
    <row r="105" spans="1:8" x14ac:dyDescent="0.25">
      <c r="A105" s="19"/>
      <c r="G105" s="13" t="s">
        <v>50</v>
      </c>
      <c r="H105" s="30">
        <f>H104/0.9</f>
        <v>3.7679999999999998</v>
      </c>
    </row>
    <row r="106" spans="1:8" x14ac:dyDescent="0.25">
      <c r="A106" s="19"/>
      <c r="G106" s="13" t="s">
        <v>45</v>
      </c>
      <c r="H106" s="30">
        <f>H104*0.26</f>
        <v>0.88171200000000005</v>
      </c>
    </row>
    <row r="107" spans="1:8" x14ac:dyDescent="0.25">
      <c r="A107" s="19"/>
      <c r="G107" s="13" t="s">
        <v>47</v>
      </c>
      <c r="H107" s="30">
        <f>15000/(1170*60)</f>
        <v>0.21367521367521367</v>
      </c>
    </row>
    <row r="108" spans="1:8" x14ac:dyDescent="0.25">
      <c r="A108" s="19"/>
      <c r="G108" s="13" t="s">
        <v>46</v>
      </c>
      <c r="H108" s="30">
        <v>4.91</v>
      </c>
    </row>
    <row r="109" spans="1:8" x14ac:dyDescent="0.25">
      <c r="A109" s="19"/>
      <c r="G109" s="13" t="s">
        <v>29</v>
      </c>
      <c r="H109" s="33">
        <f>(H105-H104)/H105</f>
        <v>9.999999999999995E-2</v>
      </c>
    </row>
    <row r="111" spans="1:8" ht="13.8" x14ac:dyDescent="0.25">
      <c r="A111" s="91" t="s">
        <v>6</v>
      </c>
      <c r="B111" s="92"/>
      <c r="C111" s="92"/>
      <c r="D111" s="92"/>
      <c r="E111" s="92"/>
      <c r="F111" s="92"/>
      <c r="G111" s="92"/>
      <c r="H111" s="93"/>
    </row>
    <row r="112" spans="1:8" x14ac:dyDescent="0.25">
      <c r="A112" s="94" t="s">
        <v>35</v>
      </c>
      <c r="B112" s="95"/>
      <c r="C112" s="95"/>
      <c r="D112" s="95"/>
      <c r="E112" s="95"/>
      <c r="F112" s="95"/>
      <c r="G112" s="95"/>
      <c r="H112" s="96"/>
    </row>
    <row r="113" spans="1:8" x14ac:dyDescent="0.25">
      <c r="A113" s="94" t="s">
        <v>40</v>
      </c>
      <c r="B113" s="95"/>
      <c r="C113" s="95"/>
      <c r="D113" s="95"/>
      <c r="E113" s="95"/>
      <c r="F113" s="95"/>
      <c r="G113" s="95"/>
      <c r="H113" s="96"/>
    </row>
    <row r="114" spans="1:8" x14ac:dyDescent="0.25">
      <c r="A114" s="94" t="s">
        <v>41</v>
      </c>
      <c r="B114" s="95"/>
      <c r="C114" s="95"/>
      <c r="D114" s="95"/>
      <c r="E114" s="95"/>
      <c r="F114" s="95"/>
      <c r="G114" s="95"/>
      <c r="H114" s="96"/>
    </row>
    <row r="115" spans="1:8" x14ac:dyDescent="0.25">
      <c r="A115" s="44"/>
      <c r="B115" s="45"/>
      <c r="C115" s="45"/>
      <c r="D115" s="45"/>
      <c r="E115" s="45">
        <v>108</v>
      </c>
      <c r="F115" s="45"/>
      <c r="G115" s="45"/>
      <c r="H115" s="46"/>
    </row>
    <row r="116" spans="1:8" ht="17.399999999999999" x14ac:dyDescent="0.25">
      <c r="A116" s="16"/>
      <c r="B116" s="17"/>
      <c r="C116" s="17"/>
      <c r="D116" s="17"/>
      <c r="E116" s="47" t="s">
        <v>51</v>
      </c>
      <c r="F116" s="17"/>
      <c r="G116" s="17"/>
      <c r="H116" s="18"/>
    </row>
    <row r="117" spans="1:8" x14ac:dyDescent="0.25">
      <c r="A117" s="68" t="s">
        <v>7</v>
      </c>
      <c r="B117" s="68"/>
      <c r="C117" s="68"/>
      <c r="D117" s="68"/>
      <c r="E117" s="68"/>
      <c r="F117" s="68"/>
      <c r="G117" s="68"/>
      <c r="H117" s="68"/>
    </row>
    <row r="118" spans="1:8" x14ac:dyDescent="0.25">
      <c r="A118" s="20" t="s">
        <v>8</v>
      </c>
      <c r="B118" s="21" t="s">
        <v>0</v>
      </c>
      <c r="C118" s="69" t="s">
        <v>9</v>
      </c>
      <c r="D118" s="70"/>
      <c r="E118" s="20" t="s">
        <v>10</v>
      </c>
      <c r="F118" s="20" t="s">
        <v>11</v>
      </c>
      <c r="G118" s="20" t="s">
        <v>12</v>
      </c>
      <c r="H118" s="20" t="s">
        <v>13</v>
      </c>
    </row>
    <row r="119" spans="1:8" x14ac:dyDescent="0.25">
      <c r="A119" s="22">
        <v>1</v>
      </c>
      <c r="B119" s="23" t="s">
        <v>1</v>
      </c>
      <c r="C119" s="71" t="s">
        <v>36</v>
      </c>
      <c r="D119" s="72"/>
      <c r="E119" s="24" t="s">
        <v>52</v>
      </c>
      <c r="F119" s="24" t="s">
        <v>38</v>
      </c>
      <c r="G119" s="35">
        <v>0.89</v>
      </c>
      <c r="H119" s="35">
        <f t="shared" ref="H119:H125" si="26">IF(G119="","",G119*12)</f>
        <v>10.68</v>
      </c>
    </row>
    <row r="120" spans="1:8" x14ac:dyDescent="0.25">
      <c r="A120" s="22">
        <v>2</v>
      </c>
      <c r="B120" s="23" t="s">
        <v>43</v>
      </c>
      <c r="C120" s="71" t="s">
        <v>30</v>
      </c>
      <c r="D120" s="72"/>
      <c r="E120" s="24" t="s">
        <v>14</v>
      </c>
      <c r="F120" s="24" t="s">
        <v>14</v>
      </c>
      <c r="G120" s="25">
        <v>1</v>
      </c>
      <c r="H120" s="25">
        <f t="shared" si="26"/>
        <v>12</v>
      </c>
    </row>
    <row r="121" spans="1:8" x14ac:dyDescent="0.25">
      <c r="A121" s="22">
        <v>3</v>
      </c>
      <c r="B121" s="23" t="s">
        <v>44</v>
      </c>
      <c r="C121" s="71" t="s">
        <v>44</v>
      </c>
      <c r="D121" s="72"/>
      <c r="E121" s="24" t="s">
        <v>14</v>
      </c>
      <c r="F121" s="24" t="s">
        <v>14</v>
      </c>
      <c r="G121" s="25">
        <v>1</v>
      </c>
      <c r="H121" s="25">
        <f t="shared" si="26"/>
        <v>12</v>
      </c>
    </row>
    <row r="122" spans="1:8" x14ac:dyDescent="0.25">
      <c r="A122" s="22">
        <v>4</v>
      </c>
      <c r="B122" s="23" t="s">
        <v>32</v>
      </c>
      <c r="C122" s="71" t="s">
        <v>42</v>
      </c>
      <c r="D122" s="72"/>
      <c r="E122" s="24" t="s">
        <v>14</v>
      </c>
      <c r="F122" s="24" t="s">
        <v>14</v>
      </c>
      <c r="G122" s="25">
        <v>6</v>
      </c>
      <c r="H122" s="25">
        <f t="shared" si="26"/>
        <v>72</v>
      </c>
    </row>
    <row r="123" spans="1:8" x14ac:dyDescent="0.25">
      <c r="A123" s="22">
        <v>5</v>
      </c>
      <c r="B123" s="23" t="s">
        <v>33</v>
      </c>
      <c r="C123" s="71" t="s">
        <v>42</v>
      </c>
      <c r="D123" s="72"/>
      <c r="E123" s="24" t="s">
        <v>14</v>
      </c>
      <c r="F123" s="24" t="s">
        <v>14</v>
      </c>
      <c r="G123" s="25">
        <v>12</v>
      </c>
      <c r="H123" s="25">
        <f t="shared" si="26"/>
        <v>144</v>
      </c>
    </row>
    <row r="124" spans="1:8" x14ac:dyDescent="0.25">
      <c r="A124" s="22">
        <v>6</v>
      </c>
      <c r="B124" s="23" t="s">
        <v>34</v>
      </c>
      <c r="C124" s="71" t="s">
        <v>42</v>
      </c>
      <c r="D124" s="72"/>
      <c r="E124" s="24" t="s">
        <v>14</v>
      </c>
      <c r="F124" s="24" t="s">
        <v>14</v>
      </c>
      <c r="G124" s="25">
        <v>6</v>
      </c>
      <c r="H124" s="25">
        <f t="shared" si="26"/>
        <v>72</v>
      </c>
    </row>
    <row r="125" spans="1:8" x14ac:dyDescent="0.25">
      <c r="A125" s="37">
        <v>7</v>
      </c>
      <c r="B125" s="34" t="s">
        <v>2</v>
      </c>
      <c r="C125" s="71" t="s">
        <v>15</v>
      </c>
      <c r="D125" s="72"/>
      <c r="E125" s="24" t="s">
        <v>3</v>
      </c>
      <c r="F125" s="24" t="s">
        <v>16</v>
      </c>
      <c r="G125" s="36">
        <v>2.1000000000000001E-2</v>
      </c>
      <c r="H125" s="36">
        <f t="shared" si="26"/>
        <v>0.252</v>
      </c>
    </row>
    <row r="126" spans="1:8" x14ac:dyDescent="0.25">
      <c r="A126" s="73" t="s">
        <v>17</v>
      </c>
      <c r="B126" s="74"/>
      <c r="C126" s="74"/>
      <c r="D126" s="74"/>
      <c r="E126" s="74"/>
      <c r="F126" s="74"/>
      <c r="G126" s="74"/>
      <c r="H126" s="75"/>
    </row>
    <row r="127" spans="1:8" x14ac:dyDescent="0.25">
      <c r="A127" s="82" t="s">
        <v>18</v>
      </c>
      <c r="B127" s="83"/>
      <c r="C127" s="57" t="s">
        <v>19</v>
      </c>
      <c r="D127" s="58"/>
      <c r="E127" s="58"/>
      <c r="F127" s="58"/>
      <c r="G127" s="58"/>
      <c r="H127" s="59"/>
    </row>
    <row r="128" spans="1:8" ht="14.4" x14ac:dyDescent="0.3">
      <c r="A128" s="84">
        <f>A108</f>
        <v>0</v>
      </c>
      <c r="B128" s="85"/>
      <c r="C128" s="76">
        <f>(SUM(C129:G129)*12)/60</f>
        <v>1.5</v>
      </c>
      <c r="D128" s="77"/>
      <c r="E128" s="77"/>
      <c r="F128" s="77"/>
      <c r="G128" s="78"/>
      <c r="H128" s="39"/>
    </row>
    <row r="129" spans="1:8" ht="14.4" x14ac:dyDescent="0.3">
      <c r="A129" s="63" t="s">
        <v>31</v>
      </c>
      <c r="B129" s="64"/>
      <c r="C129" s="65">
        <v>7.5</v>
      </c>
      <c r="D129" s="66"/>
      <c r="E129" s="66"/>
      <c r="F129" s="66"/>
      <c r="G129" s="67"/>
      <c r="H129" s="38"/>
    </row>
    <row r="130" spans="1:8" x14ac:dyDescent="0.25">
      <c r="A130" s="79" t="s">
        <v>20</v>
      </c>
      <c r="B130" s="80"/>
      <c r="C130" s="80"/>
      <c r="D130" s="80"/>
      <c r="E130" s="80"/>
      <c r="F130" s="80"/>
      <c r="G130" s="80"/>
      <c r="H130" s="81"/>
    </row>
    <row r="131" spans="1:8" x14ac:dyDescent="0.25">
      <c r="A131" s="26" t="s">
        <v>8</v>
      </c>
      <c r="B131" s="27" t="s">
        <v>0</v>
      </c>
      <c r="C131" s="57" t="s">
        <v>21</v>
      </c>
      <c r="D131" s="58"/>
      <c r="E131" s="59"/>
      <c r="F131" s="26" t="s">
        <v>22</v>
      </c>
      <c r="G131" s="26" t="s">
        <v>23</v>
      </c>
      <c r="H131" s="26" t="s">
        <v>24</v>
      </c>
    </row>
    <row r="132" spans="1:8" x14ac:dyDescent="0.25">
      <c r="A132" s="24">
        <f t="shared" ref="A132:B132" si="27">IF(A119="","",A119)</f>
        <v>1</v>
      </c>
      <c r="B132" s="28" t="str">
        <f t="shared" si="27"/>
        <v>Main Fabric</v>
      </c>
      <c r="C132" s="60">
        <f t="shared" ref="C132:C138" si="28">IF(H119="","",H119)</f>
        <v>10.68</v>
      </c>
      <c r="D132" s="61"/>
      <c r="E132" s="62"/>
      <c r="F132" s="24" t="str">
        <f t="shared" ref="F132:F140" si="29">IF(E119="","",E119)</f>
        <v>black navy</v>
      </c>
      <c r="G132" s="42">
        <v>1.845</v>
      </c>
      <c r="H132" s="30">
        <f t="shared" ref="H132:H138" si="30">H119*G132</f>
        <v>19.704599999999999</v>
      </c>
    </row>
    <row r="133" spans="1:8" x14ac:dyDescent="0.25">
      <c r="A133" s="24">
        <f t="shared" ref="A133:B133" si="31">IF(A120="","",A120)</f>
        <v>2</v>
      </c>
      <c r="B133" s="28" t="str">
        <f t="shared" si="31"/>
        <v>Main Label</v>
      </c>
      <c r="C133" s="48">
        <f t="shared" si="28"/>
        <v>12</v>
      </c>
      <c r="D133" s="49"/>
      <c r="E133" s="50"/>
      <c r="F133" s="24" t="str">
        <f t="shared" si="29"/>
        <v>-</v>
      </c>
      <c r="G133" s="43">
        <v>0.05</v>
      </c>
      <c r="H133" s="30">
        <f t="shared" si="30"/>
        <v>0.60000000000000009</v>
      </c>
    </row>
    <row r="134" spans="1:8" x14ac:dyDescent="0.25">
      <c r="A134" s="24">
        <f t="shared" ref="A134:B134" si="32">IF(A121="","",A121)</f>
        <v>3</v>
      </c>
      <c r="B134" s="28" t="str">
        <f t="shared" si="32"/>
        <v>Care Label</v>
      </c>
      <c r="C134" s="48">
        <f t="shared" si="28"/>
        <v>12</v>
      </c>
      <c r="D134" s="49"/>
      <c r="E134" s="50"/>
      <c r="F134" s="24" t="str">
        <f t="shared" si="29"/>
        <v>-</v>
      </c>
      <c r="G134" s="43">
        <v>4.0000000000000001E-3</v>
      </c>
      <c r="H134" s="30">
        <f t="shared" si="30"/>
        <v>4.8000000000000001E-2</v>
      </c>
    </row>
    <row r="135" spans="1:8" x14ac:dyDescent="0.25">
      <c r="A135" s="24">
        <f t="shared" ref="A135:B135" si="33">IF(A122="","",A122)</f>
        <v>4</v>
      </c>
      <c r="B135" s="28" t="str">
        <f t="shared" si="33"/>
        <v>Metal Snap Stud</v>
      </c>
      <c r="C135" s="48">
        <f t="shared" si="28"/>
        <v>72</v>
      </c>
      <c r="D135" s="49"/>
      <c r="E135" s="50"/>
      <c r="F135" s="24" t="str">
        <f t="shared" si="29"/>
        <v>-</v>
      </c>
      <c r="G135" s="29">
        <v>0.02</v>
      </c>
      <c r="H135" s="30">
        <f t="shared" si="30"/>
        <v>1.44</v>
      </c>
    </row>
    <row r="136" spans="1:8" x14ac:dyDescent="0.25">
      <c r="A136" s="24">
        <f t="shared" ref="A136:B136" si="34">IF(A123="","",A123)</f>
        <v>5</v>
      </c>
      <c r="B136" s="28" t="str">
        <f t="shared" si="34"/>
        <v xml:space="preserve">Metal Snap Prong </v>
      </c>
      <c r="C136" s="48">
        <f t="shared" si="28"/>
        <v>144</v>
      </c>
      <c r="D136" s="49"/>
      <c r="E136" s="50"/>
      <c r="F136" s="24" t="str">
        <f t="shared" si="29"/>
        <v>-</v>
      </c>
      <c r="G136" s="29">
        <v>0.01</v>
      </c>
      <c r="H136" s="30">
        <f t="shared" si="30"/>
        <v>1.44</v>
      </c>
    </row>
    <row r="137" spans="1:8" x14ac:dyDescent="0.25">
      <c r="A137" s="24">
        <f t="shared" ref="A137:B137" si="35">IF(A124="","",A124)</f>
        <v>6</v>
      </c>
      <c r="B137" s="28" t="str">
        <f t="shared" si="35"/>
        <v>Metal Snap Socket</v>
      </c>
      <c r="C137" s="48">
        <f t="shared" si="28"/>
        <v>72</v>
      </c>
      <c r="D137" s="49"/>
      <c r="E137" s="50"/>
      <c r="F137" s="24" t="str">
        <f t="shared" si="29"/>
        <v>-</v>
      </c>
      <c r="G137" s="29">
        <v>1.4999999999999999E-2</v>
      </c>
      <c r="H137" s="30">
        <f t="shared" si="30"/>
        <v>1.08</v>
      </c>
    </row>
    <row r="138" spans="1:8" x14ac:dyDescent="0.25">
      <c r="A138" s="24">
        <f t="shared" ref="A138:B138" si="36">IF(A125="","",A125)</f>
        <v>7</v>
      </c>
      <c r="B138" s="28" t="str">
        <f t="shared" si="36"/>
        <v>Thread Tex40</v>
      </c>
      <c r="C138" s="54">
        <f t="shared" si="28"/>
        <v>0.252</v>
      </c>
      <c r="D138" s="55"/>
      <c r="E138" s="56"/>
      <c r="F138" s="24" t="str">
        <f t="shared" si="29"/>
        <v>DTM Body</v>
      </c>
      <c r="G138" s="29">
        <v>4</v>
      </c>
      <c r="H138" s="30">
        <f t="shared" si="30"/>
        <v>1.008</v>
      </c>
    </row>
    <row r="139" spans="1:8" x14ac:dyDescent="0.25">
      <c r="A139" s="24">
        <v>8</v>
      </c>
      <c r="B139" s="28" t="s">
        <v>25</v>
      </c>
      <c r="C139" s="51">
        <f>1/72*12</f>
        <v>0.16666666666666666</v>
      </c>
      <c r="D139" s="52"/>
      <c r="E139" s="53"/>
      <c r="F139" s="24" t="str">
        <f t="shared" si="29"/>
        <v/>
      </c>
      <c r="G139" s="29">
        <v>0.99</v>
      </c>
      <c r="H139" s="30">
        <f t="shared" ref="H139:H140" si="37">IF(G139="","",C139*G139)</f>
        <v>0.16499999999999998</v>
      </c>
    </row>
    <row r="140" spans="1:8" x14ac:dyDescent="0.25">
      <c r="A140" s="24">
        <v>9</v>
      </c>
      <c r="B140" s="28" t="s">
        <v>26</v>
      </c>
      <c r="C140" s="51">
        <f>C128</f>
        <v>1.5</v>
      </c>
      <c r="D140" s="52"/>
      <c r="E140" s="53"/>
      <c r="F140" s="24" t="str">
        <f t="shared" si="29"/>
        <v/>
      </c>
      <c r="G140" s="29">
        <v>7.68</v>
      </c>
      <c r="H140" s="30">
        <f t="shared" si="37"/>
        <v>11.52</v>
      </c>
    </row>
    <row r="141" spans="1:8" x14ac:dyDescent="0.25">
      <c r="A141" s="19"/>
      <c r="H141" s="31"/>
    </row>
    <row r="142" spans="1:8" x14ac:dyDescent="0.25">
      <c r="A142" s="19"/>
      <c r="G142" s="32" t="s">
        <v>27</v>
      </c>
      <c r="H142" s="30">
        <f>SUM(H132:H140)</f>
        <v>37.005600000000001</v>
      </c>
    </row>
    <row r="143" spans="1:8" x14ac:dyDescent="0.25">
      <c r="A143" s="19"/>
      <c r="G143" s="32" t="s">
        <v>28</v>
      </c>
      <c r="H143" s="30">
        <f>(H142/12)</f>
        <v>3.0838000000000001</v>
      </c>
    </row>
    <row r="144" spans="1:8" x14ac:dyDescent="0.25">
      <c r="A144" s="19"/>
      <c r="G144" s="13" t="s">
        <v>50</v>
      </c>
      <c r="H144" s="30">
        <f>H143/0.874</f>
        <v>3.5283752860411899</v>
      </c>
    </row>
    <row r="145" spans="1:8" x14ac:dyDescent="0.25">
      <c r="A145" s="19"/>
      <c r="G145" s="13" t="s">
        <v>45</v>
      </c>
      <c r="H145" s="30">
        <f>H144*0.265</f>
        <v>0.93501945080091542</v>
      </c>
    </row>
    <row r="146" spans="1:8" x14ac:dyDescent="0.25">
      <c r="A146" s="19"/>
      <c r="G146" s="13" t="s">
        <v>47</v>
      </c>
      <c r="H146" s="30">
        <f>15000/(1170*60)</f>
        <v>0.21367521367521367</v>
      </c>
    </row>
    <row r="147" spans="1:8" x14ac:dyDescent="0.25">
      <c r="A147" s="19"/>
      <c r="G147" s="13" t="s">
        <v>46</v>
      </c>
      <c r="H147" s="30">
        <v>4.68</v>
      </c>
    </row>
    <row r="148" spans="1:8" x14ac:dyDescent="0.25">
      <c r="A148" s="19"/>
      <c r="G148" s="13" t="s">
        <v>29</v>
      </c>
      <c r="H148" s="33">
        <f>(H144-H143)/H144</f>
        <v>0.12599999999999997</v>
      </c>
    </row>
    <row r="149" spans="1:8" ht="17.399999999999999" x14ac:dyDescent="0.25">
      <c r="A149" s="19"/>
      <c r="E149" s="47" t="s">
        <v>48</v>
      </c>
      <c r="H149" s="31"/>
    </row>
    <row r="150" spans="1:8" x14ac:dyDescent="0.25">
      <c r="A150" s="68" t="s">
        <v>7</v>
      </c>
      <c r="B150" s="68"/>
      <c r="C150" s="68"/>
      <c r="D150" s="68"/>
      <c r="E150" s="68"/>
      <c r="F150" s="68"/>
      <c r="G150" s="68"/>
      <c r="H150" s="68"/>
    </row>
    <row r="151" spans="1:8" x14ac:dyDescent="0.25">
      <c r="A151" s="20" t="s">
        <v>8</v>
      </c>
      <c r="B151" s="21" t="s">
        <v>0</v>
      </c>
      <c r="C151" s="69" t="s">
        <v>9</v>
      </c>
      <c r="D151" s="70"/>
      <c r="E151" s="20" t="s">
        <v>10</v>
      </c>
      <c r="F151" s="20" t="s">
        <v>11</v>
      </c>
      <c r="G151" s="20" t="s">
        <v>12</v>
      </c>
      <c r="H151" s="20" t="s">
        <v>13</v>
      </c>
    </row>
    <row r="152" spans="1:8" x14ac:dyDescent="0.25">
      <c r="A152" s="22">
        <v>1</v>
      </c>
      <c r="B152" s="23" t="s">
        <v>1</v>
      </c>
      <c r="C152" s="71" t="s">
        <v>36</v>
      </c>
      <c r="D152" s="72"/>
      <c r="E152" s="24" t="s">
        <v>52</v>
      </c>
      <c r="F152" s="24" t="s">
        <v>38</v>
      </c>
      <c r="G152" s="35">
        <v>1.1000000000000001</v>
      </c>
      <c r="H152" s="35">
        <f t="shared" ref="H152:H158" si="38">IF(G152="","",G152*12)</f>
        <v>13.200000000000001</v>
      </c>
    </row>
    <row r="153" spans="1:8" x14ac:dyDescent="0.25">
      <c r="A153" s="22">
        <v>2</v>
      </c>
      <c r="B153" s="23" t="s">
        <v>43</v>
      </c>
      <c r="C153" s="71" t="s">
        <v>30</v>
      </c>
      <c r="D153" s="72"/>
      <c r="E153" s="24" t="s">
        <v>14</v>
      </c>
      <c r="F153" s="24" t="s">
        <v>14</v>
      </c>
      <c r="G153" s="25">
        <v>1</v>
      </c>
      <c r="H153" s="25">
        <f t="shared" si="38"/>
        <v>12</v>
      </c>
    </row>
    <row r="154" spans="1:8" x14ac:dyDescent="0.25">
      <c r="A154" s="22">
        <v>3</v>
      </c>
      <c r="B154" s="23" t="s">
        <v>44</v>
      </c>
      <c r="C154" s="71" t="s">
        <v>44</v>
      </c>
      <c r="D154" s="72"/>
      <c r="E154" s="24" t="s">
        <v>14</v>
      </c>
      <c r="F154" s="24" t="s">
        <v>14</v>
      </c>
      <c r="G154" s="25">
        <v>1</v>
      </c>
      <c r="H154" s="25">
        <f t="shared" si="38"/>
        <v>12</v>
      </c>
    </row>
    <row r="155" spans="1:8" x14ac:dyDescent="0.25">
      <c r="A155" s="22">
        <v>4</v>
      </c>
      <c r="B155" s="23" t="s">
        <v>32</v>
      </c>
      <c r="C155" s="71" t="s">
        <v>42</v>
      </c>
      <c r="D155" s="72"/>
      <c r="E155" s="24" t="s">
        <v>14</v>
      </c>
      <c r="F155" s="24" t="s">
        <v>14</v>
      </c>
      <c r="G155" s="25">
        <v>6</v>
      </c>
      <c r="H155" s="25">
        <f t="shared" si="38"/>
        <v>72</v>
      </c>
    </row>
    <row r="156" spans="1:8" x14ac:dyDescent="0.25">
      <c r="A156" s="22">
        <v>5</v>
      </c>
      <c r="B156" s="23" t="s">
        <v>33</v>
      </c>
      <c r="C156" s="71" t="s">
        <v>42</v>
      </c>
      <c r="D156" s="72"/>
      <c r="E156" s="24" t="s">
        <v>14</v>
      </c>
      <c r="F156" s="24" t="s">
        <v>14</v>
      </c>
      <c r="G156" s="25">
        <v>12</v>
      </c>
      <c r="H156" s="25">
        <f t="shared" si="38"/>
        <v>144</v>
      </c>
    </row>
    <row r="157" spans="1:8" x14ac:dyDescent="0.25">
      <c r="A157" s="22">
        <v>6</v>
      </c>
      <c r="B157" s="23" t="s">
        <v>34</v>
      </c>
      <c r="C157" s="71" t="s">
        <v>42</v>
      </c>
      <c r="D157" s="72"/>
      <c r="E157" s="24" t="s">
        <v>14</v>
      </c>
      <c r="F157" s="24" t="s">
        <v>14</v>
      </c>
      <c r="G157" s="25">
        <v>6</v>
      </c>
      <c r="H157" s="25">
        <f t="shared" si="38"/>
        <v>72</v>
      </c>
    </row>
    <row r="158" spans="1:8" x14ac:dyDescent="0.25">
      <c r="A158" s="37">
        <v>7</v>
      </c>
      <c r="B158" s="34" t="s">
        <v>2</v>
      </c>
      <c r="C158" s="71" t="s">
        <v>15</v>
      </c>
      <c r="D158" s="72"/>
      <c r="E158" s="24" t="s">
        <v>3</v>
      </c>
      <c r="F158" s="24" t="s">
        <v>16</v>
      </c>
      <c r="G158" s="36">
        <v>2.1000000000000001E-2</v>
      </c>
      <c r="H158" s="36">
        <f t="shared" si="38"/>
        <v>0.252</v>
      </c>
    </row>
    <row r="159" spans="1:8" x14ac:dyDescent="0.25">
      <c r="A159" s="73" t="s">
        <v>17</v>
      </c>
      <c r="B159" s="74"/>
      <c r="C159" s="74"/>
      <c r="D159" s="74"/>
      <c r="E159" s="74"/>
      <c r="F159" s="74"/>
      <c r="G159" s="74"/>
      <c r="H159" s="75"/>
    </row>
    <row r="160" spans="1:8" x14ac:dyDescent="0.25">
      <c r="A160" s="82" t="s">
        <v>18</v>
      </c>
      <c r="B160" s="83"/>
      <c r="C160" s="57" t="s">
        <v>19</v>
      </c>
      <c r="D160" s="58"/>
      <c r="E160" s="58"/>
      <c r="F160" s="58"/>
      <c r="G160" s="58"/>
      <c r="H160" s="59"/>
    </row>
    <row r="161" spans="1:8" ht="14.4" x14ac:dyDescent="0.3">
      <c r="A161" s="84">
        <f>A142</f>
        <v>0</v>
      </c>
      <c r="B161" s="85"/>
      <c r="C161" s="76">
        <f>(SUM(C162:G162)*12)/60</f>
        <v>1.5</v>
      </c>
      <c r="D161" s="77"/>
      <c r="E161" s="77"/>
      <c r="F161" s="77"/>
      <c r="G161" s="78"/>
      <c r="H161" s="39"/>
    </row>
    <row r="162" spans="1:8" ht="14.4" x14ac:dyDescent="0.3">
      <c r="A162" s="63" t="s">
        <v>31</v>
      </c>
      <c r="B162" s="64"/>
      <c r="C162" s="65">
        <v>7.5</v>
      </c>
      <c r="D162" s="66"/>
      <c r="E162" s="66"/>
      <c r="F162" s="66"/>
      <c r="G162" s="67"/>
      <c r="H162" s="38"/>
    </row>
    <row r="163" spans="1:8" x14ac:dyDescent="0.25">
      <c r="A163" s="79" t="s">
        <v>20</v>
      </c>
      <c r="B163" s="80"/>
      <c r="C163" s="80"/>
      <c r="D163" s="80"/>
      <c r="E163" s="80"/>
      <c r="F163" s="80"/>
      <c r="G163" s="80"/>
      <c r="H163" s="81"/>
    </row>
    <row r="164" spans="1:8" x14ac:dyDescent="0.25">
      <c r="A164" s="26" t="s">
        <v>8</v>
      </c>
      <c r="B164" s="27" t="s">
        <v>0</v>
      </c>
      <c r="C164" s="57" t="s">
        <v>21</v>
      </c>
      <c r="D164" s="58"/>
      <c r="E164" s="59"/>
      <c r="F164" s="26" t="s">
        <v>22</v>
      </c>
      <c r="G164" s="26" t="s">
        <v>23</v>
      </c>
      <c r="H164" s="26" t="s">
        <v>24</v>
      </c>
    </row>
    <row r="165" spans="1:8" x14ac:dyDescent="0.25">
      <c r="A165" s="24">
        <f t="shared" ref="A165:B165" si="39">IF(A152="","",A152)</f>
        <v>1</v>
      </c>
      <c r="B165" s="28" t="str">
        <f t="shared" si="39"/>
        <v>Main Fabric</v>
      </c>
      <c r="C165" s="60">
        <f t="shared" ref="C165:C171" si="40">IF(H152="","",H152)</f>
        <v>13.200000000000001</v>
      </c>
      <c r="D165" s="61"/>
      <c r="E165" s="62"/>
      <c r="F165" s="24" t="str">
        <f t="shared" ref="F165:F173" si="41">IF(E152="","",E152)</f>
        <v>black navy</v>
      </c>
      <c r="G165" s="42">
        <v>1.845</v>
      </c>
      <c r="H165" s="30">
        <f t="shared" ref="H165:H171" si="42">H152*G165</f>
        <v>24.354000000000003</v>
      </c>
    </row>
    <row r="166" spans="1:8" x14ac:dyDescent="0.25">
      <c r="A166" s="24">
        <f t="shared" ref="A166:B166" si="43">IF(A153="","",A153)</f>
        <v>2</v>
      </c>
      <c r="B166" s="28" t="str">
        <f t="shared" si="43"/>
        <v>Main Label</v>
      </c>
      <c r="C166" s="48">
        <f t="shared" si="40"/>
        <v>12</v>
      </c>
      <c r="D166" s="49"/>
      <c r="E166" s="50"/>
      <c r="F166" s="24" t="str">
        <f t="shared" si="41"/>
        <v>-</v>
      </c>
      <c r="G166" s="43">
        <v>0.05</v>
      </c>
      <c r="H166" s="30">
        <f t="shared" si="42"/>
        <v>0.60000000000000009</v>
      </c>
    </row>
    <row r="167" spans="1:8" x14ac:dyDescent="0.25">
      <c r="A167" s="24">
        <f t="shared" ref="A167:B167" si="44">IF(A154="","",A154)</f>
        <v>3</v>
      </c>
      <c r="B167" s="28" t="str">
        <f t="shared" si="44"/>
        <v>Care Label</v>
      </c>
      <c r="C167" s="48">
        <f t="shared" si="40"/>
        <v>12</v>
      </c>
      <c r="D167" s="49"/>
      <c r="E167" s="50"/>
      <c r="F167" s="24" t="str">
        <f t="shared" si="41"/>
        <v>-</v>
      </c>
      <c r="G167" s="43">
        <v>4.0000000000000001E-3</v>
      </c>
      <c r="H167" s="30">
        <f t="shared" si="42"/>
        <v>4.8000000000000001E-2</v>
      </c>
    </row>
    <row r="168" spans="1:8" x14ac:dyDescent="0.25">
      <c r="A168" s="24">
        <f t="shared" ref="A168:B168" si="45">IF(A155="","",A155)</f>
        <v>4</v>
      </c>
      <c r="B168" s="28" t="str">
        <f t="shared" si="45"/>
        <v>Metal Snap Stud</v>
      </c>
      <c r="C168" s="48">
        <f t="shared" si="40"/>
        <v>72</v>
      </c>
      <c r="D168" s="49"/>
      <c r="E168" s="50"/>
      <c r="F168" s="24" t="str">
        <f t="shared" si="41"/>
        <v>-</v>
      </c>
      <c r="G168" s="29">
        <v>0.02</v>
      </c>
      <c r="H168" s="30">
        <f t="shared" si="42"/>
        <v>1.44</v>
      </c>
    </row>
    <row r="169" spans="1:8" x14ac:dyDescent="0.25">
      <c r="A169" s="24">
        <f t="shared" ref="A169:B169" si="46">IF(A156="","",A156)</f>
        <v>5</v>
      </c>
      <c r="B169" s="28" t="str">
        <f t="shared" si="46"/>
        <v xml:space="preserve">Metal Snap Prong </v>
      </c>
      <c r="C169" s="48">
        <f t="shared" si="40"/>
        <v>144</v>
      </c>
      <c r="D169" s="49"/>
      <c r="E169" s="50"/>
      <c r="F169" s="24" t="str">
        <f t="shared" si="41"/>
        <v>-</v>
      </c>
      <c r="G169" s="29">
        <v>0.01</v>
      </c>
      <c r="H169" s="30">
        <f t="shared" si="42"/>
        <v>1.44</v>
      </c>
    </row>
    <row r="170" spans="1:8" x14ac:dyDescent="0.25">
      <c r="A170" s="24">
        <f t="shared" ref="A170:B170" si="47">IF(A157="","",A157)</f>
        <v>6</v>
      </c>
      <c r="B170" s="28" t="str">
        <f t="shared" si="47"/>
        <v>Metal Snap Socket</v>
      </c>
      <c r="C170" s="48">
        <f t="shared" si="40"/>
        <v>72</v>
      </c>
      <c r="D170" s="49"/>
      <c r="E170" s="50"/>
      <c r="F170" s="24" t="str">
        <f t="shared" si="41"/>
        <v>-</v>
      </c>
      <c r="G170" s="29">
        <v>1.4999999999999999E-2</v>
      </c>
      <c r="H170" s="30">
        <f t="shared" si="42"/>
        <v>1.08</v>
      </c>
    </row>
    <row r="171" spans="1:8" x14ac:dyDescent="0.25">
      <c r="A171" s="24">
        <f t="shared" ref="A171:B171" si="48">IF(A158="","",A158)</f>
        <v>7</v>
      </c>
      <c r="B171" s="28" t="str">
        <f t="shared" si="48"/>
        <v>Thread Tex40</v>
      </c>
      <c r="C171" s="54">
        <f t="shared" si="40"/>
        <v>0.252</v>
      </c>
      <c r="D171" s="55"/>
      <c r="E171" s="56"/>
      <c r="F171" s="24" t="str">
        <f t="shared" si="41"/>
        <v>DTM Body</v>
      </c>
      <c r="G171" s="29">
        <v>4</v>
      </c>
      <c r="H171" s="30">
        <f t="shared" si="42"/>
        <v>1.008</v>
      </c>
    </row>
    <row r="172" spans="1:8" x14ac:dyDescent="0.25">
      <c r="A172" s="24">
        <v>8</v>
      </c>
      <c r="B172" s="28" t="s">
        <v>25</v>
      </c>
      <c r="C172" s="51">
        <f>1/72*12</f>
        <v>0.16666666666666666</v>
      </c>
      <c r="D172" s="52"/>
      <c r="E172" s="53"/>
      <c r="F172" s="24" t="str">
        <f t="shared" si="41"/>
        <v/>
      </c>
      <c r="G172" s="29">
        <v>0.99</v>
      </c>
      <c r="H172" s="30">
        <f t="shared" ref="H172:H173" si="49">IF(G172="","",C172*G172)</f>
        <v>0.16499999999999998</v>
      </c>
    </row>
    <row r="173" spans="1:8" x14ac:dyDescent="0.25">
      <c r="A173" s="24">
        <v>9</v>
      </c>
      <c r="B173" s="28" t="s">
        <v>26</v>
      </c>
      <c r="C173" s="51">
        <f>C161</f>
        <v>1.5</v>
      </c>
      <c r="D173" s="52"/>
      <c r="E173" s="53"/>
      <c r="F173" s="24" t="str">
        <f t="shared" si="41"/>
        <v/>
      </c>
      <c r="G173" s="29">
        <v>7.68</v>
      </c>
      <c r="H173" s="30">
        <f t="shared" si="49"/>
        <v>11.52</v>
      </c>
    </row>
    <row r="174" spans="1:8" x14ac:dyDescent="0.25">
      <c r="A174" s="19"/>
      <c r="H174" s="31"/>
    </row>
    <row r="175" spans="1:8" x14ac:dyDescent="0.25">
      <c r="A175" s="19"/>
      <c r="G175" s="32" t="s">
        <v>27</v>
      </c>
      <c r="H175" s="30">
        <f>SUM(H165:H173)</f>
        <v>41.655000000000001</v>
      </c>
    </row>
    <row r="176" spans="1:8" x14ac:dyDescent="0.25">
      <c r="A176" s="19"/>
      <c r="C176" s="15"/>
      <c r="G176" s="32" t="s">
        <v>28</v>
      </c>
      <c r="H176" s="30">
        <f>(H175/12)</f>
        <v>3.4712499999999999</v>
      </c>
    </row>
    <row r="177" spans="1:8" x14ac:dyDescent="0.25">
      <c r="A177" s="19"/>
      <c r="G177" s="13" t="s">
        <v>50</v>
      </c>
      <c r="H177" s="30">
        <f>H176/0.878</f>
        <v>3.9535876993166288</v>
      </c>
    </row>
    <row r="178" spans="1:8" x14ac:dyDescent="0.25">
      <c r="A178" s="19"/>
      <c r="G178" s="13" t="s">
        <v>45</v>
      </c>
      <c r="H178" s="30">
        <f>H177*0.265</f>
        <v>1.0477007403189067</v>
      </c>
    </row>
    <row r="179" spans="1:8" x14ac:dyDescent="0.25">
      <c r="A179" s="19"/>
      <c r="G179" s="13" t="s">
        <v>47</v>
      </c>
      <c r="H179" s="30">
        <f>15000/(1170*60)</f>
        <v>0.21367521367521367</v>
      </c>
    </row>
    <row r="180" spans="1:8" x14ac:dyDescent="0.25">
      <c r="A180" s="19"/>
      <c r="G180" s="13" t="s">
        <v>46</v>
      </c>
      <c r="H180" s="30">
        <v>5.22</v>
      </c>
    </row>
    <row r="181" spans="1:8" x14ac:dyDescent="0.25">
      <c r="A181" s="19"/>
      <c r="G181" s="13" t="s">
        <v>29</v>
      </c>
      <c r="H181" s="33">
        <f>(H177-H176)/H177</f>
        <v>0.12200000000000004</v>
      </c>
    </row>
    <row r="183" spans="1:8" ht="17.399999999999999" x14ac:dyDescent="0.25">
      <c r="A183" s="19"/>
      <c r="E183" s="47" t="s">
        <v>49</v>
      </c>
      <c r="H183" s="31"/>
    </row>
    <row r="184" spans="1:8" x14ac:dyDescent="0.25">
      <c r="A184" s="68" t="s">
        <v>7</v>
      </c>
      <c r="B184" s="68"/>
      <c r="C184" s="68"/>
      <c r="D184" s="68"/>
      <c r="E184" s="68"/>
      <c r="F184" s="68"/>
      <c r="G184" s="68"/>
      <c r="H184" s="68"/>
    </row>
    <row r="185" spans="1:8" x14ac:dyDescent="0.25">
      <c r="A185" s="20" t="s">
        <v>8</v>
      </c>
      <c r="B185" s="21" t="s">
        <v>0</v>
      </c>
      <c r="C185" s="69" t="s">
        <v>9</v>
      </c>
      <c r="D185" s="70"/>
      <c r="E185" s="20" t="s">
        <v>10</v>
      </c>
      <c r="F185" s="20" t="s">
        <v>11</v>
      </c>
      <c r="G185" s="20" t="s">
        <v>12</v>
      </c>
      <c r="H185" s="20" t="s">
        <v>13</v>
      </c>
    </row>
    <row r="186" spans="1:8" x14ac:dyDescent="0.25">
      <c r="A186" s="22">
        <v>1</v>
      </c>
      <c r="B186" s="23" t="s">
        <v>1</v>
      </c>
      <c r="C186" s="71" t="s">
        <v>36</v>
      </c>
      <c r="D186" s="72"/>
      <c r="E186" s="24" t="s">
        <v>54</v>
      </c>
      <c r="F186" s="24" t="s">
        <v>38</v>
      </c>
      <c r="G186" s="35">
        <v>1.17</v>
      </c>
      <c r="H186" s="35">
        <f t="shared" ref="H186:H192" si="50">IF(G186="","",G186*12)</f>
        <v>14.04</v>
      </c>
    </row>
    <row r="187" spans="1:8" x14ac:dyDescent="0.25">
      <c r="A187" s="22">
        <v>2</v>
      </c>
      <c r="B187" s="23" t="s">
        <v>43</v>
      </c>
      <c r="C187" s="71" t="s">
        <v>30</v>
      </c>
      <c r="D187" s="72"/>
      <c r="E187" s="24" t="s">
        <v>14</v>
      </c>
      <c r="F187" s="24" t="s">
        <v>14</v>
      </c>
      <c r="G187" s="25">
        <v>1</v>
      </c>
      <c r="H187" s="25">
        <f t="shared" si="50"/>
        <v>12</v>
      </c>
    </row>
    <row r="188" spans="1:8" x14ac:dyDescent="0.25">
      <c r="A188" s="22">
        <v>3</v>
      </c>
      <c r="B188" s="23" t="s">
        <v>44</v>
      </c>
      <c r="C188" s="71" t="s">
        <v>44</v>
      </c>
      <c r="D188" s="72"/>
      <c r="E188" s="24" t="s">
        <v>14</v>
      </c>
      <c r="F188" s="24" t="s">
        <v>14</v>
      </c>
      <c r="G188" s="25">
        <v>1</v>
      </c>
      <c r="H188" s="25">
        <f t="shared" si="50"/>
        <v>12</v>
      </c>
    </row>
    <row r="189" spans="1:8" x14ac:dyDescent="0.25">
      <c r="A189" s="22">
        <v>4</v>
      </c>
      <c r="B189" s="23" t="s">
        <v>32</v>
      </c>
      <c r="C189" s="71" t="s">
        <v>42</v>
      </c>
      <c r="D189" s="72"/>
      <c r="E189" s="24" t="s">
        <v>14</v>
      </c>
      <c r="F189" s="24" t="s">
        <v>14</v>
      </c>
      <c r="G189" s="25">
        <v>6</v>
      </c>
      <c r="H189" s="25">
        <f t="shared" si="50"/>
        <v>72</v>
      </c>
    </row>
    <row r="190" spans="1:8" x14ac:dyDescent="0.25">
      <c r="A190" s="22">
        <v>5</v>
      </c>
      <c r="B190" s="23" t="s">
        <v>33</v>
      </c>
      <c r="C190" s="71" t="s">
        <v>42</v>
      </c>
      <c r="D190" s="72"/>
      <c r="E190" s="24" t="s">
        <v>14</v>
      </c>
      <c r="F190" s="24" t="s">
        <v>14</v>
      </c>
      <c r="G190" s="25">
        <v>12</v>
      </c>
      <c r="H190" s="25">
        <f t="shared" si="50"/>
        <v>144</v>
      </c>
    </row>
    <row r="191" spans="1:8" x14ac:dyDescent="0.25">
      <c r="A191" s="22">
        <v>6</v>
      </c>
      <c r="B191" s="23" t="s">
        <v>34</v>
      </c>
      <c r="C191" s="71" t="s">
        <v>42</v>
      </c>
      <c r="D191" s="72"/>
      <c r="E191" s="24" t="s">
        <v>14</v>
      </c>
      <c r="F191" s="24" t="s">
        <v>14</v>
      </c>
      <c r="G191" s="25">
        <v>6</v>
      </c>
      <c r="H191" s="25">
        <f t="shared" si="50"/>
        <v>72</v>
      </c>
    </row>
    <row r="192" spans="1:8" x14ac:dyDescent="0.25">
      <c r="A192" s="37">
        <v>7</v>
      </c>
      <c r="B192" s="34" t="s">
        <v>2</v>
      </c>
      <c r="C192" s="71" t="s">
        <v>15</v>
      </c>
      <c r="D192" s="72"/>
      <c r="E192" s="24" t="s">
        <v>3</v>
      </c>
      <c r="F192" s="24" t="s">
        <v>16</v>
      </c>
      <c r="G192" s="36">
        <v>2.1000000000000001E-2</v>
      </c>
      <c r="H192" s="36">
        <f t="shared" si="50"/>
        <v>0.252</v>
      </c>
    </row>
    <row r="193" spans="1:8" x14ac:dyDescent="0.25">
      <c r="A193" s="73" t="s">
        <v>17</v>
      </c>
      <c r="B193" s="74"/>
      <c r="C193" s="74"/>
      <c r="D193" s="74"/>
      <c r="E193" s="74"/>
      <c r="F193" s="74"/>
      <c r="G193" s="74"/>
      <c r="H193" s="75"/>
    </row>
    <row r="194" spans="1:8" x14ac:dyDescent="0.25">
      <c r="A194" s="82" t="s">
        <v>18</v>
      </c>
      <c r="B194" s="83"/>
      <c r="C194" s="57" t="s">
        <v>19</v>
      </c>
      <c r="D194" s="58"/>
      <c r="E194" s="58"/>
      <c r="F194" s="58"/>
      <c r="G194" s="58"/>
      <c r="H194" s="59"/>
    </row>
    <row r="195" spans="1:8" ht="14.4" x14ac:dyDescent="0.3">
      <c r="A195" s="84">
        <f>A176</f>
        <v>0</v>
      </c>
      <c r="B195" s="85"/>
      <c r="C195" s="76">
        <f>(SUM(C196:G196)*12)/60</f>
        <v>1.5</v>
      </c>
      <c r="D195" s="77"/>
      <c r="E195" s="77"/>
      <c r="F195" s="77"/>
      <c r="G195" s="78"/>
      <c r="H195" s="39"/>
    </row>
    <row r="196" spans="1:8" ht="14.4" x14ac:dyDescent="0.3">
      <c r="A196" s="63" t="s">
        <v>31</v>
      </c>
      <c r="B196" s="64"/>
      <c r="C196" s="65">
        <v>7.5</v>
      </c>
      <c r="D196" s="66"/>
      <c r="E196" s="66"/>
      <c r="F196" s="66"/>
      <c r="G196" s="67"/>
      <c r="H196" s="38"/>
    </row>
    <row r="197" spans="1:8" x14ac:dyDescent="0.25">
      <c r="A197" s="79" t="s">
        <v>20</v>
      </c>
      <c r="B197" s="80"/>
      <c r="C197" s="80"/>
      <c r="D197" s="80"/>
      <c r="E197" s="80"/>
      <c r="F197" s="80"/>
      <c r="G197" s="80"/>
      <c r="H197" s="81"/>
    </row>
    <row r="198" spans="1:8" x14ac:dyDescent="0.25">
      <c r="A198" s="26" t="s">
        <v>8</v>
      </c>
      <c r="B198" s="27" t="s">
        <v>0</v>
      </c>
      <c r="C198" s="57" t="s">
        <v>21</v>
      </c>
      <c r="D198" s="58"/>
      <c r="E198" s="59"/>
      <c r="F198" s="26" t="s">
        <v>22</v>
      </c>
      <c r="G198" s="26" t="s">
        <v>23</v>
      </c>
      <c r="H198" s="26" t="s">
        <v>24</v>
      </c>
    </row>
    <row r="199" spans="1:8" x14ac:dyDescent="0.25">
      <c r="A199" s="24">
        <f t="shared" ref="A199:B199" si="51">IF(A186="","",A186)</f>
        <v>1</v>
      </c>
      <c r="B199" s="28" t="str">
        <f t="shared" si="51"/>
        <v>Main Fabric</v>
      </c>
      <c r="C199" s="60">
        <f t="shared" ref="C199:C205" si="52">IF(H186="","",H186)</f>
        <v>14.04</v>
      </c>
      <c r="D199" s="61"/>
      <c r="E199" s="62"/>
      <c r="F199" s="24" t="str">
        <f t="shared" ref="F199:F207" si="53">IF(E186="","",E186)</f>
        <v>BLK NAVY</v>
      </c>
      <c r="G199" s="42">
        <v>1.845</v>
      </c>
      <c r="H199" s="30">
        <f t="shared" ref="H199:H205" si="54">H186*G199</f>
        <v>25.903799999999997</v>
      </c>
    </row>
    <row r="200" spans="1:8" x14ac:dyDescent="0.25">
      <c r="A200" s="24">
        <f t="shared" ref="A200:B200" si="55">IF(A187="","",A187)</f>
        <v>2</v>
      </c>
      <c r="B200" s="28" t="str">
        <f t="shared" si="55"/>
        <v>Main Label</v>
      </c>
      <c r="C200" s="48">
        <f t="shared" si="52"/>
        <v>12</v>
      </c>
      <c r="D200" s="49"/>
      <c r="E200" s="50"/>
      <c r="F200" s="24" t="str">
        <f t="shared" si="53"/>
        <v>-</v>
      </c>
      <c r="G200" s="43">
        <v>0.05</v>
      </c>
      <c r="H200" s="30">
        <f t="shared" si="54"/>
        <v>0.60000000000000009</v>
      </c>
    </row>
    <row r="201" spans="1:8" x14ac:dyDescent="0.25">
      <c r="A201" s="24">
        <f t="shared" ref="A201:B201" si="56">IF(A188="","",A188)</f>
        <v>3</v>
      </c>
      <c r="B201" s="28" t="str">
        <f t="shared" si="56"/>
        <v>Care Label</v>
      </c>
      <c r="C201" s="48">
        <f t="shared" si="52"/>
        <v>12</v>
      </c>
      <c r="D201" s="49"/>
      <c r="E201" s="50"/>
      <c r="F201" s="24" t="str">
        <f t="shared" si="53"/>
        <v>-</v>
      </c>
      <c r="G201" s="43">
        <v>4.0000000000000001E-3</v>
      </c>
      <c r="H201" s="30">
        <f t="shared" si="54"/>
        <v>4.8000000000000001E-2</v>
      </c>
    </row>
    <row r="202" spans="1:8" x14ac:dyDescent="0.25">
      <c r="A202" s="24">
        <f t="shared" ref="A202:B202" si="57">IF(A189="","",A189)</f>
        <v>4</v>
      </c>
      <c r="B202" s="28" t="str">
        <f t="shared" si="57"/>
        <v>Metal Snap Stud</v>
      </c>
      <c r="C202" s="48">
        <f t="shared" si="52"/>
        <v>72</v>
      </c>
      <c r="D202" s="49"/>
      <c r="E202" s="50"/>
      <c r="F202" s="24" t="str">
        <f t="shared" si="53"/>
        <v>-</v>
      </c>
      <c r="G202" s="29">
        <v>0.02</v>
      </c>
      <c r="H202" s="30">
        <f t="shared" si="54"/>
        <v>1.44</v>
      </c>
    </row>
    <row r="203" spans="1:8" x14ac:dyDescent="0.25">
      <c r="A203" s="24">
        <f t="shared" ref="A203:B203" si="58">IF(A190="","",A190)</f>
        <v>5</v>
      </c>
      <c r="B203" s="28" t="str">
        <f t="shared" si="58"/>
        <v xml:space="preserve">Metal Snap Prong </v>
      </c>
      <c r="C203" s="48">
        <f t="shared" si="52"/>
        <v>144</v>
      </c>
      <c r="D203" s="49"/>
      <c r="E203" s="50"/>
      <c r="F203" s="24" t="str">
        <f t="shared" si="53"/>
        <v>-</v>
      </c>
      <c r="G203" s="29">
        <v>0.01</v>
      </c>
      <c r="H203" s="30">
        <f t="shared" si="54"/>
        <v>1.44</v>
      </c>
    </row>
    <row r="204" spans="1:8" x14ac:dyDescent="0.25">
      <c r="A204" s="24">
        <f t="shared" ref="A204:B204" si="59">IF(A191="","",A191)</f>
        <v>6</v>
      </c>
      <c r="B204" s="28" t="str">
        <f t="shared" si="59"/>
        <v>Metal Snap Socket</v>
      </c>
      <c r="C204" s="48">
        <f t="shared" si="52"/>
        <v>72</v>
      </c>
      <c r="D204" s="49"/>
      <c r="E204" s="50"/>
      <c r="F204" s="24" t="str">
        <f t="shared" si="53"/>
        <v>-</v>
      </c>
      <c r="G204" s="29">
        <v>1.4999999999999999E-2</v>
      </c>
      <c r="H204" s="30">
        <f t="shared" si="54"/>
        <v>1.08</v>
      </c>
    </row>
    <row r="205" spans="1:8" x14ac:dyDescent="0.25">
      <c r="A205" s="24">
        <f t="shared" ref="A205:B205" si="60">IF(A192="","",A192)</f>
        <v>7</v>
      </c>
      <c r="B205" s="28" t="str">
        <f t="shared" si="60"/>
        <v>Thread Tex40</v>
      </c>
      <c r="C205" s="54">
        <f t="shared" si="52"/>
        <v>0.252</v>
      </c>
      <c r="D205" s="55"/>
      <c r="E205" s="56"/>
      <c r="F205" s="24" t="str">
        <f t="shared" si="53"/>
        <v>DTM Body</v>
      </c>
      <c r="G205" s="29">
        <v>4</v>
      </c>
      <c r="H205" s="30">
        <f t="shared" si="54"/>
        <v>1.008</v>
      </c>
    </row>
    <row r="206" spans="1:8" x14ac:dyDescent="0.25">
      <c r="A206" s="24">
        <v>8</v>
      </c>
      <c r="B206" s="28" t="s">
        <v>25</v>
      </c>
      <c r="C206" s="51">
        <f>1/72*12</f>
        <v>0.16666666666666666</v>
      </c>
      <c r="D206" s="52"/>
      <c r="E206" s="53"/>
      <c r="F206" s="24" t="str">
        <f t="shared" si="53"/>
        <v/>
      </c>
      <c r="G206" s="29">
        <v>0.99</v>
      </c>
      <c r="H206" s="30">
        <f t="shared" ref="H206:H207" si="61">IF(G206="","",C206*G206)</f>
        <v>0.16499999999999998</v>
      </c>
    </row>
    <row r="207" spans="1:8" x14ac:dyDescent="0.25">
      <c r="A207" s="24">
        <v>9</v>
      </c>
      <c r="B207" s="28" t="s">
        <v>26</v>
      </c>
      <c r="C207" s="51">
        <f>C195</f>
        <v>1.5</v>
      </c>
      <c r="D207" s="52"/>
      <c r="E207" s="53"/>
      <c r="F207" s="24" t="str">
        <f t="shared" si="53"/>
        <v/>
      </c>
      <c r="G207" s="29">
        <v>7.68</v>
      </c>
      <c r="H207" s="30">
        <f t="shared" si="61"/>
        <v>11.52</v>
      </c>
    </row>
    <row r="208" spans="1:8" x14ac:dyDescent="0.25">
      <c r="A208" s="19"/>
      <c r="H208" s="31"/>
    </row>
    <row r="209" spans="1:8" x14ac:dyDescent="0.25">
      <c r="A209" s="19"/>
      <c r="G209" s="32" t="s">
        <v>27</v>
      </c>
      <c r="H209" s="30">
        <f>SUM(H199:H207)</f>
        <v>43.204799999999999</v>
      </c>
    </row>
    <row r="210" spans="1:8" x14ac:dyDescent="0.25">
      <c r="A210" s="19"/>
      <c r="C210" s="15"/>
      <c r="G210" s="32" t="s">
        <v>28</v>
      </c>
      <c r="H210" s="30">
        <f>(H209/12)</f>
        <v>3.6004</v>
      </c>
    </row>
    <row r="211" spans="1:8" x14ac:dyDescent="0.25">
      <c r="A211" s="19"/>
      <c r="G211" s="13" t="s">
        <v>50</v>
      </c>
      <c r="H211" s="30">
        <f>H210/0.855</f>
        <v>4.2109941520467835</v>
      </c>
    </row>
    <row r="212" spans="1:8" x14ac:dyDescent="0.25">
      <c r="A212" s="19"/>
      <c r="G212" s="13" t="s">
        <v>45</v>
      </c>
      <c r="H212" s="30">
        <f>H211*0.265</f>
        <v>1.1159134502923977</v>
      </c>
    </row>
    <row r="213" spans="1:8" x14ac:dyDescent="0.25">
      <c r="A213" s="19"/>
      <c r="G213" s="13" t="s">
        <v>47</v>
      </c>
      <c r="H213" s="30">
        <f>15000/(1170*60)</f>
        <v>0.21367521367521367</v>
      </c>
    </row>
    <row r="214" spans="1:8" x14ac:dyDescent="0.25">
      <c r="A214" s="19"/>
      <c r="G214" s="13" t="s">
        <v>46</v>
      </c>
      <c r="H214" s="30">
        <v>5.54</v>
      </c>
    </row>
    <row r="215" spans="1:8" x14ac:dyDescent="0.25">
      <c r="A215" s="19"/>
      <c r="G215" s="13" t="s">
        <v>29</v>
      </c>
      <c r="H215" s="33">
        <f>(H211-H210)/H211</f>
        <v>0.14499999999999996</v>
      </c>
    </row>
  </sheetData>
  <mergeCells count="173">
    <mergeCell ref="C205:E205"/>
    <mergeCell ref="C206:E206"/>
    <mergeCell ref="C207:E207"/>
    <mergeCell ref="C200:E200"/>
    <mergeCell ref="C201:E201"/>
    <mergeCell ref="C202:E202"/>
    <mergeCell ref="C203:E203"/>
    <mergeCell ref="C204:E204"/>
    <mergeCell ref="A196:B196"/>
    <mergeCell ref="C196:G196"/>
    <mergeCell ref="A197:H197"/>
    <mergeCell ref="C198:E198"/>
    <mergeCell ref="C199:E199"/>
    <mergeCell ref="A193:H193"/>
    <mergeCell ref="A194:B194"/>
    <mergeCell ref="C194:H194"/>
    <mergeCell ref="A195:B195"/>
    <mergeCell ref="C195:G195"/>
    <mergeCell ref="C188:D188"/>
    <mergeCell ref="C189:D189"/>
    <mergeCell ref="C190:D190"/>
    <mergeCell ref="C191:D191"/>
    <mergeCell ref="C192:D192"/>
    <mergeCell ref="C173:E173"/>
    <mergeCell ref="A184:H184"/>
    <mergeCell ref="C185:D185"/>
    <mergeCell ref="C186:D186"/>
    <mergeCell ref="C187:D187"/>
    <mergeCell ref="C168:E168"/>
    <mergeCell ref="C169:E169"/>
    <mergeCell ref="C170:E170"/>
    <mergeCell ref="C171:E171"/>
    <mergeCell ref="C172:E172"/>
    <mergeCell ref="A163:H163"/>
    <mergeCell ref="C164:E164"/>
    <mergeCell ref="C165:E165"/>
    <mergeCell ref="C166:E166"/>
    <mergeCell ref="C167:E167"/>
    <mergeCell ref="A160:B160"/>
    <mergeCell ref="C160:H160"/>
    <mergeCell ref="A161:B161"/>
    <mergeCell ref="C161:G161"/>
    <mergeCell ref="A162:B162"/>
    <mergeCell ref="C162:G162"/>
    <mergeCell ref="C155:D155"/>
    <mergeCell ref="C156:D156"/>
    <mergeCell ref="C157:D157"/>
    <mergeCell ref="C158:D158"/>
    <mergeCell ref="A159:H159"/>
    <mergeCell ref="A150:H150"/>
    <mergeCell ref="C151:D151"/>
    <mergeCell ref="C152:D152"/>
    <mergeCell ref="C153:D153"/>
    <mergeCell ref="C154:D154"/>
    <mergeCell ref="C136:E136"/>
    <mergeCell ref="C137:E137"/>
    <mergeCell ref="C138:E138"/>
    <mergeCell ref="C139:E139"/>
    <mergeCell ref="C140:E140"/>
    <mergeCell ref="C131:E131"/>
    <mergeCell ref="C132:E132"/>
    <mergeCell ref="C133:E133"/>
    <mergeCell ref="C134:E134"/>
    <mergeCell ref="C135:E135"/>
    <mergeCell ref="A128:B128"/>
    <mergeCell ref="C128:G128"/>
    <mergeCell ref="A129:B129"/>
    <mergeCell ref="C129:G129"/>
    <mergeCell ref="A130:H130"/>
    <mergeCell ref="C123:D123"/>
    <mergeCell ref="C124:D124"/>
    <mergeCell ref="C125:D125"/>
    <mergeCell ref="A126:H126"/>
    <mergeCell ref="A127:B127"/>
    <mergeCell ref="C127:H127"/>
    <mergeCell ref="C118:D118"/>
    <mergeCell ref="C119:D119"/>
    <mergeCell ref="C120:D120"/>
    <mergeCell ref="C121:D121"/>
    <mergeCell ref="C122:D122"/>
    <mergeCell ref="A111:H111"/>
    <mergeCell ref="A112:H112"/>
    <mergeCell ref="A113:H113"/>
    <mergeCell ref="A114:H114"/>
    <mergeCell ref="A117:H117"/>
    <mergeCell ref="I11:S42"/>
    <mergeCell ref="C14:D14"/>
    <mergeCell ref="C34:E34"/>
    <mergeCell ref="C32:E32"/>
    <mergeCell ref="C25:E25"/>
    <mergeCell ref="C26:E26"/>
    <mergeCell ref="A11:H11"/>
    <mergeCell ref="C19:D19"/>
    <mergeCell ref="C12:D12"/>
    <mergeCell ref="C13:D13"/>
    <mergeCell ref="A22:B22"/>
    <mergeCell ref="C33:E33"/>
    <mergeCell ref="C27:E27"/>
    <mergeCell ref="A21:B21"/>
    <mergeCell ref="C15:D15"/>
    <mergeCell ref="C28:E28"/>
    <mergeCell ref="C29:E29"/>
    <mergeCell ref="C30:E30"/>
    <mergeCell ref="A2:H2"/>
    <mergeCell ref="A3:H3"/>
    <mergeCell ref="A5:H5"/>
    <mergeCell ref="A8:H8"/>
    <mergeCell ref="A7:H7"/>
    <mergeCell ref="A6:H6"/>
    <mergeCell ref="C49:D49"/>
    <mergeCell ref="C50:D50"/>
    <mergeCell ref="C51:D51"/>
    <mergeCell ref="A24:H24"/>
    <mergeCell ref="C31:E31"/>
    <mergeCell ref="C16:D16"/>
    <mergeCell ref="A20:H20"/>
    <mergeCell ref="A23:B23"/>
    <mergeCell ref="C17:D17"/>
    <mergeCell ref="C18:D18"/>
    <mergeCell ref="C21:H21"/>
    <mergeCell ref="C22:G22"/>
    <mergeCell ref="C23:G23"/>
    <mergeCell ref="C52:D52"/>
    <mergeCell ref="A53:H53"/>
    <mergeCell ref="A44:H44"/>
    <mergeCell ref="C45:D45"/>
    <mergeCell ref="C46:D46"/>
    <mergeCell ref="C47:D47"/>
    <mergeCell ref="C48:D48"/>
    <mergeCell ref="A57:H57"/>
    <mergeCell ref="A91:H91"/>
    <mergeCell ref="A54:B54"/>
    <mergeCell ref="C54:H54"/>
    <mergeCell ref="A55:B55"/>
    <mergeCell ref="C55:G55"/>
    <mergeCell ref="A56:B56"/>
    <mergeCell ref="C56:G56"/>
    <mergeCell ref="C67:E67"/>
    <mergeCell ref="C62:E62"/>
    <mergeCell ref="C63:E63"/>
    <mergeCell ref="C64:E64"/>
    <mergeCell ref="C65:E65"/>
    <mergeCell ref="C66:E66"/>
    <mergeCell ref="A88:B88"/>
    <mergeCell ref="C88:H88"/>
    <mergeCell ref="A89:B89"/>
    <mergeCell ref="A90:B90"/>
    <mergeCell ref="C90:G90"/>
    <mergeCell ref="C58:E58"/>
    <mergeCell ref="C59:E59"/>
    <mergeCell ref="C60:E60"/>
    <mergeCell ref="C61:E61"/>
    <mergeCell ref="A78:H78"/>
    <mergeCell ref="C79:D79"/>
    <mergeCell ref="C80:D80"/>
    <mergeCell ref="C86:D86"/>
    <mergeCell ref="A87:H87"/>
    <mergeCell ref="C89:G89"/>
    <mergeCell ref="C81:D81"/>
    <mergeCell ref="C82:D82"/>
    <mergeCell ref="C83:D83"/>
    <mergeCell ref="C84:D84"/>
    <mergeCell ref="C85:D85"/>
    <mergeCell ref="C95:E95"/>
    <mergeCell ref="C101:E101"/>
    <mergeCell ref="C96:E96"/>
    <mergeCell ref="C97:E97"/>
    <mergeCell ref="C98:E98"/>
    <mergeCell ref="C99:E99"/>
    <mergeCell ref="C100:E100"/>
    <mergeCell ref="C92:E92"/>
    <mergeCell ref="C93:E93"/>
    <mergeCell ref="C94:E94"/>
  </mergeCells>
  <pageMargins left="0.34" right="0" top="0.25" bottom="0" header="0" footer="0"/>
  <pageSetup scale="43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"/>
  <sheetViews>
    <sheetView topLeftCell="A13" workbookViewId="0">
      <selection activeCell="R46" sqref="R4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COSTING</vt:lpstr>
      <vt:lpstr>MINI MARKER</vt:lpstr>
      <vt:lpstr>COSTING!Print_Area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2015-07-28T06:30:08Z</cp:lastPrinted>
  <dcterms:created xsi:type="dcterms:W3CDTF">2015-07-27T03:14:29Z</dcterms:created>
  <dcterms:modified xsi:type="dcterms:W3CDTF">2026-09-23T20:22:58Z</dcterms:modified>
</cp:coreProperties>
</file>