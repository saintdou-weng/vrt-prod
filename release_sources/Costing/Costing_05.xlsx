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20202025DOCS1\WPL\BOM\PO BOM\New folder5474 AUG2026\"/>
    </mc:Choice>
  </mc:AlternateContent>
  <xr:revisionPtr revIDLastSave="0" documentId="8_{BF3C220C-516C-4034-9205-85135D0E7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ING" sheetId="7" r:id="rId1"/>
    <sheet name="MINI MARKER" sheetId="8" r:id="rId2"/>
  </sheets>
  <definedNames>
    <definedName name="_xlnm.Print_Area" localSheetId="0">COSTING!$A$1:$S$66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7" l="1"/>
  <c r="H93" i="7"/>
  <c r="H119" i="7"/>
  <c r="H90" i="7"/>
  <c r="C115" i="7"/>
  <c r="H115" i="7" s="1"/>
  <c r="H114" i="7"/>
  <c r="F114" i="7"/>
  <c r="B114" i="7"/>
  <c r="A114" i="7"/>
  <c r="H113" i="7"/>
  <c r="F113" i="7"/>
  <c r="C113" i="7"/>
  <c r="B113" i="7"/>
  <c r="A113" i="7"/>
  <c r="H112" i="7"/>
  <c r="F112" i="7"/>
  <c r="C112" i="7"/>
  <c r="B112" i="7"/>
  <c r="A112" i="7"/>
  <c r="F111" i="7"/>
  <c r="B111" i="7"/>
  <c r="A111" i="7"/>
  <c r="H110" i="7"/>
  <c r="F110" i="7"/>
  <c r="C110" i="7"/>
  <c r="B110" i="7"/>
  <c r="A110" i="7"/>
  <c r="C106" i="7"/>
  <c r="C116" i="7" s="1"/>
  <c r="H116" i="7" s="1"/>
  <c r="A106" i="7"/>
  <c r="H103" i="7"/>
  <c r="C114" i="7" s="1"/>
  <c r="H102" i="7"/>
  <c r="H101" i="7"/>
  <c r="H100" i="7"/>
  <c r="H111" i="7" s="1"/>
  <c r="H99" i="7"/>
  <c r="C86" i="7"/>
  <c r="H86" i="7" s="1"/>
  <c r="F85" i="7"/>
  <c r="B85" i="7"/>
  <c r="A85" i="7"/>
  <c r="H84" i="7"/>
  <c r="F84" i="7"/>
  <c r="B84" i="7"/>
  <c r="A84" i="7"/>
  <c r="F83" i="7"/>
  <c r="B83" i="7"/>
  <c r="A83" i="7"/>
  <c r="F82" i="7"/>
  <c r="B82" i="7"/>
  <c r="A82" i="7"/>
  <c r="H81" i="7"/>
  <c r="F81" i="7"/>
  <c r="B81" i="7"/>
  <c r="A81" i="7"/>
  <c r="C77" i="7"/>
  <c r="C87" i="7" s="1"/>
  <c r="H87" i="7" s="1"/>
  <c r="A77" i="7"/>
  <c r="H74" i="7"/>
  <c r="H85" i="7" s="1"/>
  <c r="H73" i="7"/>
  <c r="C84" i="7" s="1"/>
  <c r="H72" i="7"/>
  <c r="H83" i="7" s="1"/>
  <c r="H71" i="7"/>
  <c r="H82" i="7" s="1"/>
  <c r="H70" i="7"/>
  <c r="C81" i="7" s="1"/>
  <c r="H61" i="7"/>
  <c r="H32" i="7"/>
  <c r="C57" i="7"/>
  <c r="H57" i="7" s="1"/>
  <c r="C28" i="7"/>
  <c r="F56" i="7"/>
  <c r="B56" i="7"/>
  <c r="A56" i="7"/>
  <c r="F55" i="7"/>
  <c r="B55" i="7"/>
  <c r="A55" i="7"/>
  <c r="F54" i="7"/>
  <c r="C54" i="7"/>
  <c r="B54" i="7"/>
  <c r="A54" i="7"/>
  <c r="F53" i="7"/>
  <c r="B53" i="7"/>
  <c r="A53" i="7"/>
  <c r="F52" i="7"/>
  <c r="B52" i="7"/>
  <c r="A52" i="7"/>
  <c r="C48" i="7"/>
  <c r="C58" i="7" s="1"/>
  <c r="H58" i="7" s="1"/>
  <c r="A48" i="7"/>
  <c r="H45" i="7"/>
  <c r="H56" i="7" s="1"/>
  <c r="H44" i="7"/>
  <c r="H55" i="7" s="1"/>
  <c r="H43" i="7"/>
  <c r="H54" i="7" s="1"/>
  <c r="H42" i="7"/>
  <c r="H53" i="7" s="1"/>
  <c r="H41" i="7"/>
  <c r="C52" i="7" s="1"/>
  <c r="H13" i="7"/>
  <c r="H118" i="7" l="1"/>
  <c r="H120" i="7" s="1"/>
  <c r="H121" i="7" s="1"/>
  <c r="H60" i="7"/>
  <c r="H62" i="7" s="1"/>
  <c r="H64" i="7" s="1"/>
  <c r="H66" i="7" s="1"/>
  <c r="H124" i="7"/>
  <c r="H89" i="7"/>
  <c r="H91" i="7" s="1"/>
  <c r="C82" i="7"/>
  <c r="C85" i="7"/>
  <c r="C83" i="7"/>
  <c r="C111" i="7"/>
  <c r="H52" i="7"/>
  <c r="C56" i="7"/>
  <c r="C53" i="7"/>
  <c r="C55" i="7"/>
  <c r="A24" i="7"/>
  <c r="B24" i="7"/>
  <c r="C24" i="7"/>
  <c r="F24" i="7"/>
  <c r="H24" i="7"/>
  <c r="H63" i="7" l="1"/>
  <c r="H92" i="7"/>
  <c r="F25" i="7"/>
  <c r="H95" i="7" l="1"/>
  <c r="A26" i="7"/>
  <c r="B26" i="7"/>
  <c r="F26" i="7"/>
  <c r="H15" i="7"/>
  <c r="H26" i="7" s="1"/>
  <c r="C26" i="7" l="1"/>
  <c r="C19" i="7"/>
  <c r="C29" i="7" s="1"/>
  <c r="H29" i="7" s="1"/>
  <c r="B25" i="7" l="1"/>
  <c r="H28" i="7" l="1"/>
  <c r="F27" i="7"/>
  <c r="B27" i="7"/>
  <c r="A27" i="7"/>
  <c r="A25" i="7"/>
  <c r="F23" i="7"/>
  <c r="B23" i="7"/>
  <c r="A23" i="7"/>
  <c r="A19" i="7"/>
  <c r="H16" i="7"/>
  <c r="H14" i="7"/>
  <c r="H12" i="7"/>
  <c r="C25" i="7" l="1"/>
  <c r="H25" i="7"/>
  <c r="C27" i="7"/>
  <c r="H27" i="7"/>
  <c r="H23" i="7"/>
  <c r="C23" i="7"/>
  <c r="H31" i="7" l="1"/>
  <c r="H33" i="7" l="1"/>
  <c r="H35" i="7" s="1"/>
  <c r="H34" i="7" s="1"/>
  <c r="H37" i="7"/>
</calcChain>
</file>

<file path=xl/sharedStrings.xml><?xml version="1.0" encoding="utf-8"?>
<sst xmlns="http://schemas.openxmlformats.org/spreadsheetml/2006/main" count="197" uniqueCount="52">
  <si>
    <t>Items</t>
  </si>
  <si>
    <t>Thread Tex40</t>
  </si>
  <si>
    <t>DTM Body</t>
  </si>
  <si>
    <t xml:space="preserve">                           Production</t>
  </si>
  <si>
    <t>Construction Details</t>
  </si>
  <si>
    <t>VANTAGE RIVER TEXTILE</t>
  </si>
  <si>
    <t>Standard width and Yards per dozen</t>
  </si>
  <si>
    <t>Nº</t>
  </si>
  <si>
    <t xml:space="preserve">Description </t>
  </si>
  <si>
    <t>Color</t>
  </si>
  <si>
    <t>Width/size</t>
  </si>
  <si>
    <t>Qty/Unit</t>
  </si>
  <si>
    <t>Qty/Dozen</t>
  </si>
  <si>
    <t>-</t>
  </si>
  <si>
    <t>Sewing Thread</t>
  </si>
  <si>
    <t>Tex40</t>
  </si>
  <si>
    <t>SAH's</t>
  </si>
  <si>
    <t>Style</t>
  </si>
  <si>
    <t>SAH's per dozen</t>
  </si>
  <si>
    <t xml:space="preserve">Cost of items </t>
  </si>
  <si>
    <t>Quanlity/Dozen</t>
  </si>
  <si>
    <t>Product color</t>
  </si>
  <si>
    <t>Price per unit</t>
  </si>
  <si>
    <t>Price per dozen</t>
  </si>
  <si>
    <t>Labor</t>
  </si>
  <si>
    <t>MFG COST:</t>
  </si>
  <si>
    <t>freight cost</t>
  </si>
  <si>
    <t>UNIT COST:</t>
  </si>
  <si>
    <t>Sale price</t>
  </si>
  <si>
    <t>Margin</t>
  </si>
  <si>
    <t>Sewing SMV</t>
  </si>
  <si>
    <t>At Center Back Neck</t>
  </si>
  <si>
    <t>Care Label</t>
  </si>
  <si>
    <t>Base Size : XS-4XL</t>
  </si>
  <si>
    <t>WHITE PLAIN LINEN</t>
  </si>
  <si>
    <t>Base Size : L</t>
  </si>
  <si>
    <t>WHITE</t>
  </si>
  <si>
    <t>Carton</t>
  </si>
  <si>
    <t>Date Folder Modified : 01 February 2023</t>
  </si>
  <si>
    <t>VENTED S/S CHEF COAT</t>
  </si>
  <si>
    <t>4Hole At Center Front Closure</t>
  </si>
  <si>
    <t>30L</t>
  </si>
  <si>
    <t>Main Fabric-A</t>
  </si>
  <si>
    <t>Mesh Fabric-B</t>
  </si>
  <si>
    <t>For Back Top</t>
  </si>
  <si>
    <t>60"</t>
  </si>
  <si>
    <t>duty</t>
  </si>
  <si>
    <t>5.5 oz Arwhite</t>
  </si>
  <si>
    <t>no this button price on list, pls re-check</t>
    <phoneticPr fontId="7" type="noConversion"/>
  </si>
  <si>
    <t>or use 30L 4H $0.014/PC ?</t>
    <phoneticPr fontId="7" type="noConversion"/>
  </si>
  <si>
    <t>Plastic  Button</t>
  </si>
  <si>
    <t>LONG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</si>
</sst>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&quot;Pcs&quot;"/>
    <numFmt numFmtId="165" formatCode="0.000"/>
    <numFmt numFmtId="166" formatCode="0.0000&quot;USD&quot;"/>
    <numFmt numFmtId="167" formatCode="0.000\ &quot;USD&quot;"/>
    <numFmt numFmtId="168" formatCode="0.000\ &quot;Yards&quot;"/>
    <numFmt numFmtId="169" formatCode="0.000&quot;Cone&quot;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name val="Calibri"/>
      <family val="3"/>
      <charset val="136"/>
      <scheme val="minor"/>
    </font>
    <font>
      <b/>
      <sz val="10"/>
      <color rgb="FFFF0000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3" fillId="0" borderId="3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4" fillId="0" borderId="5" xfId="1" applyFont="1" applyBorder="1" applyAlignment="1">
      <alignment horizontal="center" vertical="center"/>
    </xf>
    <xf numFmtId="0" fontId="5" fillId="0" borderId="2" xfId="1" applyFont="1" applyBorder="1"/>
    <xf numFmtId="0" fontId="5" fillId="0" borderId="3" xfId="1" applyFont="1" applyBorder="1"/>
    <xf numFmtId="0" fontId="1" fillId="0" borderId="3" xfId="1" applyBorder="1"/>
    <xf numFmtId="0" fontId="1" fillId="0" borderId="0" xfId="1"/>
    <xf numFmtId="0" fontId="5" fillId="0" borderId="5" xfId="1" applyFont="1" applyBorder="1"/>
    <xf numFmtId="0" fontId="5" fillId="0" borderId="0" xfId="1" applyFont="1"/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5" xfId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4" xfId="1" applyFont="1" applyBorder="1" applyAlignment="1">
      <alignment horizontal="left"/>
    </xf>
    <xf numFmtId="0" fontId="1" fillId="0" borderId="1" xfId="1" applyBorder="1" applyAlignment="1">
      <alignment horizontal="left"/>
    </xf>
    <xf numFmtId="166" fontId="1" fillId="0" borderId="1" xfId="1" applyNumberFormat="1" applyBorder="1" applyAlignment="1">
      <alignment horizontal="center"/>
    </xf>
    <xf numFmtId="167" fontId="1" fillId="0" borderId="1" xfId="1" applyNumberFormat="1" applyBorder="1" applyAlignment="1">
      <alignment horizontal="center"/>
    </xf>
    <xf numFmtId="0" fontId="1" fillId="0" borderId="1" xfId="1" applyBorder="1"/>
    <xf numFmtId="0" fontId="1" fillId="0" borderId="6" xfId="1" applyBorder="1"/>
    <xf numFmtId="0" fontId="1" fillId="0" borderId="10" xfId="1" applyBorder="1"/>
    <xf numFmtId="10" fontId="1" fillId="0" borderId="1" xfId="1" applyNumberFormat="1" applyBorder="1" applyAlignment="1">
      <alignment horizont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168" fontId="1" fillId="0" borderId="1" xfId="1" applyNumberFormat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0" fontId="4" fillId="0" borderId="4" xfId="1" applyFont="1" applyBorder="1" applyAlignment="1">
      <alignment horizontal="right" vertical="center"/>
    </xf>
    <xf numFmtId="0" fontId="4" fillId="0" borderId="3" xfId="1" applyFont="1" applyBorder="1" applyAlignment="1">
      <alignment horizontal="left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65" fontId="1" fillId="0" borderId="11" xfId="1" applyNumberFormat="1" applyBorder="1" applyAlignment="1">
      <alignment horizontal="center"/>
    </xf>
    <xf numFmtId="167" fontId="5" fillId="0" borderId="1" xfId="1" applyNumberFormat="1" applyFont="1" applyBorder="1" applyAlignment="1">
      <alignment horizontal="center"/>
    </xf>
    <xf numFmtId="0" fontId="4" fillId="0" borderId="2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166" fontId="1" fillId="3" borderId="1" xfId="1" applyNumberForma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6" fontId="6" fillId="3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8" fillId="3" borderId="1" xfId="1" applyFont="1" applyFill="1" applyBorder="1" applyAlignment="1">
      <alignment horizontal="center"/>
    </xf>
    <xf numFmtId="166" fontId="8" fillId="3" borderId="1" xfId="1" applyNumberFormat="1" applyFont="1" applyFill="1" applyBorder="1" applyAlignment="1">
      <alignment horizontal="center"/>
    </xf>
    <xf numFmtId="0" fontId="1" fillId="3" borderId="0" xfId="1" applyFill="1"/>
    <xf numFmtId="0" fontId="6" fillId="3" borderId="0" xfId="1" applyFont="1" applyFill="1"/>
    <xf numFmtId="0" fontId="8" fillId="3" borderId="0" xfId="1" applyFont="1" applyFill="1"/>
    <xf numFmtId="165" fontId="1" fillId="0" borderId="11" xfId="1" applyNumberFormat="1" applyBorder="1" applyAlignment="1">
      <alignment horizontal="center"/>
    </xf>
    <xf numFmtId="0" fontId="9" fillId="0" borderId="0" xfId="1" applyFont="1"/>
    <xf numFmtId="165" fontId="1" fillId="0" borderId="10" xfId="1" applyNumberFormat="1" applyBorder="1" applyAlignment="1">
      <alignment horizontal="center"/>
    </xf>
    <xf numFmtId="165" fontId="1" fillId="0" borderId="13" xfId="1" applyNumberFormat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168" fontId="1" fillId="0" borderId="10" xfId="1" applyNumberForma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168" fontId="1" fillId="0" borderId="11" xfId="1" applyNumberFormat="1" applyBorder="1" applyAlignment="1">
      <alignment horizontal="center"/>
    </xf>
    <xf numFmtId="164" fontId="6" fillId="3" borderId="10" xfId="1" applyNumberFormat="1" applyFont="1" applyFill="1" applyBorder="1" applyAlignment="1">
      <alignment horizontal="center"/>
    </xf>
    <xf numFmtId="164" fontId="6" fillId="3" borderId="13" xfId="1" applyNumberFormat="1" applyFont="1" applyFill="1" applyBorder="1" applyAlignment="1">
      <alignment horizontal="center"/>
    </xf>
    <xf numFmtId="164" fontId="6" fillId="3" borderId="11" xfId="1" applyNumberFormat="1" applyFont="1" applyFill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/>
    </xf>
    <xf numFmtId="164" fontId="1" fillId="0" borderId="11" xfId="1" applyNumberFormat="1" applyBorder="1" applyAlignment="1">
      <alignment horizontal="center"/>
    </xf>
    <xf numFmtId="169" fontId="1" fillId="0" borderId="10" xfId="1" applyNumberFormat="1" applyBorder="1" applyAlignment="1">
      <alignment horizontal="center"/>
    </xf>
    <xf numFmtId="169" fontId="1" fillId="0" borderId="13" xfId="1" applyNumberFormat="1" applyBorder="1" applyAlignment="1">
      <alignment horizontal="center"/>
    </xf>
    <xf numFmtId="169" fontId="1" fillId="0" borderId="11" xfId="1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0" fillId="3" borderId="2" xfId="0" applyNumberFormat="1" applyFill="1" applyBorder="1" applyAlignment="1">
      <alignment horizontal="left"/>
    </xf>
    <xf numFmtId="165" fontId="0" fillId="3" borderId="3" xfId="0" applyNumberFormat="1" applyFill="1" applyBorder="1" applyAlignment="1">
      <alignment horizontal="left"/>
    </xf>
    <xf numFmtId="165" fontId="0" fillId="3" borderId="4" xfId="0" applyNumberFormat="1" applyFill="1" applyBorder="1" applyAlignment="1">
      <alignment horizontal="left"/>
    </xf>
    <xf numFmtId="0" fontId="5" fillId="2" borderId="10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1" xfId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164" fontId="8" fillId="3" borderId="10" xfId="1" applyNumberFormat="1" applyFont="1" applyFill="1" applyBorder="1" applyAlignment="1">
      <alignment horizontal="center"/>
    </xf>
    <xf numFmtId="164" fontId="8" fillId="3" borderId="13" xfId="1" applyNumberFormat="1" applyFont="1" applyFill="1" applyBorder="1" applyAlignment="1">
      <alignment horizontal="center"/>
    </xf>
    <xf numFmtId="164" fontId="8" fillId="3" borderId="11" xfId="1" applyNumberFormat="1" applyFont="1" applyFill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8" xfId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11</xdr:row>
      <xdr:rowOff>28575</xdr:rowOff>
    </xdr:from>
    <xdr:to>
      <xdr:col>18</xdr:col>
      <xdr:colOff>518408</xdr:colOff>
      <xdr:row>23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64" b="14651"/>
        <a:stretch/>
      </xdr:blipFill>
      <xdr:spPr>
        <a:xfrm>
          <a:off x="11029950" y="2105025"/>
          <a:ext cx="2709158" cy="23526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95252</xdr:colOff>
      <xdr:row>11</xdr:row>
      <xdr:rowOff>28574</xdr:rowOff>
    </xdr:from>
    <xdr:to>
      <xdr:col>13</xdr:col>
      <xdr:colOff>243842</xdr:colOff>
      <xdr:row>26</xdr:row>
      <xdr:rowOff>55417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4" t="17157" b="19228"/>
        <a:stretch/>
      </xdr:blipFill>
      <xdr:spPr>
        <a:xfrm>
          <a:off x="8297143" y="2056879"/>
          <a:ext cx="2376400" cy="28088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609599</xdr:colOff>
      <xdr:row>25</xdr:row>
      <xdr:rowOff>87572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113" r="25866" b="6988"/>
        <a:stretch/>
      </xdr:blipFill>
      <xdr:spPr>
        <a:xfrm>
          <a:off x="0" y="0"/>
          <a:ext cx="8534399" cy="48500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95249</xdr:rowOff>
    </xdr:from>
    <xdr:to>
      <xdr:col>14</xdr:col>
      <xdr:colOff>19050</xdr:colOff>
      <xdr:row>50</xdr:row>
      <xdr:rowOff>166996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891" r="25678" b="7432"/>
        <a:stretch/>
      </xdr:blipFill>
      <xdr:spPr>
        <a:xfrm>
          <a:off x="0" y="4857749"/>
          <a:ext cx="8553450" cy="4834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S124"/>
  <sheetViews>
    <sheetView tabSelected="1" view="pageBreakPreview" topLeftCell="A90" zoomScale="75" zoomScaleNormal="75" zoomScaleSheetLayoutView="75" workbookViewId="0">
      <selection activeCell="O108" sqref="O108"/>
    </sheetView>
  </sheetViews>
  <sheetFormatPr defaultRowHeight="13.2"/>
  <cols>
    <col min="1" max="1" width="5.44140625" style="10" customWidth="1"/>
    <col min="2" max="2" width="21.6640625" style="10" customWidth="1"/>
    <col min="3" max="3" width="13.6640625" style="10" customWidth="1"/>
    <col min="4" max="4" width="21.33203125" style="10" customWidth="1"/>
    <col min="5" max="5" width="14.109375" style="10" customWidth="1"/>
    <col min="6" max="6" width="16.109375" style="10" customWidth="1"/>
    <col min="7" max="7" width="14.44140625" style="10" customWidth="1"/>
    <col min="8" max="8" width="16.44140625" style="10" customWidth="1"/>
    <col min="9" max="12" width="6.33203125" style="10" customWidth="1"/>
    <col min="13" max="17" width="8.109375" style="10" customWidth="1"/>
    <col min="18" max="251" width="9.109375" style="10"/>
    <col min="252" max="252" width="5.44140625" style="10" customWidth="1"/>
    <col min="253" max="253" width="13.6640625" style="10" customWidth="1"/>
    <col min="254" max="254" width="23.6640625" style="10" customWidth="1"/>
    <col min="255" max="255" width="14.109375" style="10" customWidth="1"/>
    <col min="256" max="256" width="16.109375" style="10" customWidth="1"/>
    <col min="257" max="257" width="14.44140625" style="10" customWidth="1"/>
    <col min="258" max="258" width="16.44140625" style="10" customWidth="1"/>
    <col min="259" max="261" width="6.33203125" style="10" customWidth="1"/>
    <col min="262" max="262" width="8.109375" style="10" customWidth="1"/>
    <col min="263" max="264" width="6.6640625" style="10" bestFit="1" customWidth="1"/>
    <col min="265" max="265" width="5.44140625" style="10" customWidth="1"/>
    <col min="266" max="266" width="13.44140625" style="10" customWidth="1"/>
    <col min="267" max="507" width="9.109375" style="10"/>
    <col min="508" max="508" width="5.44140625" style="10" customWidth="1"/>
    <col min="509" max="509" width="13.6640625" style="10" customWidth="1"/>
    <col min="510" max="510" width="23.6640625" style="10" customWidth="1"/>
    <col min="511" max="511" width="14.109375" style="10" customWidth="1"/>
    <col min="512" max="512" width="16.109375" style="10" customWidth="1"/>
    <col min="513" max="513" width="14.44140625" style="10" customWidth="1"/>
    <col min="514" max="514" width="16.44140625" style="10" customWidth="1"/>
    <col min="515" max="517" width="6.33203125" style="10" customWidth="1"/>
    <col min="518" max="518" width="8.109375" style="10" customWidth="1"/>
    <col min="519" max="520" width="6.6640625" style="10" bestFit="1" customWidth="1"/>
    <col min="521" max="521" width="5.44140625" style="10" customWidth="1"/>
    <col min="522" max="522" width="13.44140625" style="10" customWidth="1"/>
    <col min="523" max="763" width="9.109375" style="10"/>
    <col min="764" max="764" width="5.44140625" style="10" customWidth="1"/>
    <col min="765" max="765" width="13.6640625" style="10" customWidth="1"/>
    <col min="766" max="766" width="23.6640625" style="10" customWidth="1"/>
    <col min="767" max="767" width="14.109375" style="10" customWidth="1"/>
    <col min="768" max="768" width="16.109375" style="10" customWidth="1"/>
    <col min="769" max="769" width="14.44140625" style="10" customWidth="1"/>
    <col min="770" max="770" width="16.44140625" style="10" customWidth="1"/>
    <col min="771" max="773" width="6.33203125" style="10" customWidth="1"/>
    <col min="774" max="774" width="8.109375" style="10" customWidth="1"/>
    <col min="775" max="776" width="6.6640625" style="10" bestFit="1" customWidth="1"/>
    <col min="777" max="777" width="5.44140625" style="10" customWidth="1"/>
    <col min="778" max="778" width="13.44140625" style="10" customWidth="1"/>
    <col min="779" max="1019" width="9.109375" style="10"/>
    <col min="1020" max="1020" width="5.44140625" style="10" customWidth="1"/>
    <col min="1021" max="1021" width="13.6640625" style="10" customWidth="1"/>
    <col min="1022" max="1022" width="23.6640625" style="10" customWidth="1"/>
    <col min="1023" max="1023" width="14.109375" style="10" customWidth="1"/>
    <col min="1024" max="1024" width="16.109375" style="10" customWidth="1"/>
    <col min="1025" max="1025" width="14.44140625" style="10" customWidth="1"/>
    <col min="1026" max="1026" width="16.44140625" style="10" customWidth="1"/>
    <col min="1027" max="1029" width="6.33203125" style="10" customWidth="1"/>
    <col min="1030" max="1030" width="8.109375" style="10" customWidth="1"/>
    <col min="1031" max="1032" width="6.6640625" style="10" bestFit="1" customWidth="1"/>
    <col min="1033" max="1033" width="5.44140625" style="10" customWidth="1"/>
    <col min="1034" max="1034" width="13.44140625" style="10" customWidth="1"/>
    <col min="1035" max="1275" width="9.109375" style="10"/>
    <col min="1276" max="1276" width="5.44140625" style="10" customWidth="1"/>
    <col min="1277" max="1277" width="13.6640625" style="10" customWidth="1"/>
    <col min="1278" max="1278" width="23.6640625" style="10" customWidth="1"/>
    <col min="1279" max="1279" width="14.109375" style="10" customWidth="1"/>
    <col min="1280" max="1280" width="16.109375" style="10" customWidth="1"/>
    <col min="1281" max="1281" width="14.44140625" style="10" customWidth="1"/>
    <col min="1282" max="1282" width="16.44140625" style="10" customWidth="1"/>
    <col min="1283" max="1285" width="6.33203125" style="10" customWidth="1"/>
    <col min="1286" max="1286" width="8.109375" style="10" customWidth="1"/>
    <col min="1287" max="1288" width="6.6640625" style="10" bestFit="1" customWidth="1"/>
    <col min="1289" max="1289" width="5.44140625" style="10" customWidth="1"/>
    <col min="1290" max="1290" width="13.44140625" style="10" customWidth="1"/>
    <col min="1291" max="1531" width="9.109375" style="10"/>
    <col min="1532" max="1532" width="5.44140625" style="10" customWidth="1"/>
    <col min="1533" max="1533" width="13.6640625" style="10" customWidth="1"/>
    <col min="1534" max="1534" width="23.6640625" style="10" customWidth="1"/>
    <col min="1535" max="1535" width="14.109375" style="10" customWidth="1"/>
    <col min="1536" max="1536" width="16.109375" style="10" customWidth="1"/>
    <col min="1537" max="1537" width="14.44140625" style="10" customWidth="1"/>
    <col min="1538" max="1538" width="16.44140625" style="10" customWidth="1"/>
    <col min="1539" max="1541" width="6.33203125" style="10" customWidth="1"/>
    <col min="1542" max="1542" width="8.109375" style="10" customWidth="1"/>
    <col min="1543" max="1544" width="6.6640625" style="10" bestFit="1" customWidth="1"/>
    <col min="1545" max="1545" width="5.44140625" style="10" customWidth="1"/>
    <col min="1546" max="1546" width="13.44140625" style="10" customWidth="1"/>
    <col min="1547" max="1787" width="9.109375" style="10"/>
    <col min="1788" max="1788" width="5.44140625" style="10" customWidth="1"/>
    <col min="1789" max="1789" width="13.6640625" style="10" customWidth="1"/>
    <col min="1790" max="1790" width="23.6640625" style="10" customWidth="1"/>
    <col min="1791" max="1791" width="14.109375" style="10" customWidth="1"/>
    <col min="1792" max="1792" width="16.109375" style="10" customWidth="1"/>
    <col min="1793" max="1793" width="14.44140625" style="10" customWidth="1"/>
    <col min="1794" max="1794" width="16.44140625" style="10" customWidth="1"/>
    <col min="1795" max="1797" width="6.33203125" style="10" customWidth="1"/>
    <col min="1798" max="1798" width="8.109375" style="10" customWidth="1"/>
    <col min="1799" max="1800" width="6.6640625" style="10" bestFit="1" customWidth="1"/>
    <col min="1801" max="1801" width="5.44140625" style="10" customWidth="1"/>
    <col min="1802" max="1802" width="13.44140625" style="10" customWidth="1"/>
    <col min="1803" max="2043" width="9.109375" style="10"/>
    <col min="2044" max="2044" width="5.44140625" style="10" customWidth="1"/>
    <col min="2045" max="2045" width="13.6640625" style="10" customWidth="1"/>
    <col min="2046" max="2046" width="23.6640625" style="10" customWidth="1"/>
    <col min="2047" max="2047" width="14.109375" style="10" customWidth="1"/>
    <col min="2048" max="2048" width="16.109375" style="10" customWidth="1"/>
    <col min="2049" max="2049" width="14.44140625" style="10" customWidth="1"/>
    <col min="2050" max="2050" width="16.44140625" style="10" customWidth="1"/>
    <col min="2051" max="2053" width="6.33203125" style="10" customWidth="1"/>
    <col min="2054" max="2054" width="8.109375" style="10" customWidth="1"/>
    <col min="2055" max="2056" width="6.6640625" style="10" bestFit="1" customWidth="1"/>
    <col min="2057" max="2057" width="5.44140625" style="10" customWidth="1"/>
    <col min="2058" max="2058" width="13.44140625" style="10" customWidth="1"/>
    <col min="2059" max="2299" width="9.109375" style="10"/>
    <col min="2300" max="2300" width="5.44140625" style="10" customWidth="1"/>
    <col min="2301" max="2301" width="13.6640625" style="10" customWidth="1"/>
    <col min="2302" max="2302" width="23.6640625" style="10" customWidth="1"/>
    <col min="2303" max="2303" width="14.109375" style="10" customWidth="1"/>
    <col min="2304" max="2304" width="16.109375" style="10" customWidth="1"/>
    <col min="2305" max="2305" width="14.44140625" style="10" customWidth="1"/>
    <col min="2306" max="2306" width="16.44140625" style="10" customWidth="1"/>
    <col min="2307" max="2309" width="6.33203125" style="10" customWidth="1"/>
    <col min="2310" max="2310" width="8.109375" style="10" customWidth="1"/>
    <col min="2311" max="2312" width="6.6640625" style="10" bestFit="1" customWidth="1"/>
    <col min="2313" max="2313" width="5.44140625" style="10" customWidth="1"/>
    <col min="2314" max="2314" width="13.44140625" style="10" customWidth="1"/>
    <col min="2315" max="2555" width="9.109375" style="10"/>
    <col min="2556" max="2556" width="5.44140625" style="10" customWidth="1"/>
    <col min="2557" max="2557" width="13.6640625" style="10" customWidth="1"/>
    <col min="2558" max="2558" width="23.6640625" style="10" customWidth="1"/>
    <col min="2559" max="2559" width="14.109375" style="10" customWidth="1"/>
    <col min="2560" max="2560" width="16.109375" style="10" customWidth="1"/>
    <col min="2561" max="2561" width="14.44140625" style="10" customWidth="1"/>
    <col min="2562" max="2562" width="16.44140625" style="10" customWidth="1"/>
    <col min="2563" max="2565" width="6.33203125" style="10" customWidth="1"/>
    <col min="2566" max="2566" width="8.109375" style="10" customWidth="1"/>
    <col min="2567" max="2568" width="6.6640625" style="10" bestFit="1" customWidth="1"/>
    <col min="2569" max="2569" width="5.44140625" style="10" customWidth="1"/>
    <col min="2570" max="2570" width="13.44140625" style="10" customWidth="1"/>
    <col min="2571" max="2811" width="9.109375" style="10"/>
    <col min="2812" max="2812" width="5.44140625" style="10" customWidth="1"/>
    <col min="2813" max="2813" width="13.6640625" style="10" customWidth="1"/>
    <col min="2814" max="2814" width="23.6640625" style="10" customWidth="1"/>
    <col min="2815" max="2815" width="14.109375" style="10" customWidth="1"/>
    <col min="2816" max="2816" width="16.109375" style="10" customWidth="1"/>
    <col min="2817" max="2817" width="14.44140625" style="10" customWidth="1"/>
    <col min="2818" max="2818" width="16.44140625" style="10" customWidth="1"/>
    <col min="2819" max="2821" width="6.33203125" style="10" customWidth="1"/>
    <col min="2822" max="2822" width="8.109375" style="10" customWidth="1"/>
    <col min="2823" max="2824" width="6.6640625" style="10" bestFit="1" customWidth="1"/>
    <col min="2825" max="2825" width="5.44140625" style="10" customWidth="1"/>
    <col min="2826" max="2826" width="13.44140625" style="10" customWidth="1"/>
    <col min="2827" max="3067" width="9.109375" style="10"/>
    <col min="3068" max="3068" width="5.44140625" style="10" customWidth="1"/>
    <col min="3069" max="3069" width="13.6640625" style="10" customWidth="1"/>
    <col min="3070" max="3070" width="23.6640625" style="10" customWidth="1"/>
    <col min="3071" max="3071" width="14.109375" style="10" customWidth="1"/>
    <col min="3072" max="3072" width="16.109375" style="10" customWidth="1"/>
    <col min="3073" max="3073" width="14.44140625" style="10" customWidth="1"/>
    <col min="3074" max="3074" width="16.44140625" style="10" customWidth="1"/>
    <col min="3075" max="3077" width="6.33203125" style="10" customWidth="1"/>
    <col min="3078" max="3078" width="8.109375" style="10" customWidth="1"/>
    <col min="3079" max="3080" width="6.6640625" style="10" bestFit="1" customWidth="1"/>
    <col min="3081" max="3081" width="5.44140625" style="10" customWidth="1"/>
    <col min="3082" max="3082" width="13.44140625" style="10" customWidth="1"/>
    <col min="3083" max="3323" width="9.109375" style="10"/>
    <col min="3324" max="3324" width="5.44140625" style="10" customWidth="1"/>
    <col min="3325" max="3325" width="13.6640625" style="10" customWidth="1"/>
    <col min="3326" max="3326" width="23.6640625" style="10" customWidth="1"/>
    <col min="3327" max="3327" width="14.109375" style="10" customWidth="1"/>
    <col min="3328" max="3328" width="16.109375" style="10" customWidth="1"/>
    <col min="3329" max="3329" width="14.44140625" style="10" customWidth="1"/>
    <col min="3330" max="3330" width="16.44140625" style="10" customWidth="1"/>
    <col min="3331" max="3333" width="6.33203125" style="10" customWidth="1"/>
    <col min="3334" max="3334" width="8.109375" style="10" customWidth="1"/>
    <col min="3335" max="3336" width="6.6640625" style="10" bestFit="1" customWidth="1"/>
    <col min="3337" max="3337" width="5.44140625" style="10" customWidth="1"/>
    <col min="3338" max="3338" width="13.44140625" style="10" customWidth="1"/>
    <col min="3339" max="3579" width="9.109375" style="10"/>
    <col min="3580" max="3580" width="5.44140625" style="10" customWidth="1"/>
    <col min="3581" max="3581" width="13.6640625" style="10" customWidth="1"/>
    <col min="3582" max="3582" width="23.6640625" style="10" customWidth="1"/>
    <col min="3583" max="3583" width="14.109375" style="10" customWidth="1"/>
    <col min="3584" max="3584" width="16.109375" style="10" customWidth="1"/>
    <col min="3585" max="3585" width="14.44140625" style="10" customWidth="1"/>
    <col min="3586" max="3586" width="16.44140625" style="10" customWidth="1"/>
    <col min="3587" max="3589" width="6.33203125" style="10" customWidth="1"/>
    <col min="3590" max="3590" width="8.109375" style="10" customWidth="1"/>
    <col min="3591" max="3592" width="6.6640625" style="10" bestFit="1" customWidth="1"/>
    <col min="3593" max="3593" width="5.44140625" style="10" customWidth="1"/>
    <col min="3594" max="3594" width="13.44140625" style="10" customWidth="1"/>
    <col min="3595" max="3835" width="9.109375" style="10"/>
    <col min="3836" max="3836" width="5.44140625" style="10" customWidth="1"/>
    <col min="3837" max="3837" width="13.6640625" style="10" customWidth="1"/>
    <col min="3838" max="3838" width="23.6640625" style="10" customWidth="1"/>
    <col min="3839" max="3839" width="14.109375" style="10" customWidth="1"/>
    <col min="3840" max="3840" width="16.109375" style="10" customWidth="1"/>
    <col min="3841" max="3841" width="14.44140625" style="10" customWidth="1"/>
    <col min="3842" max="3842" width="16.44140625" style="10" customWidth="1"/>
    <col min="3843" max="3845" width="6.33203125" style="10" customWidth="1"/>
    <col min="3846" max="3846" width="8.109375" style="10" customWidth="1"/>
    <col min="3847" max="3848" width="6.6640625" style="10" bestFit="1" customWidth="1"/>
    <col min="3849" max="3849" width="5.44140625" style="10" customWidth="1"/>
    <col min="3850" max="3850" width="13.44140625" style="10" customWidth="1"/>
    <col min="3851" max="4091" width="9.109375" style="10"/>
    <col min="4092" max="4092" width="5.44140625" style="10" customWidth="1"/>
    <col min="4093" max="4093" width="13.6640625" style="10" customWidth="1"/>
    <col min="4094" max="4094" width="23.6640625" style="10" customWidth="1"/>
    <col min="4095" max="4095" width="14.109375" style="10" customWidth="1"/>
    <col min="4096" max="4096" width="16.109375" style="10" customWidth="1"/>
    <col min="4097" max="4097" width="14.44140625" style="10" customWidth="1"/>
    <col min="4098" max="4098" width="16.44140625" style="10" customWidth="1"/>
    <col min="4099" max="4101" width="6.33203125" style="10" customWidth="1"/>
    <col min="4102" max="4102" width="8.109375" style="10" customWidth="1"/>
    <col min="4103" max="4104" width="6.6640625" style="10" bestFit="1" customWidth="1"/>
    <col min="4105" max="4105" width="5.44140625" style="10" customWidth="1"/>
    <col min="4106" max="4106" width="13.44140625" style="10" customWidth="1"/>
    <col min="4107" max="4347" width="9.109375" style="10"/>
    <col min="4348" max="4348" width="5.44140625" style="10" customWidth="1"/>
    <col min="4349" max="4349" width="13.6640625" style="10" customWidth="1"/>
    <col min="4350" max="4350" width="23.6640625" style="10" customWidth="1"/>
    <col min="4351" max="4351" width="14.109375" style="10" customWidth="1"/>
    <col min="4352" max="4352" width="16.109375" style="10" customWidth="1"/>
    <col min="4353" max="4353" width="14.44140625" style="10" customWidth="1"/>
    <col min="4354" max="4354" width="16.44140625" style="10" customWidth="1"/>
    <col min="4355" max="4357" width="6.33203125" style="10" customWidth="1"/>
    <col min="4358" max="4358" width="8.109375" style="10" customWidth="1"/>
    <col min="4359" max="4360" width="6.6640625" style="10" bestFit="1" customWidth="1"/>
    <col min="4361" max="4361" width="5.44140625" style="10" customWidth="1"/>
    <col min="4362" max="4362" width="13.44140625" style="10" customWidth="1"/>
    <col min="4363" max="4603" width="9.109375" style="10"/>
    <col min="4604" max="4604" width="5.44140625" style="10" customWidth="1"/>
    <col min="4605" max="4605" width="13.6640625" style="10" customWidth="1"/>
    <col min="4606" max="4606" width="23.6640625" style="10" customWidth="1"/>
    <col min="4607" max="4607" width="14.109375" style="10" customWidth="1"/>
    <col min="4608" max="4608" width="16.109375" style="10" customWidth="1"/>
    <col min="4609" max="4609" width="14.44140625" style="10" customWidth="1"/>
    <col min="4610" max="4610" width="16.44140625" style="10" customWidth="1"/>
    <col min="4611" max="4613" width="6.33203125" style="10" customWidth="1"/>
    <col min="4614" max="4614" width="8.109375" style="10" customWidth="1"/>
    <col min="4615" max="4616" width="6.6640625" style="10" bestFit="1" customWidth="1"/>
    <col min="4617" max="4617" width="5.44140625" style="10" customWidth="1"/>
    <col min="4618" max="4618" width="13.44140625" style="10" customWidth="1"/>
    <col min="4619" max="4859" width="9.109375" style="10"/>
    <col min="4860" max="4860" width="5.44140625" style="10" customWidth="1"/>
    <col min="4861" max="4861" width="13.6640625" style="10" customWidth="1"/>
    <col min="4862" max="4862" width="23.6640625" style="10" customWidth="1"/>
    <col min="4863" max="4863" width="14.109375" style="10" customWidth="1"/>
    <col min="4864" max="4864" width="16.109375" style="10" customWidth="1"/>
    <col min="4865" max="4865" width="14.44140625" style="10" customWidth="1"/>
    <col min="4866" max="4866" width="16.44140625" style="10" customWidth="1"/>
    <col min="4867" max="4869" width="6.33203125" style="10" customWidth="1"/>
    <col min="4870" max="4870" width="8.109375" style="10" customWidth="1"/>
    <col min="4871" max="4872" width="6.6640625" style="10" bestFit="1" customWidth="1"/>
    <col min="4873" max="4873" width="5.44140625" style="10" customWidth="1"/>
    <col min="4874" max="4874" width="13.44140625" style="10" customWidth="1"/>
    <col min="4875" max="5115" width="9.109375" style="10"/>
    <col min="5116" max="5116" width="5.44140625" style="10" customWidth="1"/>
    <col min="5117" max="5117" width="13.6640625" style="10" customWidth="1"/>
    <col min="5118" max="5118" width="23.6640625" style="10" customWidth="1"/>
    <col min="5119" max="5119" width="14.109375" style="10" customWidth="1"/>
    <col min="5120" max="5120" width="16.109375" style="10" customWidth="1"/>
    <col min="5121" max="5121" width="14.44140625" style="10" customWidth="1"/>
    <col min="5122" max="5122" width="16.44140625" style="10" customWidth="1"/>
    <col min="5123" max="5125" width="6.33203125" style="10" customWidth="1"/>
    <col min="5126" max="5126" width="8.109375" style="10" customWidth="1"/>
    <col min="5127" max="5128" width="6.6640625" style="10" bestFit="1" customWidth="1"/>
    <col min="5129" max="5129" width="5.44140625" style="10" customWidth="1"/>
    <col min="5130" max="5130" width="13.44140625" style="10" customWidth="1"/>
    <col min="5131" max="5371" width="9.109375" style="10"/>
    <col min="5372" max="5372" width="5.44140625" style="10" customWidth="1"/>
    <col min="5373" max="5373" width="13.6640625" style="10" customWidth="1"/>
    <col min="5374" max="5374" width="23.6640625" style="10" customWidth="1"/>
    <col min="5375" max="5375" width="14.109375" style="10" customWidth="1"/>
    <col min="5376" max="5376" width="16.109375" style="10" customWidth="1"/>
    <col min="5377" max="5377" width="14.44140625" style="10" customWidth="1"/>
    <col min="5378" max="5378" width="16.44140625" style="10" customWidth="1"/>
    <col min="5379" max="5381" width="6.33203125" style="10" customWidth="1"/>
    <col min="5382" max="5382" width="8.109375" style="10" customWidth="1"/>
    <col min="5383" max="5384" width="6.6640625" style="10" bestFit="1" customWidth="1"/>
    <col min="5385" max="5385" width="5.44140625" style="10" customWidth="1"/>
    <col min="5386" max="5386" width="13.44140625" style="10" customWidth="1"/>
    <col min="5387" max="5627" width="9.109375" style="10"/>
    <col min="5628" max="5628" width="5.44140625" style="10" customWidth="1"/>
    <col min="5629" max="5629" width="13.6640625" style="10" customWidth="1"/>
    <col min="5630" max="5630" width="23.6640625" style="10" customWidth="1"/>
    <col min="5631" max="5631" width="14.109375" style="10" customWidth="1"/>
    <col min="5632" max="5632" width="16.109375" style="10" customWidth="1"/>
    <col min="5633" max="5633" width="14.44140625" style="10" customWidth="1"/>
    <col min="5634" max="5634" width="16.44140625" style="10" customWidth="1"/>
    <col min="5635" max="5637" width="6.33203125" style="10" customWidth="1"/>
    <col min="5638" max="5638" width="8.109375" style="10" customWidth="1"/>
    <col min="5639" max="5640" width="6.6640625" style="10" bestFit="1" customWidth="1"/>
    <col min="5641" max="5641" width="5.44140625" style="10" customWidth="1"/>
    <col min="5642" max="5642" width="13.44140625" style="10" customWidth="1"/>
    <col min="5643" max="5883" width="9.109375" style="10"/>
    <col min="5884" max="5884" width="5.44140625" style="10" customWidth="1"/>
    <col min="5885" max="5885" width="13.6640625" style="10" customWidth="1"/>
    <col min="5886" max="5886" width="23.6640625" style="10" customWidth="1"/>
    <col min="5887" max="5887" width="14.109375" style="10" customWidth="1"/>
    <col min="5888" max="5888" width="16.109375" style="10" customWidth="1"/>
    <col min="5889" max="5889" width="14.44140625" style="10" customWidth="1"/>
    <col min="5890" max="5890" width="16.44140625" style="10" customWidth="1"/>
    <col min="5891" max="5893" width="6.33203125" style="10" customWidth="1"/>
    <col min="5894" max="5894" width="8.109375" style="10" customWidth="1"/>
    <col min="5895" max="5896" width="6.6640625" style="10" bestFit="1" customWidth="1"/>
    <col min="5897" max="5897" width="5.44140625" style="10" customWidth="1"/>
    <col min="5898" max="5898" width="13.44140625" style="10" customWidth="1"/>
    <col min="5899" max="6139" width="9.109375" style="10"/>
    <col min="6140" max="6140" width="5.44140625" style="10" customWidth="1"/>
    <col min="6141" max="6141" width="13.6640625" style="10" customWidth="1"/>
    <col min="6142" max="6142" width="23.6640625" style="10" customWidth="1"/>
    <col min="6143" max="6143" width="14.109375" style="10" customWidth="1"/>
    <col min="6144" max="6144" width="16.109375" style="10" customWidth="1"/>
    <col min="6145" max="6145" width="14.44140625" style="10" customWidth="1"/>
    <col min="6146" max="6146" width="16.44140625" style="10" customWidth="1"/>
    <col min="6147" max="6149" width="6.33203125" style="10" customWidth="1"/>
    <col min="6150" max="6150" width="8.109375" style="10" customWidth="1"/>
    <col min="6151" max="6152" width="6.6640625" style="10" bestFit="1" customWidth="1"/>
    <col min="6153" max="6153" width="5.44140625" style="10" customWidth="1"/>
    <col min="6154" max="6154" width="13.44140625" style="10" customWidth="1"/>
    <col min="6155" max="6395" width="9.109375" style="10"/>
    <col min="6396" max="6396" width="5.44140625" style="10" customWidth="1"/>
    <col min="6397" max="6397" width="13.6640625" style="10" customWidth="1"/>
    <col min="6398" max="6398" width="23.6640625" style="10" customWidth="1"/>
    <col min="6399" max="6399" width="14.109375" style="10" customWidth="1"/>
    <col min="6400" max="6400" width="16.109375" style="10" customWidth="1"/>
    <col min="6401" max="6401" width="14.44140625" style="10" customWidth="1"/>
    <col min="6402" max="6402" width="16.44140625" style="10" customWidth="1"/>
    <col min="6403" max="6405" width="6.33203125" style="10" customWidth="1"/>
    <col min="6406" max="6406" width="8.109375" style="10" customWidth="1"/>
    <col min="6407" max="6408" width="6.6640625" style="10" bestFit="1" customWidth="1"/>
    <col min="6409" max="6409" width="5.44140625" style="10" customWidth="1"/>
    <col min="6410" max="6410" width="13.44140625" style="10" customWidth="1"/>
    <col min="6411" max="6651" width="9.109375" style="10"/>
    <col min="6652" max="6652" width="5.44140625" style="10" customWidth="1"/>
    <col min="6653" max="6653" width="13.6640625" style="10" customWidth="1"/>
    <col min="6654" max="6654" width="23.6640625" style="10" customWidth="1"/>
    <col min="6655" max="6655" width="14.109375" style="10" customWidth="1"/>
    <col min="6656" max="6656" width="16.109375" style="10" customWidth="1"/>
    <col min="6657" max="6657" width="14.44140625" style="10" customWidth="1"/>
    <col min="6658" max="6658" width="16.44140625" style="10" customWidth="1"/>
    <col min="6659" max="6661" width="6.33203125" style="10" customWidth="1"/>
    <col min="6662" max="6662" width="8.109375" style="10" customWidth="1"/>
    <col min="6663" max="6664" width="6.6640625" style="10" bestFit="1" customWidth="1"/>
    <col min="6665" max="6665" width="5.44140625" style="10" customWidth="1"/>
    <col min="6666" max="6666" width="13.44140625" style="10" customWidth="1"/>
    <col min="6667" max="6907" width="9.109375" style="10"/>
    <col min="6908" max="6908" width="5.44140625" style="10" customWidth="1"/>
    <col min="6909" max="6909" width="13.6640625" style="10" customWidth="1"/>
    <col min="6910" max="6910" width="23.6640625" style="10" customWidth="1"/>
    <col min="6911" max="6911" width="14.109375" style="10" customWidth="1"/>
    <col min="6912" max="6912" width="16.109375" style="10" customWidth="1"/>
    <col min="6913" max="6913" width="14.44140625" style="10" customWidth="1"/>
    <col min="6914" max="6914" width="16.44140625" style="10" customWidth="1"/>
    <col min="6915" max="6917" width="6.33203125" style="10" customWidth="1"/>
    <col min="6918" max="6918" width="8.109375" style="10" customWidth="1"/>
    <col min="6919" max="6920" width="6.6640625" style="10" bestFit="1" customWidth="1"/>
    <col min="6921" max="6921" width="5.44140625" style="10" customWidth="1"/>
    <col min="6922" max="6922" width="13.44140625" style="10" customWidth="1"/>
    <col min="6923" max="7163" width="9.109375" style="10"/>
    <col min="7164" max="7164" width="5.44140625" style="10" customWidth="1"/>
    <col min="7165" max="7165" width="13.6640625" style="10" customWidth="1"/>
    <col min="7166" max="7166" width="23.6640625" style="10" customWidth="1"/>
    <col min="7167" max="7167" width="14.109375" style="10" customWidth="1"/>
    <col min="7168" max="7168" width="16.109375" style="10" customWidth="1"/>
    <col min="7169" max="7169" width="14.44140625" style="10" customWidth="1"/>
    <col min="7170" max="7170" width="16.44140625" style="10" customWidth="1"/>
    <col min="7171" max="7173" width="6.33203125" style="10" customWidth="1"/>
    <col min="7174" max="7174" width="8.109375" style="10" customWidth="1"/>
    <col min="7175" max="7176" width="6.6640625" style="10" bestFit="1" customWidth="1"/>
    <col min="7177" max="7177" width="5.44140625" style="10" customWidth="1"/>
    <col min="7178" max="7178" width="13.44140625" style="10" customWidth="1"/>
    <col min="7179" max="7419" width="9.109375" style="10"/>
    <col min="7420" max="7420" width="5.44140625" style="10" customWidth="1"/>
    <col min="7421" max="7421" width="13.6640625" style="10" customWidth="1"/>
    <col min="7422" max="7422" width="23.6640625" style="10" customWidth="1"/>
    <col min="7423" max="7423" width="14.109375" style="10" customWidth="1"/>
    <col min="7424" max="7424" width="16.109375" style="10" customWidth="1"/>
    <col min="7425" max="7425" width="14.44140625" style="10" customWidth="1"/>
    <col min="7426" max="7426" width="16.44140625" style="10" customWidth="1"/>
    <col min="7427" max="7429" width="6.33203125" style="10" customWidth="1"/>
    <col min="7430" max="7430" width="8.109375" style="10" customWidth="1"/>
    <col min="7431" max="7432" width="6.6640625" style="10" bestFit="1" customWidth="1"/>
    <col min="7433" max="7433" width="5.44140625" style="10" customWidth="1"/>
    <col min="7434" max="7434" width="13.44140625" style="10" customWidth="1"/>
    <col min="7435" max="7675" width="9.109375" style="10"/>
    <col min="7676" max="7676" width="5.44140625" style="10" customWidth="1"/>
    <col min="7677" max="7677" width="13.6640625" style="10" customWidth="1"/>
    <col min="7678" max="7678" width="23.6640625" style="10" customWidth="1"/>
    <col min="7679" max="7679" width="14.109375" style="10" customWidth="1"/>
    <col min="7680" max="7680" width="16.109375" style="10" customWidth="1"/>
    <col min="7681" max="7681" width="14.44140625" style="10" customWidth="1"/>
    <col min="7682" max="7682" width="16.44140625" style="10" customWidth="1"/>
    <col min="7683" max="7685" width="6.33203125" style="10" customWidth="1"/>
    <col min="7686" max="7686" width="8.109375" style="10" customWidth="1"/>
    <col min="7687" max="7688" width="6.6640625" style="10" bestFit="1" customWidth="1"/>
    <col min="7689" max="7689" width="5.44140625" style="10" customWidth="1"/>
    <col min="7690" max="7690" width="13.44140625" style="10" customWidth="1"/>
    <col min="7691" max="7931" width="9.109375" style="10"/>
    <col min="7932" max="7932" width="5.44140625" style="10" customWidth="1"/>
    <col min="7933" max="7933" width="13.6640625" style="10" customWidth="1"/>
    <col min="7934" max="7934" width="23.6640625" style="10" customWidth="1"/>
    <col min="7935" max="7935" width="14.109375" style="10" customWidth="1"/>
    <col min="7936" max="7936" width="16.109375" style="10" customWidth="1"/>
    <col min="7937" max="7937" width="14.44140625" style="10" customWidth="1"/>
    <col min="7938" max="7938" width="16.44140625" style="10" customWidth="1"/>
    <col min="7939" max="7941" width="6.33203125" style="10" customWidth="1"/>
    <col min="7942" max="7942" width="8.109375" style="10" customWidth="1"/>
    <col min="7943" max="7944" width="6.6640625" style="10" bestFit="1" customWidth="1"/>
    <col min="7945" max="7945" width="5.44140625" style="10" customWidth="1"/>
    <col min="7946" max="7946" width="13.44140625" style="10" customWidth="1"/>
    <col min="7947" max="8187" width="9.109375" style="10"/>
    <col min="8188" max="8188" width="5.44140625" style="10" customWidth="1"/>
    <col min="8189" max="8189" width="13.6640625" style="10" customWidth="1"/>
    <col min="8190" max="8190" width="23.6640625" style="10" customWidth="1"/>
    <col min="8191" max="8191" width="14.109375" style="10" customWidth="1"/>
    <col min="8192" max="8192" width="16.109375" style="10" customWidth="1"/>
    <col min="8193" max="8193" width="14.44140625" style="10" customWidth="1"/>
    <col min="8194" max="8194" width="16.44140625" style="10" customWidth="1"/>
    <col min="8195" max="8197" width="6.33203125" style="10" customWidth="1"/>
    <col min="8198" max="8198" width="8.109375" style="10" customWidth="1"/>
    <col min="8199" max="8200" width="6.6640625" style="10" bestFit="1" customWidth="1"/>
    <col min="8201" max="8201" width="5.44140625" style="10" customWidth="1"/>
    <col min="8202" max="8202" width="13.44140625" style="10" customWidth="1"/>
    <col min="8203" max="8443" width="9.109375" style="10"/>
    <col min="8444" max="8444" width="5.44140625" style="10" customWidth="1"/>
    <col min="8445" max="8445" width="13.6640625" style="10" customWidth="1"/>
    <col min="8446" max="8446" width="23.6640625" style="10" customWidth="1"/>
    <col min="8447" max="8447" width="14.109375" style="10" customWidth="1"/>
    <col min="8448" max="8448" width="16.109375" style="10" customWidth="1"/>
    <col min="8449" max="8449" width="14.44140625" style="10" customWidth="1"/>
    <col min="8450" max="8450" width="16.44140625" style="10" customWidth="1"/>
    <col min="8451" max="8453" width="6.33203125" style="10" customWidth="1"/>
    <col min="8454" max="8454" width="8.109375" style="10" customWidth="1"/>
    <col min="8455" max="8456" width="6.6640625" style="10" bestFit="1" customWidth="1"/>
    <col min="8457" max="8457" width="5.44140625" style="10" customWidth="1"/>
    <col min="8458" max="8458" width="13.44140625" style="10" customWidth="1"/>
    <col min="8459" max="8699" width="9.109375" style="10"/>
    <col min="8700" max="8700" width="5.44140625" style="10" customWidth="1"/>
    <col min="8701" max="8701" width="13.6640625" style="10" customWidth="1"/>
    <col min="8702" max="8702" width="23.6640625" style="10" customWidth="1"/>
    <col min="8703" max="8703" width="14.109375" style="10" customWidth="1"/>
    <col min="8704" max="8704" width="16.109375" style="10" customWidth="1"/>
    <col min="8705" max="8705" width="14.44140625" style="10" customWidth="1"/>
    <col min="8706" max="8706" width="16.44140625" style="10" customWidth="1"/>
    <col min="8707" max="8709" width="6.33203125" style="10" customWidth="1"/>
    <col min="8710" max="8710" width="8.109375" style="10" customWidth="1"/>
    <col min="8711" max="8712" width="6.6640625" style="10" bestFit="1" customWidth="1"/>
    <col min="8713" max="8713" width="5.44140625" style="10" customWidth="1"/>
    <col min="8714" max="8714" width="13.44140625" style="10" customWidth="1"/>
    <col min="8715" max="8955" width="9.109375" style="10"/>
    <col min="8956" max="8956" width="5.44140625" style="10" customWidth="1"/>
    <col min="8957" max="8957" width="13.6640625" style="10" customWidth="1"/>
    <col min="8958" max="8958" width="23.6640625" style="10" customWidth="1"/>
    <col min="8959" max="8959" width="14.109375" style="10" customWidth="1"/>
    <col min="8960" max="8960" width="16.109375" style="10" customWidth="1"/>
    <col min="8961" max="8961" width="14.44140625" style="10" customWidth="1"/>
    <col min="8962" max="8962" width="16.44140625" style="10" customWidth="1"/>
    <col min="8963" max="8965" width="6.33203125" style="10" customWidth="1"/>
    <col min="8966" max="8966" width="8.109375" style="10" customWidth="1"/>
    <col min="8967" max="8968" width="6.6640625" style="10" bestFit="1" customWidth="1"/>
    <col min="8969" max="8969" width="5.44140625" style="10" customWidth="1"/>
    <col min="8970" max="8970" width="13.44140625" style="10" customWidth="1"/>
    <col min="8971" max="9211" width="9.109375" style="10"/>
    <col min="9212" max="9212" width="5.44140625" style="10" customWidth="1"/>
    <col min="9213" max="9213" width="13.6640625" style="10" customWidth="1"/>
    <col min="9214" max="9214" width="23.6640625" style="10" customWidth="1"/>
    <col min="9215" max="9215" width="14.109375" style="10" customWidth="1"/>
    <col min="9216" max="9216" width="16.109375" style="10" customWidth="1"/>
    <col min="9217" max="9217" width="14.44140625" style="10" customWidth="1"/>
    <col min="9218" max="9218" width="16.44140625" style="10" customWidth="1"/>
    <col min="9219" max="9221" width="6.33203125" style="10" customWidth="1"/>
    <col min="9222" max="9222" width="8.109375" style="10" customWidth="1"/>
    <col min="9223" max="9224" width="6.6640625" style="10" bestFit="1" customWidth="1"/>
    <col min="9225" max="9225" width="5.44140625" style="10" customWidth="1"/>
    <col min="9226" max="9226" width="13.44140625" style="10" customWidth="1"/>
    <col min="9227" max="9467" width="9.109375" style="10"/>
    <col min="9468" max="9468" width="5.44140625" style="10" customWidth="1"/>
    <col min="9469" max="9469" width="13.6640625" style="10" customWidth="1"/>
    <col min="9470" max="9470" width="23.6640625" style="10" customWidth="1"/>
    <col min="9471" max="9471" width="14.109375" style="10" customWidth="1"/>
    <col min="9472" max="9472" width="16.109375" style="10" customWidth="1"/>
    <col min="9473" max="9473" width="14.44140625" style="10" customWidth="1"/>
    <col min="9474" max="9474" width="16.44140625" style="10" customWidth="1"/>
    <col min="9475" max="9477" width="6.33203125" style="10" customWidth="1"/>
    <col min="9478" max="9478" width="8.109375" style="10" customWidth="1"/>
    <col min="9479" max="9480" width="6.6640625" style="10" bestFit="1" customWidth="1"/>
    <col min="9481" max="9481" width="5.44140625" style="10" customWidth="1"/>
    <col min="9482" max="9482" width="13.44140625" style="10" customWidth="1"/>
    <col min="9483" max="9723" width="9.109375" style="10"/>
    <col min="9724" max="9724" width="5.44140625" style="10" customWidth="1"/>
    <col min="9725" max="9725" width="13.6640625" style="10" customWidth="1"/>
    <col min="9726" max="9726" width="23.6640625" style="10" customWidth="1"/>
    <col min="9727" max="9727" width="14.109375" style="10" customWidth="1"/>
    <col min="9728" max="9728" width="16.109375" style="10" customWidth="1"/>
    <col min="9729" max="9729" width="14.44140625" style="10" customWidth="1"/>
    <col min="9730" max="9730" width="16.44140625" style="10" customWidth="1"/>
    <col min="9731" max="9733" width="6.33203125" style="10" customWidth="1"/>
    <col min="9734" max="9734" width="8.109375" style="10" customWidth="1"/>
    <col min="9735" max="9736" width="6.6640625" style="10" bestFit="1" customWidth="1"/>
    <col min="9737" max="9737" width="5.44140625" style="10" customWidth="1"/>
    <col min="9738" max="9738" width="13.44140625" style="10" customWidth="1"/>
    <col min="9739" max="9979" width="9.109375" style="10"/>
    <col min="9980" max="9980" width="5.44140625" style="10" customWidth="1"/>
    <col min="9981" max="9981" width="13.6640625" style="10" customWidth="1"/>
    <col min="9982" max="9982" width="23.6640625" style="10" customWidth="1"/>
    <col min="9983" max="9983" width="14.109375" style="10" customWidth="1"/>
    <col min="9984" max="9984" width="16.109375" style="10" customWidth="1"/>
    <col min="9985" max="9985" width="14.44140625" style="10" customWidth="1"/>
    <col min="9986" max="9986" width="16.44140625" style="10" customWidth="1"/>
    <col min="9987" max="9989" width="6.33203125" style="10" customWidth="1"/>
    <col min="9990" max="9990" width="8.109375" style="10" customWidth="1"/>
    <col min="9991" max="9992" width="6.6640625" style="10" bestFit="1" customWidth="1"/>
    <col min="9993" max="9993" width="5.44140625" style="10" customWidth="1"/>
    <col min="9994" max="9994" width="13.44140625" style="10" customWidth="1"/>
    <col min="9995" max="10235" width="9.109375" style="10"/>
    <col min="10236" max="10236" width="5.44140625" style="10" customWidth="1"/>
    <col min="10237" max="10237" width="13.6640625" style="10" customWidth="1"/>
    <col min="10238" max="10238" width="23.6640625" style="10" customWidth="1"/>
    <col min="10239" max="10239" width="14.109375" style="10" customWidth="1"/>
    <col min="10240" max="10240" width="16.109375" style="10" customWidth="1"/>
    <col min="10241" max="10241" width="14.44140625" style="10" customWidth="1"/>
    <col min="10242" max="10242" width="16.44140625" style="10" customWidth="1"/>
    <col min="10243" max="10245" width="6.33203125" style="10" customWidth="1"/>
    <col min="10246" max="10246" width="8.109375" style="10" customWidth="1"/>
    <col min="10247" max="10248" width="6.6640625" style="10" bestFit="1" customWidth="1"/>
    <col min="10249" max="10249" width="5.44140625" style="10" customWidth="1"/>
    <col min="10250" max="10250" width="13.44140625" style="10" customWidth="1"/>
    <col min="10251" max="10491" width="9.109375" style="10"/>
    <col min="10492" max="10492" width="5.44140625" style="10" customWidth="1"/>
    <col min="10493" max="10493" width="13.6640625" style="10" customWidth="1"/>
    <col min="10494" max="10494" width="23.6640625" style="10" customWidth="1"/>
    <col min="10495" max="10495" width="14.109375" style="10" customWidth="1"/>
    <col min="10496" max="10496" width="16.109375" style="10" customWidth="1"/>
    <col min="10497" max="10497" width="14.44140625" style="10" customWidth="1"/>
    <col min="10498" max="10498" width="16.44140625" style="10" customWidth="1"/>
    <col min="10499" max="10501" width="6.33203125" style="10" customWidth="1"/>
    <col min="10502" max="10502" width="8.109375" style="10" customWidth="1"/>
    <col min="10503" max="10504" width="6.6640625" style="10" bestFit="1" customWidth="1"/>
    <col min="10505" max="10505" width="5.44140625" style="10" customWidth="1"/>
    <col min="10506" max="10506" width="13.44140625" style="10" customWidth="1"/>
    <col min="10507" max="10747" width="9.109375" style="10"/>
    <col min="10748" max="10748" width="5.44140625" style="10" customWidth="1"/>
    <col min="10749" max="10749" width="13.6640625" style="10" customWidth="1"/>
    <col min="10750" max="10750" width="23.6640625" style="10" customWidth="1"/>
    <col min="10751" max="10751" width="14.109375" style="10" customWidth="1"/>
    <col min="10752" max="10752" width="16.109375" style="10" customWidth="1"/>
    <col min="10753" max="10753" width="14.44140625" style="10" customWidth="1"/>
    <col min="10754" max="10754" width="16.44140625" style="10" customWidth="1"/>
    <col min="10755" max="10757" width="6.33203125" style="10" customWidth="1"/>
    <col min="10758" max="10758" width="8.109375" style="10" customWidth="1"/>
    <col min="10759" max="10760" width="6.6640625" style="10" bestFit="1" customWidth="1"/>
    <col min="10761" max="10761" width="5.44140625" style="10" customWidth="1"/>
    <col min="10762" max="10762" width="13.44140625" style="10" customWidth="1"/>
    <col min="10763" max="11003" width="9.109375" style="10"/>
    <col min="11004" max="11004" width="5.44140625" style="10" customWidth="1"/>
    <col min="11005" max="11005" width="13.6640625" style="10" customWidth="1"/>
    <col min="11006" max="11006" width="23.6640625" style="10" customWidth="1"/>
    <col min="11007" max="11007" width="14.109375" style="10" customWidth="1"/>
    <col min="11008" max="11008" width="16.109375" style="10" customWidth="1"/>
    <col min="11009" max="11009" width="14.44140625" style="10" customWidth="1"/>
    <col min="11010" max="11010" width="16.44140625" style="10" customWidth="1"/>
    <col min="11011" max="11013" width="6.33203125" style="10" customWidth="1"/>
    <col min="11014" max="11014" width="8.109375" style="10" customWidth="1"/>
    <col min="11015" max="11016" width="6.6640625" style="10" bestFit="1" customWidth="1"/>
    <col min="11017" max="11017" width="5.44140625" style="10" customWidth="1"/>
    <col min="11018" max="11018" width="13.44140625" style="10" customWidth="1"/>
    <col min="11019" max="11259" width="9.109375" style="10"/>
    <col min="11260" max="11260" width="5.44140625" style="10" customWidth="1"/>
    <col min="11261" max="11261" width="13.6640625" style="10" customWidth="1"/>
    <col min="11262" max="11262" width="23.6640625" style="10" customWidth="1"/>
    <col min="11263" max="11263" width="14.109375" style="10" customWidth="1"/>
    <col min="11264" max="11264" width="16.109375" style="10" customWidth="1"/>
    <col min="11265" max="11265" width="14.44140625" style="10" customWidth="1"/>
    <col min="11266" max="11266" width="16.44140625" style="10" customWidth="1"/>
    <col min="11267" max="11269" width="6.33203125" style="10" customWidth="1"/>
    <col min="11270" max="11270" width="8.109375" style="10" customWidth="1"/>
    <col min="11271" max="11272" width="6.6640625" style="10" bestFit="1" customWidth="1"/>
    <col min="11273" max="11273" width="5.44140625" style="10" customWidth="1"/>
    <col min="11274" max="11274" width="13.44140625" style="10" customWidth="1"/>
    <col min="11275" max="11515" width="9.109375" style="10"/>
    <col min="11516" max="11516" width="5.44140625" style="10" customWidth="1"/>
    <col min="11517" max="11517" width="13.6640625" style="10" customWidth="1"/>
    <col min="11518" max="11518" width="23.6640625" style="10" customWidth="1"/>
    <col min="11519" max="11519" width="14.109375" style="10" customWidth="1"/>
    <col min="11520" max="11520" width="16.109375" style="10" customWidth="1"/>
    <col min="11521" max="11521" width="14.44140625" style="10" customWidth="1"/>
    <col min="11522" max="11522" width="16.44140625" style="10" customWidth="1"/>
    <col min="11523" max="11525" width="6.33203125" style="10" customWidth="1"/>
    <col min="11526" max="11526" width="8.109375" style="10" customWidth="1"/>
    <col min="11527" max="11528" width="6.6640625" style="10" bestFit="1" customWidth="1"/>
    <col min="11529" max="11529" width="5.44140625" style="10" customWidth="1"/>
    <col min="11530" max="11530" width="13.44140625" style="10" customWidth="1"/>
    <col min="11531" max="11771" width="9.109375" style="10"/>
    <col min="11772" max="11772" width="5.44140625" style="10" customWidth="1"/>
    <col min="11773" max="11773" width="13.6640625" style="10" customWidth="1"/>
    <col min="11774" max="11774" width="23.6640625" style="10" customWidth="1"/>
    <col min="11775" max="11775" width="14.109375" style="10" customWidth="1"/>
    <col min="11776" max="11776" width="16.109375" style="10" customWidth="1"/>
    <col min="11777" max="11777" width="14.44140625" style="10" customWidth="1"/>
    <col min="11778" max="11778" width="16.44140625" style="10" customWidth="1"/>
    <col min="11779" max="11781" width="6.33203125" style="10" customWidth="1"/>
    <col min="11782" max="11782" width="8.109375" style="10" customWidth="1"/>
    <col min="11783" max="11784" width="6.6640625" style="10" bestFit="1" customWidth="1"/>
    <col min="11785" max="11785" width="5.44140625" style="10" customWidth="1"/>
    <col min="11786" max="11786" width="13.44140625" style="10" customWidth="1"/>
    <col min="11787" max="12027" width="9.109375" style="10"/>
    <col min="12028" max="12028" width="5.44140625" style="10" customWidth="1"/>
    <col min="12029" max="12029" width="13.6640625" style="10" customWidth="1"/>
    <col min="12030" max="12030" width="23.6640625" style="10" customWidth="1"/>
    <col min="12031" max="12031" width="14.109375" style="10" customWidth="1"/>
    <col min="12032" max="12032" width="16.109375" style="10" customWidth="1"/>
    <col min="12033" max="12033" width="14.44140625" style="10" customWidth="1"/>
    <col min="12034" max="12034" width="16.44140625" style="10" customWidth="1"/>
    <col min="12035" max="12037" width="6.33203125" style="10" customWidth="1"/>
    <col min="12038" max="12038" width="8.109375" style="10" customWidth="1"/>
    <col min="12039" max="12040" width="6.6640625" style="10" bestFit="1" customWidth="1"/>
    <col min="12041" max="12041" width="5.44140625" style="10" customWidth="1"/>
    <col min="12042" max="12042" width="13.44140625" style="10" customWidth="1"/>
    <col min="12043" max="12283" width="9.109375" style="10"/>
    <col min="12284" max="12284" width="5.44140625" style="10" customWidth="1"/>
    <col min="12285" max="12285" width="13.6640625" style="10" customWidth="1"/>
    <col min="12286" max="12286" width="23.6640625" style="10" customWidth="1"/>
    <col min="12287" max="12287" width="14.109375" style="10" customWidth="1"/>
    <col min="12288" max="12288" width="16.109375" style="10" customWidth="1"/>
    <col min="12289" max="12289" width="14.44140625" style="10" customWidth="1"/>
    <col min="12290" max="12290" width="16.44140625" style="10" customWidth="1"/>
    <col min="12291" max="12293" width="6.33203125" style="10" customWidth="1"/>
    <col min="12294" max="12294" width="8.109375" style="10" customWidth="1"/>
    <col min="12295" max="12296" width="6.6640625" style="10" bestFit="1" customWidth="1"/>
    <col min="12297" max="12297" width="5.44140625" style="10" customWidth="1"/>
    <col min="12298" max="12298" width="13.44140625" style="10" customWidth="1"/>
    <col min="12299" max="12539" width="9.109375" style="10"/>
    <col min="12540" max="12540" width="5.44140625" style="10" customWidth="1"/>
    <col min="12541" max="12541" width="13.6640625" style="10" customWidth="1"/>
    <col min="12542" max="12542" width="23.6640625" style="10" customWidth="1"/>
    <col min="12543" max="12543" width="14.109375" style="10" customWidth="1"/>
    <col min="12544" max="12544" width="16.109375" style="10" customWidth="1"/>
    <col min="12545" max="12545" width="14.44140625" style="10" customWidth="1"/>
    <col min="12546" max="12546" width="16.44140625" style="10" customWidth="1"/>
    <col min="12547" max="12549" width="6.33203125" style="10" customWidth="1"/>
    <col min="12550" max="12550" width="8.109375" style="10" customWidth="1"/>
    <col min="12551" max="12552" width="6.6640625" style="10" bestFit="1" customWidth="1"/>
    <col min="12553" max="12553" width="5.44140625" style="10" customWidth="1"/>
    <col min="12554" max="12554" width="13.44140625" style="10" customWidth="1"/>
    <col min="12555" max="12795" width="9.109375" style="10"/>
    <col min="12796" max="12796" width="5.44140625" style="10" customWidth="1"/>
    <col min="12797" max="12797" width="13.6640625" style="10" customWidth="1"/>
    <col min="12798" max="12798" width="23.6640625" style="10" customWidth="1"/>
    <col min="12799" max="12799" width="14.109375" style="10" customWidth="1"/>
    <col min="12800" max="12800" width="16.109375" style="10" customWidth="1"/>
    <col min="12801" max="12801" width="14.44140625" style="10" customWidth="1"/>
    <col min="12802" max="12802" width="16.44140625" style="10" customWidth="1"/>
    <col min="12803" max="12805" width="6.33203125" style="10" customWidth="1"/>
    <col min="12806" max="12806" width="8.109375" style="10" customWidth="1"/>
    <col min="12807" max="12808" width="6.6640625" style="10" bestFit="1" customWidth="1"/>
    <col min="12809" max="12809" width="5.44140625" style="10" customWidth="1"/>
    <col min="12810" max="12810" width="13.44140625" style="10" customWidth="1"/>
    <col min="12811" max="13051" width="9.109375" style="10"/>
    <col min="13052" max="13052" width="5.44140625" style="10" customWidth="1"/>
    <col min="13053" max="13053" width="13.6640625" style="10" customWidth="1"/>
    <col min="13054" max="13054" width="23.6640625" style="10" customWidth="1"/>
    <col min="13055" max="13055" width="14.109375" style="10" customWidth="1"/>
    <col min="13056" max="13056" width="16.109375" style="10" customWidth="1"/>
    <col min="13057" max="13057" width="14.44140625" style="10" customWidth="1"/>
    <col min="13058" max="13058" width="16.44140625" style="10" customWidth="1"/>
    <col min="13059" max="13061" width="6.33203125" style="10" customWidth="1"/>
    <col min="13062" max="13062" width="8.109375" style="10" customWidth="1"/>
    <col min="13063" max="13064" width="6.6640625" style="10" bestFit="1" customWidth="1"/>
    <col min="13065" max="13065" width="5.44140625" style="10" customWidth="1"/>
    <col min="13066" max="13066" width="13.44140625" style="10" customWidth="1"/>
    <col min="13067" max="13307" width="9.109375" style="10"/>
    <col min="13308" max="13308" width="5.44140625" style="10" customWidth="1"/>
    <col min="13309" max="13309" width="13.6640625" style="10" customWidth="1"/>
    <col min="13310" max="13310" width="23.6640625" style="10" customWidth="1"/>
    <col min="13311" max="13311" width="14.109375" style="10" customWidth="1"/>
    <col min="13312" max="13312" width="16.109375" style="10" customWidth="1"/>
    <col min="13313" max="13313" width="14.44140625" style="10" customWidth="1"/>
    <col min="13314" max="13314" width="16.44140625" style="10" customWidth="1"/>
    <col min="13315" max="13317" width="6.33203125" style="10" customWidth="1"/>
    <col min="13318" max="13318" width="8.109375" style="10" customWidth="1"/>
    <col min="13319" max="13320" width="6.6640625" style="10" bestFit="1" customWidth="1"/>
    <col min="13321" max="13321" width="5.44140625" style="10" customWidth="1"/>
    <col min="13322" max="13322" width="13.44140625" style="10" customWidth="1"/>
    <col min="13323" max="13563" width="9.109375" style="10"/>
    <col min="13564" max="13564" width="5.44140625" style="10" customWidth="1"/>
    <col min="13565" max="13565" width="13.6640625" style="10" customWidth="1"/>
    <col min="13566" max="13566" width="23.6640625" style="10" customWidth="1"/>
    <col min="13567" max="13567" width="14.109375" style="10" customWidth="1"/>
    <col min="13568" max="13568" width="16.109375" style="10" customWidth="1"/>
    <col min="13569" max="13569" width="14.44140625" style="10" customWidth="1"/>
    <col min="13570" max="13570" width="16.44140625" style="10" customWidth="1"/>
    <col min="13571" max="13573" width="6.33203125" style="10" customWidth="1"/>
    <col min="13574" max="13574" width="8.109375" style="10" customWidth="1"/>
    <col min="13575" max="13576" width="6.6640625" style="10" bestFit="1" customWidth="1"/>
    <col min="13577" max="13577" width="5.44140625" style="10" customWidth="1"/>
    <col min="13578" max="13578" width="13.44140625" style="10" customWidth="1"/>
    <col min="13579" max="13819" width="9.109375" style="10"/>
    <col min="13820" max="13820" width="5.44140625" style="10" customWidth="1"/>
    <col min="13821" max="13821" width="13.6640625" style="10" customWidth="1"/>
    <col min="13822" max="13822" width="23.6640625" style="10" customWidth="1"/>
    <col min="13823" max="13823" width="14.109375" style="10" customWidth="1"/>
    <col min="13824" max="13824" width="16.109375" style="10" customWidth="1"/>
    <col min="13825" max="13825" width="14.44140625" style="10" customWidth="1"/>
    <col min="13826" max="13826" width="16.44140625" style="10" customWidth="1"/>
    <col min="13827" max="13829" width="6.33203125" style="10" customWidth="1"/>
    <col min="13830" max="13830" width="8.109375" style="10" customWidth="1"/>
    <col min="13831" max="13832" width="6.6640625" style="10" bestFit="1" customWidth="1"/>
    <col min="13833" max="13833" width="5.44140625" style="10" customWidth="1"/>
    <col min="13834" max="13834" width="13.44140625" style="10" customWidth="1"/>
    <col min="13835" max="14075" width="9.109375" style="10"/>
    <col min="14076" max="14076" width="5.44140625" style="10" customWidth="1"/>
    <col min="14077" max="14077" width="13.6640625" style="10" customWidth="1"/>
    <col min="14078" max="14078" width="23.6640625" style="10" customWidth="1"/>
    <col min="14079" max="14079" width="14.109375" style="10" customWidth="1"/>
    <col min="14080" max="14080" width="16.109375" style="10" customWidth="1"/>
    <col min="14081" max="14081" width="14.44140625" style="10" customWidth="1"/>
    <col min="14082" max="14082" width="16.44140625" style="10" customWidth="1"/>
    <col min="14083" max="14085" width="6.33203125" style="10" customWidth="1"/>
    <col min="14086" max="14086" width="8.109375" style="10" customWidth="1"/>
    <col min="14087" max="14088" width="6.6640625" style="10" bestFit="1" customWidth="1"/>
    <col min="14089" max="14089" width="5.44140625" style="10" customWidth="1"/>
    <col min="14090" max="14090" width="13.44140625" style="10" customWidth="1"/>
    <col min="14091" max="14331" width="9.109375" style="10"/>
    <col min="14332" max="14332" width="5.44140625" style="10" customWidth="1"/>
    <col min="14333" max="14333" width="13.6640625" style="10" customWidth="1"/>
    <col min="14334" max="14334" width="23.6640625" style="10" customWidth="1"/>
    <col min="14335" max="14335" width="14.109375" style="10" customWidth="1"/>
    <col min="14336" max="14336" width="16.109375" style="10" customWidth="1"/>
    <col min="14337" max="14337" width="14.44140625" style="10" customWidth="1"/>
    <col min="14338" max="14338" width="16.44140625" style="10" customWidth="1"/>
    <col min="14339" max="14341" width="6.33203125" style="10" customWidth="1"/>
    <col min="14342" max="14342" width="8.109375" style="10" customWidth="1"/>
    <col min="14343" max="14344" width="6.6640625" style="10" bestFit="1" customWidth="1"/>
    <col min="14345" max="14345" width="5.44140625" style="10" customWidth="1"/>
    <col min="14346" max="14346" width="13.44140625" style="10" customWidth="1"/>
    <col min="14347" max="14587" width="9.109375" style="10"/>
    <col min="14588" max="14588" width="5.44140625" style="10" customWidth="1"/>
    <col min="14589" max="14589" width="13.6640625" style="10" customWidth="1"/>
    <col min="14590" max="14590" width="23.6640625" style="10" customWidth="1"/>
    <col min="14591" max="14591" width="14.109375" style="10" customWidth="1"/>
    <col min="14592" max="14592" width="16.109375" style="10" customWidth="1"/>
    <col min="14593" max="14593" width="14.44140625" style="10" customWidth="1"/>
    <col min="14594" max="14594" width="16.44140625" style="10" customWidth="1"/>
    <col min="14595" max="14597" width="6.33203125" style="10" customWidth="1"/>
    <col min="14598" max="14598" width="8.109375" style="10" customWidth="1"/>
    <col min="14599" max="14600" width="6.6640625" style="10" bestFit="1" customWidth="1"/>
    <col min="14601" max="14601" width="5.44140625" style="10" customWidth="1"/>
    <col min="14602" max="14602" width="13.44140625" style="10" customWidth="1"/>
    <col min="14603" max="14843" width="9.109375" style="10"/>
    <col min="14844" max="14844" width="5.44140625" style="10" customWidth="1"/>
    <col min="14845" max="14845" width="13.6640625" style="10" customWidth="1"/>
    <col min="14846" max="14846" width="23.6640625" style="10" customWidth="1"/>
    <col min="14847" max="14847" width="14.109375" style="10" customWidth="1"/>
    <col min="14848" max="14848" width="16.109375" style="10" customWidth="1"/>
    <col min="14849" max="14849" width="14.44140625" style="10" customWidth="1"/>
    <col min="14850" max="14850" width="16.44140625" style="10" customWidth="1"/>
    <col min="14851" max="14853" width="6.33203125" style="10" customWidth="1"/>
    <col min="14854" max="14854" width="8.109375" style="10" customWidth="1"/>
    <col min="14855" max="14856" width="6.6640625" style="10" bestFit="1" customWidth="1"/>
    <col min="14857" max="14857" width="5.44140625" style="10" customWidth="1"/>
    <col min="14858" max="14858" width="13.44140625" style="10" customWidth="1"/>
    <col min="14859" max="15099" width="9.109375" style="10"/>
    <col min="15100" max="15100" width="5.44140625" style="10" customWidth="1"/>
    <col min="15101" max="15101" width="13.6640625" style="10" customWidth="1"/>
    <col min="15102" max="15102" width="23.6640625" style="10" customWidth="1"/>
    <col min="15103" max="15103" width="14.109375" style="10" customWidth="1"/>
    <col min="15104" max="15104" width="16.109375" style="10" customWidth="1"/>
    <col min="15105" max="15105" width="14.44140625" style="10" customWidth="1"/>
    <col min="15106" max="15106" width="16.44140625" style="10" customWidth="1"/>
    <col min="15107" max="15109" width="6.33203125" style="10" customWidth="1"/>
    <col min="15110" max="15110" width="8.109375" style="10" customWidth="1"/>
    <col min="15111" max="15112" width="6.6640625" style="10" bestFit="1" customWidth="1"/>
    <col min="15113" max="15113" width="5.44140625" style="10" customWidth="1"/>
    <col min="15114" max="15114" width="13.44140625" style="10" customWidth="1"/>
    <col min="15115" max="15355" width="9.109375" style="10"/>
    <col min="15356" max="15356" width="5.44140625" style="10" customWidth="1"/>
    <col min="15357" max="15357" width="13.6640625" style="10" customWidth="1"/>
    <col min="15358" max="15358" width="23.6640625" style="10" customWidth="1"/>
    <col min="15359" max="15359" width="14.109375" style="10" customWidth="1"/>
    <col min="15360" max="15360" width="16.109375" style="10" customWidth="1"/>
    <col min="15361" max="15361" width="14.44140625" style="10" customWidth="1"/>
    <col min="15362" max="15362" width="16.44140625" style="10" customWidth="1"/>
    <col min="15363" max="15365" width="6.33203125" style="10" customWidth="1"/>
    <col min="15366" max="15366" width="8.109375" style="10" customWidth="1"/>
    <col min="15367" max="15368" width="6.6640625" style="10" bestFit="1" customWidth="1"/>
    <col min="15369" max="15369" width="5.44140625" style="10" customWidth="1"/>
    <col min="15370" max="15370" width="13.44140625" style="10" customWidth="1"/>
    <col min="15371" max="15611" width="9.109375" style="10"/>
    <col min="15612" max="15612" width="5.44140625" style="10" customWidth="1"/>
    <col min="15613" max="15613" width="13.6640625" style="10" customWidth="1"/>
    <col min="15614" max="15614" width="23.6640625" style="10" customWidth="1"/>
    <col min="15615" max="15615" width="14.109375" style="10" customWidth="1"/>
    <col min="15616" max="15616" width="16.109375" style="10" customWidth="1"/>
    <col min="15617" max="15617" width="14.44140625" style="10" customWidth="1"/>
    <col min="15618" max="15618" width="16.44140625" style="10" customWidth="1"/>
    <col min="15619" max="15621" width="6.33203125" style="10" customWidth="1"/>
    <col min="15622" max="15622" width="8.109375" style="10" customWidth="1"/>
    <col min="15623" max="15624" width="6.6640625" style="10" bestFit="1" customWidth="1"/>
    <col min="15625" max="15625" width="5.44140625" style="10" customWidth="1"/>
    <col min="15626" max="15626" width="13.44140625" style="10" customWidth="1"/>
    <col min="15627" max="15867" width="9.109375" style="10"/>
    <col min="15868" max="15868" width="5.44140625" style="10" customWidth="1"/>
    <col min="15869" max="15869" width="13.6640625" style="10" customWidth="1"/>
    <col min="15870" max="15870" width="23.6640625" style="10" customWidth="1"/>
    <col min="15871" max="15871" width="14.109375" style="10" customWidth="1"/>
    <col min="15872" max="15872" width="16.109375" style="10" customWidth="1"/>
    <col min="15873" max="15873" width="14.44140625" style="10" customWidth="1"/>
    <col min="15874" max="15874" width="16.44140625" style="10" customWidth="1"/>
    <col min="15875" max="15877" width="6.33203125" style="10" customWidth="1"/>
    <col min="15878" max="15878" width="8.109375" style="10" customWidth="1"/>
    <col min="15879" max="15880" width="6.6640625" style="10" bestFit="1" customWidth="1"/>
    <col min="15881" max="15881" width="5.44140625" style="10" customWidth="1"/>
    <col min="15882" max="15882" width="13.44140625" style="10" customWidth="1"/>
    <col min="15883" max="16123" width="9.109375" style="10"/>
    <col min="16124" max="16124" width="5.44140625" style="10" customWidth="1"/>
    <col min="16125" max="16125" width="13.6640625" style="10" customWidth="1"/>
    <col min="16126" max="16126" width="23.6640625" style="10" customWidth="1"/>
    <col min="16127" max="16127" width="14.109375" style="10" customWidth="1"/>
    <col min="16128" max="16128" width="16.109375" style="10" customWidth="1"/>
    <col min="16129" max="16129" width="14.44140625" style="10" customWidth="1"/>
    <col min="16130" max="16130" width="16.44140625" style="10" customWidth="1"/>
    <col min="16131" max="16133" width="6.33203125" style="10" customWidth="1"/>
    <col min="16134" max="16134" width="8.109375" style="10" customWidth="1"/>
    <col min="16135" max="16136" width="6.6640625" style="10" bestFit="1" customWidth="1"/>
    <col min="16137" max="16137" width="5.44140625" style="10" customWidth="1"/>
    <col min="16138" max="16138" width="13.44140625" style="10" customWidth="1"/>
    <col min="16139" max="16384" width="9.109375" style="10"/>
  </cols>
  <sheetData>
    <row r="1" spans="1:19" s="4" customFormat="1" ht="15.6">
      <c r="A1" s="44" t="s">
        <v>34</v>
      </c>
      <c r="B1" s="37"/>
      <c r="C1" s="38"/>
      <c r="D1" s="1"/>
      <c r="E1" s="41"/>
      <c r="F1" s="2"/>
      <c r="G1" s="41"/>
      <c r="H1" s="36" t="s">
        <v>3</v>
      </c>
      <c r="I1" s="3"/>
      <c r="J1" s="3"/>
      <c r="K1" s="3"/>
      <c r="L1" s="3"/>
    </row>
    <row r="2" spans="1:19" s="4" customFormat="1" ht="15.6">
      <c r="A2" s="103" t="s">
        <v>39</v>
      </c>
      <c r="B2" s="103"/>
      <c r="C2" s="103"/>
      <c r="D2" s="103"/>
      <c r="E2" s="103"/>
      <c r="F2" s="103"/>
      <c r="G2" s="103"/>
      <c r="H2" s="104"/>
      <c r="I2" s="3"/>
      <c r="J2" s="3"/>
      <c r="K2" s="3"/>
      <c r="L2" s="3"/>
    </row>
    <row r="3" spans="1:19" s="4" customFormat="1" ht="15.6">
      <c r="A3" s="105" t="s">
        <v>4</v>
      </c>
      <c r="B3" s="106"/>
      <c r="C3" s="106"/>
      <c r="D3" s="106"/>
      <c r="E3" s="106"/>
      <c r="F3" s="106"/>
      <c r="G3" s="106"/>
      <c r="H3" s="107"/>
      <c r="I3" s="5"/>
      <c r="J3" s="5"/>
      <c r="K3" s="5"/>
      <c r="L3" s="5"/>
      <c r="M3" s="5"/>
      <c r="N3" s="5"/>
      <c r="O3" s="5"/>
      <c r="P3" s="5"/>
      <c r="Q3" s="5"/>
    </row>
    <row r="4" spans="1:19" s="4" customFormat="1" ht="15.6">
      <c r="A4" s="6"/>
      <c r="B4" s="39"/>
      <c r="C4" s="39"/>
      <c r="D4" s="39"/>
      <c r="E4" s="39"/>
      <c r="F4" s="39"/>
      <c r="G4" s="39"/>
      <c r="H4" s="40"/>
      <c r="I4" s="5"/>
      <c r="J4" s="5"/>
      <c r="K4" s="5"/>
      <c r="L4" s="5"/>
      <c r="M4" s="5"/>
      <c r="N4" s="5"/>
      <c r="O4" s="5"/>
      <c r="P4" s="5"/>
      <c r="Q4" s="5"/>
    </row>
    <row r="5" spans="1:19" ht="15" customHeight="1">
      <c r="A5" s="108" t="s">
        <v>5</v>
      </c>
      <c r="B5" s="109"/>
      <c r="C5" s="109"/>
      <c r="D5" s="109"/>
      <c r="E5" s="109"/>
      <c r="F5" s="109"/>
      <c r="G5" s="109"/>
      <c r="H5" s="110"/>
      <c r="I5" s="7"/>
      <c r="J5" s="8"/>
      <c r="K5" s="8"/>
      <c r="L5" s="8"/>
      <c r="M5" s="9"/>
      <c r="N5" s="9"/>
      <c r="O5" s="9"/>
      <c r="P5" s="9"/>
      <c r="Q5" s="9"/>
      <c r="R5" s="9"/>
      <c r="S5" s="9"/>
    </row>
    <row r="6" spans="1:19" ht="15" customHeight="1">
      <c r="A6" s="111" t="s">
        <v>33</v>
      </c>
      <c r="B6" s="112"/>
      <c r="C6" s="112"/>
      <c r="D6" s="112"/>
      <c r="E6" s="112"/>
      <c r="F6" s="112"/>
      <c r="G6" s="112"/>
      <c r="H6" s="113"/>
      <c r="I6" s="11"/>
      <c r="J6" s="12"/>
      <c r="K6" s="12"/>
      <c r="L6" s="12"/>
    </row>
    <row r="7" spans="1:19" ht="15" customHeight="1">
      <c r="A7" s="111" t="s">
        <v>35</v>
      </c>
      <c r="B7" s="112"/>
      <c r="C7" s="112"/>
      <c r="D7" s="112"/>
      <c r="E7" s="112"/>
      <c r="F7" s="112"/>
      <c r="G7" s="112"/>
      <c r="H7" s="113"/>
      <c r="I7" s="11"/>
      <c r="J7" s="12"/>
      <c r="K7" s="12"/>
      <c r="L7" s="12"/>
    </row>
    <row r="8" spans="1:19" ht="15" customHeight="1">
      <c r="A8" s="111" t="s">
        <v>38</v>
      </c>
      <c r="B8" s="112"/>
      <c r="C8" s="112"/>
      <c r="D8" s="112"/>
      <c r="E8" s="112"/>
      <c r="F8" s="112"/>
      <c r="G8" s="112"/>
      <c r="H8" s="113"/>
      <c r="I8" s="45"/>
      <c r="J8" s="46"/>
      <c r="K8" s="46"/>
      <c r="L8" s="46"/>
      <c r="M8" s="46"/>
      <c r="N8" s="46"/>
      <c r="O8" s="46"/>
      <c r="P8" s="46"/>
      <c r="Q8" s="46"/>
      <c r="R8" s="46"/>
      <c r="S8" s="46"/>
    </row>
    <row r="9" spans="1:19">
      <c r="A9" s="13"/>
      <c r="B9" s="14"/>
      <c r="C9" s="14"/>
      <c r="D9" s="14"/>
      <c r="E9" s="14"/>
      <c r="F9" s="14"/>
      <c r="G9" s="14"/>
      <c r="H9" s="15"/>
      <c r="I9" s="47"/>
      <c r="J9" s="48"/>
      <c r="K9" s="48"/>
      <c r="L9" s="48"/>
      <c r="M9" s="48"/>
      <c r="N9" s="48"/>
      <c r="O9" s="48"/>
      <c r="P9" s="48"/>
      <c r="Q9" s="48"/>
      <c r="R9" s="48"/>
      <c r="S9" s="48"/>
    </row>
    <row r="10" spans="1:19">
      <c r="A10" s="99" t="s">
        <v>6</v>
      </c>
      <c r="B10" s="99"/>
      <c r="C10" s="99"/>
      <c r="D10" s="99"/>
      <c r="E10" s="99"/>
      <c r="F10" s="99"/>
      <c r="G10" s="99"/>
      <c r="H10" s="99"/>
      <c r="I10" s="114"/>
      <c r="J10" s="115"/>
      <c r="K10" s="115"/>
      <c r="L10" s="115"/>
      <c r="M10" s="115"/>
      <c r="N10" s="115"/>
      <c r="O10" s="115"/>
      <c r="P10" s="115"/>
      <c r="Q10" s="115"/>
      <c r="R10" s="115"/>
      <c r="S10" s="115"/>
    </row>
    <row r="11" spans="1:19" ht="15" customHeight="1">
      <c r="A11" s="17" t="s">
        <v>7</v>
      </c>
      <c r="B11" s="18" t="s">
        <v>0</v>
      </c>
      <c r="C11" s="84" t="s">
        <v>8</v>
      </c>
      <c r="D11" s="86"/>
      <c r="E11" s="17" t="s">
        <v>9</v>
      </c>
      <c r="F11" s="17" t="s">
        <v>10</v>
      </c>
      <c r="G11" s="17" t="s">
        <v>11</v>
      </c>
      <c r="H11" s="17" t="s">
        <v>12</v>
      </c>
      <c r="I11" s="116"/>
      <c r="J11" s="117"/>
      <c r="K11" s="117"/>
      <c r="L11" s="117"/>
      <c r="M11" s="117"/>
      <c r="N11" s="117"/>
      <c r="O11" s="117"/>
      <c r="P11" s="117"/>
      <c r="Q11" s="117"/>
      <c r="R11" s="117"/>
      <c r="S11" s="117"/>
    </row>
    <row r="12" spans="1:19" ht="15" customHeight="1">
      <c r="A12" s="19">
        <v>1</v>
      </c>
      <c r="B12" s="20" t="s">
        <v>42</v>
      </c>
      <c r="C12" s="97" t="s">
        <v>47</v>
      </c>
      <c r="D12" s="98"/>
      <c r="E12" s="21" t="s">
        <v>36</v>
      </c>
      <c r="F12" s="21">
        <v>66.5</v>
      </c>
      <c r="G12" s="34">
        <v>1.3</v>
      </c>
      <c r="H12" s="34">
        <f t="shared" ref="H12:H16" si="0">IF(G12="","",G12*12)</f>
        <v>15.600000000000001</v>
      </c>
      <c r="I12" s="116"/>
      <c r="J12" s="117"/>
      <c r="K12" s="117"/>
      <c r="L12" s="117"/>
      <c r="M12" s="117"/>
      <c r="N12" s="117"/>
      <c r="O12" s="117"/>
      <c r="P12" s="117"/>
      <c r="Q12" s="117"/>
      <c r="R12" s="117"/>
      <c r="S12" s="117"/>
    </row>
    <row r="13" spans="1:19" ht="15" customHeight="1">
      <c r="A13" s="19">
        <v>2</v>
      </c>
      <c r="B13" s="20" t="s">
        <v>43</v>
      </c>
      <c r="C13" s="97" t="s">
        <v>44</v>
      </c>
      <c r="D13" s="98"/>
      <c r="E13" s="21" t="s">
        <v>36</v>
      </c>
      <c r="F13" s="21" t="s">
        <v>45</v>
      </c>
      <c r="G13" s="34">
        <v>0.2</v>
      </c>
      <c r="H13" s="34">
        <f t="shared" si="0"/>
        <v>2.4000000000000004</v>
      </c>
      <c r="I13" s="116"/>
      <c r="J13" s="117"/>
      <c r="K13" s="117"/>
      <c r="L13" s="117"/>
      <c r="M13" s="117"/>
      <c r="N13" s="117"/>
      <c r="O13" s="117"/>
      <c r="P13" s="117"/>
      <c r="Q13" s="117"/>
      <c r="R13" s="117"/>
      <c r="S13" s="117"/>
    </row>
    <row r="14" spans="1:19" ht="15" customHeight="1">
      <c r="A14" s="19">
        <v>3</v>
      </c>
      <c r="B14" s="20" t="s">
        <v>50</v>
      </c>
      <c r="C14" s="97" t="s">
        <v>40</v>
      </c>
      <c r="D14" s="98"/>
      <c r="E14" s="21" t="s">
        <v>36</v>
      </c>
      <c r="F14" s="21" t="s">
        <v>41</v>
      </c>
      <c r="G14" s="22">
        <v>10</v>
      </c>
      <c r="H14" s="22">
        <f t="shared" ref="H14" si="1">IF(G14="","",G14*12)</f>
        <v>120</v>
      </c>
      <c r="I14" s="116"/>
      <c r="J14" s="117"/>
      <c r="K14" s="117"/>
      <c r="L14" s="117"/>
      <c r="M14" s="117"/>
      <c r="N14" s="117"/>
      <c r="O14" s="117"/>
      <c r="P14" s="117"/>
      <c r="Q14" s="117"/>
      <c r="R14" s="117"/>
      <c r="S14" s="117"/>
    </row>
    <row r="15" spans="1:19" ht="15" customHeight="1">
      <c r="A15" s="19">
        <v>4</v>
      </c>
      <c r="B15" s="20" t="s">
        <v>32</v>
      </c>
      <c r="C15" s="97" t="s">
        <v>31</v>
      </c>
      <c r="D15" s="98"/>
      <c r="E15" s="21" t="s">
        <v>13</v>
      </c>
      <c r="F15" s="21" t="s">
        <v>13</v>
      </c>
      <c r="G15" s="22">
        <v>1</v>
      </c>
      <c r="H15" s="22">
        <f t="shared" si="0"/>
        <v>12</v>
      </c>
      <c r="I15" s="116"/>
      <c r="J15" s="117"/>
      <c r="K15" s="117"/>
      <c r="L15" s="117"/>
      <c r="M15" s="117"/>
      <c r="N15" s="117"/>
      <c r="O15" s="117"/>
      <c r="P15" s="117"/>
      <c r="Q15" s="117"/>
      <c r="R15" s="117"/>
      <c r="S15" s="117"/>
    </row>
    <row r="16" spans="1:19" ht="15" customHeight="1">
      <c r="A16" s="33">
        <v>5</v>
      </c>
      <c r="B16" s="32" t="s">
        <v>1</v>
      </c>
      <c r="C16" s="97" t="s">
        <v>14</v>
      </c>
      <c r="D16" s="98"/>
      <c r="E16" s="21" t="s">
        <v>2</v>
      </c>
      <c r="F16" s="21" t="s">
        <v>15</v>
      </c>
      <c r="G16" s="35">
        <v>0.05</v>
      </c>
      <c r="H16" s="35">
        <f t="shared" si="0"/>
        <v>0.60000000000000009</v>
      </c>
      <c r="I16" s="116"/>
      <c r="J16" s="117"/>
      <c r="K16" s="117"/>
      <c r="L16" s="117"/>
      <c r="M16" s="117"/>
      <c r="N16" s="117"/>
      <c r="O16" s="117"/>
      <c r="P16" s="117"/>
      <c r="Q16" s="117"/>
      <c r="R16" s="117"/>
      <c r="S16" s="117"/>
    </row>
    <row r="17" spans="1:19">
      <c r="A17" s="87" t="s">
        <v>16</v>
      </c>
      <c r="B17" s="88"/>
      <c r="C17" s="88"/>
      <c r="D17" s="88"/>
      <c r="E17" s="88"/>
      <c r="F17" s="88"/>
      <c r="G17" s="88"/>
      <c r="H17" s="89"/>
      <c r="I17" s="116"/>
      <c r="J17" s="117"/>
      <c r="K17" s="117"/>
      <c r="L17" s="117"/>
      <c r="M17" s="117"/>
      <c r="N17" s="117"/>
      <c r="O17" s="117"/>
      <c r="P17" s="117"/>
      <c r="Q17" s="117"/>
      <c r="R17" s="117"/>
      <c r="S17" s="117"/>
    </row>
    <row r="18" spans="1:19" ht="15" customHeight="1">
      <c r="A18" s="90" t="s">
        <v>17</v>
      </c>
      <c r="B18" s="91"/>
      <c r="C18" s="92" t="s">
        <v>18</v>
      </c>
      <c r="D18" s="93"/>
      <c r="E18" s="93"/>
      <c r="F18" s="93"/>
      <c r="G18" s="93"/>
      <c r="H18" s="94"/>
      <c r="I18" s="116"/>
      <c r="J18" s="117"/>
      <c r="K18" s="117"/>
      <c r="L18" s="117"/>
      <c r="M18" s="117"/>
      <c r="N18" s="117"/>
      <c r="O18" s="117"/>
      <c r="P18" s="117"/>
      <c r="Q18" s="117"/>
      <c r="R18" s="117"/>
      <c r="S18" s="117"/>
    </row>
    <row r="19" spans="1:19" ht="15" customHeight="1">
      <c r="A19" s="95" t="str">
        <f>A2</f>
        <v>VENTED S/S CHEF COAT</v>
      </c>
      <c r="B19" s="96"/>
      <c r="C19" s="61">
        <f>(SUM(C20:G20)*12)/60</f>
        <v>2.8</v>
      </c>
      <c r="D19" s="62"/>
      <c r="E19" s="62"/>
      <c r="F19" s="62"/>
      <c r="G19" s="62"/>
      <c r="H19" s="63"/>
      <c r="I19" s="116"/>
      <c r="J19" s="117"/>
      <c r="K19" s="117"/>
      <c r="L19" s="117"/>
      <c r="M19" s="117"/>
      <c r="N19" s="117"/>
      <c r="O19" s="117"/>
      <c r="P19" s="117"/>
      <c r="Q19" s="117"/>
      <c r="R19" s="117"/>
      <c r="S19" s="117"/>
    </row>
    <row r="20" spans="1:19" ht="15" customHeight="1">
      <c r="A20" s="76" t="s">
        <v>30</v>
      </c>
      <c r="B20" s="77"/>
      <c r="C20" s="78">
        <v>14</v>
      </c>
      <c r="D20" s="79"/>
      <c r="E20" s="79"/>
      <c r="F20" s="79"/>
      <c r="G20" s="80"/>
      <c r="H20" s="42"/>
      <c r="I20" s="116"/>
      <c r="J20" s="117"/>
      <c r="K20" s="117"/>
      <c r="L20" s="117"/>
      <c r="M20" s="117"/>
      <c r="N20" s="117"/>
      <c r="O20" s="117"/>
      <c r="P20" s="117"/>
      <c r="Q20" s="117"/>
      <c r="R20" s="117"/>
      <c r="S20" s="117"/>
    </row>
    <row r="21" spans="1:19">
      <c r="A21" s="81" t="s">
        <v>19</v>
      </c>
      <c r="B21" s="82"/>
      <c r="C21" s="82"/>
      <c r="D21" s="82"/>
      <c r="E21" s="82"/>
      <c r="F21" s="82"/>
      <c r="G21" s="82"/>
      <c r="H21" s="83"/>
      <c r="I21" s="116"/>
      <c r="J21" s="117"/>
      <c r="K21" s="117"/>
      <c r="L21" s="117"/>
      <c r="M21" s="117"/>
      <c r="N21" s="117"/>
      <c r="O21" s="117"/>
      <c r="P21" s="117"/>
      <c r="Q21" s="117"/>
      <c r="R21" s="117"/>
      <c r="S21" s="117"/>
    </row>
    <row r="22" spans="1:19" ht="15" customHeight="1">
      <c r="A22" s="23" t="s">
        <v>7</v>
      </c>
      <c r="B22" s="24" t="s">
        <v>0</v>
      </c>
      <c r="C22" s="84" t="s">
        <v>20</v>
      </c>
      <c r="D22" s="85"/>
      <c r="E22" s="86"/>
      <c r="F22" s="23" t="s">
        <v>21</v>
      </c>
      <c r="G22" s="23" t="s">
        <v>22</v>
      </c>
      <c r="H22" s="23" t="s">
        <v>23</v>
      </c>
      <c r="I22" s="116"/>
      <c r="J22" s="117"/>
      <c r="K22" s="117"/>
      <c r="L22" s="117"/>
      <c r="M22" s="117"/>
      <c r="N22" s="117"/>
      <c r="O22" s="117"/>
      <c r="P22" s="117"/>
      <c r="Q22" s="117"/>
      <c r="R22" s="117"/>
      <c r="S22" s="117"/>
    </row>
    <row r="23" spans="1:19" ht="15" customHeight="1">
      <c r="A23" s="21">
        <f>IF(A12="","",A12)</f>
        <v>1</v>
      </c>
      <c r="B23" s="25" t="str">
        <f>IF(B12="","",B12)</f>
        <v>Main Fabric-A</v>
      </c>
      <c r="C23" s="64">
        <f>IF(H12="","",H12)</f>
        <v>15.600000000000001</v>
      </c>
      <c r="D23" s="65"/>
      <c r="E23" s="66"/>
      <c r="F23" s="21" t="str">
        <f>IF(E12="","",E12)</f>
        <v>WHITE</v>
      </c>
      <c r="G23" s="49">
        <v>1.71</v>
      </c>
      <c r="H23" s="27">
        <f>H12*G23</f>
        <v>26.676000000000002</v>
      </c>
      <c r="I23" s="116"/>
      <c r="J23" s="117"/>
      <c r="K23" s="117"/>
      <c r="L23" s="117"/>
      <c r="M23" s="117"/>
      <c r="N23" s="117"/>
      <c r="O23" s="117"/>
      <c r="P23" s="117"/>
      <c r="Q23" s="117"/>
      <c r="R23" s="117"/>
      <c r="S23" s="117"/>
    </row>
    <row r="24" spans="1:19" ht="15" customHeight="1">
      <c r="A24" s="21">
        <f>IF(A13="","",A13)</f>
        <v>2</v>
      </c>
      <c r="B24" s="25" t="str">
        <f>IF(B13="","",B13)</f>
        <v>Mesh Fabric-B</v>
      </c>
      <c r="C24" s="64">
        <f>IF(H13="","",H13)</f>
        <v>2.4000000000000004</v>
      </c>
      <c r="D24" s="65"/>
      <c r="E24" s="66"/>
      <c r="F24" s="21" t="str">
        <f>IF(E13="","",E13)</f>
        <v>WHITE</v>
      </c>
      <c r="G24" s="49">
        <v>1.74</v>
      </c>
      <c r="H24" s="27">
        <f>H13*G24</f>
        <v>4.1760000000000002</v>
      </c>
      <c r="I24" s="116"/>
      <c r="J24" s="117"/>
      <c r="K24" s="117"/>
      <c r="L24" s="117"/>
      <c r="M24" s="117"/>
      <c r="N24" s="117"/>
      <c r="O24" s="117"/>
      <c r="P24" s="117"/>
      <c r="Q24" s="117"/>
      <c r="R24" s="117"/>
      <c r="S24" s="117"/>
    </row>
    <row r="25" spans="1:19" ht="15" customHeight="1">
      <c r="A25" s="21">
        <f t="shared" ref="A25:B27" si="2">IF(A14="","",A14)</f>
        <v>3</v>
      </c>
      <c r="B25" s="53" t="str">
        <f t="shared" si="2"/>
        <v>Plastic  Button</v>
      </c>
      <c r="C25" s="100">
        <f>IF(H14="","",H14)</f>
        <v>120</v>
      </c>
      <c r="D25" s="101"/>
      <c r="E25" s="102"/>
      <c r="F25" s="54" t="str">
        <f>IF(E14="","",E14)</f>
        <v>WHITE</v>
      </c>
      <c r="G25" s="55">
        <v>0.02</v>
      </c>
      <c r="H25" s="27">
        <f>H14*G25</f>
        <v>2.4</v>
      </c>
      <c r="I25" s="116"/>
      <c r="J25" s="117"/>
      <c r="K25" s="117"/>
      <c r="L25" s="117"/>
      <c r="M25" s="117"/>
      <c r="N25" s="117"/>
      <c r="O25" s="117"/>
      <c r="P25" s="117"/>
      <c r="Q25" s="117"/>
      <c r="R25" s="117"/>
      <c r="S25" s="117"/>
    </row>
    <row r="26" spans="1:19" ht="15" customHeight="1">
      <c r="A26" s="21">
        <f t="shared" si="2"/>
        <v>4</v>
      </c>
      <c r="B26" s="25" t="str">
        <f t="shared" si="2"/>
        <v>Care Label</v>
      </c>
      <c r="C26" s="70">
        <f>IF(H15="","",H15)</f>
        <v>12</v>
      </c>
      <c r="D26" s="71"/>
      <c r="E26" s="72"/>
      <c r="F26" s="21" t="str">
        <f>IF(E15="","",E15)</f>
        <v>-</v>
      </c>
      <c r="G26" s="26">
        <v>0.05</v>
      </c>
      <c r="H26" s="27">
        <f>H15*G26</f>
        <v>0.60000000000000009</v>
      </c>
      <c r="I26" s="116"/>
      <c r="J26" s="117"/>
      <c r="K26" s="117"/>
      <c r="L26" s="117"/>
      <c r="M26" s="117"/>
      <c r="N26" s="117"/>
      <c r="O26" s="117"/>
      <c r="P26" s="117"/>
      <c r="Q26" s="117"/>
      <c r="R26" s="117"/>
      <c r="S26" s="117"/>
    </row>
    <row r="27" spans="1:19" ht="15" customHeight="1">
      <c r="A27" s="21">
        <f t="shared" si="2"/>
        <v>5</v>
      </c>
      <c r="B27" s="25" t="str">
        <f t="shared" si="2"/>
        <v>Thread Tex40</v>
      </c>
      <c r="C27" s="73">
        <f>IF(H16="","",H16)</f>
        <v>0.60000000000000009</v>
      </c>
      <c r="D27" s="74"/>
      <c r="E27" s="75"/>
      <c r="F27" s="21" t="str">
        <f>IF(E16="","",E16)</f>
        <v>DTM Body</v>
      </c>
      <c r="G27" s="26">
        <v>3.6</v>
      </c>
      <c r="H27" s="27">
        <f>H16*G27</f>
        <v>2.1600000000000006</v>
      </c>
      <c r="I27" s="116"/>
      <c r="J27" s="117"/>
      <c r="K27" s="117"/>
      <c r="L27" s="117"/>
      <c r="M27" s="117"/>
      <c r="N27" s="117"/>
      <c r="O27" s="117"/>
      <c r="P27" s="117"/>
      <c r="Q27" s="117"/>
      <c r="R27" s="117"/>
      <c r="S27" s="117"/>
    </row>
    <row r="28" spans="1:19" ht="15" customHeight="1">
      <c r="A28" s="21">
        <v>6</v>
      </c>
      <c r="B28" s="25" t="s">
        <v>37</v>
      </c>
      <c r="C28" s="61">
        <f>1/30*12</f>
        <v>0.4</v>
      </c>
      <c r="D28" s="62"/>
      <c r="E28" s="63"/>
      <c r="F28" s="28"/>
      <c r="G28" s="26">
        <v>1</v>
      </c>
      <c r="H28" s="27">
        <f>IF(G28="","",C28*G28)</f>
        <v>0.4</v>
      </c>
      <c r="I28" s="116"/>
      <c r="J28" s="117"/>
      <c r="K28" s="117"/>
      <c r="L28" s="117"/>
      <c r="M28" s="117"/>
      <c r="N28" s="117"/>
      <c r="O28" s="117"/>
      <c r="P28" s="117"/>
      <c r="Q28" s="117"/>
      <c r="R28" s="117"/>
      <c r="S28" s="117"/>
    </row>
    <row r="29" spans="1:19" ht="15" customHeight="1">
      <c r="A29" s="21">
        <v>7</v>
      </c>
      <c r="B29" s="25" t="s">
        <v>24</v>
      </c>
      <c r="C29" s="61">
        <f>C19</f>
        <v>2.8</v>
      </c>
      <c r="D29" s="62"/>
      <c r="E29" s="63"/>
      <c r="F29" s="28"/>
      <c r="G29" s="26">
        <v>7.68</v>
      </c>
      <c r="H29" s="27">
        <f>IF(G29="","",C29*G29)</f>
        <v>21.503999999999998</v>
      </c>
      <c r="I29" s="116"/>
      <c r="J29" s="117"/>
      <c r="K29" s="117"/>
      <c r="L29" s="117"/>
      <c r="M29" s="117"/>
      <c r="N29" s="117"/>
      <c r="O29" s="117"/>
      <c r="P29" s="117"/>
      <c r="Q29" s="117"/>
      <c r="R29" s="117"/>
      <c r="S29" s="117"/>
    </row>
    <row r="30" spans="1:19">
      <c r="A30" s="16"/>
      <c r="H30" s="29"/>
      <c r="I30" s="116"/>
      <c r="J30" s="117"/>
      <c r="K30" s="117"/>
      <c r="L30" s="117"/>
      <c r="M30" s="117"/>
      <c r="N30" s="117"/>
      <c r="O30" s="117"/>
      <c r="P30" s="117"/>
      <c r="Q30" s="117"/>
      <c r="R30" s="117"/>
      <c r="S30" s="117"/>
    </row>
    <row r="31" spans="1:19">
      <c r="A31" s="16"/>
      <c r="C31" s="58"/>
      <c r="D31" s="58"/>
      <c r="G31" s="30" t="s">
        <v>25</v>
      </c>
      <c r="H31" s="27">
        <f>SUM(H23:H29)</f>
        <v>57.916000000000004</v>
      </c>
      <c r="I31" s="116"/>
      <c r="J31" s="117"/>
      <c r="K31" s="117"/>
      <c r="L31" s="117"/>
      <c r="M31" s="117"/>
      <c r="N31" s="117"/>
      <c r="O31" s="117"/>
      <c r="P31" s="117"/>
      <c r="Q31" s="117"/>
      <c r="R31" s="117"/>
      <c r="S31" s="117"/>
    </row>
    <row r="32" spans="1:19">
      <c r="A32" s="16"/>
      <c r="C32" s="57"/>
      <c r="D32" s="56"/>
      <c r="G32" s="10" t="s">
        <v>26</v>
      </c>
      <c r="H32" s="27">
        <f>15000/42000</f>
        <v>0.35714285714285715</v>
      </c>
      <c r="I32" s="116"/>
      <c r="J32" s="117"/>
      <c r="K32" s="117"/>
      <c r="L32" s="117"/>
      <c r="M32" s="117"/>
      <c r="N32" s="117"/>
      <c r="O32" s="117"/>
      <c r="P32" s="117"/>
      <c r="Q32" s="117"/>
      <c r="R32" s="117"/>
      <c r="S32" s="117"/>
    </row>
    <row r="33" spans="1:19">
      <c r="A33" s="16"/>
      <c r="G33" s="30" t="s">
        <v>27</v>
      </c>
      <c r="H33" s="27">
        <f>(H31/12)</f>
        <v>4.8263333333333334</v>
      </c>
      <c r="I33" s="116"/>
      <c r="J33" s="117"/>
      <c r="K33" s="117"/>
      <c r="L33" s="117"/>
      <c r="M33" s="117"/>
      <c r="N33" s="117"/>
      <c r="O33" s="117"/>
      <c r="P33" s="117"/>
      <c r="Q33" s="117"/>
      <c r="R33" s="117"/>
      <c r="S33" s="117"/>
    </row>
    <row r="34" spans="1:19">
      <c r="A34" s="16"/>
      <c r="G34" s="10" t="s">
        <v>46</v>
      </c>
      <c r="H34" s="27">
        <f>H35*(0.165+0.1)</f>
        <v>1.5887929606625257</v>
      </c>
      <c r="I34" s="116"/>
      <c r="J34" s="117"/>
      <c r="K34" s="117"/>
      <c r="L34" s="117"/>
      <c r="M34" s="117"/>
      <c r="N34" s="117"/>
      <c r="O34" s="117"/>
      <c r="P34" s="117"/>
      <c r="Q34" s="117"/>
      <c r="R34" s="117"/>
      <c r="S34" s="117"/>
    </row>
    <row r="35" spans="1:19">
      <c r="A35" s="16"/>
      <c r="G35" s="10" t="s">
        <v>28</v>
      </c>
      <c r="H35" s="43">
        <f>H33/0.805</f>
        <v>5.9954451345755686</v>
      </c>
      <c r="I35" s="116"/>
      <c r="J35" s="117"/>
      <c r="K35" s="117"/>
      <c r="L35" s="117"/>
      <c r="M35" s="117"/>
      <c r="N35" s="117"/>
      <c r="O35" s="117"/>
      <c r="P35" s="117"/>
      <c r="Q35" s="117"/>
      <c r="R35" s="117"/>
      <c r="S35" s="117"/>
    </row>
    <row r="36" spans="1:19">
      <c r="A36" s="16"/>
      <c r="H36" s="27">
        <v>7.95</v>
      </c>
      <c r="I36" s="116"/>
      <c r="J36" s="117"/>
      <c r="K36" s="117"/>
      <c r="L36" s="117"/>
      <c r="M36" s="117"/>
      <c r="N36" s="117"/>
      <c r="O36" s="117"/>
      <c r="P36" s="117"/>
      <c r="Q36" s="117"/>
      <c r="R36" s="117"/>
      <c r="S36" s="117"/>
    </row>
    <row r="37" spans="1:19">
      <c r="A37" s="16"/>
      <c r="G37" s="10" t="s">
        <v>29</v>
      </c>
      <c r="H37" s="31">
        <f>(H35-H33)/H35</f>
        <v>0.1949999999999999</v>
      </c>
      <c r="I37" s="90"/>
      <c r="J37" s="118"/>
      <c r="K37" s="118"/>
      <c r="L37" s="118"/>
      <c r="M37" s="118"/>
      <c r="N37" s="118"/>
      <c r="O37" s="118"/>
      <c r="P37" s="118"/>
      <c r="Q37" s="118"/>
      <c r="R37" s="118"/>
      <c r="S37" s="118"/>
    </row>
    <row r="38" spans="1:19">
      <c r="A38" s="16"/>
      <c r="H38" s="29"/>
    </row>
    <row r="39" spans="1:19">
      <c r="A39" s="99" t="s">
        <v>6</v>
      </c>
      <c r="B39" s="99"/>
      <c r="C39" s="99"/>
      <c r="D39" s="99"/>
      <c r="E39" s="99"/>
      <c r="F39" s="99"/>
      <c r="G39" s="99"/>
      <c r="H39" s="99"/>
    </row>
    <row r="40" spans="1:19">
      <c r="A40" s="17" t="s">
        <v>7</v>
      </c>
      <c r="B40" s="18" t="s">
        <v>0</v>
      </c>
      <c r="C40" s="84" t="s">
        <v>8</v>
      </c>
      <c r="D40" s="86"/>
      <c r="E40" s="17" t="s">
        <v>9</v>
      </c>
      <c r="F40" s="17" t="s">
        <v>10</v>
      </c>
      <c r="G40" s="17" t="s">
        <v>11</v>
      </c>
      <c r="H40" s="17" t="s">
        <v>12</v>
      </c>
    </row>
    <row r="41" spans="1:19">
      <c r="A41" s="19">
        <v>1</v>
      </c>
      <c r="B41" s="20" t="s">
        <v>42</v>
      </c>
      <c r="C41" s="97" t="s">
        <v>47</v>
      </c>
      <c r="D41" s="98"/>
      <c r="E41" s="21" t="s">
        <v>36</v>
      </c>
      <c r="F41" s="21">
        <v>66.5</v>
      </c>
      <c r="G41" s="34">
        <v>1.5</v>
      </c>
      <c r="H41" s="34">
        <f t="shared" ref="H41:H45" si="3">IF(G41="","",G41*12)</f>
        <v>18</v>
      </c>
    </row>
    <row r="42" spans="1:19">
      <c r="A42" s="19">
        <v>2</v>
      </c>
      <c r="B42" s="20" t="s">
        <v>43</v>
      </c>
      <c r="C42" s="97" t="s">
        <v>44</v>
      </c>
      <c r="D42" s="98"/>
      <c r="E42" s="21" t="s">
        <v>36</v>
      </c>
      <c r="F42" s="21" t="s">
        <v>45</v>
      </c>
      <c r="G42" s="34">
        <v>0.2</v>
      </c>
      <c r="H42" s="34">
        <f t="shared" si="3"/>
        <v>2.4000000000000004</v>
      </c>
    </row>
    <row r="43" spans="1:19">
      <c r="A43" s="19">
        <v>3</v>
      </c>
      <c r="B43" s="20" t="s">
        <v>50</v>
      </c>
      <c r="C43" s="97" t="s">
        <v>40</v>
      </c>
      <c r="D43" s="98"/>
      <c r="E43" s="21" t="s">
        <v>36</v>
      </c>
      <c r="F43" s="21" t="s">
        <v>41</v>
      </c>
      <c r="G43" s="22">
        <v>10</v>
      </c>
      <c r="H43" s="22">
        <f t="shared" si="3"/>
        <v>120</v>
      </c>
    </row>
    <row r="44" spans="1:19">
      <c r="A44" s="19">
        <v>4</v>
      </c>
      <c r="B44" s="20" t="s">
        <v>32</v>
      </c>
      <c r="C44" s="97" t="s">
        <v>31</v>
      </c>
      <c r="D44" s="98"/>
      <c r="E44" s="21" t="s">
        <v>13</v>
      </c>
      <c r="F44" s="21" t="s">
        <v>13</v>
      </c>
      <c r="G44" s="22">
        <v>1</v>
      </c>
      <c r="H44" s="22">
        <f t="shared" si="3"/>
        <v>12</v>
      </c>
    </row>
    <row r="45" spans="1:19">
      <c r="A45" s="33">
        <v>5</v>
      </c>
      <c r="B45" s="32" t="s">
        <v>1</v>
      </c>
      <c r="C45" s="97" t="s">
        <v>14</v>
      </c>
      <c r="D45" s="98"/>
      <c r="E45" s="21" t="s">
        <v>2</v>
      </c>
      <c r="F45" s="21" t="s">
        <v>15</v>
      </c>
      <c r="G45" s="35">
        <v>0.05</v>
      </c>
      <c r="H45" s="35">
        <f t="shared" si="3"/>
        <v>0.60000000000000009</v>
      </c>
    </row>
    <row r="46" spans="1:19">
      <c r="A46" s="87" t="s">
        <v>16</v>
      </c>
      <c r="B46" s="88"/>
      <c r="C46" s="88"/>
      <c r="D46" s="88"/>
      <c r="E46" s="88"/>
      <c r="F46" s="88"/>
      <c r="G46" s="88"/>
      <c r="H46" s="89"/>
    </row>
    <row r="47" spans="1:19">
      <c r="A47" s="90" t="s">
        <v>17</v>
      </c>
      <c r="B47" s="91"/>
      <c r="C47" s="92" t="s">
        <v>18</v>
      </c>
      <c r="D47" s="93"/>
      <c r="E47" s="93"/>
      <c r="F47" s="93"/>
      <c r="G47" s="93"/>
      <c r="H47" s="94"/>
    </row>
    <row r="48" spans="1:19">
      <c r="A48" s="95">
        <f>A31</f>
        <v>0</v>
      </c>
      <c r="B48" s="96"/>
      <c r="C48" s="61">
        <f>(SUM(C49:G49)*12)/60</f>
        <v>2.8</v>
      </c>
      <c r="D48" s="62"/>
      <c r="E48" s="62"/>
      <c r="F48" s="62"/>
      <c r="G48" s="62"/>
      <c r="H48" s="63"/>
    </row>
    <row r="49" spans="1:8" ht="14.4">
      <c r="A49" s="76" t="s">
        <v>30</v>
      </c>
      <c r="B49" s="77"/>
      <c r="C49" s="78">
        <v>14</v>
      </c>
      <c r="D49" s="79"/>
      <c r="E49" s="79"/>
      <c r="F49" s="79"/>
      <c r="G49" s="80"/>
      <c r="H49" s="42"/>
    </row>
    <row r="50" spans="1:8">
      <c r="A50" s="81" t="s">
        <v>19</v>
      </c>
      <c r="B50" s="82"/>
      <c r="C50" s="82"/>
      <c r="D50" s="82"/>
      <c r="E50" s="82"/>
      <c r="F50" s="82"/>
      <c r="G50" s="82"/>
      <c r="H50" s="83"/>
    </row>
    <row r="51" spans="1:8">
      <c r="A51" s="23" t="s">
        <v>7</v>
      </c>
      <c r="B51" s="24" t="s">
        <v>0</v>
      </c>
      <c r="C51" s="84" t="s">
        <v>20</v>
      </c>
      <c r="D51" s="85"/>
      <c r="E51" s="86"/>
      <c r="F51" s="23" t="s">
        <v>21</v>
      </c>
      <c r="G51" s="23" t="s">
        <v>22</v>
      </c>
      <c r="H51" s="23" t="s">
        <v>23</v>
      </c>
    </row>
    <row r="52" spans="1:8">
      <c r="A52" s="21">
        <f>IF(A41="","",A41)</f>
        <v>1</v>
      </c>
      <c r="B52" s="25" t="str">
        <f>IF(B41="","",B41)</f>
        <v>Main Fabric-A</v>
      </c>
      <c r="C52" s="64">
        <f>IF(H41="","",H41)</f>
        <v>18</v>
      </c>
      <c r="D52" s="65"/>
      <c r="E52" s="66"/>
      <c r="F52" s="21" t="str">
        <f>IF(E41="","",E41)</f>
        <v>WHITE</v>
      </c>
      <c r="G52" s="49">
        <v>1.71</v>
      </c>
      <c r="H52" s="27">
        <f>H41*G52</f>
        <v>30.78</v>
      </c>
    </row>
    <row r="53" spans="1:8">
      <c r="A53" s="21">
        <f>IF(A42="","",A42)</f>
        <v>2</v>
      </c>
      <c r="B53" s="25" t="str">
        <f>IF(B42="","",B42)</f>
        <v>Mesh Fabric-B</v>
      </c>
      <c r="C53" s="64">
        <f>IF(H42="","",H42)</f>
        <v>2.4000000000000004</v>
      </c>
      <c r="D53" s="65"/>
      <c r="E53" s="66"/>
      <c r="F53" s="21" t="str">
        <f>IF(E42="","",E42)</f>
        <v>WHITE</v>
      </c>
      <c r="G53" s="49">
        <v>1.74</v>
      </c>
      <c r="H53" s="27">
        <f>H42*G53</f>
        <v>4.1760000000000002</v>
      </c>
    </row>
    <row r="54" spans="1:8">
      <c r="A54" s="21">
        <f t="shared" ref="A54:B54" si="4">IF(A43="","",A43)</f>
        <v>3</v>
      </c>
      <c r="B54" s="50" t="str">
        <f t="shared" si="4"/>
        <v>Plastic  Button</v>
      </c>
      <c r="C54" s="67">
        <f>IF(H43="","",H43)</f>
        <v>120</v>
      </c>
      <c r="D54" s="68"/>
      <c r="E54" s="69"/>
      <c r="F54" s="51" t="str">
        <f>IF(E43="","",E43)</f>
        <v>WHITE</v>
      </c>
      <c r="G54" s="52">
        <v>0.02</v>
      </c>
      <c r="H54" s="27">
        <f>H43*G54</f>
        <v>2.4</v>
      </c>
    </row>
    <row r="55" spans="1:8">
      <c r="A55" s="21">
        <f t="shared" ref="A55:B55" si="5">IF(A44="","",A44)</f>
        <v>4</v>
      </c>
      <c r="B55" s="25" t="str">
        <f t="shared" si="5"/>
        <v>Care Label</v>
      </c>
      <c r="C55" s="70">
        <f>IF(H44="","",H44)</f>
        <v>12</v>
      </c>
      <c r="D55" s="71"/>
      <c r="E55" s="72"/>
      <c r="F55" s="21" t="str">
        <f>IF(E44="","",E44)</f>
        <v>-</v>
      </c>
      <c r="G55" s="26">
        <v>0.05</v>
      </c>
      <c r="H55" s="27">
        <f>H44*G55</f>
        <v>0.60000000000000009</v>
      </c>
    </row>
    <row r="56" spans="1:8">
      <c r="A56" s="21">
        <f t="shared" ref="A56:B56" si="6">IF(A45="","",A45)</f>
        <v>5</v>
      </c>
      <c r="B56" s="25" t="str">
        <f t="shared" si="6"/>
        <v>Thread Tex40</v>
      </c>
      <c r="C56" s="73">
        <f>IF(H45="","",H45)</f>
        <v>0.60000000000000009</v>
      </c>
      <c r="D56" s="74"/>
      <c r="E56" s="75"/>
      <c r="F56" s="21" t="str">
        <f>IF(E45="","",E45)</f>
        <v>DTM Body</v>
      </c>
      <c r="G56" s="26">
        <v>3.6</v>
      </c>
      <c r="H56" s="27">
        <f>H45*G56</f>
        <v>2.1600000000000006</v>
      </c>
    </row>
    <row r="57" spans="1:8">
      <c r="A57" s="21">
        <v>6</v>
      </c>
      <c r="B57" s="25" t="s">
        <v>37</v>
      </c>
      <c r="C57" s="61">
        <f>1/30*12</f>
        <v>0.4</v>
      </c>
      <c r="D57" s="62"/>
      <c r="E57" s="63"/>
      <c r="F57" s="28"/>
      <c r="G57" s="26">
        <v>1</v>
      </c>
      <c r="H57" s="27">
        <f>IF(G57="","",C57*G57)</f>
        <v>0.4</v>
      </c>
    </row>
    <row r="58" spans="1:8">
      <c r="A58" s="21">
        <v>7</v>
      </c>
      <c r="B58" s="25" t="s">
        <v>24</v>
      </c>
      <c r="C58" s="61">
        <f>C48</f>
        <v>2.8</v>
      </c>
      <c r="D58" s="62"/>
      <c r="E58" s="63"/>
      <c r="F58" s="28"/>
      <c r="G58" s="26">
        <v>7.68</v>
      </c>
      <c r="H58" s="27">
        <f>IF(G58="","",C58*G58)</f>
        <v>21.503999999999998</v>
      </c>
    </row>
    <row r="59" spans="1:8">
      <c r="A59" s="16"/>
      <c r="H59" s="29"/>
    </row>
    <row r="60" spans="1:8">
      <c r="A60" s="16"/>
      <c r="G60" s="30" t="s">
        <v>25</v>
      </c>
      <c r="H60" s="27">
        <f>SUM(H52:H58)</f>
        <v>62.02</v>
      </c>
    </row>
    <row r="61" spans="1:8">
      <c r="A61" s="16"/>
      <c r="C61" s="58"/>
      <c r="D61" s="56"/>
      <c r="G61" s="10" t="s">
        <v>26</v>
      </c>
      <c r="H61" s="27">
        <f>15000/42000</f>
        <v>0.35714285714285715</v>
      </c>
    </row>
    <row r="62" spans="1:8">
      <c r="A62" s="16"/>
      <c r="C62" s="57"/>
      <c r="D62" s="56"/>
      <c r="G62" s="30" t="s">
        <v>27</v>
      </c>
      <c r="H62" s="27">
        <f>(H60/12)</f>
        <v>5.1683333333333339</v>
      </c>
    </row>
    <row r="63" spans="1:8">
      <c r="A63" s="16"/>
      <c r="G63" s="10" t="s">
        <v>46</v>
      </c>
      <c r="H63" s="27">
        <f>H64*(0.165+0.1)</f>
        <v>1.712010416666667</v>
      </c>
    </row>
    <row r="64" spans="1:8">
      <c r="A64" s="16"/>
      <c r="G64" s="10" t="s">
        <v>28</v>
      </c>
      <c r="H64" s="43">
        <f>H62/0.8</f>
        <v>6.4604166666666671</v>
      </c>
    </row>
    <row r="65" spans="1:8">
      <c r="A65" s="16"/>
      <c r="H65" s="27">
        <v>8.5500000000000007</v>
      </c>
    </row>
    <row r="66" spans="1:8">
      <c r="A66" s="16"/>
      <c r="G66" s="10" t="s">
        <v>29</v>
      </c>
      <c r="H66" s="31">
        <f>(H64-H62)/H64</f>
        <v>0.19999999999999998</v>
      </c>
    </row>
    <row r="67" spans="1:8" ht="24.6">
      <c r="D67" s="60" t="s">
        <v>51</v>
      </c>
    </row>
    <row r="68" spans="1:8">
      <c r="A68" s="99" t="s">
        <v>6</v>
      </c>
      <c r="B68" s="99"/>
      <c r="C68" s="99"/>
      <c r="D68" s="99"/>
      <c r="E68" s="99"/>
      <c r="F68" s="99"/>
      <c r="G68" s="99"/>
      <c r="H68" s="99"/>
    </row>
    <row r="69" spans="1:8">
      <c r="A69" s="17" t="s">
        <v>7</v>
      </c>
      <c r="B69" s="18" t="s">
        <v>0</v>
      </c>
      <c r="C69" s="84" t="s">
        <v>8</v>
      </c>
      <c r="D69" s="86"/>
      <c r="E69" s="17" t="s">
        <v>9</v>
      </c>
      <c r="F69" s="17" t="s">
        <v>10</v>
      </c>
      <c r="G69" s="17" t="s">
        <v>11</v>
      </c>
      <c r="H69" s="17" t="s">
        <v>12</v>
      </c>
    </row>
    <row r="70" spans="1:8">
      <c r="A70" s="19">
        <v>1</v>
      </c>
      <c r="B70" s="20" t="s">
        <v>42</v>
      </c>
      <c r="C70" s="97" t="s">
        <v>47</v>
      </c>
      <c r="D70" s="98"/>
      <c r="E70" s="21" t="s">
        <v>36</v>
      </c>
      <c r="F70" s="21">
        <v>66.5</v>
      </c>
      <c r="G70" s="34">
        <v>1.5</v>
      </c>
      <c r="H70" s="34">
        <f t="shared" ref="H70:H74" si="7">IF(G70="","",G70*12)</f>
        <v>18</v>
      </c>
    </row>
    <row r="71" spans="1:8">
      <c r="A71" s="19">
        <v>2</v>
      </c>
      <c r="B71" s="20" t="s">
        <v>43</v>
      </c>
      <c r="C71" s="97" t="s">
        <v>44</v>
      </c>
      <c r="D71" s="98"/>
      <c r="E71" s="21" t="s">
        <v>36</v>
      </c>
      <c r="F71" s="21" t="s">
        <v>45</v>
      </c>
      <c r="G71" s="34">
        <v>0.2</v>
      </c>
      <c r="H71" s="34">
        <f t="shared" si="7"/>
        <v>2.4000000000000004</v>
      </c>
    </row>
    <row r="72" spans="1:8">
      <c r="A72" s="19">
        <v>3</v>
      </c>
      <c r="B72" s="20" t="s">
        <v>50</v>
      </c>
      <c r="C72" s="97" t="s">
        <v>40</v>
      </c>
      <c r="D72" s="98"/>
      <c r="E72" s="21" t="s">
        <v>36</v>
      </c>
      <c r="F72" s="21" t="s">
        <v>41</v>
      </c>
      <c r="G72" s="22">
        <v>10</v>
      </c>
      <c r="H72" s="22">
        <f t="shared" si="7"/>
        <v>120</v>
      </c>
    </row>
    <row r="73" spans="1:8">
      <c r="A73" s="19">
        <v>4</v>
      </c>
      <c r="B73" s="20" t="s">
        <v>32</v>
      </c>
      <c r="C73" s="97" t="s">
        <v>31</v>
      </c>
      <c r="D73" s="98"/>
      <c r="E73" s="21" t="s">
        <v>13</v>
      </c>
      <c r="F73" s="21" t="s">
        <v>13</v>
      </c>
      <c r="G73" s="22">
        <v>1</v>
      </c>
      <c r="H73" s="22">
        <f t="shared" si="7"/>
        <v>12</v>
      </c>
    </row>
    <row r="74" spans="1:8">
      <c r="A74" s="33">
        <v>5</v>
      </c>
      <c r="B74" s="32" t="s">
        <v>1</v>
      </c>
      <c r="C74" s="97" t="s">
        <v>14</v>
      </c>
      <c r="D74" s="98"/>
      <c r="E74" s="21" t="s">
        <v>2</v>
      </c>
      <c r="F74" s="21" t="s">
        <v>15</v>
      </c>
      <c r="G74" s="35">
        <v>0.05</v>
      </c>
      <c r="H74" s="35">
        <f t="shared" si="7"/>
        <v>0.60000000000000009</v>
      </c>
    </row>
    <row r="75" spans="1:8">
      <c r="A75" s="87" t="s">
        <v>16</v>
      </c>
      <c r="B75" s="88"/>
      <c r="C75" s="88"/>
      <c r="D75" s="88"/>
      <c r="E75" s="88"/>
      <c r="F75" s="88"/>
      <c r="G75" s="88"/>
      <c r="H75" s="89"/>
    </row>
    <row r="76" spans="1:8">
      <c r="A76" s="90" t="s">
        <v>17</v>
      </c>
      <c r="B76" s="91"/>
      <c r="C76" s="92" t="s">
        <v>18</v>
      </c>
      <c r="D76" s="93"/>
      <c r="E76" s="93"/>
      <c r="F76" s="93"/>
      <c r="G76" s="93"/>
      <c r="H76" s="94"/>
    </row>
    <row r="77" spans="1:8">
      <c r="A77" s="95">
        <f>A60</f>
        <v>0</v>
      </c>
      <c r="B77" s="96"/>
      <c r="C77" s="61">
        <f>(SUM(C78:G78)*12)/60</f>
        <v>3.4</v>
      </c>
      <c r="D77" s="62"/>
      <c r="E77" s="62"/>
      <c r="F77" s="62"/>
      <c r="G77" s="62"/>
      <c r="H77" s="63"/>
    </row>
    <row r="78" spans="1:8" ht="14.4">
      <c r="A78" s="76" t="s">
        <v>30</v>
      </c>
      <c r="B78" s="77"/>
      <c r="C78" s="78">
        <v>17</v>
      </c>
      <c r="D78" s="79"/>
      <c r="E78" s="79"/>
      <c r="F78" s="79"/>
      <c r="G78" s="80"/>
      <c r="H78" s="59"/>
    </row>
    <row r="79" spans="1:8">
      <c r="A79" s="81" t="s">
        <v>19</v>
      </c>
      <c r="B79" s="82"/>
      <c r="C79" s="82"/>
      <c r="D79" s="82"/>
      <c r="E79" s="82"/>
      <c r="F79" s="82"/>
      <c r="G79" s="82"/>
      <c r="H79" s="83"/>
    </row>
    <row r="80" spans="1:8">
      <c r="A80" s="23" t="s">
        <v>7</v>
      </c>
      <c r="B80" s="24" t="s">
        <v>0</v>
      </c>
      <c r="C80" s="84" t="s">
        <v>20</v>
      </c>
      <c r="D80" s="85"/>
      <c r="E80" s="86"/>
      <c r="F80" s="23" t="s">
        <v>21</v>
      </c>
      <c r="G80" s="23" t="s">
        <v>22</v>
      </c>
      <c r="H80" s="23" t="s">
        <v>23</v>
      </c>
    </row>
    <row r="81" spans="1:8">
      <c r="A81" s="21">
        <f>IF(A70="","",A70)</f>
        <v>1</v>
      </c>
      <c r="B81" s="25" t="str">
        <f>IF(B70="","",B70)</f>
        <v>Main Fabric-A</v>
      </c>
      <c r="C81" s="64">
        <f>IF(H70="","",H70)</f>
        <v>18</v>
      </c>
      <c r="D81" s="65"/>
      <c r="E81" s="66"/>
      <c r="F81" s="21" t="str">
        <f>IF(E70="","",E70)</f>
        <v>WHITE</v>
      </c>
      <c r="G81" s="49">
        <v>1.71</v>
      </c>
      <c r="H81" s="27">
        <f>H70*G81</f>
        <v>30.78</v>
      </c>
    </row>
    <row r="82" spans="1:8">
      <c r="A82" s="21">
        <f>IF(A71="","",A71)</f>
        <v>2</v>
      </c>
      <c r="B82" s="25" t="str">
        <f>IF(B71="","",B71)</f>
        <v>Mesh Fabric-B</v>
      </c>
      <c r="C82" s="64">
        <f>IF(H71="","",H71)</f>
        <v>2.4000000000000004</v>
      </c>
      <c r="D82" s="65"/>
      <c r="E82" s="66"/>
      <c r="F82" s="21" t="str">
        <f>IF(E71="","",E71)</f>
        <v>WHITE</v>
      </c>
      <c r="G82" s="49">
        <v>1.74</v>
      </c>
      <c r="H82" s="27">
        <f>H71*G82</f>
        <v>4.1760000000000002</v>
      </c>
    </row>
    <row r="83" spans="1:8">
      <c r="A83" s="21">
        <f t="shared" ref="A83:B83" si="8">IF(A72="","",A72)</f>
        <v>3</v>
      </c>
      <c r="B83" s="53" t="str">
        <f t="shared" si="8"/>
        <v>Plastic  Button</v>
      </c>
      <c r="C83" s="100">
        <f>IF(H72="","",H72)</f>
        <v>120</v>
      </c>
      <c r="D83" s="101"/>
      <c r="E83" s="102"/>
      <c r="F83" s="54" t="str">
        <f>IF(E72="","",E72)</f>
        <v>WHITE</v>
      </c>
      <c r="G83" s="55">
        <v>0.02</v>
      </c>
      <c r="H83" s="27">
        <f>H72*G83</f>
        <v>2.4</v>
      </c>
    </row>
    <row r="84" spans="1:8">
      <c r="A84" s="21">
        <f t="shared" ref="A84:B84" si="9">IF(A73="","",A73)</f>
        <v>4</v>
      </c>
      <c r="B84" s="25" t="str">
        <f t="shared" si="9"/>
        <v>Care Label</v>
      </c>
      <c r="C84" s="70">
        <f>IF(H73="","",H73)</f>
        <v>12</v>
      </c>
      <c r="D84" s="71"/>
      <c r="E84" s="72"/>
      <c r="F84" s="21" t="str">
        <f>IF(E73="","",E73)</f>
        <v>-</v>
      </c>
      <c r="G84" s="26">
        <v>0.05</v>
      </c>
      <c r="H84" s="27">
        <f>H73*G84</f>
        <v>0.60000000000000009</v>
      </c>
    </row>
    <row r="85" spans="1:8">
      <c r="A85" s="21">
        <f t="shared" ref="A85:B85" si="10">IF(A74="","",A74)</f>
        <v>5</v>
      </c>
      <c r="B85" s="25" t="str">
        <f t="shared" si="10"/>
        <v>Thread Tex40</v>
      </c>
      <c r="C85" s="73">
        <f>IF(H74="","",H74)</f>
        <v>0.60000000000000009</v>
      </c>
      <c r="D85" s="74"/>
      <c r="E85" s="75"/>
      <c r="F85" s="21" t="str">
        <f>IF(E74="","",E74)</f>
        <v>DTM Body</v>
      </c>
      <c r="G85" s="26">
        <v>3.6</v>
      </c>
      <c r="H85" s="27">
        <f>H74*G85</f>
        <v>2.1600000000000006</v>
      </c>
    </row>
    <row r="86" spans="1:8">
      <c r="A86" s="21">
        <v>6</v>
      </c>
      <c r="B86" s="25" t="s">
        <v>37</v>
      </c>
      <c r="C86" s="61">
        <f>1/30*12</f>
        <v>0.4</v>
      </c>
      <c r="D86" s="62"/>
      <c r="E86" s="63"/>
      <c r="F86" s="28"/>
      <c r="G86" s="26">
        <v>1</v>
      </c>
      <c r="H86" s="27">
        <f>IF(G86="","",C86*G86)</f>
        <v>0.4</v>
      </c>
    </row>
    <row r="87" spans="1:8">
      <c r="A87" s="21">
        <v>7</v>
      </c>
      <c r="B87" s="25" t="s">
        <v>24</v>
      </c>
      <c r="C87" s="61">
        <f>C77</f>
        <v>3.4</v>
      </c>
      <c r="D87" s="62"/>
      <c r="E87" s="63"/>
      <c r="F87" s="28"/>
      <c r="G87" s="26">
        <v>7.68</v>
      </c>
      <c r="H87" s="27">
        <f>IF(G87="","",C87*G87)</f>
        <v>26.111999999999998</v>
      </c>
    </row>
    <row r="88" spans="1:8">
      <c r="A88" s="16"/>
      <c r="H88" s="29"/>
    </row>
    <row r="89" spans="1:8">
      <c r="A89" s="16"/>
      <c r="C89" s="58" t="s">
        <v>48</v>
      </c>
      <c r="D89" s="58"/>
      <c r="G89" s="30" t="s">
        <v>25</v>
      </c>
      <c r="H89" s="27">
        <f>SUM(H81:H87)</f>
        <v>66.628</v>
      </c>
    </row>
    <row r="90" spans="1:8">
      <c r="A90" s="16"/>
      <c r="C90" s="57" t="s">
        <v>49</v>
      </c>
      <c r="D90" s="56"/>
      <c r="G90" s="10" t="s">
        <v>26</v>
      </c>
      <c r="H90" s="27">
        <f>15000/35000</f>
        <v>0.42857142857142855</v>
      </c>
    </row>
    <row r="91" spans="1:8">
      <c r="A91" s="16"/>
      <c r="G91" s="30" t="s">
        <v>27</v>
      </c>
      <c r="H91" s="27">
        <f>(H89/12)</f>
        <v>5.5523333333333333</v>
      </c>
    </row>
    <row r="92" spans="1:8">
      <c r="A92" s="16"/>
      <c r="G92" s="10" t="s">
        <v>46</v>
      </c>
      <c r="H92" s="27">
        <f>H93*(0.165+0.1)</f>
        <v>1.9514168877099911</v>
      </c>
    </row>
    <row r="93" spans="1:8">
      <c r="A93" s="16"/>
      <c r="G93" s="10" t="s">
        <v>28</v>
      </c>
      <c r="H93" s="43">
        <f>H91/0.754</f>
        <v>7.3638373121131737</v>
      </c>
    </row>
    <row r="94" spans="1:8">
      <c r="A94" s="16"/>
      <c r="H94" s="27">
        <v>9.75</v>
      </c>
    </row>
    <row r="95" spans="1:8">
      <c r="A95" s="16"/>
      <c r="G95" s="10" t="s">
        <v>29</v>
      </c>
      <c r="H95" s="31">
        <f>(H93-H91)/H93</f>
        <v>0.24599999999999994</v>
      </c>
    </row>
    <row r="96" spans="1:8">
      <c r="A96" s="16"/>
      <c r="H96" s="29"/>
    </row>
    <row r="97" spans="1:8">
      <c r="A97" s="99" t="s">
        <v>6</v>
      </c>
      <c r="B97" s="99"/>
      <c r="C97" s="99"/>
      <c r="D97" s="99"/>
      <c r="E97" s="99"/>
      <c r="F97" s="99"/>
      <c r="G97" s="99"/>
      <c r="H97" s="99"/>
    </row>
    <row r="98" spans="1:8">
      <c r="A98" s="17" t="s">
        <v>7</v>
      </c>
      <c r="B98" s="18" t="s">
        <v>0</v>
      </c>
      <c r="C98" s="84" t="s">
        <v>8</v>
      </c>
      <c r="D98" s="86"/>
      <c r="E98" s="17" t="s">
        <v>9</v>
      </c>
      <c r="F98" s="17" t="s">
        <v>10</v>
      </c>
      <c r="G98" s="17" t="s">
        <v>11</v>
      </c>
      <c r="H98" s="17" t="s">
        <v>12</v>
      </c>
    </row>
    <row r="99" spans="1:8">
      <c r="A99" s="19">
        <v>1</v>
      </c>
      <c r="B99" s="20" t="s">
        <v>42</v>
      </c>
      <c r="C99" s="97" t="s">
        <v>47</v>
      </c>
      <c r="D99" s="98"/>
      <c r="E99" s="21" t="s">
        <v>36</v>
      </c>
      <c r="F99" s="21">
        <v>66.5</v>
      </c>
      <c r="G99" s="34">
        <v>1.7</v>
      </c>
      <c r="H99" s="34">
        <f t="shared" ref="H99:H103" si="11">IF(G99="","",G99*12)</f>
        <v>20.399999999999999</v>
      </c>
    </row>
    <row r="100" spans="1:8">
      <c r="A100" s="19">
        <v>2</v>
      </c>
      <c r="B100" s="20" t="s">
        <v>43</v>
      </c>
      <c r="C100" s="97" t="s">
        <v>44</v>
      </c>
      <c r="D100" s="98"/>
      <c r="E100" s="21" t="s">
        <v>36</v>
      </c>
      <c r="F100" s="21" t="s">
        <v>45</v>
      </c>
      <c r="G100" s="34">
        <v>0.2</v>
      </c>
      <c r="H100" s="34">
        <f t="shared" si="11"/>
        <v>2.4000000000000004</v>
      </c>
    </row>
    <row r="101" spans="1:8">
      <c r="A101" s="19">
        <v>3</v>
      </c>
      <c r="B101" s="20" t="s">
        <v>50</v>
      </c>
      <c r="C101" s="97" t="s">
        <v>40</v>
      </c>
      <c r="D101" s="98"/>
      <c r="E101" s="21" t="s">
        <v>36</v>
      </c>
      <c r="F101" s="21" t="s">
        <v>41</v>
      </c>
      <c r="G101" s="22">
        <v>10</v>
      </c>
      <c r="H101" s="22">
        <f t="shared" si="11"/>
        <v>120</v>
      </c>
    </row>
    <row r="102" spans="1:8">
      <c r="A102" s="19">
        <v>4</v>
      </c>
      <c r="B102" s="20" t="s">
        <v>32</v>
      </c>
      <c r="C102" s="97" t="s">
        <v>31</v>
      </c>
      <c r="D102" s="98"/>
      <c r="E102" s="21" t="s">
        <v>13</v>
      </c>
      <c r="F102" s="21" t="s">
        <v>13</v>
      </c>
      <c r="G102" s="22">
        <v>1</v>
      </c>
      <c r="H102" s="22">
        <f t="shared" si="11"/>
        <v>12</v>
      </c>
    </row>
    <row r="103" spans="1:8">
      <c r="A103" s="33">
        <v>5</v>
      </c>
      <c r="B103" s="32" t="s">
        <v>1</v>
      </c>
      <c r="C103" s="97" t="s">
        <v>14</v>
      </c>
      <c r="D103" s="98"/>
      <c r="E103" s="21" t="s">
        <v>2</v>
      </c>
      <c r="F103" s="21" t="s">
        <v>15</v>
      </c>
      <c r="G103" s="35">
        <v>0.05</v>
      </c>
      <c r="H103" s="35">
        <f t="shared" si="11"/>
        <v>0.60000000000000009</v>
      </c>
    </row>
    <row r="104" spans="1:8">
      <c r="A104" s="87" t="s">
        <v>16</v>
      </c>
      <c r="B104" s="88"/>
      <c r="C104" s="88"/>
      <c r="D104" s="88"/>
      <c r="E104" s="88"/>
      <c r="F104" s="88"/>
      <c r="G104" s="88"/>
      <c r="H104" s="89"/>
    </row>
    <row r="105" spans="1:8">
      <c r="A105" s="90" t="s">
        <v>17</v>
      </c>
      <c r="B105" s="91"/>
      <c r="C105" s="92" t="s">
        <v>18</v>
      </c>
      <c r="D105" s="93"/>
      <c r="E105" s="93"/>
      <c r="F105" s="93"/>
      <c r="G105" s="93"/>
      <c r="H105" s="94"/>
    </row>
    <row r="106" spans="1:8">
      <c r="A106" s="95">
        <f>A89</f>
        <v>0</v>
      </c>
      <c r="B106" s="96"/>
      <c r="C106" s="61">
        <f>(SUM(C107:G107)*12)/60</f>
        <v>3.4</v>
      </c>
      <c r="D106" s="62"/>
      <c r="E106" s="62"/>
      <c r="F106" s="62"/>
      <c r="G106" s="62"/>
      <c r="H106" s="63"/>
    </row>
    <row r="107" spans="1:8" ht="14.4">
      <c r="A107" s="76" t="s">
        <v>30</v>
      </c>
      <c r="B107" s="77"/>
      <c r="C107" s="78">
        <v>17</v>
      </c>
      <c r="D107" s="79"/>
      <c r="E107" s="79"/>
      <c r="F107" s="79"/>
      <c r="G107" s="80"/>
      <c r="H107" s="59"/>
    </row>
    <row r="108" spans="1:8">
      <c r="A108" s="81" t="s">
        <v>19</v>
      </c>
      <c r="B108" s="82"/>
      <c r="C108" s="82"/>
      <c r="D108" s="82"/>
      <c r="E108" s="82"/>
      <c r="F108" s="82"/>
      <c r="G108" s="82"/>
      <c r="H108" s="83"/>
    </row>
    <row r="109" spans="1:8">
      <c r="A109" s="23" t="s">
        <v>7</v>
      </c>
      <c r="B109" s="24" t="s">
        <v>0</v>
      </c>
      <c r="C109" s="84" t="s">
        <v>20</v>
      </c>
      <c r="D109" s="85"/>
      <c r="E109" s="86"/>
      <c r="F109" s="23" t="s">
        <v>21</v>
      </c>
      <c r="G109" s="23" t="s">
        <v>22</v>
      </c>
      <c r="H109" s="23" t="s">
        <v>23</v>
      </c>
    </row>
    <row r="110" spans="1:8">
      <c r="A110" s="21">
        <f>IF(A99="","",A99)</f>
        <v>1</v>
      </c>
      <c r="B110" s="25" t="str">
        <f>IF(B99="","",B99)</f>
        <v>Main Fabric-A</v>
      </c>
      <c r="C110" s="64">
        <f>IF(H99="","",H99)</f>
        <v>20.399999999999999</v>
      </c>
      <c r="D110" s="65"/>
      <c r="E110" s="66"/>
      <c r="F110" s="21" t="str">
        <f>IF(E99="","",E99)</f>
        <v>WHITE</v>
      </c>
      <c r="G110" s="49">
        <v>1.71</v>
      </c>
      <c r="H110" s="27">
        <f>H99*G110</f>
        <v>34.884</v>
      </c>
    </row>
    <row r="111" spans="1:8">
      <c r="A111" s="21">
        <f>IF(A100="","",A100)</f>
        <v>2</v>
      </c>
      <c r="B111" s="25" t="str">
        <f>IF(B100="","",B100)</f>
        <v>Mesh Fabric-B</v>
      </c>
      <c r="C111" s="64">
        <f>IF(H100="","",H100)</f>
        <v>2.4000000000000004</v>
      </c>
      <c r="D111" s="65"/>
      <c r="E111" s="66"/>
      <c r="F111" s="21" t="str">
        <f>IF(E100="","",E100)</f>
        <v>WHITE</v>
      </c>
      <c r="G111" s="49">
        <v>1.74</v>
      </c>
      <c r="H111" s="27">
        <f>H100*G111</f>
        <v>4.1760000000000002</v>
      </c>
    </row>
    <row r="112" spans="1:8">
      <c r="A112" s="21">
        <f t="shared" ref="A112:B112" si="12">IF(A101="","",A101)</f>
        <v>3</v>
      </c>
      <c r="B112" s="50" t="str">
        <f t="shared" si="12"/>
        <v>Plastic  Button</v>
      </c>
      <c r="C112" s="67">
        <f>IF(H101="","",H101)</f>
        <v>120</v>
      </c>
      <c r="D112" s="68"/>
      <c r="E112" s="69"/>
      <c r="F112" s="51" t="str">
        <f>IF(E101="","",E101)</f>
        <v>WHITE</v>
      </c>
      <c r="G112" s="52">
        <v>0.02</v>
      </c>
      <c r="H112" s="27">
        <f>H101*G112</f>
        <v>2.4</v>
      </c>
    </row>
    <row r="113" spans="1:8">
      <c r="A113" s="21">
        <f t="shared" ref="A113:B113" si="13">IF(A102="","",A102)</f>
        <v>4</v>
      </c>
      <c r="B113" s="25" t="str">
        <f t="shared" si="13"/>
        <v>Care Label</v>
      </c>
      <c r="C113" s="70">
        <f>IF(H102="","",H102)</f>
        <v>12</v>
      </c>
      <c r="D113" s="71"/>
      <c r="E113" s="72"/>
      <c r="F113" s="21" t="str">
        <f>IF(E102="","",E102)</f>
        <v>-</v>
      </c>
      <c r="G113" s="26">
        <v>0.05</v>
      </c>
      <c r="H113" s="27">
        <f>H102*G113</f>
        <v>0.60000000000000009</v>
      </c>
    </row>
    <row r="114" spans="1:8">
      <c r="A114" s="21">
        <f t="shared" ref="A114:B114" si="14">IF(A103="","",A103)</f>
        <v>5</v>
      </c>
      <c r="B114" s="25" t="str">
        <f t="shared" si="14"/>
        <v>Thread Tex40</v>
      </c>
      <c r="C114" s="73">
        <f>IF(H103="","",H103)</f>
        <v>0.60000000000000009</v>
      </c>
      <c r="D114" s="74"/>
      <c r="E114" s="75"/>
      <c r="F114" s="21" t="str">
        <f>IF(E103="","",E103)</f>
        <v>DTM Body</v>
      </c>
      <c r="G114" s="26">
        <v>3.6</v>
      </c>
      <c r="H114" s="27">
        <f>H103*G114</f>
        <v>2.1600000000000006</v>
      </c>
    </row>
    <row r="115" spans="1:8">
      <c r="A115" s="21">
        <v>6</v>
      </c>
      <c r="B115" s="25" t="s">
        <v>37</v>
      </c>
      <c r="C115" s="61">
        <f>1/30*12</f>
        <v>0.4</v>
      </c>
      <c r="D115" s="62"/>
      <c r="E115" s="63"/>
      <c r="F115" s="28"/>
      <c r="G115" s="26">
        <v>1</v>
      </c>
      <c r="H115" s="27">
        <f>IF(G115="","",C115*G115)</f>
        <v>0.4</v>
      </c>
    </row>
    <row r="116" spans="1:8">
      <c r="A116" s="21">
        <v>7</v>
      </c>
      <c r="B116" s="25" t="s">
        <v>24</v>
      </c>
      <c r="C116" s="61">
        <f>C106</f>
        <v>3.4</v>
      </c>
      <c r="D116" s="62"/>
      <c r="E116" s="63"/>
      <c r="F116" s="28"/>
      <c r="G116" s="26">
        <v>7.68</v>
      </c>
      <c r="H116" s="27">
        <f>IF(G116="","",C116*G116)</f>
        <v>26.111999999999998</v>
      </c>
    </row>
    <row r="117" spans="1:8">
      <c r="A117" s="16"/>
      <c r="H117" s="29"/>
    </row>
    <row r="118" spans="1:8">
      <c r="A118" s="16"/>
      <c r="G118" s="30" t="s">
        <v>25</v>
      </c>
      <c r="H118" s="27">
        <f>SUM(H110:H116)</f>
        <v>70.731999999999999</v>
      </c>
    </row>
    <row r="119" spans="1:8">
      <c r="A119" s="16"/>
      <c r="C119" s="58" t="s">
        <v>48</v>
      </c>
      <c r="D119" s="56"/>
      <c r="G119" s="10" t="s">
        <v>26</v>
      </c>
      <c r="H119" s="27">
        <f>15000/35000</f>
        <v>0.42857142857142855</v>
      </c>
    </row>
    <row r="120" spans="1:8">
      <c r="A120" s="16"/>
      <c r="C120" s="57" t="s">
        <v>49</v>
      </c>
      <c r="D120" s="56"/>
      <c r="G120" s="30" t="s">
        <v>27</v>
      </c>
      <c r="H120" s="27">
        <f>(H118/12)</f>
        <v>5.894333333333333</v>
      </c>
    </row>
    <row r="121" spans="1:8">
      <c r="A121" s="16"/>
      <c r="G121" s="10" t="s">
        <v>46</v>
      </c>
      <c r="H121" s="27">
        <f>H122*(0.165+0.1)</f>
        <v>2.0771254432624113</v>
      </c>
    </row>
    <row r="122" spans="1:8">
      <c r="A122" s="16"/>
      <c r="G122" s="10" t="s">
        <v>28</v>
      </c>
      <c r="H122" s="43">
        <f>H120/0.752</f>
        <v>7.8382092198581557</v>
      </c>
    </row>
    <row r="123" spans="1:8">
      <c r="A123" s="16"/>
      <c r="H123" s="27">
        <v>10.35</v>
      </c>
    </row>
    <row r="124" spans="1:8">
      <c r="A124" s="16"/>
      <c r="G124" s="10" t="s">
        <v>29</v>
      </c>
      <c r="H124" s="31">
        <f>(H122-H120)/H122</f>
        <v>0.248</v>
      </c>
    </row>
  </sheetData>
  <mergeCells count="99">
    <mergeCell ref="C56:E56"/>
    <mergeCell ref="C57:E57"/>
    <mergeCell ref="C58:E58"/>
    <mergeCell ref="C51:E51"/>
    <mergeCell ref="C52:E52"/>
    <mergeCell ref="C53:E53"/>
    <mergeCell ref="C54:E54"/>
    <mergeCell ref="C55:E55"/>
    <mergeCell ref="A48:B48"/>
    <mergeCell ref="C48:H48"/>
    <mergeCell ref="A49:B49"/>
    <mergeCell ref="C49:G49"/>
    <mergeCell ref="A50:H50"/>
    <mergeCell ref="C44:D44"/>
    <mergeCell ref="C45:D45"/>
    <mergeCell ref="A46:H46"/>
    <mergeCell ref="A47:B47"/>
    <mergeCell ref="C47:H47"/>
    <mergeCell ref="A39:H39"/>
    <mergeCell ref="C40:D40"/>
    <mergeCell ref="C41:D41"/>
    <mergeCell ref="C42:D42"/>
    <mergeCell ref="C43:D43"/>
    <mergeCell ref="I10:S37"/>
    <mergeCell ref="C11:D11"/>
    <mergeCell ref="C12:D12"/>
    <mergeCell ref="C14:D14"/>
    <mergeCell ref="C16:D16"/>
    <mergeCell ref="A17:H17"/>
    <mergeCell ref="A18:B18"/>
    <mergeCell ref="A10:H10"/>
    <mergeCell ref="C18:H18"/>
    <mergeCell ref="A19:B19"/>
    <mergeCell ref="C19:H19"/>
    <mergeCell ref="A21:H21"/>
    <mergeCell ref="C22:E22"/>
    <mergeCell ref="C29:E29"/>
    <mergeCell ref="C25:E25"/>
    <mergeCell ref="A20:B20"/>
    <mergeCell ref="A2:H2"/>
    <mergeCell ref="A3:H3"/>
    <mergeCell ref="A5:H5"/>
    <mergeCell ref="A7:H7"/>
    <mergeCell ref="A8:H8"/>
    <mergeCell ref="A6:H6"/>
    <mergeCell ref="C20:G20"/>
    <mergeCell ref="C13:D13"/>
    <mergeCell ref="C27:E27"/>
    <mergeCell ref="C28:E28"/>
    <mergeCell ref="C26:E26"/>
    <mergeCell ref="C23:E23"/>
    <mergeCell ref="C24:E24"/>
    <mergeCell ref="C15:D15"/>
    <mergeCell ref="A68:H68"/>
    <mergeCell ref="C69:D69"/>
    <mergeCell ref="C70:D70"/>
    <mergeCell ref="C71:D71"/>
    <mergeCell ref="C72:D72"/>
    <mergeCell ref="C73:D73"/>
    <mergeCell ref="C74:D74"/>
    <mergeCell ref="A75:H75"/>
    <mergeCell ref="A76:B76"/>
    <mergeCell ref="C76:H76"/>
    <mergeCell ref="A77:B77"/>
    <mergeCell ref="C77:H77"/>
    <mergeCell ref="A78:B78"/>
    <mergeCell ref="C78:G78"/>
    <mergeCell ref="A79:H79"/>
    <mergeCell ref="C80:E80"/>
    <mergeCell ref="C81:E81"/>
    <mergeCell ref="C82:E82"/>
    <mergeCell ref="C83:E83"/>
    <mergeCell ref="C84:E84"/>
    <mergeCell ref="C85:E85"/>
    <mergeCell ref="C86:E86"/>
    <mergeCell ref="C87:E87"/>
    <mergeCell ref="A97:H97"/>
    <mergeCell ref="C98:D98"/>
    <mergeCell ref="C99:D99"/>
    <mergeCell ref="C100:D100"/>
    <mergeCell ref="C101:D101"/>
    <mergeCell ref="C102:D102"/>
    <mergeCell ref="C103:D103"/>
    <mergeCell ref="A104:H104"/>
    <mergeCell ref="A105:B105"/>
    <mergeCell ref="C105:H105"/>
    <mergeCell ref="A106:B106"/>
    <mergeCell ref="C106:H106"/>
    <mergeCell ref="A107:B107"/>
    <mergeCell ref="C107:G107"/>
    <mergeCell ref="A108:H108"/>
    <mergeCell ref="C109:E109"/>
    <mergeCell ref="C110:E110"/>
    <mergeCell ref="C116:E116"/>
    <mergeCell ref="C111:E111"/>
    <mergeCell ref="C112:E112"/>
    <mergeCell ref="C113:E113"/>
    <mergeCell ref="C114:E114"/>
    <mergeCell ref="C115:E115"/>
  </mergeCells>
  <phoneticPr fontId="7" type="noConversion"/>
  <printOptions horizontalCentered="1"/>
  <pageMargins left="0.25" right="0.25" top="0.25" bottom="0" header="0" footer="0"/>
  <pageSetup scale="64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"/>
  <sheetViews>
    <sheetView workbookViewId="0">
      <selection activeCell="S72" sqref="S72"/>
    </sheetView>
  </sheetViews>
  <sheetFormatPr defaultRowHeight="14.4"/>
  <sheetData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COSTING</vt:lpstr>
      <vt:lpstr>MINI MARKER</vt:lpstr>
      <vt:lpstr>COSTING!Print_Area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2019-08-27T09:48:16Z</cp:lastPrinted>
  <dcterms:created xsi:type="dcterms:W3CDTF">2015-07-27T03:14:29Z</dcterms:created>
  <dcterms:modified xsi:type="dcterms:W3CDTF">2026-09-23T19:39:40Z</dcterms:modified>
</cp:coreProperties>
</file>