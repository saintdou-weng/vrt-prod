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8_{5F0CE57E-113F-4EA0-A2DB-E583FB80D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" sheetId="1" r:id="rId1"/>
  </sheets>
  <definedNames>
    <definedName name="_xlnm.Print_Area" localSheetId="0">'3'!$A$1:$G$58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C43" i="1"/>
  <c r="C12" i="1"/>
  <c r="C22" i="1"/>
  <c r="G22" i="1" s="1"/>
  <c r="H60" i="1"/>
  <c r="G5" i="1"/>
  <c r="C17" i="1" s="1"/>
  <c r="G17" i="1" s="1"/>
  <c r="G58" i="1"/>
  <c r="G27" i="1"/>
  <c r="G89" i="1"/>
  <c r="E84" i="1"/>
  <c r="E83" i="1"/>
  <c r="B83" i="1"/>
  <c r="A83" i="1"/>
  <c r="E82" i="1"/>
  <c r="B82" i="1"/>
  <c r="A82" i="1"/>
  <c r="E81" i="1"/>
  <c r="B81" i="1"/>
  <c r="A81" i="1"/>
  <c r="E80" i="1"/>
  <c r="C80" i="1"/>
  <c r="G80" i="1" s="1"/>
  <c r="B80" i="1"/>
  <c r="E79" i="1"/>
  <c r="B79" i="1"/>
  <c r="A79" i="1"/>
  <c r="C74" i="1"/>
  <c r="C84" i="1" s="1"/>
  <c r="G84" i="1" s="1"/>
  <c r="F71" i="1"/>
  <c r="G71" i="1" s="1"/>
  <c r="C83" i="1" s="1"/>
  <c r="G83" i="1" s="1"/>
  <c r="F70" i="1"/>
  <c r="G70" i="1" s="1"/>
  <c r="C82" i="1" s="1"/>
  <c r="G82" i="1" s="1"/>
  <c r="G69" i="1"/>
  <c r="C81" i="1" s="1"/>
  <c r="G81" i="1" s="1"/>
  <c r="G68" i="1"/>
  <c r="A68" i="1"/>
  <c r="A80" i="1" s="1"/>
  <c r="G67" i="1"/>
  <c r="C79" i="1" s="1"/>
  <c r="G79" i="1" s="1"/>
  <c r="F9" i="1"/>
  <c r="G9" i="1" s="1"/>
  <c r="C21" i="1" s="1"/>
  <c r="G21" i="1" s="1"/>
  <c r="F40" i="1"/>
  <c r="G40" i="1" s="1"/>
  <c r="C52" i="1" s="1"/>
  <c r="G52" i="1" s="1"/>
  <c r="E53" i="1"/>
  <c r="E52" i="1"/>
  <c r="B52" i="1"/>
  <c r="A52" i="1"/>
  <c r="E51" i="1"/>
  <c r="B51" i="1"/>
  <c r="A51" i="1"/>
  <c r="E50" i="1"/>
  <c r="B50" i="1"/>
  <c r="A50" i="1"/>
  <c r="E49" i="1"/>
  <c r="B49" i="1"/>
  <c r="E48" i="1"/>
  <c r="B48" i="1"/>
  <c r="A48" i="1"/>
  <c r="C53" i="1"/>
  <c r="G53" i="1"/>
  <c r="F39" i="1"/>
  <c r="G39" i="1"/>
  <c r="C51" i="1" s="1"/>
  <c r="G51" i="1" s="1"/>
  <c r="G38" i="1"/>
  <c r="C50" i="1"/>
  <c r="G50" i="1"/>
  <c r="G37" i="1"/>
  <c r="C49" i="1" s="1"/>
  <c r="G49" i="1" s="1"/>
  <c r="A37" i="1"/>
  <c r="A49" i="1"/>
  <c r="G36" i="1"/>
  <c r="C48" i="1" s="1"/>
  <c r="G48" i="1" s="1"/>
  <c r="B19" i="1"/>
  <c r="E19" i="1"/>
  <c r="G7" i="1"/>
  <c r="C19" i="1"/>
  <c r="G19" i="1"/>
  <c r="F8" i="1"/>
  <c r="G8" i="1" s="1"/>
  <c r="C20" i="1" s="1"/>
  <c r="G20" i="1" s="1"/>
  <c r="A6" i="1"/>
  <c r="A18" i="1"/>
  <c r="G6" i="1"/>
  <c r="C18" i="1" s="1"/>
  <c r="G18" i="1" s="1"/>
  <c r="B18" i="1"/>
  <c r="B20" i="1"/>
  <c r="B21" i="1"/>
  <c r="E22" i="1"/>
  <c r="E21" i="1"/>
  <c r="E20" i="1"/>
  <c r="E18" i="1"/>
  <c r="E17" i="1"/>
  <c r="B17" i="1"/>
  <c r="A17" i="1"/>
  <c r="A19" i="1"/>
  <c r="A20" i="1"/>
  <c r="A21" i="1"/>
  <c r="G55" i="1" l="1"/>
  <c r="G56" i="1" s="1"/>
  <c r="G59" i="1"/>
  <c r="G86" i="1"/>
  <c r="G87" i="1" s="1"/>
  <c r="G88" i="1" s="1"/>
  <c r="G90" i="1"/>
  <c r="H87" i="1"/>
  <c r="G24" i="1"/>
  <c r="G25" i="1" s="1"/>
  <c r="G26" i="1" s="1"/>
  <c r="G61" i="1" l="1"/>
  <c r="G60" i="1"/>
  <c r="G28" i="1"/>
  <c r="G29" i="1" s="1"/>
  <c r="G92" i="1"/>
  <c r="G91" i="1"/>
  <c r="H91" i="1" s="1"/>
  <c r="G30" i="1" l="1"/>
</calcChain>
</file>

<file path=xl/sharedStrings.xml><?xml version="1.0" encoding="utf-8"?>
<sst xmlns="http://schemas.openxmlformats.org/spreadsheetml/2006/main" count="129" uniqueCount="43">
  <si>
    <t>Nº</t>
  </si>
  <si>
    <t>Items</t>
  </si>
  <si>
    <t xml:space="preserve">Description </t>
  </si>
  <si>
    <t>Color</t>
  </si>
  <si>
    <t>Width/size</t>
  </si>
  <si>
    <t>Qty/Unit</t>
  </si>
  <si>
    <t>Qty/Dozen</t>
  </si>
  <si>
    <t>Fabric</t>
  </si>
  <si>
    <t>White</t>
  </si>
  <si>
    <t xml:space="preserve">Thread 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</si>
  <si>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</si>
  <si>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</si>
  <si>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</si>
  <si>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</si>
  <si>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</si>
  <si>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</si>
  <si>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</si>
  <si>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</si>
  <si>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Carton</t>
  </si>
  <si>
    <t>Polybage</t>
  </si>
  <si>
    <t>Plastic</t>
  </si>
  <si>
    <t>Clear</t>
  </si>
  <si>
    <t>Labor</t>
  </si>
  <si>
    <t>MFG COST:</t>
  </si>
  <si>
    <t>UNIT COST:</t>
  </si>
  <si>
    <t>Sewing Thread #0</t>
  </si>
  <si>
    <t>Label</t>
  </si>
  <si>
    <t>Size</t>
  </si>
  <si>
    <t>VRT</t>
  </si>
  <si>
    <t>GM</t>
  </si>
  <si>
    <t>BOM</t>
  </si>
  <si>
    <t>Freight</t>
  </si>
  <si>
    <t>Duty</t>
  </si>
  <si>
    <t>BLK</t>
  </si>
  <si>
    <t>61X61</t>
  </si>
  <si>
    <t>61x61</t>
  </si>
  <si>
    <t>list</t>
  </si>
  <si>
    <t>sale price</t>
  </si>
  <si>
    <t>12X12 7.2</t>
  </si>
  <si>
    <t>WPL</t>
  </si>
  <si>
    <t>LT MD</t>
  </si>
  <si>
    <t>LTMD</t>
  </si>
  <si>
    <t>6.4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</si>
</sst>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&quot;Pcs&quot;"/>
    <numFmt numFmtId="165" formatCode="0.0000"/>
    <numFmt numFmtId="166" formatCode="0.000\ &quot;USD&quot;"/>
    <numFmt numFmtId="167" formatCode="0.00&quot;Pcs&quot;"/>
    <numFmt numFmtId="168" formatCode="0.00&quot;Yards&quot;"/>
    <numFmt numFmtId="169" formatCode="0.00&quot;UDS&quot;"/>
    <numFmt numFmtId="170" formatCode="0.0000&quot;USD&quot;"/>
    <numFmt numFmtId="171" formatCode="0.000&quot;Yards&quot;"/>
    <numFmt numFmtId="172" formatCode="0.000&quot;Cons&quot;"/>
    <numFmt numFmtId="173" formatCode="0.00&quot;Cons&quot;"/>
    <numFmt numFmtId="174" formatCode="0.000&quot;USD&quot;"/>
    <numFmt numFmtId="175" formatCode="&quot;$&quot;#,##0.00"/>
  </numFmts>
  <fonts count="6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3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9" xfId="0" applyBorder="1"/>
    <xf numFmtId="0" fontId="0" fillId="0" borderId="6" xfId="0" applyBorder="1" applyAlignment="1">
      <alignment horizontal="center" vertical="center"/>
    </xf>
    <xf numFmtId="174" fontId="0" fillId="0" borderId="9" xfId="0" applyNumberFormat="1" applyBorder="1" applyAlignment="1">
      <alignment horizontal="center"/>
    </xf>
    <xf numFmtId="0" fontId="0" fillId="0" borderId="9" xfId="0" applyBorder="1" applyAlignment="1">
      <alignment vertical="center"/>
    </xf>
    <xf numFmtId="174" fontId="0" fillId="2" borderId="9" xfId="0" applyNumberFormat="1" applyFill="1" applyBorder="1" applyAlignment="1">
      <alignment horizontal="center"/>
    </xf>
    <xf numFmtId="169" fontId="0" fillId="2" borderId="9" xfId="0" applyNumberFormat="1" applyFill="1" applyBorder="1" applyAlignment="1">
      <alignment horizontal="center"/>
    </xf>
    <xf numFmtId="0" fontId="0" fillId="0" borderId="9" xfId="0" applyBorder="1" applyAlignment="1">
      <alignment horizontal="left"/>
    </xf>
    <xf numFmtId="170" fontId="0" fillId="0" borderId="9" xfId="0" applyNumberFormat="1" applyBorder="1" applyAlignment="1">
      <alignment horizontal="center"/>
    </xf>
    <xf numFmtId="0" fontId="0" fillId="0" borderId="10" xfId="0" applyBorder="1"/>
    <xf numFmtId="166" fontId="0" fillId="0" borderId="11" xfId="0" applyNumberFormat="1" applyBorder="1"/>
    <xf numFmtId="0" fontId="0" fillId="0" borderId="11" xfId="0" applyBorder="1"/>
    <xf numFmtId="164" fontId="0" fillId="0" borderId="9" xfId="0" applyNumberFormat="1" applyBorder="1" applyAlignment="1">
      <alignment horizontal="center"/>
    </xf>
    <xf numFmtId="10" fontId="0" fillId="0" borderId="5" xfId="0" applyNumberFormat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5" fillId="0" borderId="0" xfId="0" applyFont="1"/>
    <xf numFmtId="175" fontId="0" fillId="0" borderId="5" xfId="0" applyNumberFormat="1" applyBorder="1"/>
    <xf numFmtId="166" fontId="0" fillId="0" borderId="5" xfId="0" applyNumberFormat="1" applyBorder="1"/>
    <xf numFmtId="168" fontId="0" fillId="0" borderId="10" xfId="0" applyNumberFormat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K92"/>
  <sheetViews>
    <sheetView tabSelected="1" view="pageBreakPreview" zoomScale="75" zoomScaleNormal="75" workbookViewId="0">
      <selection activeCell="H29" sqref="H29"/>
    </sheetView>
  </sheetViews>
  <sheetFormatPr defaultRowHeight="13.2" x14ac:dyDescent="0.25"/>
  <cols>
    <col min="1" max="1" width="5.109375" customWidth="1"/>
    <col min="2" max="2" width="24.109375" customWidth="1"/>
    <col min="3" max="3" width="19.6640625" customWidth="1"/>
    <col min="4" max="4" width="11" customWidth="1"/>
    <col min="5" max="6" width="14.5546875" customWidth="1"/>
    <col min="7" max="7" width="17.6640625" bestFit="1" customWidth="1"/>
  </cols>
  <sheetData>
    <row r="1" spans="1:11" ht="13.8" x14ac:dyDescent="0.25">
      <c r="A1" s="1" t="s">
        <v>39</v>
      </c>
      <c r="B1" s="2"/>
      <c r="C1" s="3"/>
      <c r="D1" s="65" t="s">
        <v>34</v>
      </c>
      <c r="E1" s="65"/>
      <c r="F1" s="3"/>
      <c r="G1" s="4"/>
      <c r="H1" s="5"/>
      <c r="I1" s="5"/>
    </row>
    <row r="2" spans="1:11" x14ac:dyDescent="0.25">
      <c r="A2" s="6"/>
      <c r="C2" s="66" t="s">
        <v>30</v>
      </c>
      <c r="D2" s="66"/>
      <c r="E2" s="66"/>
      <c r="F2" s="66"/>
      <c r="G2" s="7"/>
    </row>
    <row r="3" spans="1:11" x14ac:dyDescent="0.25">
      <c r="A3" s="8"/>
      <c r="B3" s="9"/>
      <c r="C3" s="10" t="s">
        <v>28</v>
      </c>
      <c r="D3" s="11"/>
      <c r="E3" s="11"/>
      <c r="F3" s="11"/>
      <c r="G3" s="12"/>
    </row>
    <row r="4" spans="1:11" x14ac:dyDescent="0.25">
      <c r="A4" s="14" t="s">
        <v>0</v>
      </c>
      <c r="B4" s="15" t="s">
        <v>1</v>
      </c>
      <c r="C4" s="15" t="s">
        <v>2</v>
      </c>
      <c r="D4" s="14" t="s">
        <v>3</v>
      </c>
      <c r="E4" s="14" t="s">
        <v>4</v>
      </c>
      <c r="F4" s="14" t="s">
        <v>5</v>
      </c>
      <c r="G4" s="14" t="s">
        <v>6</v>
      </c>
    </row>
    <row r="5" spans="1:11" x14ac:dyDescent="0.25">
      <c r="A5" s="16">
        <v>1</v>
      </c>
      <c r="B5" s="17" t="s">
        <v>7</v>
      </c>
      <c r="C5" s="38" t="s">
        <v>42</v>
      </c>
      <c r="D5" s="37" t="s">
        <v>8</v>
      </c>
      <c r="E5" s="18">
        <v>62.5</v>
      </c>
      <c r="F5" s="19">
        <v>1.7649999999999999</v>
      </c>
      <c r="G5" s="20">
        <f>IF(F5="","",F5*12)</f>
        <v>21.18</v>
      </c>
    </row>
    <row r="6" spans="1:11" x14ac:dyDescent="0.25">
      <c r="A6" s="18">
        <f>A5+1</f>
        <v>2</v>
      </c>
      <c r="B6" s="17" t="s">
        <v>9</v>
      </c>
      <c r="C6" s="17" t="s">
        <v>25</v>
      </c>
      <c r="D6" s="18" t="s">
        <v>8</v>
      </c>
      <c r="E6" s="18"/>
      <c r="F6" s="21">
        <v>3.32E-3</v>
      </c>
      <c r="G6" s="22">
        <f>IF(F6="","",F6*12)</f>
        <v>3.984E-2</v>
      </c>
    </row>
    <row r="7" spans="1:11" x14ac:dyDescent="0.25">
      <c r="A7" s="18">
        <v>3</v>
      </c>
      <c r="B7" s="17" t="s">
        <v>26</v>
      </c>
      <c r="C7" s="17" t="s">
        <v>27</v>
      </c>
      <c r="D7" s="18" t="s">
        <v>8</v>
      </c>
      <c r="E7" s="18"/>
      <c r="F7" s="35">
        <v>1</v>
      </c>
      <c r="G7" s="23">
        <f>IF(F7="","",F7*12)</f>
        <v>12</v>
      </c>
    </row>
    <row r="8" spans="1:11" x14ac:dyDescent="0.25">
      <c r="A8" s="18">
        <v>4</v>
      </c>
      <c r="B8" s="24" t="s">
        <v>19</v>
      </c>
      <c r="C8" s="24" t="s">
        <v>20</v>
      </c>
      <c r="D8" s="18" t="s">
        <v>21</v>
      </c>
      <c r="E8" s="18"/>
      <c r="F8" s="19">
        <f>0.653/5</f>
        <v>0.13059999999999999</v>
      </c>
      <c r="G8" s="20">
        <f>IF(F8="","",F8*12)</f>
        <v>1.5671999999999999</v>
      </c>
    </row>
    <row r="9" spans="1:11" x14ac:dyDescent="0.25">
      <c r="A9" s="18">
        <v>5</v>
      </c>
      <c r="B9" s="24" t="s">
        <v>18</v>
      </c>
      <c r="C9" s="30"/>
      <c r="D9" s="18"/>
      <c r="E9" s="18"/>
      <c r="F9" s="35">
        <f>1/60</f>
        <v>1.6666666666666666E-2</v>
      </c>
      <c r="G9" s="23">
        <f>IF(F9="","",F9*12)</f>
        <v>0.2</v>
      </c>
    </row>
    <row r="10" spans="1:11" x14ac:dyDescent="0.25">
      <c r="A10" s="47" t="s">
        <v>10</v>
      </c>
      <c r="B10" s="48"/>
      <c r="C10" s="48"/>
      <c r="D10" s="48"/>
      <c r="E10" s="48"/>
      <c r="F10" s="48"/>
      <c r="G10" s="49"/>
    </row>
    <row r="11" spans="1:11" x14ac:dyDescent="0.25">
      <c r="A11" s="50" t="s">
        <v>11</v>
      </c>
      <c r="B11" s="51"/>
      <c r="C11" s="50" t="s">
        <v>12</v>
      </c>
      <c r="D11" s="67"/>
      <c r="E11" s="67"/>
      <c r="F11" s="67"/>
      <c r="G11" s="51"/>
    </row>
    <row r="12" spans="1:11" x14ac:dyDescent="0.25">
      <c r="A12" s="54" t="s">
        <v>35</v>
      </c>
      <c r="B12" s="55"/>
      <c r="C12" s="56">
        <f>(1.62*12)/60</f>
        <v>0.32400000000000001</v>
      </c>
      <c r="D12" s="57"/>
      <c r="E12" s="57"/>
      <c r="F12" s="57"/>
      <c r="G12" s="58"/>
    </row>
    <row r="13" spans="1:11" x14ac:dyDescent="0.25">
      <c r="A13" s="59"/>
      <c r="B13" s="60"/>
      <c r="C13" s="59"/>
      <c r="D13" s="61"/>
      <c r="E13" s="61"/>
      <c r="F13" s="61"/>
      <c r="G13" s="60"/>
    </row>
    <row r="14" spans="1:11" x14ac:dyDescent="0.25">
      <c r="A14" s="62"/>
      <c r="B14" s="63"/>
      <c r="C14" s="62"/>
      <c r="D14" s="64"/>
      <c r="E14" s="64"/>
      <c r="F14" s="64"/>
      <c r="G14" s="63"/>
    </row>
    <row r="15" spans="1:11" x14ac:dyDescent="0.25">
      <c r="A15" s="47" t="s">
        <v>13</v>
      </c>
      <c r="B15" s="48"/>
      <c r="C15" s="48"/>
      <c r="D15" s="48"/>
      <c r="E15" s="48"/>
      <c r="F15" s="48"/>
      <c r="G15" s="49"/>
    </row>
    <row r="16" spans="1:11" x14ac:dyDescent="0.25">
      <c r="A16" s="14" t="s">
        <v>0</v>
      </c>
      <c r="B16" s="15" t="s">
        <v>1</v>
      </c>
      <c r="C16" s="50" t="s">
        <v>14</v>
      </c>
      <c r="D16" s="51"/>
      <c r="E16" s="14" t="s">
        <v>15</v>
      </c>
      <c r="F16" s="14" t="s">
        <v>16</v>
      </c>
      <c r="G16" s="14" t="s">
        <v>17</v>
      </c>
      <c r="K16" s="68"/>
    </row>
    <row r="17" spans="1:8" ht="12.75" customHeight="1" x14ac:dyDescent="0.25">
      <c r="A17" s="25">
        <f t="shared" ref="A17:B21" si="0">IF(A5="","",A5)</f>
        <v>1</v>
      </c>
      <c r="B17" s="17" t="str">
        <f t="shared" si="0"/>
        <v>Fabric</v>
      </c>
      <c r="C17" s="42">
        <f>IF(G5="","",G5)</f>
        <v>21.18</v>
      </c>
      <c r="D17" s="43"/>
      <c r="E17" s="18" t="str">
        <f t="shared" ref="E17:E22" si="1">IF(D5="","",D5)</f>
        <v>White</v>
      </c>
      <c r="F17" s="28">
        <v>1.655</v>
      </c>
      <c r="G17" s="28">
        <f t="shared" ref="G17:G22" si="2">IF(F17="","",C17*F17)</f>
        <v>35.052900000000001</v>
      </c>
    </row>
    <row r="18" spans="1:8" x14ac:dyDescent="0.25">
      <c r="A18" s="25">
        <f t="shared" si="0"/>
        <v>2</v>
      </c>
      <c r="B18" s="17" t="str">
        <f t="shared" si="0"/>
        <v xml:space="preserve">Thread </v>
      </c>
      <c r="C18" s="52">
        <f>IF(G6="","",G6)</f>
        <v>3.984E-2</v>
      </c>
      <c r="D18" s="53"/>
      <c r="E18" s="18" t="str">
        <f t="shared" si="1"/>
        <v>White</v>
      </c>
      <c r="F18" s="26">
        <v>3</v>
      </c>
      <c r="G18" s="26">
        <f t="shared" si="2"/>
        <v>0.11952</v>
      </c>
    </row>
    <row r="19" spans="1:8" x14ac:dyDescent="0.25">
      <c r="A19" s="25">
        <f t="shared" si="0"/>
        <v>3</v>
      </c>
      <c r="B19" s="17" t="str">
        <f t="shared" si="0"/>
        <v>Label</v>
      </c>
      <c r="C19" s="44">
        <f>IF(G7="","",G7)</f>
        <v>12</v>
      </c>
      <c r="D19" s="45"/>
      <c r="E19" s="18" t="str">
        <f t="shared" si="1"/>
        <v>White</v>
      </c>
      <c r="F19" s="29">
        <v>0.05</v>
      </c>
      <c r="G19" s="28">
        <f>IF(F19="","",C19*F19)</f>
        <v>0.60000000000000009</v>
      </c>
    </row>
    <row r="20" spans="1:8" x14ac:dyDescent="0.25">
      <c r="A20" s="25">
        <f t="shared" si="0"/>
        <v>4</v>
      </c>
      <c r="B20" s="17" t="str">
        <f t="shared" si="0"/>
        <v>Polybage</v>
      </c>
      <c r="C20" s="42">
        <f>IF(G8="","",G8)</f>
        <v>1.5671999999999999</v>
      </c>
      <c r="D20" s="43"/>
      <c r="E20" s="18" t="str">
        <f t="shared" si="1"/>
        <v>Clear</v>
      </c>
      <c r="F20" s="31">
        <v>0.05</v>
      </c>
      <c r="G20" s="26">
        <f t="shared" si="2"/>
        <v>7.8359999999999999E-2</v>
      </c>
    </row>
    <row r="21" spans="1:8" x14ac:dyDescent="0.25">
      <c r="A21" s="25">
        <f t="shared" si="0"/>
        <v>5</v>
      </c>
      <c r="B21" s="17" t="str">
        <f t="shared" si="0"/>
        <v>Carton</v>
      </c>
      <c r="C21" s="44">
        <f>IF(G9="","",G9)</f>
        <v>0.2</v>
      </c>
      <c r="D21" s="45"/>
      <c r="E21" s="18" t="str">
        <f t="shared" si="1"/>
        <v/>
      </c>
      <c r="F21" s="31">
        <v>0.99</v>
      </c>
      <c r="G21" s="26">
        <f t="shared" si="2"/>
        <v>0.19800000000000001</v>
      </c>
    </row>
    <row r="22" spans="1:8" x14ac:dyDescent="0.25">
      <c r="A22" s="18">
        <v>7</v>
      </c>
      <c r="B22" s="27" t="s">
        <v>22</v>
      </c>
      <c r="C22" s="46">
        <f>IF(C12="","",C12)</f>
        <v>0.32400000000000001</v>
      </c>
      <c r="D22" s="46"/>
      <c r="E22" s="18" t="str">
        <f t="shared" si="1"/>
        <v/>
      </c>
      <c r="F22" s="31">
        <v>7.68</v>
      </c>
      <c r="G22" s="26">
        <f t="shared" si="2"/>
        <v>2.4883199999999999</v>
      </c>
    </row>
    <row r="23" spans="1:8" x14ac:dyDescent="0.25">
      <c r="A23" s="6"/>
      <c r="G23" s="13"/>
    </row>
    <row r="24" spans="1:8" x14ac:dyDescent="0.25">
      <c r="A24" s="6"/>
      <c r="F24" s="32" t="s">
        <v>23</v>
      </c>
      <c r="G24" s="33">
        <f>SUM(G17:G22)</f>
        <v>38.537100000000009</v>
      </c>
    </row>
    <row r="25" spans="1:8" x14ac:dyDescent="0.25">
      <c r="A25" s="6"/>
      <c r="F25" s="32" t="s">
        <v>24</v>
      </c>
      <c r="G25" s="34">
        <f>(G24/12)</f>
        <v>3.2114250000000006</v>
      </c>
    </row>
    <row r="26" spans="1:8" x14ac:dyDescent="0.25">
      <c r="A26" s="6"/>
      <c r="F26" s="39" t="s">
        <v>37</v>
      </c>
      <c r="G26" s="33">
        <f>G25/0.9</f>
        <v>3.5682500000000008</v>
      </c>
    </row>
    <row r="27" spans="1:8" x14ac:dyDescent="0.25">
      <c r="A27" s="6"/>
      <c r="F27" s="39" t="s">
        <v>31</v>
      </c>
      <c r="G27" s="33">
        <f>15000/(1170*42)</f>
        <v>0.30525030525030528</v>
      </c>
    </row>
    <row r="28" spans="1:8" x14ac:dyDescent="0.25">
      <c r="A28" s="6"/>
      <c r="F28" s="39" t="s">
        <v>32</v>
      </c>
      <c r="G28" s="41">
        <f>G25*(0.115+0.1)</f>
        <v>0.69045637500000023</v>
      </c>
    </row>
    <row r="29" spans="1:8" x14ac:dyDescent="0.25">
      <c r="A29" s="6"/>
      <c r="E29">
        <v>4.5599999999999996</v>
      </c>
      <c r="F29" s="39" t="s">
        <v>36</v>
      </c>
      <c r="G29" s="40">
        <f>G26+G27+G28</f>
        <v>4.563956680250306</v>
      </c>
      <c r="H29" s="39"/>
    </row>
    <row r="30" spans="1:8" x14ac:dyDescent="0.25">
      <c r="A30" s="6"/>
      <c r="F30" t="s">
        <v>29</v>
      </c>
      <c r="G30" s="36">
        <f>(G26-G25)/G26</f>
        <v>0.10000000000000002</v>
      </c>
    </row>
    <row r="31" spans="1:8" x14ac:dyDescent="0.25">
      <c r="A31" s="6"/>
      <c r="G31" s="13"/>
    </row>
    <row r="32" spans="1:8" ht="13.8" x14ac:dyDescent="0.25">
      <c r="A32" s="1" t="s">
        <v>39</v>
      </c>
      <c r="B32" s="2"/>
      <c r="C32" s="3"/>
      <c r="D32" s="65" t="s">
        <v>34</v>
      </c>
      <c r="E32" s="65"/>
      <c r="F32" s="3"/>
      <c r="G32" s="4"/>
    </row>
    <row r="33" spans="1:7" x14ac:dyDescent="0.25">
      <c r="A33" s="6"/>
      <c r="C33" s="66" t="s">
        <v>30</v>
      </c>
      <c r="D33" s="66"/>
      <c r="E33" s="66"/>
      <c r="F33" s="66"/>
      <c r="G33" s="7"/>
    </row>
    <row r="34" spans="1:7" x14ac:dyDescent="0.25">
      <c r="A34" s="8"/>
      <c r="B34" s="9"/>
      <c r="C34" s="10" t="s">
        <v>28</v>
      </c>
      <c r="D34" s="11"/>
      <c r="E34" s="11"/>
      <c r="F34" s="11"/>
      <c r="G34" s="12"/>
    </row>
    <row r="35" spans="1:7" x14ac:dyDescent="0.25">
      <c r="A35" s="14" t="s">
        <v>0</v>
      </c>
      <c r="B35" s="15" t="s">
        <v>1</v>
      </c>
      <c r="C35" s="15" t="s">
        <v>2</v>
      </c>
      <c r="D35" s="14" t="s">
        <v>3</v>
      </c>
      <c r="E35" s="14" t="s">
        <v>4</v>
      </c>
      <c r="F35" s="14" t="s">
        <v>5</v>
      </c>
      <c r="G35" s="14" t="s">
        <v>6</v>
      </c>
    </row>
    <row r="36" spans="1:7" x14ac:dyDescent="0.25">
      <c r="A36" s="16">
        <v>1</v>
      </c>
      <c r="B36" s="17" t="s">
        <v>7</v>
      </c>
      <c r="C36" s="38" t="s">
        <v>42</v>
      </c>
      <c r="D36" s="37" t="s">
        <v>33</v>
      </c>
      <c r="E36" s="18">
        <v>62.5</v>
      </c>
      <c r="F36" s="19">
        <v>1.7649999999999999</v>
      </c>
      <c r="G36" s="20">
        <f>IF(F36="","",F36*12)</f>
        <v>21.18</v>
      </c>
    </row>
    <row r="37" spans="1:7" x14ac:dyDescent="0.25">
      <c r="A37" s="18">
        <f>A36+1</f>
        <v>2</v>
      </c>
      <c r="B37" s="17" t="s">
        <v>9</v>
      </c>
      <c r="C37" s="17" t="s">
        <v>25</v>
      </c>
      <c r="D37" s="37" t="s">
        <v>33</v>
      </c>
      <c r="E37" s="18"/>
      <c r="F37" s="21">
        <v>3.32E-3</v>
      </c>
      <c r="G37" s="22">
        <f>IF(F37="","",F37*12)</f>
        <v>3.984E-2</v>
      </c>
    </row>
    <row r="38" spans="1:7" x14ac:dyDescent="0.25">
      <c r="A38" s="18">
        <v>3</v>
      </c>
      <c r="B38" s="17" t="s">
        <v>26</v>
      </c>
      <c r="C38" s="17" t="s">
        <v>27</v>
      </c>
      <c r="D38" s="18" t="s">
        <v>8</v>
      </c>
      <c r="E38" s="18"/>
      <c r="F38" s="35">
        <v>1</v>
      </c>
      <c r="G38" s="23">
        <f>IF(F38="","",F38*12)</f>
        <v>12</v>
      </c>
    </row>
    <row r="39" spans="1:7" x14ac:dyDescent="0.25">
      <c r="A39" s="18">
        <v>4</v>
      </c>
      <c r="B39" s="24" t="s">
        <v>19</v>
      </c>
      <c r="C39" s="24" t="s">
        <v>20</v>
      </c>
      <c r="D39" s="18" t="s">
        <v>21</v>
      </c>
      <c r="E39" s="18"/>
      <c r="F39" s="19">
        <f>0.653/5</f>
        <v>0.13059999999999999</v>
      </c>
      <c r="G39" s="20">
        <f>IF(F39="","",F39*12)</f>
        <v>1.5671999999999999</v>
      </c>
    </row>
    <row r="40" spans="1:7" x14ac:dyDescent="0.25">
      <c r="A40" s="18">
        <v>5</v>
      </c>
      <c r="B40" s="24" t="s">
        <v>18</v>
      </c>
      <c r="C40" s="30"/>
      <c r="D40" s="18"/>
      <c r="E40" s="18"/>
      <c r="F40" s="35">
        <f>1/60</f>
        <v>1.6666666666666666E-2</v>
      </c>
      <c r="G40" s="23">
        <f>IF(F40="","",F40*12)</f>
        <v>0.2</v>
      </c>
    </row>
    <row r="41" spans="1:7" x14ac:dyDescent="0.25">
      <c r="A41" s="47" t="s">
        <v>10</v>
      </c>
      <c r="B41" s="48"/>
      <c r="C41" s="48"/>
      <c r="D41" s="48"/>
      <c r="E41" s="48"/>
      <c r="F41" s="48"/>
      <c r="G41" s="49"/>
    </row>
    <row r="42" spans="1:7" x14ac:dyDescent="0.25">
      <c r="A42" s="50" t="s">
        <v>11</v>
      </c>
      <c r="B42" s="51"/>
      <c r="C42" s="50" t="s">
        <v>12</v>
      </c>
      <c r="D42" s="67"/>
      <c r="E42" s="67"/>
      <c r="F42" s="67"/>
      <c r="G42" s="51"/>
    </row>
    <row r="43" spans="1:7" x14ac:dyDescent="0.25">
      <c r="A43" s="54" t="s">
        <v>35</v>
      </c>
      <c r="B43" s="55"/>
      <c r="C43" s="56">
        <f>(1.62*12)/60</f>
        <v>0.32400000000000001</v>
      </c>
      <c r="D43" s="57"/>
      <c r="E43" s="57"/>
      <c r="F43" s="57"/>
      <c r="G43" s="58"/>
    </row>
    <row r="44" spans="1:7" x14ac:dyDescent="0.25">
      <c r="A44" s="59"/>
      <c r="B44" s="60"/>
      <c r="C44" s="59"/>
      <c r="D44" s="61"/>
      <c r="E44" s="61"/>
      <c r="F44" s="61"/>
      <c r="G44" s="60"/>
    </row>
    <row r="45" spans="1:7" x14ac:dyDescent="0.25">
      <c r="A45" s="62"/>
      <c r="B45" s="63"/>
      <c r="C45" s="62"/>
      <c r="D45" s="64"/>
      <c r="E45" s="64"/>
      <c r="F45" s="64"/>
      <c r="G45" s="63"/>
    </row>
    <row r="46" spans="1:7" x14ac:dyDescent="0.25">
      <c r="A46" s="47" t="s">
        <v>13</v>
      </c>
      <c r="B46" s="48"/>
      <c r="C46" s="48"/>
      <c r="D46" s="48"/>
      <c r="E46" s="48"/>
      <c r="F46" s="48"/>
      <c r="G46" s="49"/>
    </row>
    <row r="47" spans="1:7" x14ac:dyDescent="0.25">
      <c r="A47" s="14" t="s">
        <v>0</v>
      </c>
      <c r="B47" s="15" t="s">
        <v>1</v>
      </c>
      <c r="C47" s="50" t="s">
        <v>14</v>
      </c>
      <c r="D47" s="51"/>
      <c r="E47" s="14" t="s">
        <v>15</v>
      </c>
      <c r="F47" s="14" t="s">
        <v>16</v>
      </c>
      <c r="G47" s="14" t="s">
        <v>17</v>
      </c>
    </row>
    <row r="48" spans="1:7" x14ac:dyDescent="0.25">
      <c r="A48" s="25">
        <f t="shared" ref="A48:B52" si="3">IF(A36="","",A36)</f>
        <v>1</v>
      </c>
      <c r="B48" s="17" t="str">
        <f t="shared" si="3"/>
        <v>Fabric</v>
      </c>
      <c r="C48" s="42">
        <f>IF(G36="","",G36)</f>
        <v>21.18</v>
      </c>
      <c r="D48" s="43"/>
      <c r="E48" s="18" t="str">
        <f t="shared" ref="E48:E53" si="4">IF(D36="","",D36)</f>
        <v>BLK</v>
      </c>
      <c r="F48" s="28">
        <v>1.7949999999999999</v>
      </c>
      <c r="G48" s="28">
        <f t="shared" ref="G48:G53" si="5">IF(F48="","",C48*F48)</f>
        <v>38.018099999999997</v>
      </c>
    </row>
    <row r="49" spans="1:8" x14ac:dyDescent="0.25">
      <c r="A49" s="25">
        <f t="shared" si="3"/>
        <v>2</v>
      </c>
      <c r="B49" s="17" t="str">
        <f t="shared" si="3"/>
        <v xml:space="preserve">Thread </v>
      </c>
      <c r="C49" s="52">
        <f>IF(G37="","",G37)</f>
        <v>3.984E-2</v>
      </c>
      <c r="D49" s="53"/>
      <c r="E49" s="18" t="str">
        <f t="shared" si="4"/>
        <v>BLK</v>
      </c>
      <c r="F49" s="26">
        <v>4</v>
      </c>
      <c r="G49" s="26">
        <f t="shared" si="5"/>
        <v>0.15936</v>
      </c>
    </row>
    <row r="50" spans="1:8" x14ac:dyDescent="0.25">
      <c r="A50" s="25">
        <f t="shared" si="3"/>
        <v>3</v>
      </c>
      <c r="B50" s="17" t="str">
        <f t="shared" si="3"/>
        <v>Label</v>
      </c>
      <c r="C50" s="44">
        <f>IF(G38="","",G38)</f>
        <v>12</v>
      </c>
      <c r="D50" s="45"/>
      <c r="E50" s="18" t="str">
        <f t="shared" si="4"/>
        <v>White</v>
      </c>
      <c r="F50" s="29">
        <v>0.05</v>
      </c>
      <c r="G50" s="28">
        <f t="shared" si="5"/>
        <v>0.60000000000000009</v>
      </c>
    </row>
    <row r="51" spans="1:8" x14ac:dyDescent="0.25">
      <c r="A51" s="25">
        <f t="shared" si="3"/>
        <v>4</v>
      </c>
      <c r="B51" s="17" t="str">
        <f t="shared" si="3"/>
        <v>Polybage</v>
      </c>
      <c r="C51" s="42">
        <f>IF(G39="","",G39)</f>
        <v>1.5671999999999999</v>
      </c>
      <c r="D51" s="43"/>
      <c r="E51" s="18" t="str">
        <f t="shared" si="4"/>
        <v>Clear</v>
      </c>
      <c r="F51" s="31">
        <v>0.05</v>
      </c>
      <c r="G51" s="26">
        <f t="shared" si="5"/>
        <v>7.8359999999999999E-2</v>
      </c>
    </row>
    <row r="52" spans="1:8" ht="12" customHeight="1" x14ac:dyDescent="0.25">
      <c r="A52" s="25">
        <f t="shared" si="3"/>
        <v>5</v>
      </c>
      <c r="B52" s="17" t="str">
        <f t="shared" si="3"/>
        <v>Carton</v>
      </c>
      <c r="C52" s="44">
        <f>IF(G40="","",G40)</f>
        <v>0.2</v>
      </c>
      <c r="D52" s="45"/>
      <c r="E52" s="18" t="str">
        <f t="shared" si="4"/>
        <v/>
      </c>
      <c r="F52" s="31">
        <v>0.99</v>
      </c>
      <c r="G52" s="26">
        <f t="shared" si="5"/>
        <v>0.19800000000000001</v>
      </c>
    </row>
    <row r="53" spans="1:8" x14ac:dyDescent="0.25">
      <c r="A53" s="18">
        <v>7</v>
      </c>
      <c r="B53" s="27" t="s">
        <v>22</v>
      </c>
      <c r="C53" s="46">
        <f>IF(C43="","",C43)</f>
        <v>0.32400000000000001</v>
      </c>
      <c r="D53" s="46"/>
      <c r="E53" s="18" t="str">
        <f t="shared" si="4"/>
        <v/>
      </c>
      <c r="F53" s="31">
        <v>7.68</v>
      </c>
      <c r="G53" s="26">
        <f t="shared" si="5"/>
        <v>2.4883199999999999</v>
      </c>
    </row>
    <row r="54" spans="1:8" ht="12" customHeight="1" x14ac:dyDescent="0.25">
      <c r="A54" s="6"/>
      <c r="G54" s="13"/>
    </row>
    <row r="55" spans="1:8" x14ac:dyDescent="0.25">
      <c r="A55" s="6"/>
      <c r="F55" s="32" t="s">
        <v>23</v>
      </c>
      <c r="G55" s="33">
        <f>SUM(G48:G53)</f>
        <v>41.542140000000003</v>
      </c>
    </row>
    <row r="56" spans="1:8" x14ac:dyDescent="0.25">
      <c r="A56" s="6"/>
      <c r="F56" s="32" t="s">
        <v>24</v>
      </c>
      <c r="G56" s="34">
        <f>(G55/12)</f>
        <v>3.4618450000000003</v>
      </c>
    </row>
    <row r="57" spans="1:8" x14ac:dyDescent="0.25">
      <c r="A57" s="6"/>
      <c r="F57" s="39" t="s">
        <v>37</v>
      </c>
      <c r="G57" s="33">
        <f>G56/0.859</f>
        <v>4.0300873108265431</v>
      </c>
    </row>
    <row r="58" spans="1:8" x14ac:dyDescent="0.25">
      <c r="A58" s="6"/>
      <c r="F58" s="39" t="s">
        <v>31</v>
      </c>
      <c r="G58" s="33">
        <f>15000/(1170*42)</f>
        <v>0.30525030525030528</v>
      </c>
    </row>
    <row r="59" spans="1:8" x14ac:dyDescent="0.25">
      <c r="A59" s="6"/>
      <c r="F59" s="39" t="s">
        <v>32</v>
      </c>
      <c r="G59" s="41">
        <f>G56*(0.115+0.1)</f>
        <v>0.74429667500000019</v>
      </c>
    </row>
    <row r="60" spans="1:8" x14ac:dyDescent="0.25">
      <c r="A60" s="6"/>
      <c r="F60" s="39" t="s">
        <v>36</v>
      </c>
      <c r="G60" s="40">
        <f>G57+G58+G59</f>
        <v>5.0796342910768484</v>
      </c>
      <c r="H60">
        <f>5.08*12</f>
        <v>60.96</v>
      </c>
    </row>
    <row r="61" spans="1:8" x14ac:dyDescent="0.25">
      <c r="A61" s="6"/>
      <c r="F61" t="s">
        <v>29</v>
      </c>
      <c r="G61" s="36">
        <f>(G57-G56)/G57</f>
        <v>0.14100000000000007</v>
      </c>
    </row>
    <row r="63" spans="1:8" ht="13.8" x14ac:dyDescent="0.25">
      <c r="A63" s="1" t="s">
        <v>39</v>
      </c>
      <c r="B63" s="2"/>
      <c r="C63" s="3"/>
      <c r="D63" s="65" t="s">
        <v>34</v>
      </c>
      <c r="E63" s="65"/>
      <c r="F63" s="3"/>
      <c r="G63" s="4"/>
    </row>
    <row r="64" spans="1:8" x14ac:dyDescent="0.25">
      <c r="A64" s="6"/>
      <c r="C64" s="66" t="s">
        <v>30</v>
      </c>
      <c r="D64" s="66"/>
      <c r="E64" s="66"/>
      <c r="F64" s="66"/>
      <c r="G64" s="7"/>
    </row>
    <row r="65" spans="1:7" x14ac:dyDescent="0.25">
      <c r="A65" s="8"/>
      <c r="B65" s="9"/>
      <c r="C65" s="10" t="s">
        <v>28</v>
      </c>
      <c r="D65" s="11"/>
      <c r="E65" s="11"/>
      <c r="F65" s="11"/>
      <c r="G65" s="12"/>
    </row>
    <row r="66" spans="1:7" x14ac:dyDescent="0.25">
      <c r="A66" s="14" t="s">
        <v>0</v>
      </c>
      <c r="B66" s="15" t="s">
        <v>1</v>
      </c>
      <c r="C66" s="15" t="s">
        <v>2</v>
      </c>
      <c r="D66" s="14" t="s">
        <v>3</v>
      </c>
      <c r="E66" s="14" t="s">
        <v>4</v>
      </c>
      <c r="F66" s="14" t="s">
        <v>5</v>
      </c>
      <c r="G66" s="14" t="s">
        <v>6</v>
      </c>
    </row>
    <row r="67" spans="1:7" x14ac:dyDescent="0.25">
      <c r="A67" s="16">
        <v>1</v>
      </c>
      <c r="B67" s="17" t="s">
        <v>7</v>
      </c>
      <c r="C67" s="38" t="s">
        <v>38</v>
      </c>
      <c r="D67" s="37" t="s">
        <v>40</v>
      </c>
      <c r="E67" s="18">
        <v>62.5</v>
      </c>
      <c r="F67" s="19">
        <v>1.75</v>
      </c>
      <c r="G67" s="20">
        <f>IF(F67="","",F67*12)</f>
        <v>21</v>
      </c>
    </row>
    <row r="68" spans="1:7" x14ac:dyDescent="0.25">
      <c r="A68" s="18">
        <f>A67+1</f>
        <v>2</v>
      </c>
      <c r="B68" s="17" t="s">
        <v>9</v>
      </c>
      <c r="C68" s="17" t="s">
        <v>25</v>
      </c>
      <c r="D68" s="37" t="s">
        <v>41</v>
      </c>
      <c r="E68" s="18"/>
      <c r="F68" s="21">
        <v>3.32E-3</v>
      </c>
      <c r="G68" s="22">
        <f>IF(F68="","",F68*12)</f>
        <v>3.984E-2</v>
      </c>
    </row>
    <row r="69" spans="1:7" x14ac:dyDescent="0.25">
      <c r="A69" s="18">
        <v>3</v>
      </c>
      <c r="B69" s="17" t="s">
        <v>26</v>
      </c>
      <c r="C69" s="17" t="s">
        <v>27</v>
      </c>
      <c r="D69" s="18" t="s">
        <v>8</v>
      </c>
      <c r="E69" s="18"/>
      <c r="F69" s="35">
        <v>1</v>
      </c>
      <c r="G69" s="23">
        <f>IF(F69="","",F69*12)</f>
        <v>12</v>
      </c>
    </row>
    <row r="70" spans="1:7" x14ac:dyDescent="0.25">
      <c r="A70" s="18">
        <v>4</v>
      </c>
      <c r="B70" s="24" t="s">
        <v>19</v>
      </c>
      <c r="C70" s="24" t="s">
        <v>20</v>
      </c>
      <c r="D70" s="18" t="s">
        <v>21</v>
      </c>
      <c r="E70" s="18"/>
      <c r="F70" s="19">
        <f>0.653/5</f>
        <v>0.13059999999999999</v>
      </c>
      <c r="G70" s="20">
        <f>IF(F70="","",F70*12)</f>
        <v>1.5671999999999999</v>
      </c>
    </row>
    <row r="71" spans="1:7" x14ac:dyDescent="0.25">
      <c r="A71" s="18">
        <v>5</v>
      </c>
      <c r="B71" s="24" t="s">
        <v>18</v>
      </c>
      <c r="C71" s="30"/>
      <c r="D71" s="18"/>
      <c r="E71" s="18"/>
      <c r="F71" s="35">
        <f>1/60</f>
        <v>1.6666666666666666E-2</v>
      </c>
      <c r="G71" s="23">
        <f>IF(F71="","",F71*12)</f>
        <v>0.2</v>
      </c>
    </row>
    <row r="72" spans="1:7" x14ac:dyDescent="0.25">
      <c r="A72" s="47" t="s">
        <v>10</v>
      </c>
      <c r="B72" s="48"/>
      <c r="C72" s="48"/>
      <c r="D72" s="48"/>
      <c r="E72" s="48"/>
      <c r="F72" s="48"/>
      <c r="G72" s="49"/>
    </row>
    <row r="73" spans="1:7" x14ac:dyDescent="0.25">
      <c r="A73" s="50" t="s">
        <v>11</v>
      </c>
      <c r="B73" s="51"/>
      <c r="C73" s="50" t="s">
        <v>12</v>
      </c>
      <c r="D73" s="67"/>
      <c r="E73" s="67"/>
      <c r="F73" s="67"/>
      <c r="G73" s="51"/>
    </row>
    <row r="74" spans="1:7" x14ac:dyDescent="0.25">
      <c r="A74" s="54" t="s">
        <v>35</v>
      </c>
      <c r="B74" s="55"/>
      <c r="C74" s="56">
        <f>(1.8*12)/60</f>
        <v>0.36000000000000004</v>
      </c>
      <c r="D74" s="57"/>
      <c r="E74" s="57"/>
      <c r="F74" s="57"/>
      <c r="G74" s="58"/>
    </row>
    <row r="75" spans="1:7" x14ac:dyDescent="0.25">
      <c r="A75" s="59"/>
      <c r="B75" s="60"/>
      <c r="C75" s="59"/>
      <c r="D75" s="61"/>
      <c r="E75" s="61"/>
      <c r="F75" s="61"/>
      <c r="G75" s="60"/>
    </row>
    <row r="76" spans="1:7" x14ac:dyDescent="0.25">
      <c r="A76" s="62"/>
      <c r="B76" s="63"/>
      <c r="C76" s="62"/>
      <c r="D76" s="64"/>
      <c r="E76" s="64"/>
      <c r="F76" s="64"/>
      <c r="G76" s="63"/>
    </row>
    <row r="77" spans="1:7" x14ac:dyDescent="0.25">
      <c r="A77" s="47" t="s">
        <v>13</v>
      </c>
      <c r="B77" s="48"/>
      <c r="C77" s="48"/>
      <c r="D77" s="48"/>
      <c r="E77" s="48"/>
      <c r="F77" s="48"/>
      <c r="G77" s="49"/>
    </row>
    <row r="78" spans="1:7" x14ac:dyDescent="0.25">
      <c r="A78" s="14" t="s">
        <v>0</v>
      </c>
      <c r="B78" s="15" t="s">
        <v>1</v>
      </c>
      <c r="C78" s="50" t="s">
        <v>14</v>
      </c>
      <c r="D78" s="51"/>
      <c r="E78" s="14" t="s">
        <v>15</v>
      </c>
      <c r="F78" s="14" t="s">
        <v>16</v>
      </c>
      <c r="G78" s="14" t="s">
        <v>17</v>
      </c>
    </row>
    <row r="79" spans="1:7" x14ac:dyDescent="0.25">
      <c r="A79" s="25">
        <f t="shared" ref="A79:B79" si="6">IF(A67="","",A67)</f>
        <v>1</v>
      </c>
      <c r="B79" s="17" t="str">
        <f t="shared" si="6"/>
        <v>Fabric</v>
      </c>
      <c r="C79" s="42">
        <f>IF(G67="","",G67)</f>
        <v>21</v>
      </c>
      <c r="D79" s="43"/>
      <c r="E79" s="18" t="str">
        <f t="shared" ref="E79:E84" si="7">IF(D67="","",D67)</f>
        <v>LT MD</v>
      </c>
      <c r="F79" s="28">
        <v>1.7150000000000001</v>
      </c>
      <c r="G79" s="28">
        <f t="shared" ref="G79:G84" si="8">IF(F79="","",C79*F79)</f>
        <v>36.015000000000001</v>
      </c>
    </row>
    <row r="80" spans="1:7" x14ac:dyDescent="0.25">
      <c r="A80" s="25">
        <f t="shared" ref="A80:B80" si="9">IF(A68="","",A68)</f>
        <v>2</v>
      </c>
      <c r="B80" s="17" t="str">
        <f t="shared" si="9"/>
        <v xml:space="preserve">Thread </v>
      </c>
      <c r="C80" s="52">
        <f>IF(G68="","",G68)</f>
        <v>3.984E-2</v>
      </c>
      <c r="D80" s="53"/>
      <c r="E80" s="18" t="str">
        <f t="shared" si="7"/>
        <v>LTMD</v>
      </c>
      <c r="F80" s="26">
        <v>4</v>
      </c>
      <c r="G80" s="26">
        <f t="shared" si="8"/>
        <v>0.15936</v>
      </c>
    </row>
    <row r="81" spans="1:8" x14ac:dyDescent="0.25">
      <c r="A81" s="25">
        <f t="shared" ref="A81:B81" si="10">IF(A69="","",A69)</f>
        <v>3</v>
      </c>
      <c r="B81" s="17" t="str">
        <f t="shared" si="10"/>
        <v>Label</v>
      </c>
      <c r="C81" s="44">
        <f>IF(G69="","",G69)</f>
        <v>12</v>
      </c>
      <c r="D81" s="45"/>
      <c r="E81" s="18" t="str">
        <f t="shared" si="7"/>
        <v>White</v>
      </c>
      <c r="F81" s="29">
        <v>0.01</v>
      </c>
      <c r="G81" s="28">
        <f t="shared" si="8"/>
        <v>0.12</v>
      </c>
    </row>
    <row r="82" spans="1:8" x14ac:dyDescent="0.25">
      <c r="A82" s="25">
        <f t="shared" ref="A82:B82" si="11">IF(A70="","",A70)</f>
        <v>4</v>
      </c>
      <c r="B82" s="17" t="str">
        <f t="shared" si="11"/>
        <v>Polybage</v>
      </c>
      <c r="C82" s="42">
        <f>IF(G70="","",G70)</f>
        <v>1.5671999999999999</v>
      </c>
      <c r="D82" s="43"/>
      <c r="E82" s="18" t="str">
        <f t="shared" si="7"/>
        <v>Clear</v>
      </c>
      <c r="F82" s="31">
        <v>0.05</v>
      </c>
      <c r="G82" s="26">
        <f t="shared" si="8"/>
        <v>7.8359999999999999E-2</v>
      </c>
    </row>
    <row r="83" spans="1:8" x14ac:dyDescent="0.25">
      <c r="A83" s="25">
        <f t="shared" ref="A83:B83" si="12">IF(A71="","",A71)</f>
        <v>5</v>
      </c>
      <c r="B83" s="17" t="str">
        <f t="shared" si="12"/>
        <v>Carton</v>
      </c>
      <c r="C83" s="44">
        <f>IF(G71="","",G71)</f>
        <v>0.2</v>
      </c>
      <c r="D83" s="45"/>
      <c r="E83" s="18" t="str">
        <f t="shared" si="7"/>
        <v/>
      </c>
      <c r="F83" s="31">
        <v>0.99</v>
      </c>
      <c r="G83" s="26">
        <f t="shared" si="8"/>
        <v>0.19800000000000001</v>
      </c>
    </row>
    <row r="84" spans="1:8" x14ac:dyDescent="0.25">
      <c r="A84" s="18">
        <v>7</v>
      </c>
      <c r="B84" s="27" t="s">
        <v>22</v>
      </c>
      <c r="C84" s="46">
        <f>IF(C74="","",C74)</f>
        <v>0.36000000000000004</v>
      </c>
      <c r="D84" s="46"/>
      <c r="E84" s="18" t="str">
        <f t="shared" si="7"/>
        <v/>
      </c>
      <c r="F84" s="31">
        <v>7.68</v>
      </c>
      <c r="G84" s="26">
        <f t="shared" si="8"/>
        <v>2.7648000000000001</v>
      </c>
    </row>
    <row r="85" spans="1:8" x14ac:dyDescent="0.25">
      <c r="A85" s="6"/>
      <c r="G85" s="13"/>
    </row>
    <row r="86" spans="1:8" x14ac:dyDescent="0.25">
      <c r="A86" s="6"/>
      <c r="F86" s="32" t="s">
        <v>23</v>
      </c>
      <c r="G86" s="33">
        <f>SUM(G79:G84)</f>
        <v>39.335520000000002</v>
      </c>
    </row>
    <row r="87" spans="1:8" x14ac:dyDescent="0.25">
      <c r="A87" s="6"/>
      <c r="F87" s="32" t="s">
        <v>24</v>
      </c>
      <c r="G87" s="34">
        <f>(G86/12)</f>
        <v>3.2779600000000002</v>
      </c>
      <c r="H87">
        <f>G87/0.88</f>
        <v>3.7249545454545459</v>
      </c>
    </row>
    <row r="88" spans="1:8" x14ac:dyDescent="0.25">
      <c r="A88" s="6"/>
      <c r="F88" s="39" t="s">
        <v>37</v>
      </c>
      <c r="G88" s="40">
        <f>G87/0.76</f>
        <v>4.3131052631578948</v>
      </c>
    </row>
    <row r="89" spans="1:8" x14ac:dyDescent="0.25">
      <c r="A89" s="6"/>
      <c r="F89" s="39" t="s">
        <v>31</v>
      </c>
      <c r="G89" s="33">
        <f>11400/(1170*42)</f>
        <v>0.231990231990232</v>
      </c>
    </row>
    <row r="90" spans="1:8" x14ac:dyDescent="0.25">
      <c r="A90" s="6"/>
      <c r="F90" s="39" t="s">
        <v>32</v>
      </c>
      <c r="G90" s="41">
        <f>G87*0.165</f>
        <v>0.54086340000000011</v>
      </c>
    </row>
    <row r="91" spans="1:8" x14ac:dyDescent="0.25">
      <c r="A91" s="6"/>
      <c r="F91" s="39" t="s">
        <v>36</v>
      </c>
      <c r="G91" s="41">
        <f>G88+G89+G90</f>
        <v>5.0859588951481269</v>
      </c>
      <c r="H91">
        <f>G91*12</f>
        <v>61.03150674177752</v>
      </c>
    </row>
    <row r="92" spans="1:8" x14ac:dyDescent="0.25">
      <c r="A92" s="6"/>
      <c r="F92" t="s">
        <v>29</v>
      </c>
      <c r="G92" s="36">
        <f>(G88-G87)/G88</f>
        <v>0.23999999999999996</v>
      </c>
    </row>
  </sheetData>
  <mergeCells count="57">
    <mergeCell ref="C82:D82"/>
    <mergeCell ref="C83:D83"/>
    <mergeCell ref="C84:D84"/>
    <mergeCell ref="A77:G77"/>
    <mergeCell ref="C78:D78"/>
    <mergeCell ref="C79:D79"/>
    <mergeCell ref="C80:D80"/>
    <mergeCell ref="C81:D81"/>
    <mergeCell ref="A74:B74"/>
    <mergeCell ref="C74:G74"/>
    <mergeCell ref="A75:B75"/>
    <mergeCell ref="C75:G75"/>
    <mergeCell ref="A76:B76"/>
    <mergeCell ref="C76:G76"/>
    <mergeCell ref="D63:E63"/>
    <mergeCell ref="C64:F64"/>
    <mergeCell ref="A72:G72"/>
    <mergeCell ref="A73:B73"/>
    <mergeCell ref="C73:G73"/>
    <mergeCell ref="D1:E1"/>
    <mergeCell ref="A13:B13"/>
    <mergeCell ref="A14:B14"/>
    <mergeCell ref="C13:G13"/>
    <mergeCell ref="C14:G14"/>
    <mergeCell ref="C11:G11"/>
    <mergeCell ref="C12:G12"/>
    <mergeCell ref="C2:F2"/>
    <mergeCell ref="A12:B12"/>
    <mergeCell ref="C19:D19"/>
    <mergeCell ref="A10:G10"/>
    <mergeCell ref="C22:D22"/>
    <mergeCell ref="A15:G15"/>
    <mergeCell ref="C21:D21"/>
    <mergeCell ref="C17:D17"/>
    <mergeCell ref="C20:D20"/>
    <mergeCell ref="A11:B11"/>
    <mergeCell ref="C18:D18"/>
    <mergeCell ref="C16:D16"/>
    <mergeCell ref="D32:E32"/>
    <mergeCell ref="C33:F33"/>
    <mergeCell ref="A41:G41"/>
    <mergeCell ref="A42:B42"/>
    <mergeCell ref="C42:G42"/>
    <mergeCell ref="A43:B43"/>
    <mergeCell ref="C43:G43"/>
    <mergeCell ref="A44:B44"/>
    <mergeCell ref="C44:G44"/>
    <mergeCell ref="A45:B45"/>
    <mergeCell ref="C45:G45"/>
    <mergeCell ref="C51:D51"/>
    <mergeCell ref="C52:D52"/>
    <mergeCell ref="C53:D53"/>
    <mergeCell ref="A46:G46"/>
    <mergeCell ref="C47:D47"/>
    <mergeCell ref="C48:D48"/>
    <mergeCell ref="C49:D49"/>
    <mergeCell ref="C50:D50"/>
  </mergeCells>
  <phoneticPr fontId="0" type="noConversion"/>
  <pageMargins left="0.41" right="0.03" top="0.27" bottom="0.16" header="0" footer="0.16"/>
  <pageSetup scale="9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>RCI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Ya</dc:creator>
  <cp:lastModifiedBy>ASUS</cp:lastModifiedBy>
  <cp:lastPrinted>2008-04-25T05:19:38Z</cp:lastPrinted>
  <dcterms:created xsi:type="dcterms:W3CDTF">2008-04-25T03:58:28Z</dcterms:created>
  <dcterms:modified xsi:type="dcterms:W3CDTF">2026-09-23T18:21:59Z</dcterms:modified>
</cp:coreProperties>
</file>