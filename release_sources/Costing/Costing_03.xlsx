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cuments\20202025DOCS1\WPL\BOM\PO BOM\New folder5474 AUG2026\"/>
    </mc:Choice>
  </mc:AlternateContent>
  <xr:revisionPtr revIDLastSave="0" documentId="8_{ED204A56-C6D4-4E60-9128-9BE74C0D257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6.9OZ" sheetId="7" r:id="rId1"/>
    <sheet name="MINI MARKER" sheetId="8" r:id="rId2"/>
  </sheets>
  <definedNames>
    <definedName name="_xlnm.Print_Area" localSheetId="0">'6.9OZ'!#REF!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5" i="7" l="1"/>
  <c r="Q26" i="7"/>
  <c r="H66" i="7"/>
  <c r="H35" i="7"/>
  <c r="Z34" i="7"/>
  <c r="Q34" i="7"/>
  <c r="U30" i="7"/>
  <c r="Z30" i="7" s="1"/>
  <c r="X29" i="7"/>
  <c r="T29" i="7"/>
  <c r="S29" i="7"/>
  <c r="X28" i="7"/>
  <c r="T28" i="7"/>
  <c r="S28" i="7"/>
  <c r="X27" i="7"/>
  <c r="U27" i="7"/>
  <c r="T27" i="7"/>
  <c r="S27" i="7"/>
  <c r="X26" i="7"/>
  <c r="T26" i="7"/>
  <c r="S26" i="7"/>
  <c r="X25" i="7"/>
  <c r="T25" i="7"/>
  <c r="S25" i="7"/>
  <c r="X24" i="7"/>
  <c r="T24" i="7"/>
  <c r="S24" i="7"/>
  <c r="U20" i="7"/>
  <c r="U31" i="7" s="1"/>
  <c r="Z31" i="7" s="1"/>
  <c r="S20" i="7"/>
  <c r="Y17" i="7"/>
  <c r="Z17" i="7" s="1"/>
  <c r="Z16" i="7"/>
  <c r="Z28" i="7" s="1"/>
  <c r="Z15" i="7"/>
  <c r="Z27" i="7" s="1"/>
  <c r="Z14" i="7"/>
  <c r="U26" i="7" s="1"/>
  <c r="Z13" i="7"/>
  <c r="Z25" i="7" s="1"/>
  <c r="Z12" i="7"/>
  <c r="Z24" i="7" s="1"/>
  <c r="L61" i="7"/>
  <c r="Q61" i="7" s="1"/>
  <c r="O60" i="7"/>
  <c r="K60" i="7"/>
  <c r="J60" i="7"/>
  <c r="Q59" i="7"/>
  <c r="O59" i="7"/>
  <c r="L59" i="7"/>
  <c r="K59" i="7"/>
  <c r="J59" i="7"/>
  <c r="O58" i="7"/>
  <c r="K58" i="7"/>
  <c r="J58" i="7"/>
  <c r="O57" i="7"/>
  <c r="K57" i="7"/>
  <c r="J57" i="7"/>
  <c r="O56" i="7"/>
  <c r="K56" i="7"/>
  <c r="J56" i="7"/>
  <c r="O55" i="7"/>
  <c r="K55" i="7"/>
  <c r="J55" i="7"/>
  <c r="L51" i="7"/>
  <c r="L62" i="7" s="1"/>
  <c r="Q62" i="7" s="1"/>
  <c r="J51" i="7"/>
  <c r="P48" i="7"/>
  <c r="Q48" i="7" s="1"/>
  <c r="L60" i="7" s="1"/>
  <c r="Q47" i="7"/>
  <c r="Q46" i="7"/>
  <c r="Q58" i="7" s="1"/>
  <c r="Q45" i="7"/>
  <c r="L57" i="7" s="1"/>
  <c r="Q44" i="7"/>
  <c r="L56" i="7" s="1"/>
  <c r="Q43" i="7"/>
  <c r="Q55" i="7" s="1"/>
  <c r="L30" i="7"/>
  <c r="Q30" i="7" s="1"/>
  <c r="O29" i="7"/>
  <c r="K29" i="7"/>
  <c r="J29" i="7"/>
  <c r="O28" i="7"/>
  <c r="K28" i="7"/>
  <c r="J28" i="7"/>
  <c r="O27" i="7"/>
  <c r="K27" i="7"/>
  <c r="J27" i="7"/>
  <c r="O25" i="7"/>
  <c r="K25" i="7"/>
  <c r="J25" i="7"/>
  <c r="O24" i="7"/>
  <c r="K24" i="7"/>
  <c r="J24" i="7"/>
  <c r="L20" i="7"/>
  <c r="L31" i="7" s="1"/>
  <c r="Q31" i="7" s="1"/>
  <c r="J20" i="7"/>
  <c r="P17" i="7"/>
  <c r="Q17" i="7" s="1"/>
  <c r="Q16" i="7"/>
  <c r="L28" i="7" s="1"/>
  <c r="Q15" i="7"/>
  <c r="L27" i="7" s="1"/>
  <c r="Q13" i="7"/>
  <c r="Q25" i="7" s="1"/>
  <c r="Q12" i="7"/>
  <c r="L24" i="7" s="1"/>
  <c r="C62" i="7"/>
  <c r="H62" i="7" s="1"/>
  <c r="F61" i="7"/>
  <c r="B61" i="7"/>
  <c r="A61" i="7"/>
  <c r="F60" i="7"/>
  <c r="B60" i="7"/>
  <c r="A60" i="7"/>
  <c r="F59" i="7"/>
  <c r="B59" i="7"/>
  <c r="A59" i="7"/>
  <c r="F58" i="7"/>
  <c r="B58" i="7"/>
  <c r="A58" i="7"/>
  <c r="F57" i="7"/>
  <c r="B57" i="7"/>
  <c r="A57" i="7"/>
  <c r="F56" i="7"/>
  <c r="B56" i="7"/>
  <c r="A56" i="7"/>
  <c r="C52" i="7"/>
  <c r="C63" i="7" s="1"/>
  <c r="H63" i="7" s="1"/>
  <c r="A52" i="7"/>
  <c r="G49" i="7"/>
  <c r="H49" i="7" s="1"/>
  <c r="C61" i="7" s="1"/>
  <c r="H48" i="7"/>
  <c r="C60" i="7" s="1"/>
  <c r="H47" i="7"/>
  <c r="H59" i="7" s="1"/>
  <c r="H46" i="7"/>
  <c r="H58" i="7" s="1"/>
  <c r="H45" i="7"/>
  <c r="C57" i="7" s="1"/>
  <c r="H44" i="7"/>
  <c r="C56" i="7" s="1"/>
  <c r="C31" i="7"/>
  <c r="H31" i="7" s="1"/>
  <c r="F30" i="7"/>
  <c r="B30" i="7"/>
  <c r="A30" i="7"/>
  <c r="F29" i="7"/>
  <c r="B29" i="7"/>
  <c r="A29" i="7"/>
  <c r="F28" i="7"/>
  <c r="B28" i="7"/>
  <c r="A28" i="7"/>
  <c r="F27" i="7"/>
  <c r="B27" i="7"/>
  <c r="A27" i="7"/>
  <c r="F26" i="7"/>
  <c r="B26" i="7"/>
  <c r="A26" i="7"/>
  <c r="F25" i="7"/>
  <c r="B25" i="7"/>
  <c r="A25" i="7"/>
  <c r="C21" i="7"/>
  <c r="C32" i="7" s="1"/>
  <c r="H32" i="7" s="1"/>
  <c r="A21" i="7"/>
  <c r="G18" i="7"/>
  <c r="H18" i="7" s="1"/>
  <c r="H30" i="7" s="1"/>
  <c r="H17" i="7"/>
  <c r="H29" i="7" s="1"/>
  <c r="H16" i="7"/>
  <c r="C28" i="7" s="1"/>
  <c r="H15" i="7"/>
  <c r="H27" i="7" s="1"/>
  <c r="H14" i="7"/>
  <c r="C26" i="7" s="1"/>
  <c r="H13" i="7"/>
  <c r="H25" i="7" s="1"/>
  <c r="Q57" i="7" l="1"/>
  <c r="U28" i="7"/>
  <c r="Z26" i="7"/>
  <c r="Q28" i="7"/>
  <c r="L25" i="7"/>
  <c r="Z29" i="7"/>
  <c r="U29" i="7"/>
  <c r="U25" i="7"/>
  <c r="U24" i="7"/>
  <c r="Q29" i="7"/>
  <c r="L29" i="7"/>
  <c r="Q27" i="7"/>
  <c r="Q56" i="7"/>
  <c r="Q64" i="7" s="1"/>
  <c r="Q66" i="7" s="1"/>
  <c r="L58" i="7"/>
  <c r="Q60" i="7"/>
  <c r="L55" i="7"/>
  <c r="Q24" i="7"/>
  <c r="H60" i="7"/>
  <c r="C25" i="7"/>
  <c r="C27" i="7"/>
  <c r="H56" i="7"/>
  <c r="H61" i="7"/>
  <c r="H28" i="7"/>
  <c r="C30" i="7"/>
  <c r="H57" i="7"/>
  <c r="C59" i="7"/>
  <c r="H26" i="7"/>
  <c r="C29" i="7"/>
  <c r="C58" i="7"/>
  <c r="Q68" i="7" l="1"/>
  <c r="Q70" i="7" s="1"/>
  <c r="Q67" i="7"/>
  <c r="H65" i="7"/>
  <c r="H67" i="7" s="1"/>
  <c r="Q33" i="7"/>
  <c r="Q35" i="7" s="1"/>
  <c r="Q37" i="7" s="1"/>
  <c r="Z33" i="7"/>
  <c r="Z35" i="7" s="1"/>
  <c r="Z37" i="7" s="1"/>
  <c r="H34" i="7"/>
  <c r="H36" i="7" s="1"/>
  <c r="H38" i="7" s="1"/>
  <c r="Q69" i="7" l="1"/>
  <c r="H69" i="7"/>
  <c r="H68" i="7" s="1"/>
  <c r="Q36" i="7"/>
  <c r="Z36" i="7"/>
  <c r="Z39" i="7"/>
  <c r="H71" i="7" l="1"/>
  <c r="H37" i="7"/>
  <c r="H39" i="7" s="1"/>
  <c r="Q38" i="7"/>
  <c r="Z38" i="7"/>
  <c r="Q39" i="7"/>
  <c r="H40" i="7"/>
</calcChain>
</file>

<file path=xl/sharedStrings.xml><?xml version="1.0" encoding="utf-8"?>
<sst xmlns="http://schemas.openxmlformats.org/spreadsheetml/2006/main" count="276" uniqueCount="58">
  <si>
    <t>Items</t>
  </si>
  <si>
    <t>Thread Tex40</t>
  </si>
  <si>
    <t>DTM Body</t>
  </si>
  <si>
    <t xml:space="preserve">                           Production</t>
  </si>
  <si>
    <t>Construction Details</t>
  </si>
  <si>
    <t>VANTAGE RIVER TEXTILE</t>
  </si>
  <si>
    <t>Standard width and Yards per dozen</t>
  </si>
  <si>
    <t>Nº</t>
  </si>
  <si>
    <t xml:space="preserve">Description </t>
  </si>
  <si>
    <t>Color</t>
  </si>
  <si>
    <t>Width/size</t>
  </si>
  <si>
    <t>Qty/Unit</t>
  </si>
  <si>
    <t>Qty/Dozen</t>
  </si>
  <si>
    <t>-</t>
  </si>
  <si>
    <t>Sewing Thread</t>
  </si>
  <si>
    <t>Tex40</t>
  </si>
  <si>
    <t>SAH's</t>
  </si>
  <si>
    <t>Style</t>
  </si>
  <si>
    <t>SAH's per dozen</t>
  </si>
  <si>
    <t xml:space="preserve">Cost of items </t>
  </si>
  <si>
    <t>Quanlity/Dozen</t>
  </si>
  <si>
    <t>Product color</t>
  </si>
  <si>
    <t>Price per unit</t>
  </si>
  <si>
    <t>Price per dozen</t>
  </si>
  <si>
    <t>Labor</t>
  </si>
  <si>
    <t>MFG COST:</t>
  </si>
  <si>
    <t>freight cost</t>
  </si>
  <si>
    <t>UNIT COST:</t>
  </si>
  <si>
    <t>Sale price</t>
  </si>
  <si>
    <t>Margin</t>
  </si>
  <si>
    <t>Sewing SMV</t>
  </si>
  <si>
    <t>Polybag</t>
  </si>
  <si>
    <t>Clear</t>
  </si>
  <si>
    <t>At Center Back Neck</t>
  </si>
  <si>
    <t>Care Label</t>
  </si>
  <si>
    <t>Base Size : L-XL-2XL</t>
  </si>
  <si>
    <t>Main Fabric-TCF0559</t>
  </si>
  <si>
    <t>Carton#5</t>
  </si>
  <si>
    <t>WPL</t>
  </si>
  <si>
    <t>CHEF COAT</t>
  </si>
  <si>
    <t>Base Size : XS-4XL</t>
  </si>
  <si>
    <t>Date Folder Modified : 07 March 2022</t>
  </si>
  <si>
    <t>Main Label</t>
  </si>
  <si>
    <t>White</t>
  </si>
  <si>
    <t>Duty</t>
  </si>
  <si>
    <t>list price</t>
  </si>
  <si>
    <t>7.1 poly</t>
  </si>
  <si>
    <t>alsco</t>
  </si>
  <si>
    <t>4 hole</t>
  </si>
  <si>
    <t>4hole</t>
  </si>
  <si>
    <t xml:space="preserve"> Button</t>
  </si>
  <si>
    <t>KNOT BUTTON</t>
  </si>
  <si>
    <t>Plastic BUTTON</t>
  </si>
  <si>
    <t>SS</t>
  </si>
  <si>
    <t>K</t>
  </si>
  <si>
    <t>CHEF COAT 188</t>
  </si>
  <si>
    <t>CHEF COAT 182</t>
  </si>
  <si>
    <t>MAIN 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</si>
</sst>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&quot;Pcs&quot;"/>
    <numFmt numFmtId="165" formatCode="0.000"/>
    <numFmt numFmtId="166" formatCode="0.0000&quot;USD&quot;"/>
    <numFmt numFmtId="167" formatCode="0.000\ &quot;USD&quot;"/>
    <numFmt numFmtId="168" formatCode="0.000\ &quot;Yards&quot;"/>
    <numFmt numFmtId="169" formatCode="0.000&quot;Cone&quot;"/>
    <numFmt numFmtId="170" formatCode="&quot;$&quot;#,##0.00"/>
  </numFmts>
  <fonts count="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sz val="9"/>
      <name val="Calibri"/>
      <family val="3"/>
      <charset val="136"/>
      <scheme val="minor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9">
    <xf numFmtId="0" fontId="0" fillId="0" borderId="0" xfId="0"/>
    <xf numFmtId="0" fontId="3" fillId="0" borderId="3" xfId="1" applyFont="1" applyBorder="1" applyAlignment="1">
      <alignment vertical="center"/>
    </xf>
    <xf numFmtId="0" fontId="2" fillId="0" borderId="3" xfId="1" applyFont="1" applyBorder="1" applyAlignment="1">
      <alignment vertical="center"/>
    </xf>
    <xf numFmtId="0" fontId="4" fillId="0" borderId="5" xfId="1" applyFont="1" applyBorder="1" applyAlignment="1">
      <alignment horizontal="center" vertical="center"/>
    </xf>
    <xf numFmtId="0" fontId="1" fillId="0" borderId="0" xfId="1"/>
    <xf numFmtId="0" fontId="1" fillId="0" borderId="7" xfId="1" applyBorder="1" applyAlignment="1">
      <alignment vertical="center"/>
    </xf>
    <xf numFmtId="0" fontId="1" fillId="0" borderId="8" xfId="1" applyBorder="1" applyAlignment="1">
      <alignment vertical="center"/>
    </xf>
    <xf numFmtId="0" fontId="1" fillId="0" borderId="9" xfId="1" applyBorder="1" applyAlignment="1">
      <alignment vertical="center"/>
    </xf>
    <xf numFmtId="0" fontId="1" fillId="0" borderId="5" xfId="1" applyBorder="1"/>
    <xf numFmtId="0" fontId="5" fillId="0" borderId="1" xfId="1" applyFont="1" applyBorder="1" applyAlignment="1">
      <alignment horizontal="center"/>
    </xf>
    <xf numFmtId="0" fontId="5" fillId="0" borderId="1" xfId="1" applyFont="1" applyBorder="1" applyAlignment="1">
      <alignment horizontal="left"/>
    </xf>
    <xf numFmtId="0" fontId="1" fillId="0" borderId="12" xfId="1" applyBorder="1" applyAlignment="1">
      <alignment horizontal="center" vertical="center"/>
    </xf>
    <xf numFmtId="0" fontId="1" fillId="0" borderId="12" xfId="1" applyBorder="1" applyAlignment="1">
      <alignment vertical="center"/>
    </xf>
    <xf numFmtId="0" fontId="1" fillId="0" borderId="1" xfId="1" applyBorder="1" applyAlignment="1">
      <alignment horizontal="center"/>
    </xf>
    <xf numFmtId="164" fontId="1" fillId="0" borderId="1" xfId="1" applyNumberFormat="1" applyBorder="1" applyAlignment="1">
      <alignment horizontal="center"/>
    </xf>
    <xf numFmtId="0" fontId="5" fillId="0" borderId="14" xfId="1" applyFont="1" applyBorder="1" applyAlignment="1">
      <alignment horizontal="center"/>
    </xf>
    <xf numFmtId="0" fontId="5" fillId="0" borderId="14" xfId="1" applyFont="1" applyBorder="1" applyAlignment="1">
      <alignment horizontal="left"/>
    </xf>
    <xf numFmtId="0" fontId="1" fillId="0" borderId="1" xfId="1" applyBorder="1" applyAlignment="1">
      <alignment horizontal="left"/>
    </xf>
    <xf numFmtId="166" fontId="1" fillId="0" borderId="1" xfId="1" applyNumberFormat="1" applyBorder="1" applyAlignment="1">
      <alignment horizontal="center"/>
    </xf>
    <xf numFmtId="167" fontId="1" fillId="0" borderId="1" xfId="1" applyNumberFormat="1" applyBorder="1" applyAlignment="1">
      <alignment horizontal="center"/>
    </xf>
    <xf numFmtId="0" fontId="1" fillId="0" borderId="1" xfId="1" applyBorder="1"/>
    <xf numFmtId="0" fontId="1" fillId="0" borderId="6" xfId="1" applyBorder="1"/>
    <xf numFmtId="0" fontId="1" fillId="0" borderId="10" xfId="1" applyBorder="1"/>
    <xf numFmtId="10" fontId="1" fillId="0" borderId="1" xfId="1" applyNumberFormat="1" applyBorder="1" applyAlignment="1">
      <alignment horizont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168" fontId="1" fillId="0" borderId="1" xfId="1" applyNumberFormat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0" fontId="4" fillId="0" borderId="4" xfId="1" applyFont="1" applyBorder="1" applyAlignment="1">
      <alignment horizontal="right" vertical="center"/>
    </xf>
    <xf numFmtId="0" fontId="2" fillId="0" borderId="3" xfId="1" applyFont="1" applyBorder="1" applyAlignment="1">
      <alignment horizontal="left"/>
    </xf>
    <xf numFmtId="0" fontId="4" fillId="0" borderId="3" xfId="1" applyFont="1" applyBorder="1" applyAlignment="1">
      <alignment horizontal="left"/>
    </xf>
    <xf numFmtId="0" fontId="3" fillId="0" borderId="0" xfId="1" applyFont="1" applyAlignment="1">
      <alignment vertical="center"/>
    </xf>
    <xf numFmtId="167" fontId="5" fillId="0" borderId="1" xfId="1" applyNumberFormat="1" applyFont="1" applyBorder="1" applyAlignment="1">
      <alignment horizontal="center"/>
    </xf>
    <xf numFmtId="166" fontId="6" fillId="0" borderId="1" xfId="1" applyNumberFormat="1" applyFont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165" fontId="1" fillId="0" borderId="11" xfId="1" applyNumberFormat="1" applyBorder="1" applyAlignment="1">
      <alignment horizontal="center"/>
    </xf>
    <xf numFmtId="170" fontId="1" fillId="0" borderId="1" xfId="1" applyNumberFormat="1" applyBorder="1" applyAlignment="1">
      <alignment horizontal="center"/>
    </xf>
    <xf numFmtId="0" fontId="6" fillId="3" borderId="1" xfId="1" applyFont="1" applyFill="1" applyBorder="1" applyAlignment="1">
      <alignment horizontal="left"/>
    </xf>
    <xf numFmtId="166" fontId="6" fillId="3" borderId="1" xfId="1" applyNumberFormat="1" applyFont="1" applyFill="1" applyBorder="1" applyAlignment="1">
      <alignment horizontal="center"/>
    </xf>
    <xf numFmtId="0" fontId="1" fillId="3" borderId="0" xfId="1" applyFill="1"/>
    <xf numFmtId="0" fontId="8" fillId="3" borderId="0" xfId="1" applyFont="1" applyFill="1"/>
    <xf numFmtId="0" fontId="1" fillId="3" borderId="1" xfId="1" applyFill="1" applyBorder="1" applyAlignment="1">
      <alignment horizontal="left"/>
    </xf>
    <xf numFmtId="0" fontId="1" fillId="3" borderId="1" xfId="1" applyFill="1" applyBorder="1" applyAlignment="1">
      <alignment horizontal="center"/>
    </xf>
    <xf numFmtId="0" fontId="6" fillId="3" borderId="1" xfId="1" applyFont="1" applyFill="1" applyBorder="1"/>
    <xf numFmtId="164" fontId="1" fillId="0" borderId="10" xfId="1" applyNumberFormat="1" applyBorder="1" applyAlignment="1">
      <alignment horizontal="center"/>
    </xf>
    <xf numFmtId="164" fontId="1" fillId="0" borderId="13" xfId="1" applyNumberFormat="1" applyBorder="1" applyAlignment="1">
      <alignment horizontal="center"/>
    </xf>
    <xf numFmtId="164" fontId="1" fillId="0" borderId="11" xfId="1" applyNumberFormat="1" applyBorder="1" applyAlignment="1">
      <alignment horizontal="center"/>
    </xf>
    <xf numFmtId="169" fontId="1" fillId="0" borderId="10" xfId="1" applyNumberFormat="1" applyBorder="1" applyAlignment="1">
      <alignment horizontal="center"/>
    </xf>
    <xf numFmtId="169" fontId="1" fillId="0" borderId="13" xfId="1" applyNumberFormat="1" applyBorder="1" applyAlignment="1">
      <alignment horizontal="center"/>
    </xf>
    <xf numFmtId="169" fontId="1" fillId="0" borderId="11" xfId="1" applyNumberFormat="1" applyBorder="1" applyAlignment="1">
      <alignment horizontal="center"/>
    </xf>
    <xf numFmtId="165" fontId="1" fillId="0" borderId="10" xfId="1" applyNumberFormat="1" applyBorder="1" applyAlignment="1">
      <alignment horizontal="center"/>
    </xf>
    <xf numFmtId="165" fontId="1" fillId="0" borderId="13" xfId="1" applyNumberFormat="1" applyBorder="1" applyAlignment="1">
      <alignment horizontal="center"/>
    </xf>
    <xf numFmtId="165" fontId="1" fillId="0" borderId="11" xfId="1" applyNumberFormat="1" applyBorder="1" applyAlignment="1">
      <alignment horizontal="center"/>
    </xf>
    <xf numFmtId="0" fontId="5" fillId="0" borderId="2" xfId="1" applyFont="1" applyBorder="1" applyAlignment="1">
      <alignment horizontal="center"/>
    </xf>
    <xf numFmtId="0" fontId="5" fillId="0" borderId="4" xfId="1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165" fontId="0" fillId="3" borderId="2" xfId="0" applyNumberFormat="1" applyFill="1" applyBorder="1" applyAlignment="1">
      <alignment horizontal="left"/>
    </xf>
    <xf numFmtId="165" fontId="0" fillId="3" borderId="3" xfId="0" applyNumberFormat="1" applyFill="1" applyBorder="1" applyAlignment="1">
      <alignment horizontal="left"/>
    </xf>
    <xf numFmtId="165" fontId="0" fillId="3" borderId="4" xfId="0" applyNumberFormat="1" applyFill="1" applyBorder="1" applyAlignment="1">
      <alignment horizontal="left"/>
    </xf>
    <xf numFmtId="0" fontId="5" fillId="2" borderId="10" xfId="1" applyFont="1" applyFill="1" applyBorder="1" applyAlignment="1">
      <alignment horizontal="center" vertical="center"/>
    </xf>
    <xf numFmtId="0" fontId="5" fillId="2" borderId="13" xfId="1" applyFont="1" applyFill="1" applyBorder="1" applyAlignment="1">
      <alignment horizontal="center" vertical="center"/>
    </xf>
    <xf numFmtId="0" fontId="5" fillId="2" borderId="11" xfId="1" applyFont="1" applyFill="1" applyBorder="1" applyAlignment="1">
      <alignment horizontal="center" vertical="center"/>
    </xf>
    <xf numFmtId="0" fontId="5" fillId="0" borderId="10" xfId="1" applyFont="1" applyBorder="1" applyAlignment="1">
      <alignment horizontal="center"/>
    </xf>
    <xf numFmtId="0" fontId="5" fillId="0" borderId="13" xfId="1" applyFont="1" applyBorder="1" applyAlignment="1">
      <alignment horizontal="center"/>
    </xf>
    <xf numFmtId="0" fontId="5" fillId="0" borderId="11" xfId="1" applyFont="1" applyBorder="1" applyAlignment="1">
      <alignment horizontal="center"/>
    </xf>
    <xf numFmtId="168" fontId="1" fillId="0" borderId="10" xfId="1" applyNumberFormat="1" applyBorder="1" applyAlignment="1">
      <alignment horizontal="center"/>
    </xf>
    <xf numFmtId="168" fontId="1" fillId="0" borderId="13" xfId="1" applyNumberFormat="1" applyBorder="1" applyAlignment="1">
      <alignment horizontal="center"/>
    </xf>
    <xf numFmtId="168" fontId="1" fillId="0" borderId="11" xfId="1" applyNumberFormat="1" applyBorder="1" applyAlignment="1">
      <alignment horizontal="center"/>
    </xf>
    <xf numFmtId="0" fontId="1" fillId="0" borderId="10" xfId="1" applyBorder="1" applyAlignment="1">
      <alignment horizontal="left" vertical="center"/>
    </xf>
    <xf numFmtId="0" fontId="1" fillId="0" borderId="11" xfId="1" applyBorder="1" applyAlignment="1">
      <alignment horizontal="left" vertical="center"/>
    </xf>
    <xf numFmtId="0" fontId="5" fillId="2" borderId="7" xfId="1" applyFont="1" applyFill="1" applyBorder="1" applyAlignment="1">
      <alignment horizontal="center" vertical="center"/>
    </xf>
    <xf numFmtId="0" fontId="5" fillId="2" borderId="8" xfId="1" applyFont="1" applyFill="1" applyBorder="1" applyAlignment="1">
      <alignment horizontal="center" vertical="center"/>
    </xf>
    <xf numFmtId="0" fontId="5" fillId="2" borderId="9" xfId="1" applyFont="1" applyFill="1" applyBorder="1" applyAlignment="1">
      <alignment horizontal="center" vertical="center"/>
    </xf>
    <xf numFmtId="0" fontId="1" fillId="0" borderId="7" xfId="1" applyBorder="1" applyAlignment="1">
      <alignment horizontal="center"/>
    </xf>
    <xf numFmtId="0" fontId="1" fillId="0" borderId="9" xfId="1" applyBorder="1" applyAlignment="1">
      <alignment horizontal="center"/>
    </xf>
    <xf numFmtId="0" fontId="1" fillId="0" borderId="10" xfId="1" applyBorder="1" applyAlignment="1">
      <alignment horizontal="center"/>
    </xf>
    <xf numFmtId="0" fontId="1" fillId="0" borderId="13" xfId="1" applyBorder="1" applyAlignment="1">
      <alignment horizontal="center"/>
    </xf>
    <xf numFmtId="0" fontId="1" fillId="0" borderId="11" xfId="1" applyBorder="1" applyAlignment="1">
      <alignment horizontal="center"/>
    </xf>
    <xf numFmtId="165" fontId="6" fillId="3" borderId="10" xfId="1" applyNumberFormat="1" applyFont="1" applyFill="1" applyBorder="1" applyAlignment="1">
      <alignment horizontal="center"/>
    </xf>
    <xf numFmtId="165" fontId="6" fillId="3" borderId="13" xfId="1" applyNumberFormat="1" applyFont="1" applyFill="1" applyBorder="1" applyAlignment="1">
      <alignment horizontal="center"/>
    </xf>
    <xf numFmtId="165" fontId="6" fillId="3" borderId="11" xfId="1" applyNumberFormat="1" applyFont="1" applyFill="1" applyBorder="1" applyAlignment="1">
      <alignment horizontal="center"/>
    </xf>
    <xf numFmtId="0" fontId="5" fillId="2" borderId="1" xfId="1" applyFont="1" applyFill="1" applyBorder="1" applyAlignment="1">
      <alignment horizontal="center" vertical="center"/>
    </xf>
    <xf numFmtId="164" fontId="1" fillId="3" borderId="10" xfId="1" applyNumberFormat="1" applyFill="1" applyBorder="1" applyAlignment="1">
      <alignment horizontal="center"/>
    </xf>
    <xf numFmtId="164" fontId="1" fillId="3" borderId="13" xfId="1" applyNumberFormat="1" applyFill="1" applyBorder="1" applyAlignment="1">
      <alignment horizontal="center"/>
    </xf>
    <xf numFmtId="164" fontId="1" fillId="3" borderId="11" xfId="1" applyNumberFormat="1" applyFill="1" applyBorder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2" fillId="0" borderId="5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6" xfId="1" applyFont="1" applyBorder="1" applyAlignment="1">
      <alignment horizontal="center" vertical="center"/>
    </xf>
    <xf numFmtId="0" fontId="2" fillId="0" borderId="2" xfId="1" applyFont="1" applyBorder="1" applyAlignment="1">
      <alignment horizontal="center" vertical="center"/>
    </xf>
    <xf numFmtId="0" fontId="2" fillId="0" borderId="3" xfId="1" applyFont="1" applyBorder="1" applyAlignment="1">
      <alignment horizontal="center" vertical="center"/>
    </xf>
    <xf numFmtId="0" fontId="2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6" xfId="1" applyFont="1" applyBorder="1" applyAlignment="1">
      <alignment horizontal="center" vertical="center"/>
    </xf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247650</xdr:colOff>
      <xdr:row>5</xdr:row>
      <xdr:rowOff>55880</xdr:rowOff>
    </xdr:from>
    <xdr:to>
      <xdr:col>34</xdr:col>
      <xdr:colOff>180975</xdr:colOff>
      <xdr:row>24</xdr:row>
      <xdr:rowOff>61151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7435" t="28576" r="29646" b="12946"/>
        <a:stretch/>
      </xdr:blipFill>
      <xdr:spPr>
        <a:xfrm>
          <a:off x="21573490" y="1071880"/>
          <a:ext cx="4342765" cy="330727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9525</xdr:colOff>
      <xdr:row>26</xdr:row>
      <xdr:rowOff>171186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7885" r="23178" b="4724"/>
        <a:stretch/>
      </xdr:blipFill>
      <xdr:spPr>
        <a:xfrm>
          <a:off x="0" y="0"/>
          <a:ext cx="9153525" cy="51241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</xdr:row>
      <xdr:rowOff>104775</xdr:rowOff>
    </xdr:from>
    <xdr:to>
      <xdr:col>14</xdr:col>
      <xdr:colOff>597790</xdr:colOff>
      <xdr:row>55</xdr:row>
      <xdr:rowOff>85725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224" r="25678" b="4876"/>
        <a:stretch/>
      </xdr:blipFill>
      <xdr:spPr>
        <a:xfrm>
          <a:off x="0" y="5248275"/>
          <a:ext cx="9132190" cy="5314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Z71"/>
  <sheetViews>
    <sheetView tabSelected="1" view="pageBreakPreview" topLeftCell="D1" zoomScale="75" zoomScaleNormal="75" zoomScaleSheetLayoutView="75" workbookViewId="0">
      <selection activeCell="D72" sqref="A72:XFD133"/>
    </sheetView>
  </sheetViews>
  <sheetFormatPr defaultRowHeight="13.2"/>
  <cols>
    <col min="1" max="1" width="5.44140625" style="4" customWidth="1"/>
    <col min="2" max="2" width="21.6640625" style="4" customWidth="1"/>
    <col min="3" max="3" width="13.6640625" style="4" customWidth="1"/>
    <col min="4" max="4" width="21.33203125" style="4" customWidth="1"/>
    <col min="5" max="5" width="14.109375" style="4" customWidth="1"/>
    <col min="6" max="6" width="16.109375" style="4" customWidth="1"/>
    <col min="7" max="7" width="14.44140625" style="4" customWidth="1"/>
    <col min="8" max="8" width="16.44140625" style="4" customWidth="1"/>
    <col min="9" max="10" width="6.33203125" style="4" customWidth="1"/>
    <col min="11" max="11" width="11.5546875" style="4" customWidth="1"/>
    <col min="12" max="12" width="6.33203125" style="4" customWidth="1"/>
    <col min="13" max="13" width="12.88671875" style="4" customWidth="1"/>
    <col min="14" max="15" width="8.109375" style="4" customWidth="1"/>
    <col min="16" max="16" width="14.109375" style="4" customWidth="1"/>
    <col min="17" max="17" width="14.88671875" style="4" customWidth="1"/>
    <col min="18" max="24" width="9.109375" style="4"/>
    <col min="25" max="25" width="11.6640625" style="4" customWidth="1"/>
    <col min="26" max="26" width="13.5546875" style="4" customWidth="1"/>
    <col min="27" max="249" width="9.109375" style="4"/>
    <col min="250" max="250" width="5.44140625" style="4" customWidth="1"/>
    <col min="251" max="251" width="13.6640625" style="4" customWidth="1"/>
    <col min="252" max="252" width="23.6640625" style="4" customWidth="1"/>
    <col min="253" max="253" width="14.109375" style="4" customWidth="1"/>
    <col min="254" max="254" width="16.109375" style="4" customWidth="1"/>
    <col min="255" max="255" width="14.44140625" style="4" customWidth="1"/>
    <col min="256" max="256" width="16.44140625" style="4" customWidth="1"/>
    <col min="257" max="259" width="6.33203125" style="4" customWidth="1"/>
    <col min="260" max="260" width="8.109375" style="4" customWidth="1"/>
    <col min="261" max="262" width="6.6640625" style="4" bestFit="1" customWidth="1"/>
    <col min="263" max="263" width="5.44140625" style="4" customWidth="1"/>
    <col min="264" max="264" width="13.44140625" style="4" customWidth="1"/>
    <col min="265" max="505" width="9.109375" style="4"/>
    <col min="506" max="506" width="5.44140625" style="4" customWidth="1"/>
    <col min="507" max="507" width="13.6640625" style="4" customWidth="1"/>
    <col min="508" max="508" width="23.6640625" style="4" customWidth="1"/>
    <col min="509" max="509" width="14.109375" style="4" customWidth="1"/>
    <col min="510" max="510" width="16.109375" style="4" customWidth="1"/>
    <col min="511" max="511" width="14.44140625" style="4" customWidth="1"/>
    <col min="512" max="512" width="16.44140625" style="4" customWidth="1"/>
    <col min="513" max="515" width="6.33203125" style="4" customWidth="1"/>
    <col min="516" max="516" width="8.109375" style="4" customWidth="1"/>
    <col min="517" max="518" width="6.6640625" style="4" bestFit="1" customWidth="1"/>
    <col min="519" max="519" width="5.44140625" style="4" customWidth="1"/>
    <col min="520" max="520" width="13.44140625" style="4" customWidth="1"/>
    <col min="521" max="761" width="9.109375" style="4"/>
    <col min="762" max="762" width="5.44140625" style="4" customWidth="1"/>
    <col min="763" max="763" width="13.6640625" style="4" customWidth="1"/>
    <col min="764" max="764" width="23.6640625" style="4" customWidth="1"/>
    <col min="765" max="765" width="14.109375" style="4" customWidth="1"/>
    <col min="766" max="766" width="16.109375" style="4" customWidth="1"/>
    <col min="767" max="767" width="14.44140625" style="4" customWidth="1"/>
    <col min="768" max="768" width="16.44140625" style="4" customWidth="1"/>
    <col min="769" max="771" width="6.33203125" style="4" customWidth="1"/>
    <col min="772" max="772" width="8.109375" style="4" customWidth="1"/>
    <col min="773" max="774" width="6.6640625" style="4" bestFit="1" customWidth="1"/>
    <col min="775" max="775" width="5.44140625" style="4" customWidth="1"/>
    <col min="776" max="776" width="13.44140625" style="4" customWidth="1"/>
    <col min="777" max="1017" width="9.109375" style="4"/>
    <col min="1018" max="1018" width="5.44140625" style="4" customWidth="1"/>
    <col min="1019" max="1019" width="13.6640625" style="4" customWidth="1"/>
    <col min="1020" max="1020" width="23.6640625" style="4" customWidth="1"/>
    <col min="1021" max="1021" width="14.109375" style="4" customWidth="1"/>
    <col min="1022" max="1022" width="16.109375" style="4" customWidth="1"/>
    <col min="1023" max="1023" width="14.44140625" style="4" customWidth="1"/>
    <col min="1024" max="1024" width="16.44140625" style="4" customWidth="1"/>
    <col min="1025" max="1027" width="6.33203125" style="4" customWidth="1"/>
    <col min="1028" max="1028" width="8.109375" style="4" customWidth="1"/>
    <col min="1029" max="1030" width="6.6640625" style="4" bestFit="1" customWidth="1"/>
    <col min="1031" max="1031" width="5.44140625" style="4" customWidth="1"/>
    <col min="1032" max="1032" width="13.44140625" style="4" customWidth="1"/>
    <col min="1033" max="1273" width="9.109375" style="4"/>
    <col min="1274" max="1274" width="5.44140625" style="4" customWidth="1"/>
    <col min="1275" max="1275" width="13.6640625" style="4" customWidth="1"/>
    <col min="1276" max="1276" width="23.6640625" style="4" customWidth="1"/>
    <col min="1277" max="1277" width="14.109375" style="4" customWidth="1"/>
    <col min="1278" max="1278" width="16.109375" style="4" customWidth="1"/>
    <col min="1279" max="1279" width="14.44140625" style="4" customWidth="1"/>
    <col min="1280" max="1280" width="16.44140625" style="4" customWidth="1"/>
    <col min="1281" max="1283" width="6.33203125" style="4" customWidth="1"/>
    <col min="1284" max="1284" width="8.109375" style="4" customWidth="1"/>
    <col min="1285" max="1286" width="6.6640625" style="4" bestFit="1" customWidth="1"/>
    <col min="1287" max="1287" width="5.44140625" style="4" customWidth="1"/>
    <col min="1288" max="1288" width="13.44140625" style="4" customWidth="1"/>
    <col min="1289" max="1529" width="9.109375" style="4"/>
    <col min="1530" max="1530" width="5.44140625" style="4" customWidth="1"/>
    <col min="1531" max="1531" width="13.6640625" style="4" customWidth="1"/>
    <col min="1532" max="1532" width="23.6640625" style="4" customWidth="1"/>
    <col min="1533" max="1533" width="14.109375" style="4" customWidth="1"/>
    <col min="1534" max="1534" width="16.109375" style="4" customWidth="1"/>
    <col min="1535" max="1535" width="14.44140625" style="4" customWidth="1"/>
    <col min="1536" max="1536" width="16.44140625" style="4" customWidth="1"/>
    <col min="1537" max="1539" width="6.33203125" style="4" customWidth="1"/>
    <col min="1540" max="1540" width="8.109375" style="4" customWidth="1"/>
    <col min="1541" max="1542" width="6.6640625" style="4" bestFit="1" customWidth="1"/>
    <col min="1543" max="1543" width="5.44140625" style="4" customWidth="1"/>
    <col min="1544" max="1544" width="13.44140625" style="4" customWidth="1"/>
    <col min="1545" max="1785" width="9.109375" style="4"/>
    <col min="1786" max="1786" width="5.44140625" style="4" customWidth="1"/>
    <col min="1787" max="1787" width="13.6640625" style="4" customWidth="1"/>
    <col min="1788" max="1788" width="23.6640625" style="4" customWidth="1"/>
    <col min="1789" max="1789" width="14.109375" style="4" customWidth="1"/>
    <col min="1790" max="1790" width="16.109375" style="4" customWidth="1"/>
    <col min="1791" max="1791" width="14.44140625" style="4" customWidth="1"/>
    <col min="1792" max="1792" width="16.44140625" style="4" customWidth="1"/>
    <col min="1793" max="1795" width="6.33203125" style="4" customWidth="1"/>
    <col min="1796" max="1796" width="8.109375" style="4" customWidth="1"/>
    <col min="1797" max="1798" width="6.6640625" style="4" bestFit="1" customWidth="1"/>
    <col min="1799" max="1799" width="5.44140625" style="4" customWidth="1"/>
    <col min="1800" max="1800" width="13.44140625" style="4" customWidth="1"/>
    <col min="1801" max="2041" width="9.109375" style="4"/>
    <col min="2042" max="2042" width="5.44140625" style="4" customWidth="1"/>
    <col min="2043" max="2043" width="13.6640625" style="4" customWidth="1"/>
    <col min="2044" max="2044" width="23.6640625" style="4" customWidth="1"/>
    <col min="2045" max="2045" width="14.109375" style="4" customWidth="1"/>
    <col min="2046" max="2046" width="16.109375" style="4" customWidth="1"/>
    <col min="2047" max="2047" width="14.44140625" style="4" customWidth="1"/>
    <col min="2048" max="2048" width="16.44140625" style="4" customWidth="1"/>
    <col min="2049" max="2051" width="6.33203125" style="4" customWidth="1"/>
    <col min="2052" max="2052" width="8.109375" style="4" customWidth="1"/>
    <col min="2053" max="2054" width="6.6640625" style="4" bestFit="1" customWidth="1"/>
    <col min="2055" max="2055" width="5.44140625" style="4" customWidth="1"/>
    <col min="2056" max="2056" width="13.44140625" style="4" customWidth="1"/>
    <col min="2057" max="2297" width="9.109375" style="4"/>
    <col min="2298" max="2298" width="5.44140625" style="4" customWidth="1"/>
    <col min="2299" max="2299" width="13.6640625" style="4" customWidth="1"/>
    <col min="2300" max="2300" width="23.6640625" style="4" customWidth="1"/>
    <col min="2301" max="2301" width="14.109375" style="4" customWidth="1"/>
    <col min="2302" max="2302" width="16.109375" style="4" customWidth="1"/>
    <col min="2303" max="2303" width="14.44140625" style="4" customWidth="1"/>
    <col min="2304" max="2304" width="16.44140625" style="4" customWidth="1"/>
    <col min="2305" max="2307" width="6.33203125" style="4" customWidth="1"/>
    <col min="2308" max="2308" width="8.109375" style="4" customWidth="1"/>
    <col min="2309" max="2310" width="6.6640625" style="4" bestFit="1" customWidth="1"/>
    <col min="2311" max="2311" width="5.44140625" style="4" customWidth="1"/>
    <col min="2312" max="2312" width="13.44140625" style="4" customWidth="1"/>
    <col min="2313" max="2553" width="9.109375" style="4"/>
    <col min="2554" max="2554" width="5.44140625" style="4" customWidth="1"/>
    <col min="2555" max="2555" width="13.6640625" style="4" customWidth="1"/>
    <col min="2556" max="2556" width="23.6640625" style="4" customWidth="1"/>
    <col min="2557" max="2557" width="14.109375" style="4" customWidth="1"/>
    <col min="2558" max="2558" width="16.109375" style="4" customWidth="1"/>
    <col min="2559" max="2559" width="14.44140625" style="4" customWidth="1"/>
    <col min="2560" max="2560" width="16.44140625" style="4" customWidth="1"/>
    <col min="2561" max="2563" width="6.33203125" style="4" customWidth="1"/>
    <col min="2564" max="2564" width="8.109375" style="4" customWidth="1"/>
    <col min="2565" max="2566" width="6.6640625" style="4" bestFit="1" customWidth="1"/>
    <col min="2567" max="2567" width="5.44140625" style="4" customWidth="1"/>
    <col min="2568" max="2568" width="13.44140625" style="4" customWidth="1"/>
    <col min="2569" max="2809" width="9.109375" style="4"/>
    <col min="2810" max="2810" width="5.44140625" style="4" customWidth="1"/>
    <col min="2811" max="2811" width="13.6640625" style="4" customWidth="1"/>
    <col min="2812" max="2812" width="23.6640625" style="4" customWidth="1"/>
    <col min="2813" max="2813" width="14.109375" style="4" customWidth="1"/>
    <col min="2814" max="2814" width="16.109375" style="4" customWidth="1"/>
    <col min="2815" max="2815" width="14.44140625" style="4" customWidth="1"/>
    <col min="2816" max="2816" width="16.44140625" style="4" customWidth="1"/>
    <col min="2817" max="2819" width="6.33203125" style="4" customWidth="1"/>
    <col min="2820" max="2820" width="8.109375" style="4" customWidth="1"/>
    <col min="2821" max="2822" width="6.6640625" style="4" bestFit="1" customWidth="1"/>
    <col min="2823" max="2823" width="5.44140625" style="4" customWidth="1"/>
    <col min="2824" max="2824" width="13.44140625" style="4" customWidth="1"/>
    <col min="2825" max="3065" width="9.109375" style="4"/>
    <col min="3066" max="3066" width="5.44140625" style="4" customWidth="1"/>
    <col min="3067" max="3067" width="13.6640625" style="4" customWidth="1"/>
    <col min="3068" max="3068" width="23.6640625" style="4" customWidth="1"/>
    <col min="3069" max="3069" width="14.109375" style="4" customWidth="1"/>
    <col min="3070" max="3070" width="16.109375" style="4" customWidth="1"/>
    <col min="3071" max="3071" width="14.44140625" style="4" customWidth="1"/>
    <col min="3072" max="3072" width="16.44140625" style="4" customWidth="1"/>
    <col min="3073" max="3075" width="6.33203125" style="4" customWidth="1"/>
    <col min="3076" max="3076" width="8.109375" style="4" customWidth="1"/>
    <col min="3077" max="3078" width="6.6640625" style="4" bestFit="1" customWidth="1"/>
    <col min="3079" max="3079" width="5.44140625" style="4" customWidth="1"/>
    <col min="3080" max="3080" width="13.44140625" style="4" customWidth="1"/>
    <col min="3081" max="3321" width="9.109375" style="4"/>
    <col min="3322" max="3322" width="5.44140625" style="4" customWidth="1"/>
    <col min="3323" max="3323" width="13.6640625" style="4" customWidth="1"/>
    <col min="3324" max="3324" width="23.6640625" style="4" customWidth="1"/>
    <col min="3325" max="3325" width="14.109375" style="4" customWidth="1"/>
    <col min="3326" max="3326" width="16.109375" style="4" customWidth="1"/>
    <col min="3327" max="3327" width="14.44140625" style="4" customWidth="1"/>
    <col min="3328" max="3328" width="16.44140625" style="4" customWidth="1"/>
    <col min="3329" max="3331" width="6.33203125" style="4" customWidth="1"/>
    <col min="3332" max="3332" width="8.109375" style="4" customWidth="1"/>
    <col min="3333" max="3334" width="6.6640625" style="4" bestFit="1" customWidth="1"/>
    <col min="3335" max="3335" width="5.44140625" style="4" customWidth="1"/>
    <col min="3336" max="3336" width="13.44140625" style="4" customWidth="1"/>
    <col min="3337" max="3577" width="9.109375" style="4"/>
    <col min="3578" max="3578" width="5.44140625" style="4" customWidth="1"/>
    <col min="3579" max="3579" width="13.6640625" style="4" customWidth="1"/>
    <col min="3580" max="3580" width="23.6640625" style="4" customWidth="1"/>
    <col min="3581" max="3581" width="14.109375" style="4" customWidth="1"/>
    <col min="3582" max="3582" width="16.109375" style="4" customWidth="1"/>
    <col min="3583" max="3583" width="14.44140625" style="4" customWidth="1"/>
    <col min="3584" max="3584" width="16.44140625" style="4" customWidth="1"/>
    <col min="3585" max="3587" width="6.33203125" style="4" customWidth="1"/>
    <col min="3588" max="3588" width="8.109375" style="4" customWidth="1"/>
    <col min="3589" max="3590" width="6.6640625" style="4" bestFit="1" customWidth="1"/>
    <col min="3591" max="3591" width="5.44140625" style="4" customWidth="1"/>
    <col min="3592" max="3592" width="13.44140625" style="4" customWidth="1"/>
    <col min="3593" max="3833" width="9.109375" style="4"/>
    <col min="3834" max="3834" width="5.44140625" style="4" customWidth="1"/>
    <col min="3835" max="3835" width="13.6640625" style="4" customWidth="1"/>
    <col min="3836" max="3836" width="23.6640625" style="4" customWidth="1"/>
    <col min="3837" max="3837" width="14.109375" style="4" customWidth="1"/>
    <col min="3838" max="3838" width="16.109375" style="4" customWidth="1"/>
    <col min="3839" max="3839" width="14.44140625" style="4" customWidth="1"/>
    <col min="3840" max="3840" width="16.44140625" style="4" customWidth="1"/>
    <col min="3841" max="3843" width="6.33203125" style="4" customWidth="1"/>
    <col min="3844" max="3844" width="8.109375" style="4" customWidth="1"/>
    <col min="3845" max="3846" width="6.6640625" style="4" bestFit="1" customWidth="1"/>
    <col min="3847" max="3847" width="5.44140625" style="4" customWidth="1"/>
    <col min="3848" max="3848" width="13.44140625" style="4" customWidth="1"/>
    <col min="3849" max="4089" width="9.109375" style="4"/>
    <col min="4090" max="4090" width="5.44140625" style="4" customWidth="1"/>
    <col min="4091" max="4091" width="13.6640625" style="4" customWidth="1"/>
    <col min="4092" max="4092" width="23.6640625" style="4" customWidth="1"/>
    <col min="4093" max="4093" width="14.109375" style="4" customWidth="1"/>
    <col min="4094" max="4094" width="16.109375" style="4" customWidth="1"/>
    <col min="4095" max="4095" width="14.44140625" style="4" customWidth="1"/>
    <col min="4096" max="4096" width="16.44140625" style="4" customWidth="1"/>
    <col min="4097" max="4099" width="6.33203125" style="4" customWidth="1"/>
    <col min="4100" max="4100" width="8.109375" style="4" customWidth="1"/>
    <col min="4101" max="4102" width="6.6640625" style="4" bestFit="1" customWidth="1"/>
    <col min="4103" max="4103" width="5.44140625" style="4" customWidth="1"/>
    <col min="4104" max="4104" width="13.44140625" style="4" customWidth="1"/>
    <col min="4105" max="4345" width="9.109375" style="4"/>
    <col min="4346" max="4346" width="5.44140625" style="4" customWidth="1"/>
    <col min="4347" max="4347" width="13.6640625" style="4" customWidth="1"/>
    <col min="4348" max="4348" width="23.6640625" style="4" customWidth="1"/>
    <col min="4349" max="4349" width="14.109375" style="4" customWidth="1"/>
    <col min="4350" max="4350" width="16.109375" style="4" customWidth="1"/>
    <col min="4351" max="4351" width="14.44140625" style="4" customWidth="1"/>
    <col min="4352" max="4352" width="16.44140625" style="4" customWidth="1"/>
    <col min="4353" max="4355" width="6.33203125" style="4" customWidth="1"/>
    <col min="4356" max="4356" width="8.109375" style="4" customWidth="1"/>
    <col min="4357" max="4358" width="6.6640625" style="4" bestFit="1" customWidth="1"/>
    <col min="4359" max="4359" width="5.44140625" style="4" customWidth="1"/>
    <col min="4360" max="4360" width="13.44140625" style="4" customWidth="1"/>
    <col min="4361" max="4601" width="9.109375" style="4"/>
    <col min="4602" max="4602" width="5.44140625" style="4" customWidth="1"/>
    <col min="4603" max="4603" width="13.6640625" style="4" customWidth="1"/>
    <col min="4604" max="4604" width="23.6640625" style="4" customWidth="1"/>
    <col min="4605" max="4605" width="14.109375" style="4" customWidth="1"/>
    <col min="4606" max="4606" width="16.109375" style="4" customWidth="1"/>
    <col min="4607" max="4607" width="14.44140625" style="4" customWidth="1"/>
    <col min="4608" max="4608" width="16.44140625" style="4" customWidth="1"/>
    <col min="4609" max="4611" width="6.33203125" style="4" customWidth="1"/>
    <col min="4612" max="4612" width="8.109375" style="4" customWidth="1"/>
    <col min="4613" max="4614" width="6.6640625" style="4" bestFit="1" customWidth="1"/>
    <col min="4615" max="4615" width="5.44140625" style="4" customWidth="1"/>
    <col min="4616" max="4616" width="13.44140625" style="4" customWidth="1"/>
    <col min="4617" max="4857" width="9.109375" style="4"/>
    <col min="4858" max="4858" width="5.44140625" style="4" customWidth="1"/>
    <col min="4859" max="4859" width="13.6640625" style="4" customWidth="1"/>
    <col min="4860" max="4860" width="23.6640625" style="4" customWidth="1"/>
    <col min="4861" max="4861" width="14.109375" style="4" customWidth="1"/>
    <col min="4862" max="4862" width="16.109375" style="4" customWidth="1"/>
    <col min="4863" max="4863" width="14.44140625" style="4" customWidth="1"/>
    <col min="4864" max="4864" width="16.44140625" style="4" customWidth="1"/>
    <col min="4865" max="4867" width="6.33203125" style="4" customWidth="1"/>
    <col min="4868" max="4868" width="8.109375" style="4" customWidth="1"/>
    <col min="4869" max="4870" width="6.6640625" style="4" bestFit="1" customWidth="1"/>
    <col min="4871" max="4871" width="5.44140625" style="4" customWidth="1"/>
    <col min="4872" max="4872" width="13.44140625" style="4" customWidth="1"/>
    <col min="4873" max="5113" width="9.109375" style="4"/>
    <col min="5114" max="5114" width="5.44140625" style="4" customWidth="1"/>
    <col min="5115" max="5115" width="13.6640625" style="4" customWidth="1"/>
    <col min="5116" max="5116" width="23.6640625" style="4" customWidth="1"/>
    <col min="5117" max="5117" width="14.109375" style="4" customWidth="1"/>
    <col min="5118" max="5118" width="16.109375" style="4" customWidth="1"/>
    <col min="5119" max="5119" width="14.44140625" style="4" customWidth="1"/>
    <col min="5120" max="5120" width="16.44140625" style="4" customWidth="1"/>
    <col min="5121" max="5123" width="6.33203125" style="4" customWidth="1"/>
    <col min="5124" max="5124" width="8.109375" style="4" customWidth="1"/>
    <col min="5125" max="5126" width="6.6640625" style="4" bestFit="1" customWidth="1"/>
    <col min="5127" max="5127" width="5.44140625" style="4" customWidth="1"/>
    <col min="5128" max="5128" width="13.44140625" style="4" customWidth="1"/>
    <col min="5129" max="5369" width="9.109375" style="4"/>
    <col min="5370" max="5370" width="5.44140625" style="4" customWidth="1"/>
    <col min="5371" max="5371" width="13.6640625" style="4" customWidth="1"/>
    <col min="5372" max="5372" width="23.6640625" style="4" customWidth="1"/>
    <col min="5373" max="5373" width="14.109375" style="4" customWidth="1"/>
    <col min="5374" max="5374" width="16.109375" style="4" customWidth="1"/>
    <col min="5375" max="5375" width="14.44140625" style="4" customWidth="1"/>
    <col min="5376" max="5376" width="16.44140625" style="4" customWidth="1"/>
    <col min="5377" max="5379" width="6.33203125" style="4" customWidth="1"/>
    <col min="5380" max="5380" width="8.109375" style="4" customWidth="1"/>
    <col min="5381" max="5382" width="6.6640625" style="4" bestFit="1" customWidth="1"/>
    <col min="5383" max="5383" width="5.44140625" style="4" customWidth="1"/>
    <col min="5384" max="5384" width="13.44140625" style="4" customWidth="1"/>
    <col min="5385" max="5625" width="9.109375" style="4"/>
    <col min="5626" max="5626" width="5.44140625" style="4" customWidth="1"/>
    <col min="5627" max="5627" width="13.6640625" style="4" customWidth="1"/>
    <col min="5628" max="5628" width="23.6640625" style="4" customWidth="1"/>
    <col min="5629" max="5629" width="14.109375" style="4" customWidth="1"/>
    <col min="5630" max="5630" width="16.109375" style="4" customWidth="1"/>
    <col min="5631" max="5631" width="14.44140625" style="4" customWidth="1"/>
    <col min="5632" max="5632" width="16.44140625" style="4" customWidth="1"/>
    <col min="5633" max="5635" width="6.33203125" style="4" customWidth="1"/>
    <col min="5636" max="5636" width="8.109375" style="4" customWidth="1"/>
    <col min="5637" max="5638" width="6.6640625" style="4" bestFit="1" customWidth="1"/>
    <col min="5639" max="5639" width="5.44140625" style="4" customWidth="1"/>
    <col min="5640" max="5640" width="13.44140625" style="4" customWidth="1"/>
    <col min="5641" max="5881" width="9.109375" style="4"/>
    <col min="5882" max="5882" width="5.44140625" style="4" customWidth="1"/>
    <col min="5883" max="5883" width="13.6640625" style="4" customWidth="1"/>
    <col min="5884" max="5884" width="23.6640625" style="4" customWidth="1"/>
    <col min="5885" max="5885" width="14.109375" style="4" customWidth="1"/>
    <col min="5886" max="5886" width="16.109375" style="4" customWidth="1"/>
    <col min="5887" max="5887" width="14.44140625" style="4" customWidth="1"/>
    <col min="5888" max="5888" width="16.44140625" style="4" customWidth="1"/>
    <col min="5889" max="5891" width="6.33203125" style="4" customWidth="1"/>
    <col min="5892" max="5892" width="8.109375" style="4" customWidth="1"/>
    <col min="5893" max="5894" width="6.6640625" style="4" bestFit="1" customWidth="1"/>
    <col min="5895" max="5895" width="5.44140625" style="4" customWidth="1"/>
    <col min="5896" max="5896" width="13.44140625" style="4" customWidth="1"/>
    <col min="5897" max="6137" width="9.109375" style="4"/>
    <col min="6138" max="6138" width="5.44140625" style="4" customWidth="1"/>
    <col min="6139" max="6139" width="13.6640625" style="4" customWidth="1"/>
    <col min="6140" max="6140" width="23.6640625" style="4" customWidth="1"/>
    <col min="6141" max="6141" width="14.109375" style="4" customWidth="1"/>
    <col min="6142" max="6142" width="16.109375" style="4" customWidth="1"/>
    <col min="6143" max="6143" width="14.44140625" style="4" customWidth="1"/>
    <col min="6144" max="6144" width="16.44140625" style="4" customWidth="1"/>
    <col min="6145" max="6147" width="6.33203125" style="4" customWidth="1"/>
    <col min="6148" max="6148" width="8.109375" style="4" customWidth="1"/>
    <col min="6149" max="6150" width="6.6640625" style="4" bestFit="1" customWidth="1"/>
    <col min="6151" max="6151" width="5.44140625" style="4" customWidth="1"/>
    <col min="6152" max="6152" width="13.44140625" style="4" customWidth="1"/>
    <col min="6153" max="6393" width="9.109375" style="4"/>
    <col min="6394" max="6394" width="5.44140625" style="4" customWidth="1"/>
    <col min="6395" max="6395" width="13.6640625" style="4" customWidth="1"/>
    <col min="6396" max="6396" width="23.6640625" style="4" customWidth="1"/>
    <col min="6397" max="6397" width="14.109375" style="4" customWidth="1"/>
    <col min="6398" max="6398" width="16.109375" style="4" customWidth="1"/>
    <col min="6399" max="6399" width="14.44140625" style="4" customWidth="1"/>
    <col min="6400" max="6400" width="16.44140625" style="4" customWidth="1"/>
    <col min="6401" max="6403" width="6.33203125" style="4" customWidth="1"/>
    <col min="6404" max="6404" width="8.109375" style="4" customWidth="1"/>
    <col min="6405" max="6406" width="6.6640625" style="4" bestFit="1" customWidth="1"/>
    <col min="6407" max="6407" width="5.44140625" style="4" customWidth="1"/>
    <col min="6408" max="6408" width="13.44140625" style="4" customWidth="1"/>
    <col min="6409" max="6649" width="9.109375" style="4"/>
    <col min="6650" max="6650" width="5.44140625" style="4" customWidth="1"/>
    <col min="6651" max="6651" width="13.6640625" style="4" customWidth="1"/>
    <col min="6652" max="6652" width="23.6640625" style="4" customWidth="1"/>
    <col min="6653" max="6653" width="14.109375" style="4" customWidth="1"/>
    <col min="6654" max="6654" width="16.109375" style="4" customWidth="1"/>
    <col min="6655" max="6655" width="14.44140625" style="4" customWidth="1"/>
    <col min="6656" max="6656" width="16.44140625" style="4" customWidth="1"/>
    <col min="6657" max="6659" width="6.33203125" style="4" customWidth="1"/>
    <col min="6660" max="6660" width="8.109375" style="4" customWidth="1"/>
    <col min="6661" max="6662" width="6.6640625" style="4" bestFit="1" customWidth="1"/>
    <col min="6663" max="6663" width="5.44140625" style="4" customWidth="1"/>
    <col min="6664" max="6664" width="13.44140625" style="4" customWidth="1"/>
    <col min="6665" max="6905" width="9.109375" style="4"/>
    <col min="6906" max="6906" width="5.44140625" style="4" customWidth="1"/>
    <col min="6907" max="6907" width="13.6640625" style="4" customWidth="1"/>
    <col min="6908" max="6908" width="23.6640625" style="4" customWidth="1"/>
    <col min="6909" max="6909" width="14.109375" style="4" customWidth="1"/>
    <col min="6910" max="6910" width="16.109375" style="4" customWidth="1"/>
    <col min="6911" max="6911" width="14.44140625" style="4" customWidth="1"/>
    <col min="6912" max="6912" width="16.44140625" style="4" customWidth="1"/>
    <col min="6913" max="6915" width="6.33203125" style="4" customWidth="1"/>
    <col min="6916" max="6916" width="8.109375" style="4" customWidth="1"/>
    <col min="6917" max="6918" width="6.6640625" style="4" bestFit="1" customWidth="1"/>
    <col min="6919" max="6919" width="5.44140625" style="4" customWidth="1"/>
    <col min="6920" max="6920" width="13.44140625" style="4" customWidth="1"/>
    <col min="6921" max="7161" width="9.109375" style="4"/>
    <col min="7162" max="7162" width="5.44140625" style="4" customWidth="1"/>
    <col min="7163" max="7163" width="13.6640625" style="4" customWidth="1"/>
    <col min="7164" max="7164" width="23.6640625" style="4" customWidth="1"/>
    <col min="7165" max="7165" width="14.109375" style="4" customWidth="1"/>
    <col min="7166" max="7166" width="16.109375" style="4" customWidth="1"/>
    <col min="7167" max="7167" width="14.44140625" style="4" customWidth="1"/>
    <col min="7168" max="7168" width="16.44140625" style="4" customWidth="1"/>
    <col min="7169" max="7171" width="6.33203125" style="4" customWidth="1"/>
    <col min="7172" max="7172" width="8.109375" style="4" customWidth="1"/>
    <col min="7173" max="7174" width="6.6640625" style="4" bestFit="1" customWidth="1"/>
    <col min="7175" max="7175" width="5.44140625" style="4" customWidth="1"/>
    <col min="7176" max="7176" width="13.44140625" style="4" customWidth="1"/>
    <col min="7177" max="7417" width="9.109375" style="4"/>
    <col min="7418" max="7418" width="5.44140625" style="4" customWidth="1"/>
    <col min="7419" max="7419" width="13.6640625" style="4" customWidth="1"/>
    <col min="7420" max="7420" width="23.6640625" style="4" customWidth="1"/>
    <col min="7421" max="7421" width="14.109375" style="4" customWidth="1"/>
    <col min="7422" max="7422" width="16.109375" style="4" customWidth="1"/>
    <col min="7423" max="7423" width="14.44140625" style="4" customWidth="1"/>
    <col min="7424" max="7424" width="16.44140625" style="4" customWidth="1"/>
    <col min="7425" max="7427" width="6.33203125" style="4" customWidth="1"/>
    <col min="7428" max="7428" width="8.109375" style="4" customWidth="1"/>
    <col min="7429" max="7430" width="6.6640625" style="4" bestFit="1" customWidth="1"/>
    <col min="7431" max="7431" width="5.44140625" style="4" customWidth="1"/>
    <col min="7432" max="7432" width="13.44140625" style="4" customWidth="1"/>
    <col min="7433" max="7673" width="9.109375" style="4"/>
    <col min="7674" max="7674" width="5.44140625" style="4" customWidth="1"/>
    <col min="7675" max="7675" width="13.6640625" style="4" customWidth="1"/>
    <col min="7676" max="7676" width="23.6640625" style="4" customWidth="1"/>
    <col min="7677" max="7677" width="14.109375" style="4" customWidth="1"/>
    <col min="7678" max="7678" width="16.109375" style="4" customWidth="1"/>
    <col min="7679" max="7679" width="14.44140625" style="4" customWidth="1"/>
    <col min="7680" max="7680" width="16.44140625" style="4" customWidth="1"/>
    <col min="7681" max="7683" width="6.33203125" style="4" customWidth="1"/>
    <col min="7684" max="7684" width="8.109375" style="4" customWidth="1"/>
    <col min="7685" max="7686" width="6.6640625" style="4" bestFit="1" customWidth="1"/>
    <col min="7687" max="7687" width="5.44140625" style="4" customWidth="1"/>
    <col min="7688" max="7688" width="13.44140625" style="4" customWidth="1"/>
    <col min="7689" max="7929" width="9.109375" style="4"/>
    <col min="7930" max="7930" width="5.44140625" style="4" customWidth="1"/>
    <col min="7931" max="7931" width="13.6640625" style="4" customWidth="1"/>
    <col min="7932" max="7932" width="23.6640625" style="4" customWidth="1"/>
    <col min="7933" max="7933" width="14.109375" style="4" customWidth="1"/>
    <col min="7934" max="7934" width="16.109375" style="4" customWidth="1"/>
    <col min="7935" max="7935" width="14.44140625" style="4" customWidth="1"/>
    <col min="7936" max="7936" width="16.44140625" style="4" customWidth="1"/>
    <col min="7937" max="7939" width="6.33203125" style="4" customWidth="1"/>
    <col min="7940" max="7940" width="8.109375" style="4" customWidth="1"/>
    <col min="7941" max="7942" width="6.6640625" style="4" bestFit="1" customWidth="1"/>
    <col min="7943" max="7943" width="5.44140625" style="4" customWidth="1"/>
    <col min="7944" max="7944" width="13.44140625" style="4" customWidth="1"/>
    <col min="7945" max="8185" width="9.109375" style="4"/>
    <col min="8186" max="8186" width="5.44140625" style="4" customWidth="1"/>
    <col min="8187" max="8187" width="13.6640625" style="4" customWidth="1"/>
    <col min="8188" max="8188" width="23.6640625" style="4" customWidth="1"/>
    <col min="8189" max="8189" width="14.109375" style="4" customWidth="1"/>
    <col min="8190" max="8190" width="16.109375" style="4" customWidth="1"/>
    <col min="8191" max="8191" width="14.44140625" style="4" customWidth="1"/>
    <col min="8192" max="8192" width="16.44140625" style="4" customWidth="1"/>
    <col min="8193" max="8195" width="6.33203125" style="4" customWidth="1"/>
    <col min="8196" max="8196" width="8.109375" style="4" customWidth="1"/>
    <col min="8197" max="8198" width="6.6640625" style="4" bestFit="1" customWidth="1"/>
    <col min="8199" max="8199" width="5.44140625" style="4" customWidth="1"/>
    <col min="8200" max="8200" width="13.44140625" style="4" customWidth="1"/>
    <col min="8201" max="8441" width="9.109375" style="4"/>
    <col min="8442" max="8442" width="5.44140625" style="4" customWidth="1"/>
    <col min="8443" max="8443" width="13.6640625" style="4" customWidth="1"/>
    <col min="8444" max="8444" width="23.6640625" style="4" customWidth="1"/>
    <col min="8445" max="8445" width="14.109375" style="4" customWidth="1"/>
    <col min="8446" max="8446" width="16.109375" style="4" customWidth="1"/>
    <col min="8447" max="8447" width="14.44140625" style="4" customWidth="1"/>
    <col min="8448" max="8448" width="16.44140625" style="4" customWidth="1"/>
    <col min="8449" max="8451" width="6.33203125" style="4" customWidth="1"/>
    <col min="8452" max="8452" width="8.109375" style="4" customWidth="1"/>
    <col min="8453" max="8454" width="6.6640625" style="4" bestFit="1" customWidth="1"/>
    <col min="8455" max="8455" width="5.44140625" style="4" customWidth="1"/>
    <col min="8456" max="8456" width="13.44140625" style="4" customWidth="1"/>
    <col min="8457" max="8697" width="9.109375" style="4"/>
    <col min="8698" max="8698" width="5.44140625" style="4" customWidth="1"/>
    <col min="8699" max="8699" width="13.6640625" style="4" customWidth="1"/>
    <col min="8700" max="8700" width="23.6640625" style="4" customWidth="1"/>
    <col min="8701" max="8701" width="14.109375" style="4" customWidth="1"/>
    <col min="8702" max="8702" width="16.109375" style="4" customWidth="1"/>
    <col min="8703" max="8703" width="14.44140625" style="4" customWidth="1"/>
    <col min="8704" max="8704" width="16.44140625" style="4" customWidth="1"/>
    <col min="8705" max="8707" width="6.33203125" style="4" customWidth="1"/>
    <col min="8708" max="8708" width="8.109375" style="4" customWidth="1"/>
    <col min="8709" max="8710" width="6.6640625" style="4" bestFit="1" customWidth="1"/>
    <col min="8711" max="8711" width="5.44140625" style="4" customWidth="1"/>
    <col min="8712" max="8712" width="13.44140625" style="4" customWidth="1"/>
    <col min="8713" max="8953" width="9.109375" style="4"/>
    <col min="8954" max="8954" width="5.44140625" style="4" customWidth="1"/>
    <col min="8955" max="8955" width="13.6640625" style="4" customWidth="1"/>
    <col min="8956" max="8956" width="23.6640625" style="4" customWidth="1"/>
    <col min="8957" max="8957" width="14.109375" style="4" customWidth="1"/>
    <col min="8958" max="8958" width="16.109375" style="4" customWidth="1"/>
    <col min="8959" max="8959" width="14.44140625" style="4" customWidth="1"/>
    <col min="8960" max="8960" width="16.44140625" style="4" customWidth="1"/>
    <col min="8961" max="8963" width="6.33203125" style="4" customWidth="1"/>
    <col min="8964" max="8964" width="8.109375" style="4" customWidth="1"/>
    <col min="8965" max="8966" width="6.6640625" style="4" bestFit="1" customWidth="1"/>
    <col min="8967" max="8967" width="5.44140625" style="4" customWidth="1"/>
    <col min="8968" max="8968" width="13.44140625" style="4" customWidth="1"/>
    <col min="8969" max="9209" width="9.109375" style="4"/>
    <col min="9210" max="9210" width="5.44140625" style="4" customWidth="1"/>
    <col min="9211" max="9211" width="13.6640625" style="4" customWidth="1"/>
    <col min="9212" max="9212" width="23.6640625" style="4" customWidth="1"/>
    <col min="9213" max="9213" width="14.109375" style="4" customWidth="1"/>
    <col min="9214" max="9214" width="16.109375" style="4" customWidth="1"/>
    <col min="9215" max="9215" width="14.44140625" style="4" customWidth="1"/>
    <col min="9216" max="9216" width="16.44140625" style="4" customWidth="1"/>
    <col min="9217" max="9219" width="6.33203125" style="4" customWidth="1"/>
    <col min="9220" max="9220" width="8.109375" style="4" customWidth="1"/>
    <col min="9221" max="9222" width="6.6640625" style="4" bestFit="1" customWidth="1"/>
    <col min="9223" max="9223" width="5.44140625" style="4" customWidth="1"/>
    <col min="9224" max="9224" width="13.44140625" style="4" customWidth="1"/>
    <col min="9225" max="9465" width="9.109375" style="4"/>
    <col min="9466" max="9466" width="5.44140625" style="4" customWidth="1"/>
    <col min="9467" max="9467" width="13.6640625" style="4" customWidth="1"/>
    <col min="9468" max="9468" width="23.6640625" style="4" customWidth="1"/>
    <col min="9469" max="9469" width="14.109375" style="4" customWidth="1"/>
    <col min="9470" max="9470" width="16.109375" style="4" customWidth="1"/>
    <col min="9471" max="9471" width="14.44140625" style="4" customWidth="1"/>
    <col min="9472" max="9472" width="16.44140625" style="4" customWidth="1"/>
    <col min="9473" max="9475" width="6.33203125" style="4" customWidth="1"/>
    <col min="9476" max="9476" width="8.109375" style="4" customWidth="1"/>
    <col min="9477" max="9478" width="6.6640625" style="4" bestFit="1" customWidth="1"/>
    <col min="9479" max="9479" width="5.44140625" style="4" customWidth="1"/>
    <col min="9480" max="9480" width="13.44140625" style="4" customWidth="1"/>
    <col min="9481" max="9721" width="9.109375" style="4"/>
    <col min="9722" max="9722" width="5.44140625" style="4" customWidth="1"/>
    <col min="9723" max="9723" width="13.6640625" style="4" customWidth="1"/>
    <col min="9724" max="9724" width="23.6640625" style="4" customWidth="1"/>
    <col min="9725" max="9725" width="14.109375" style="4" customWidth="1"/>
    <col min="9726" max="9726" width="16.109375" style="4" customWidth="1"/>
    <col min="9727" max="9727" width="14.44140625" style="4" customWidth="1"/>
    <col min="9728" max="9728" width="16.44140625" style="4" customWidth="1"/>
    <col min="9729" max="9731" width="6.33203125" style="4" customWidth="1"/>
    <col min="9732" max="9732" width="8.109375" style="4" customWidth="1"/>
    <col min="9733" max="9734" width="6.6640625" style="4" bestFit="1" customWidth="1"/>
    <col min="9735" max="9735" width="5.44140625" style="4" customWidth="1"/>
    <col min="9736" max="9736" width="13.44140625" style="4" customWidth="1"/>
    <col min="9737" max="9977" width="9.109375" style="4"/>
    <col min="9978" max="9978" width="5.44140625" style="4" customWidth="1"/>
    <col min="9979" max="9979" width="13.6640625" style="4" customWidth="1"/>
    <col min="9980" max="9980" width="23.6640625" style="4" customWidth="1"/>
    <col min="9981" max="9981" width="14.109375" style="4" customWidth="1"/>
    <col min="9982" max="9982" width="16.109375" style="4" customWidth="1"/>
    <col min="9983" max="9983" width="14.44140625" style="4" customWidth="1"/>
    <col min="9984" max="9984" width="16.44140625" style="4" customWidth="1"/>
    <col min="9985" max="9987" width="6.33203125" style="4" customWidth="1"/>
    <col min="9988" max="9988" width="8.109375" style="4" customWidth="1"/>
    <col min="9989" max="9990" width="6.6640625" style="4" bestFit="1" customWidth="1"/>
    <col min="9991" max="9991" width="5.44140625" style="4" customWidth="1"/>
    <col min="9992" max="9992" width="13.44140625" style="4" customWidth="1"/>
    <col min="9993" max="10233" width="9.109375" style="4"/>
    <col min="10234" max="10234" width="5.44140625" style="4" customWidth="1"/>
    <col min="10235" max="10235" width="13.6640625" style="4" customWidth="1"/>
    <col min="10236" max="10236" width="23.6640625" style="4" customWidth="1"/>
    <col min="10237" max="10237" width="14.109375" style="4" customWidth="1"/>
    <col min="10238" max="10238" width="16.109375" style="4" customWidth="1"/>
    <col min="10239" max="10239" width="14.44140625" style="4" customWidth="1"/>
    <col min="10240" max="10240" width="16.44140625" style="4" customWidth="1"/>
    <col min="10241" max="10243" width="6.33203125" style="4" customWidth="1"/>
    <col min="10244" max="10244" width="8.109375" style="4" customWidth="1"/>
    <col min="10245" max="10246" width="6.6640625" style="4" bestFit="1" customWidth="1"/>
    <col min="10247" max="10247" width="5.44140625" style="4" customWidth="1"/>
    <col min="10248" max="10248" width="13.44140625" style="4" customWidth="1"/>
    <col min="10249" max="10489" width="9.109375" style="4"/>
    <col min="10490" max="10490" width="5.44140625" style="4" customWidth="1"/>
    <col min="10491" max="10491" width="13.6640625" style="4" customWidth="1"/>
    <col min="10492" max="10492" width="23.6640625" style="4" customWidth="1"/>
    <col min="10493" max="10493" width="14.109375" style="4" customWidth="1"/>
    <col min="10494" max="10494" width="16.109375" style="4" customWidth="1"/>
    <col min="10495" max="10495" width="14.44140625" style="4" customWidth="1"/>
    <col min="10496" max="10496" width="16.44140625" style="4" customWidth="1"/>
    <col min="10497" max="10499" width="6.33203125" style="4" customWidth="1"/>
    <col min="10500" max="10500" width="8.109375" style="4" customWidth="1"/>
    <col min="10501" max="10502" width="6.6640625" style="4" bestFit="1" customWidth="1"/>
    <col min="10503" max="10503" width="5.44140625" style="4" customWidth="1"/>
    <col min="10504" max="10504" width="13.44140625" style="4" customWidth="1"/>
    <col min="10505" max="10745" width="9.109375" style="4"/>
    <col min="10746" max="10746" width="5.44140625" style="4" customWidth="1"/>
    <col min="10747" max="10747" width="13.6640625" style="4" customWidth="1"/>
    <col min="10748" max="10748" width="23.6640625" style="4" customWidth="1"/>
    <col min="10749" max="10749" width="14.109375" style="4" customWidth="1"/>
    <col min="10750" max="10750" width="16.109375" style="4" customWidth="1"/>
    <col min="10751" max="10751" width="14.44140625" style="4" customWidth="1"/>
    <col min="10752" max="10752" width="16.44140625" style="4" customWidth="1"/>
    <col min="10753" max="10755" width="6.33203125" style="4" customWidth="1"/>
    <col min="10756" max="10756" width="8.109375" style="4" customWidth="1"/>
    <col min="10757" max="10758" width="6.6640625" style="4" bestFit="1" customWidth="1"/>
    <col min="10759" max="10759" width="5.44140625" style="4" customWidth="1"/>
    <col min="10760" max="10760" width="13.44140625" style="4" customWidth="1"/>
    <col min="10761" max="11001" width="9.109375" style="4"/>
    <col min="11002" max="11002" width="5.44140625" style="4" customWidth="1"/>
    <col min="11003" max="11003" width="13.6640625" style="4" customWidth="1"/>
    <col min="11004" max="11004" width="23.6640625" style="4" customWidth="1"/>
    <col min="11005" max="11005" width="14.109375" style="4" customWidth="1"/>
    <col min="11006" max="11006" width="16.109375" style="4" customWidth="1"/>
    <col min="11007" max="11007" width="14.44140625" style="4" customWidth="1"/>
    <col min="11008" max="11008" width="16.44140625" style="4" customWidth="1"/>
    <col min="11009" max="11011" width="6.33203125" style="4" customWidth="1"/>
    <col min="11012" max="11012" width="8.109375" style="4" customWidth="1"/>
    <col min="11013" max="11014" width="6.6640625" style="4" bestFit="1" customWidth="1"/>
    <col min="11015" max="11015" width="5.44140625" style="4" customWidth="1"/>
    <col min="11016" max="11016" width="13.44140625" style="4" customWidth="1"/>
    <col min="11017" max="11257" width="9.109375" style="4"/>
    <col min="11258" max="11258" width="5.44140625" style="4" customWidth="1"/>
    <col min="11259" max="11259" width="13.6640625" style="4" customWidth="1"/>
    <col min="11260" max="11260" width="23.6640625" style="4" customWidth="1"/>
    <col min="11261" max="11261" width="14.109375" style="4" customWidth="1"/>
    <col min="11262" max="11262" width="16.109375" style="4" customWidth="1"/>
    <col min="11263" max="11263" width="14.44140625" style="4" customWidth="1"/>
    <col min="11264" max="11264" width="16.44140625" style="4" customWidth="1"/>
    <col min="11265" max="11267" width="6.33203125" style="4" customWidth="1"/>
    <col min="11268" max="11268" width="8.109375" style="4" customWidth="1"/>
    <col min="11269" max="11270" width="6.6640625" style="4" bestFit="1" customWidth="1"/>
    <col min="11271" max="11271" width="5.44140625" style="4" customWidth="1"/>
    <col min="11272" max="11272" width="13.44140625" style="4" customWidth="1"/>
    <col min="11273" max="11513" width="9.109375" style="4"/>
    <col min="11514" max="11514" width="5.44140625" style="4" customWidth="1"/>
    <col min="11515" max="11515" width="13.6640625" style="4" customWidth="1"/>
    <col min="11516" max="11516" width="23.6640625" style="4" customWidth="1"/>
    <col min="11517" max="11517" width="14.109375" style="4" customWidth="1"/>
    <col min="11518" max="11518" width="16.109375" style="4" customWidth="1"/>
    <col min="11519" max="11519" width="14.44140625" style="4" customWidth="1"/>
    <col min="11520" max="11520" width="16.44140625" style="4" customWidth="1"/>
    <col min="11521" max="11523" width="6.33203125" style="4" customWidth="1"/>
    <col min="11524" max="11524" width="8.109375" style="4" customWidth="1"/>
    <col min="11525" max="11526" width="6.6640625" style="4" bestFit="1" customWidth="1"/>
    <col min="11527" max="11527" width="5.44140625" style="4" customWidth="1"/>
    <col min="11528" max="11528" width="13.44140625" style="4" customWidth="1"/>
    <col min="11529" max="11769" width="9.109375" style="4"/>
    <col min="11770" max="11770" width="5.44140625" style="4" customWidth="1"/>
    <col min="11771" max="11771" width="13.6640625" style="4" customWidth="1"/>
    <col min="11772" max="11772" width="23.6640625" style="4" customWidth="1"/>
    <col min="11773" max="11773" width="14.109375" style="4" customWidth="1"/>
    <col min="11774" max="11774" width="16.109375" style="4" customWidth="1"/>
    <col min="11775" max="11775" width="14.44140625" style="4" customWidth="1"/>
    <col min="11776" max="11776" width="16.44140625" style="4" customWidth="1"/>
    <col min="11777" max="11779" width="6.33203125" style="4" customWidth="1"/>
    <col min="11780" max="11780" width="8.109375" style="4" customWidth="1"/>
    <col min="11781" max="11782" width="6.6640625" style="4" bestFit="1" customWidth="1"/>
    <col min="11783" max="11783" width="5.44140625" style="4" customWidth="1"/>
    <col min="11784" max="11784" width="13.44140625" style="4" customWidth="1"/>
    <col min="11785" max="12025" width="9.109375" style="4"/>
    <col min="12026" max="12026" width="5.44140625" style="4" customWidth="1"/>
    <col min="12027" max="12027" width="13.6640625" style="4" customWidth="1"/>
    <col min="12028" max="12028" width="23.6640625" style="4" customWidth="1"/>
    <col min="12029" max="12029" width="14.109375" style="4" customWidth="1"/>
    <col min="12030" max="12030" width="16.109375" style="4" customWidth="1"/>
    <col min="12031" max="12031" width="14.44140625" style="4" customWidth="1"/>
    <col min="12032" max="12032" width="16.44140625" style="4" customWidth="1"/>
    <col min="12033" max="12035" width="6.33203125" style="4" customWidth="1"/>
    <col min="12036" max="12036" width="8.109375" style="4" customWidth="1"/>
    <col min="12037" max="12038" width="6.6640625" style="4" bestFit="1" customWidth="1"/>
    <col min="12039" max="12039" width="5.44140625" style="4" customWidth="1"/>
    <col min="12040" max="12040" width="13.44140625" style="4" customWidth="1"/>
    <col min="12041" max="12281" width="9.109375" style="4"/>
    <col min="12282" max="12282" width="5.44140625" style="4" customWidth="1"/>
    <col min="12283" max="12283" width="13.6640625" style="4" customWidth="1"/>
    <col min="12284" max="12284" width="23.6640625" style="4" customWidth="1"/>
    <col min="12285" max="12285" width="14.109375" style="4" customWidth="1"/>
    <col min="12286" max="12286" width="16.109375" style="4" customWidth="1"/>
    <col min="12287" max="12287" width="14.44140625" style="4" customWidth="1"/>
    <col min="12288" max="12288" width="16.44140625" style="4" customWidth="1"/>
    <col min="12289" max="12291" width="6.33203125" style="4" customWidth="1"/>
    <col min="12292" max="12292" width="8.109375" style="4" customWidth="1"/>
    <col min="12293" max="12294" width="6.6640625" style="4" bestFit="1" customWidth="1"/>
    <col min="12295" max="12295" width="5.44140625" style="4" customWidth="1"/>
    <col min="12296" max="12296" width="13.44140625" style="4" customWidth="1"/>
    <col min="12297" max="12537" width="9.109375" style="4"/>
    <col min="12538" max="12538" width="5.44140625" style="4" customWidth="1"/>
    <col min="12539" max="12539" width="13.6640625" style="4" customWidth="1"/>
    <col min="12540" max="12540" width="23.6640625" style="4" customWidth="1"/>
    <col min="12541" max="12541" width="14.109375" style="4" customWidth="1"/>
    <col min="12542" max="12542" width="16.109375" style="4" customWidth="1"/>
    <col min="12543" max="12543" width="14.44140625" style="4" customWidth="1"/>
    <col min="12544" max="12544" width="16.44140625" style="4" customWidth="1"/>
    <col min="12545" max="12547" width="6.33203125" style="4" customWidth="1"/>
    <col min="12548" max="12548" width="8.109375" style="4" customWidth="1"/>
    <col min="12549" max="12550" width="6.6640625" style="4" bestFit="1" customWidth="1"/>
    <col min="12551" max="12551" width="5.44140625" style="4" customWidth="1"/>
    <col min="12552" max="12552" width="13.44140625" style="4" customWidth="1"/>
    <col min="12553" max="12793" width="9.109375" style="4"/>
    <col min="12794" max="12794" width="5.44140625" style="4" customWidth="1"/>
    <col min="12795" max="12795" width="13.6640625" style="4" customWidth="1"/>
    <col min="12796" max="12796" width="23.6640625" style="4" customWidth="1"/>
    <col min="12797" max="12797" width="14.109375" style="4" customWidth="1"/>
    <col min="12798" max="12798" width="16.109375" style="4" customWidth="1"/>
    <col min="12799" max="12799" width="14.44140625" style="4" customWidth="1"/>
    <col min="12800" max="12800" width="16.44140625" style="4" customWidth="1"/>
    <col min="12801" max="12803" width="6.33203125" style="4" customWidth="1"/>
    <col min="12804" max="12804" width="8.109375" style="4" customWidth="1"/>
    <col min="12805" max="12806" width="6.6640625" style="4" bestFit="1" customWidth="1"/>
    <col min="12807" max="12807" width="5.44140625" style="4" customWidth="1"/>
    <col min="12808" max="12808" width="13.44140625" style="4" customWidth="1"/>
    <col min="12809" max="13049" width="9.109375" style="4"/>
    <col min="13050" max="13050" width="5.44140625" style="4" customWidth="1"/>
    <col min="13051" max="13051" width="13.6640625" style="4" customWidth="1"/>
    <col min="13052" max="13052" width="23.6640625" style="4" customWidth="1"/>
    <col min="13053" max="13053" width="14.109375" style="4" customWidth="1"/>
    <col min="13054" max="13054" width="16.109375" style="4" customWidth="1"/>
    <col min="13055" max="13055" width="14.44140625" style="4" customWidth="1"/>
    <col min="13056" max="13056" width="16.44140625" style="4" customWidth="1"/>
    <col min="13057" max="13059" width="6.33203125" style="4" customWidth="1"/>
    <col min="13060" max="13060" width="8.109375" style="4" customWidth="1"/>
    <col min="13061" max="13062" width="6.6640625" style="4" bestFit="1" customWidth="1"/>
    <col min="13063" max="13063" width="5.44140625" style="4" customWidth="1"/>
    <col min="13064" max="13064" width="13.44140625" style="4" customWidth="1"/>
    <col min="13065" max="13305" width="9.109375" style="4"/>
    <col min="13306" max="13306" width="5.44140625" style="4" customWidth="1"/>
    <col min="13307" max="13307" width="13.6640625" style="4" customWidth="1"/>
    <col min="13308" max="13308" width="23.6640625" style="4" customWidth="1"/>
    <col min="13309" max="13309" width="14.109375" style="4" customWidth="1"/>
    <col min="13310" max="13310" width="16.109375" style="4" customWidth="1"/>
    <col min="13311" max="13311" width="14.44140625" style="4" customWidth="1"/>
    <col min="13312" max="13312" width="16.44140625" style="4" customWidth="1"/>
    <col min="13313" max="13315" width="6.33203125" style="4" customWidth="1"/>
    <col min="13316" max="13316" width="8.109375" style="4" customWidth="1"/>
    <col min="13317" max="13318" width="6.6640625" style="4" bestFit="1" customWidth="1"/>
    <col min="13319" max="13319" width="5.44140625" style="4" customWidth="1"/>
    <col min="13320" max="13320" width="13.44140625" style="4" customWidth="1"/>
    <col min="13321" max="13561" width="9.109375" style="4"/>
    <col min="13562" max="13562" width="5.44140625" style="4" customWidth="1"/>
    <col min="13563" max="13563" width="13.6640625" style="4" customWidth="1"/>
    <col min="13564" max="13564" width="23.6640625" style="4" customWidth="1"/>
    <col min="13565" max="13565" width="14.109375" style="4" customWidth="1"/>
    <col min="13566" max="13566" width="16.109375" style="4" customWidth="1"/>
    <col min="13567" max="13567" width="14.44140625" style="4" customWidth="1"/>
    <col min="13568" max="13568" width="16.44140625" style="4" customWidth="1"/>
    <col min="13569" max="13571" width="6.33203125" style="4" customWidth="1"/>
    <col min="13572" max="13572" width="8.109375" style="4" customWidth="1"/>
    <col min="13573" max="13574" width="6.6640625" style="4" bestFit="1" customWidth="1"/>
    <col min="13575" max="13575" width="5.44140625" style="4" customWidth="1"/>
    <col min="13576" max="13576" width="13.44140625" style="4" customWidth="1"/>
    <col min="13577" max="13817" width="9.109375" style="4"/>
    <col min="13818" max="13818" width="5.44140625" style="4" customWidth="1"/>
    <col min="13819" max="13819" width="13.6640625" style="4" customWidth="1"/>
    <col min="13820" max="13820" width="23.6640625" style="4" customWidth="1"/>
    <col min="13821" max="13821" width="14.109375" style="4" customWidth="1"/>
    <col min="13822" max="13822" width="16.109375" style="4" customWidth="1"/>
    <col min="13823" max="13823" width="14.44140625" style="4" customWidth="1"/>
    <col min="13824" max="13824" width="16.44140625" style="4" customWidth="1"/>
    <col min="13825" max="13827" width="6.33203125" style="4" customWidth="1"/>
    <col min="13828" max="13828" width="8.109375" style="4" customWidth="1"/>
    <col min="13829" max="13830" width="6.6640625" style="4" bestFit="1" customWidth="1"/>
    <col min="13831" max="13831" width="5.44140625" style="4" customWidth="1"/>
    <col min="13832" max="13832" width="13.44140625" style="4" customWidth="1"/>
    <col min="13833" max="14073" width="9.109375" style="4"/>
    <col min="14074" max="14074" width="5.44140625" style="4" customWidth="1"/>
    <col min="14075" max="14075" width="13.6640625" style="4" customWidth="1"/>
    <col min="14076" max="14076" width="23.6640625" style="4" customWidth="1"/>
    <col min="14077" max="14077" width="14.109375" style="4" customWidth="1"/>
    <col min="14078" max="14078" width="16.109375" style="4" customWidth="1"/>
    <col min="14079" max="14079" width="14.44140625" style="4" customWidth="1"/>
    <col min="14080" max="14080" width="16.44140625" style="4" customWidth="1"/>
    <col min="14081" max="14083" width="6.33203125" style="4" customWidth="1"/>
    <col min="14084" max="14084" width="8.109375" style="4" customWidth="1"/>
    <col min="14085" max="14086" width="6.6640625" style="4" bestFit="1" customWidth="1"/>
    <col min="14087" max="14087" width="5.44140625" style="4" customWidth="1"/>
    <col min="14088" max="14088" width="13.44140625" style="4" customWidth="1"/>
    <col min="14089" max="14329" width="9.109375" style="4"/>
    <col min="14330" max="14330" width="5.44140625" style="4" customWidth="1"/>
    <col min="14331" max="14331" width="13.6640625" style="4" customWidth="1"/>
    <col min="14332" max="14332" width="23.6640625" style="4" customWidth="1"/>
    <col min="14333" max="14333" width="14.109375" style="4" customWidth="1"/>
    <col min="14334" max="14334" width="16.109375" style="4" customWidth="1"/>
    <col min="14335" max="14335" width="14.44140625" style="4" customWidth="1"/>
    <col min="14336" max="14336" width="16.44140625" style="4" customWidth="1"/>
    <col min="14337" max="14339" width="6.33203125" style="4" customWidth="1"/>
    <col min="14340" max="14340" width="8.109375" style="4" customWidth="1"/>
    <col min="14341" max="14342" width="6.6640625" style="4" bestFit="1" customWidth="1"/>
    <col min="14343" max="14343" width="5.44140625" style="4" customWidth="1"/>
    <col min="14344" max="14344" width="13.44140625" style="4" customWidth="1"/>
    <col min="14345" max="14585" width="9.109375" style="4"/>
    <col min="14586" max="14586" width="5.44140625" style="4" customWidth="1"/>
    <col min="14587" max="14587" width="13.6640625" style="4" customWidth="1"/>
    <col min="14588" max="14588" width="23.6640625" style="4" customWidth="1"/>
    <col min="14589" max="14589" width="14.109375" style="4" customWidth="1"/>
    <col min="14590" max="14590" width="16.109375" style="4" customWidth="1"/>
    <col min="14591" max="14591" width="14.44140625" style="4" customWidth="1"/>
    <col min="14592" max="14592" width="16.44140625" style="4" customWidth="1"/>
    <col min="14593" max="14595" width="6.33203125" style="4" customWidth="1"/>
    <col min="14596" max="14596" width="8.109375" style="4" customWidth="1"/>
    <col min="14597" max="14598" width="6.6640625" style="4" bestFit="1" customWidth="1"/>
    <col min="14599" max="14599" width="5.44140625" style="4" customWidth="1"/>
    <col min="14600" max="14600" width="13.44140625" style="4" customWidth="1"/>
    <col min="14601" max="14841" width="9.109375" style="4"/>
    <col min="14842" max="14842" width="5.44140625" style="4" customWidth="1"/>
    <col min="14843" max="14843" width="13.6640625" style="4" customWidth="1"/>
    <col min="14844" max="14844" width="23.6640625" style="4" customWidth="1"/>
    <col min="14845" max="14845" width="14.109375" style="4" customWidth="1"/>
    <col min="14846" max="14846" width="16.109375" style="4" customWidth="1"/>
    <col min="14847" max="14847" width="14.44140625" style="4" customWidth="1"/>
    <col min="14848" max="14848" width="16.44140625" style="4" customWidth="1"/>
    <col min="14849" max="14851" width="6.33203125" style="4" customWidth="1"/>
    <col min="14852" max="14852" width="8.109375" style="4" customWidth="1"/>
    <col min="14853" max="14854" width="6.6640625" style="4" bestFit="1" customWidth="1"/>
    <col min="14855" max="14855" width="5.44140625" style="4" customWidth="1"/>
    <col min="14856" max="14856" width="13.44140625" style="4" customWidth="1"/>
    <col min="14857" max="15097" width="9.109375" style="4"/>
    <col min="15098" max="15098" width="5.44140625" style="4" customWidth="1"/>
    <col min="15099" max="15099" width="13.6640625" style="4" customWidth="1"/>
    <col min="15100" max="15100" width="23.6640625" style="4" customWidth="1"/>
    <col min="15101" max="15101" width="14.109375" style="4" customWidth="1"/>
    <col min="15102" max="15102" width="16.109375" style="4" customWidth="1"/>
    <col min="15103" max="15103" width="14.44140625" style="4" customWidth="1"/>
    <col min="15104" max="15104" width="16.44140625" style="4" customWidth="1"/>
    <col min="15105" max="15107" width="6.33203125" style="4" customWidth="1"/>
    <col min="15108" max="15108" width="8.109375" style="4" customWidth="1"/>
    <col min="15109" max="15110" width="6.6640625" style="4" bestFit="1" customWidth="1"/>
    <col min="15111" max="15111" width="5.44140625" style="4" customWidth="1"/>
    <col min="15112" max="15112" width="13.44140625" style="4" customWidth="1"/>
    <col min="15113" max="15353" width="9.109375" style="4"/>
    <col min="15354" max="15354" width="5.44140625" style="4" customWidth="1"/>
    <col min="15355" max="15355" width="13.6640625" style="4" customWidth="1"/>
    <col min="15356" max="15356" width="23.6640625" style="4" customWidth="1"/>
    <col min="15357" max="15357" width="14.109375" style="4" customWidth="1"/>
    <col min="15358" max="15358" width="16.109375" style="4" customWidth="1"/>
    <col min="15359" max="15359" width="14.44140625" style="4" customWidth="1"/>
    <col min="15360" max="15360" width="16.44140625" style="4" customWidth="1"/>
    <col min="15361" max="15363" width="6.33203125" style="4" customWidth="1"/>
    <col min="15364" max="15364" width="8.109375" style="4" customWidth="1"/>
    <col min="15365" max="15366" width="6.6640625" style="4" bestFit="1" customWidth="1"/>
    <col min="15367" max="15367" width="5.44140625" style="4" customWidth="1"/>
    <col min="15368" max="15368" width="13.44140625" style="4" customWidth="1"/>
    <col min="15369" max="15609" width="9.109375" style="4"/>
    <col min="15610" max="15610" width="5.44140625" style="4" customWidth="1"/>
    <col min="15611" max="15611" width="13.6640625" style="4" customWidth="1"/>
    <col min="15612" max="15612" width="23.6640625" style="4" customWidth="1"/>
    <col min="15613" max="15613" width="14.109375" style="4" customWidth="1"/>
    <col min="15614" max="15614" width="16.109375" style="4" customWidth="1"/>
    <col min="15615" max="15615" width="14.44140625" style="4" customWidth="1"/>
    <col min="15616" max="15616" width="16.44140625" style="4" customWidth="1"/>
    <col min="15617" max="15619" width="6.33203125" style="4" customWidth="1"/>
    <col min="15620" max="15620" width="8.109375" style="4" customWidth="1"/>
    <col min="15621" max="15622" width="6.6640625" style="4" bestFit="1" customWidth="1"/>
    <col min="15623" max="15623" width="5.44140625" style="4" customWidth="1"/>
    <col min="15624" max="15624" width="13.44140625" style="4" customWidth="1"/>
    <col min="15625" max="15865" width="9.109375" style="4"/>
    <col min="15866" max="15866" width="5.44140625" style="4" customWidth="1"/>
    <col min="15867" max="15867" width="13.6640625" style="4" customWidth="1"/>
    <col min="15868" max="15868" width="23.6640625" style="4" customWidth="1"/>
    <col min="15869" max="15869" width="14.109375" style="4" customWidth="1"/>
    <col min="15870" max="15870" width="16.109375" style="4" customWidth="1"/>
    <col min="15871" max="15871" width="14.44140625" style="4" customWidth="1"/>
    <col min="15872" max="15872" width="16.44140625" style="4" customWidth="1"/>
    <col min="15873" max="15875" width="6.33203125" style="4" customWidth="1"/>
    <col min="15876" max="15876" width="8.109375" style="4" customWidth="1"/>
    <col min="15877" max="15878" width="6.6640625" style="4" bestFit="1" customWidth="1"/>
    <col min="15879" max="15879" width="5.44140625" style="4" customWidth="1"/>
    <col min="15880" max="15880" width="13.44140625" style="4" customWidth="1"/>
    <col min="15881" max="16121" width="9.109375" style="4"/>
    <col min="16122" max="16122" width="5.44140625" style="4" customWidth="1"/>
    <col min="16123" max="16123" width="13.6640625" style="4" customWidth="1"/>
    <col min="16124" max="16124" width="23.6640625" style="4" customWidth="1"/>
    <col min="16125" max="16125" width="14.109375" style="4" customWidth="1"/>
    <col min="16126" max="16126" width="16.109375" style="4" customWidth="1"/>
    <col min="16127" max="16127" width="14.44140625" style="4" customWidth="1"/>
    <col min="16128" max="16128" width="16.44140625" style="4" customWidth="1"/>
    <col min="16129" max="16131" width="6.33203125" style="4" customWidth="1"/>
    <col min="16132" max="16132" width="8.109375" style="4" customWidth="1"/>
    <col min="16133" max="16134" width="6.6640625" style="4" bestFit="1" customWidth="1"/>
    <col min="16135" max="16135" width="5.44140625" style="4" customWidth="1"/>
    <col min="16136" max="16136" width="13.44140625" style="4" customWidth="1"/>
    <col min="16137" max="16384" width="9.109375" style="4"/>
  </cols>
  <sheetData>
    <row r="1" spans="1:26" ht="15.6">
      <c r="J1" s="29" t="s">
        <v>38</v>
      </c>
      <c r="K1" s="30"/>
      <c r="L1" s="31"/>
      <c r="M1" s="1"/>
      <c r="N1" s="36"/>
      <c r="O1" s="2"/>
      <c r="P1" s="36"/>
      <c r="Q1" s="28" t="s">
        <v>3</v>
      </c>
    </row>
    <row r="2" spans="1:26" ht="15.6">
      <c r="A2" s="29" t="s">
        <v>38</v>
      </c>
      <c r="B2" s="30"/>
      <c r="C2" s="31"/>
      <c r="D2" s="1"/>
      <c r="E2" s="36"/>
      <c r="F2" s="2"/>
      <c r="G2" s="36"/>
      <c r="H2" s="28" t="s">
        <v>3</v>
      </c>
      <c r="J2" s="88" t="s">
        <v>56</v>
      </c>
      <c r="K2" s="88"/>
      <c r="L2" s="88"/>
      <c r="M2" s="88"/>
      <c r="N2" s="88"/>
      <c r="O2" s="88"/>
      <c r="P2" s="88"/>
      <c r="Q2" s="89"/>
      <c r="S2" s="88" t="s">
        <v>55</v>
      </c>
      <c r="T2" s="88"/>
      <c r="U2" s="88"/>
      <c r="V2" s="88"/>
      <c r="W2" s="88"/>
      <c r="X2" s="88"/>
      <c r="Y2" s="88"/>
      <c r="Z2" s="89"/>
    </row>
    <row r="3" spans="1:26" ht="15.6">
      <c r="A3" s="88" t="s">
        <v>39</v>
      </c>
      <c r="B3" s="88"/>
      <c r="C3" s="88"/>
      <c r="D3" s="88"/>
      <c r="E3" s="88"/>
      <c r="F3" s="88"/>
      <c r="G3" s="88"/>
      <c r="H3" s="89"/>
      <c r="J3" s="90" t="s">
        <v>4</v>
      </c>
      <c r="K3" s="91"/>
      <c r="L3" s="91"/>
      <c r="M3" s="91"/>
      <c r="N3" s="91"/>
      <c r="O3" s="91"/>
      <c r="P3" s="91"/>
      <c r="Q3" s="92"/>
      <c r="S3" s="90" t="s">
        <v>4</v>
      </c>
      <c r="T3" s="91"/>
      <c r="U3" s="91"/>
      <c r="V3" s="91"/>
      <c r="W3" s="91"/>
      <c r="X3" s="91"/>
      <c r="Y3" s="91"/>
      <c r="Z3" s="92"/>
    </row>
    <row r="4" spans="1:26" ht="15.6">
      <c r="A4" s="90" t="s">
        <v>4</v>
      </c>
      <c r="B4" s="91"/>
      <c r="C4" s="91"/>
      <c r="D4" s="91"/>
      <c r="E4" s="91"/>
      <c r="F4" s="91"/>
      <c r="G4" s="91"/>
      <c r="H4" s="92"/>
      <c r="J4" s="3"/>
      <c r="K4" s="34"/>
      <c r="L4" s="34"/>
      <c r="M4" s="34" t="s">
        <v>52</v>
      </c>
      <c r="N4" s="34"/>
      <c r="O4" s="34"/>
      <c r="P4" s="34"/>
      <c r="Q4" s="35"/>
      <c r="S4" s="3"/>
      <c r="T4" s="34"/>
      <c r="U4" s="34"/>
      <c r="V4" s="34" t="s">
        <v>52</v>
      </c>
      <c r="W4" s="34"/>
      <c r="X4" s="34" t="s">
        <v>53</v>
      </c>
      <c r="Y4" s="34"/>
      <c r="Z4" s="35"/>
    </row>
    <row r="5" spans="1:26" ht="15.6">
      <c r="A5" s="3"/>
      <c r="B5" s="34"/>
      <c r="C5" s="34"/>
      <c r="D5" s="34" t="s">
        <v>51</v>
      </c>
      <c r="E5" s="34"/>
      <c r="F5" s="34"/>
      <c r="G5" s="34"/>
      <c r="H5" s="35"/>
      <c r="J5" s="93" t="s">
        <v>5</v>
      </c>
      <c r="K5" s="94"/>
      <c r="L5" s="94"/>
      <c r="M5" s="94"/>
      <c r="N5" s="94"/>
      <c r="O5" s="94"/>
      <c r="P5" s="94"/>
      <c r="Q5" s="95"/>
      <c r="S5" s="93" t="s">
        <v>5</v>
      </c>
      <c r="T5" s="94"/>
      <c r="U5" s="94"/>
      <c r="V5" s="94"/>
      <c r="W5" s="94"/>
      <c r="X5" s="94"/>
      <c r="Y5" s="94"/>
      <c r="Z5" s="95"/>
    </row>
    <row r="6" spans="1:26" ht="13.8">
      <c r="A6" s="93" t="s">
        <v>5</v>
      </c>
      <c r="B6" s="94"/>
      <c r="C6" s="94"/>
      <c r="D6" s="94"/>
      <c r="E6" s="94"/>
      <c r="F6" s="94"/>
      <c r="G6" s="94"/>
      <c r="H6" s="95"/>
      <c r="J6" s="96" t="s">
        <v>40</v>
      </c>
      <c r="K6" s="97"/>
      <c r="L6" s="97"/>
      <c r="M6" s="97"/>
      <c r="N6" s="97"/>
      <c r="O6" s="97"/>
      <c r="P6" s="97"/>
      <c r="Q6" s="98"/>
      <c r="S6" s="96" t="s">
        <v>40</v>
      </c>
      <c r="T6" s="97"/>
      <c r="U6" s="97"/>
      <c r="V6" s="97"/>
      <c r="W6" s="97"/>
      <c r="X6" s="97"/>
      <c r="Y6" s="97"/>
      <c r="Z6" s="98"/>
    </row>
    <row r="7" spans="1:26">
      <c r="A7" s="96" t="s">
        <v>40</v>
      </c>
      <c r="B7" s="97"/>
      <c r="C7" s="97"/>
      <c r="D7" s="97"/>
      <c r="E7" s="97"/>
      <c r="F7" s="97"/>
      <c r="G7" s="97"/>
      <c r="H7" s="98"/>
      <c r="J7" s="96" t="s">
        <v>35</v>
      </c>
      <c r="K7" s="97"/>
      <c r="L7" s="97"/>
      <c r="M7" s="97"/>
      <c r="N7" s="97"/>
      <c r="O7" s="97"/>
      <c r="P7" s="97"/>
      <c r="Q7" s="98"/>
      <c r="S7" s="96" t="s">
        <v>35</v>
      </c>
      <c r="T7" s="97"/>
      <c r="U7" s="97"/>
      <c r="V7" s="97"/>
      <c r="W7" s="97"/>
      <c r="X7" s="97"/>
      <c r="Y7" s="97"/>
      <c r="Z7" s="98"/>
    </row>
    <row r="8" spans="1:26">
      <c r="A8" s="96" t="s">
        <v>35</v>
      </c>
      <c r="B8" s="97"/>
      <c r="C8" s="97"/>
      <c r="D8" s="97"/>
      <c r="E8" s="97"/>
      <c r="F8" s="97"/>
      <c r="G8" s="97"/>
      <c r="H8" s="98"/>
      <c r="J8" s="96" t="s">
        <v>41</v>
      </c>
      <c r="K8" s="97"/>
      <c r="L8" s="97"/>
      <c r="M8" s="97"/>
      <c r="N8" s="97"/>
      <c r="O8" s="97"/>
      <c r="P8" s="97"/>
      <c r="Q8" s="98"/>
      <c r="S8" s="96" t="s">
        <v>41</v>
      </c>
      <c r="T8" s="97"/>
      <c r="U8" s="97"/>
      <c r="V8" s="97"/>
      <c r="W8" s="97"/>
      <c r="X8" s="97"/>
      <c r="Y8" s="97"/>
      <c r="Z8" s="98"/>
    </row>
    <row r="9" spans="1:26">
      <c r="A9" s="96" t="s">
        <v>41</v>
      </c>
      <c r="B9" s="97"/>
      <c r="C9" s="97"/>
      <c r="D9" s="97"/>
      <c r="E9" s="97"/>
      <c r="F9" s="97"/>
      <c r="G9" s="97"/>
      <c r="H9" s="98"/>
      <c r="J9" s="5"/>
      <c r="K9" s="6"/>
      <c r="L9" s="6"/>
      <c r="M9" s="6"/>
      <c r="N9" s="6"/>
      <c r="O9" s="6"/>
      <c r="P9" s="6"/>
      <c r="Q9" s="7"/>
      <c r="S9" s="5"/>
      <c r="T9" s="6"/>
      <c r="U9" s="6"/>
      <c r="V9" s="6"/>
      <c r="W9" s="6"/>
      <c r="X9" s="6"/>
      <c r="Y9" s="6"/>
      <c r="Z9" s="7"/>
    </row>
    <row r="10" spans="1:26">
      <c r="A10" s="5"/>
      <c r="B10" s="6"/>
      <c r="C10" s="6"/>
      <c r="D10" s="6"/>
      <c r="E10" s="6"/>
      <c r="F10" s="6"/>
      <c r="G10" s="6"/>
      <c r="H10" s="7"/>
      <c r="J10" s="84" t="s">
        <v>6</v>
      </c>
      <c r="K10" s="84"/>
      <c r="L10" s="84"/>
      <c r="M10" s="84"/>
      <c r="N10" s="84"/>
      <c r="O10" s="84"/>
      <c r="P10" s="84"/>
      <c r="Q10" s="84"/>
      <c r="S10" s="84" t="s">
        <v>6</v>
      </c>
      <c r="T10" s="84"/>
      <c r="U10" s="84"/>
      <c r="V10" s="84"/>
      <c r="W10" s="84"/>
      <c r="X10" s="84"/>
      <c r="Y10" s="84"/>
      <c r="Z10" s="84"/>
    </row>
    <row r="11" spans="1:26">
      <c r="A11" s="84" t="s">
        <v>6</v>
      </c>
      <c r="B11" s="84"/>
      <c r="C11" s="84"/>
      <c r="D11" s="84"/>
      <c r="E11" s="84"/>
      <c r="F11" s="84"/>
      <c r="G11" s="84"/>
      <c r="H11" s="84"/>
      <c r="J11" s="9" t="s">
        <v>7</v>
      </c>
      <c r="K11" s="10" t="s">
        <v>0</v>
      </c>
      <c r="L11" s="65" t="s">
        <v>8</v>
      </c>
      <c r="M11" s="67"/>
      <c r="N11" s="9" t="s">
        <v>9</v>
      </c>
      <c r="O11" s="9" t="s">
        <v>10</v>
      </c>
      <c r="P11" s="9" t="s">
        <v>11</v>
      </c>
      <c r="Q11" s="9" t="s">
        <v>12</v>
      </c>
      <c r="S11" s="9" t="s">
        <v>7</v>
      </c>
      <c r="T11" s="10" t="s">
        <v>0</v>
      </c>
      <c r="U11" s="65" t="s">
        <v>8</v>
      </c>
      <c r="V11" s="67"/>
      <c r="W11" s="9" t="s">
        <v>9</v>
      </c>
      <c r="X11" s="9" t="s">
        <v>10</v>
      </c>
      <c r="Y11" s="9" t="s">
        <v>11</v>
      </c>
      <c r="Z11" s="9" t="s">
        <v>12</v>
      </c>
    </row>
    <row r="12" spans="1:26">
      <c r="A12" s="9" t="s">
        <v>7</v>
      </c>
      <c r="B12" s="10" t="s">
        <v>0</v>
      </c>
      <c r="C12" s="65" t="s">
        <v>8</v>
      </c>
      <c r="D12" s="67"/>
      <c r="E12" s="9" t="s">
        <v>9</v>
      </c>
      <c r="F12" s="9" t="s">
        <v>10</v>
      </c>
      <c r="G12" s="9" t="s">
        <v>11</v>
      </c>
      <c r="H12" s="9" t="s">
        <v>12</v>
      </c>
      <c r="J12" s="11">
        <v>1</v>
      </c>
      <c r="K12" s="12" t="s">
        <v>36</v>
      </c>
      <c r="L12" s="71" t="s">
        <v>46</v>
      </c>
      <c r="M12" s="72"/>
      <c r="N12" s="13" t="s">
        <v>47</v>
      </c>
      <c r="O12" s="13">
        <v>65</v>
      </c>
      <c r="P12" s="26">
        <v>1.6</v>
      </c>
      <c r="Q12" s="26">
        <f t="shared" ref="Q12:Q17" si="0">IF(P12="","",P12*12)</f>
        <v>19.200000000000003</v>
      </c>
      <c r="S12" s="11">
        <v>1</v>
      </c>
      <c r="T12" s="12" t="s">
        <v>36</v>
      </c>
      <c r="U12" s="71" t="s">
        <v>46</v>
      </c>
      <c r="V12" s="72"/>
      <c r="W12" s="13" t="s">
        <v>47</v>
      </c>
      <c r="X12" s="13">
        <v>65</v>
      </c>
      <c r="Y12" s="26">
        <v>1.3</v>
      </c>
      <c r="Z12" s="26">
        <f t="shared" ref="Z12:Z17" si="1">IF(Y12="","",Y12*12)</f>
        <v>15.600000000000001</v>
      </c>
    </row>
    <row r="13" spans="1:26">
      <c r="A13" s="11">
        <v>1</v>
      </c>
      <c r="B13" s="12" t="s">
        <v>36</v>
      </c>
      <c r="C13" s="71" t="s">
        <v>46</v>
      </c>
      <c r="D13" s="72"/>
      <c r="E13" s="13" t="s">
        <v>47</v>
      </c>
      <c r="F13" s="13">
        <v>65</v>
      </c>
      <c r="G13" s="26">
        <v>1.6</v>
      </c>
      <c r="H13" s="26">
        <f t="shared" ref="H13:H18" si="2">IF(G13="","",G13*12)</f>
        <v>19.200000000000003</v>
      </c>
      <c r="J13" s="11">
        <v>2</v>
      </c>
      <c r="K13" s="12" t="s">
        <v>50</v>
      </c>
      <c r="L13" s="71" t="s">
        <v>48</v>
      </c>
      <c r="M13" s="72"/>
      <c r="N13" s="13" t="s">
        <v>43</v>
      </c>
      <c r="O13" s="13" t="s">
        <v>13</v>
      </c>
      <c r="P13" s="14">
        <v>10</v>
      </c>
      <c r="Q13" s="14">
        <f t="shared" si="0"/>
        <v>120</v>
      </c>
      <c r="S13" s="11">
        <v>2</v>
      </c>
      <c r="T13" s="12" t="s">
        <v>50</v>
      </c>
      <c r="U13" s="71" t="s">
        <v>48</v>
      </c>
      <c r="V13" s="72"/>
      <c r="W13" s="13" t="s">
        <v>43</v>
      </c>
      <c r="X13" s="13" t="s">
        <v>13</v>
      </c>
      <c r="Y13" s="14">
        <v>10</v>
      </c>
      <c r="Z13" s="14">
        <f t="shared" si="1"/>
        <v>120</v>
      </c>
    </row>
    <row r="14" spans="1:26">
      <c r="A14" s="11">
        <v>2</v>
      </c>
      <c r="B14" s="12" t="s">
        <v>50</v>
      </c>
      <c r="C14" s="71" t="s">
        <v>54</v>
      </c>
      <c r="D14" s="72"/>
      <c r="E14" s="13" t="s">
        <v>43</v>
      </c>
      <c r="F14" s="13" t="s">
        <v>13</v>
      </c>
      <c r="G14" s="14">
        <v>10</v>
      </c>
      <c r="H14" s="14">
        <f t="shared" si="2"/>
        <v>120</v>
      </c>
      <c r="J14" s="11"/>
      <c r="K14" s="12"/>
      <c r="L14" s="71"/>
      <c r="M14" s="72"/>
      <c r="N14" s="13"/>
      <c r="O14" s="13"/>
      <c r="P14" s="14"/>
      <c r="Q14" s="14"/>
      <c r="S14" s="11">
        <v>3</v>
      </c>
      <c r="T14" s="12" t="s">
        <v>42</v>
      </c>
      <c r="U14" s="71" t="s">
        <v>33</v>
      </c>
      <c r="V14" s="72"/>
      <c r="W14" s="13" t="s">
        <v>13</v>
      </c>
      <c r="X14" s="13" t="s">
        <v>13</v>
      </c>
      <c r="Y14" s="14">
        <v>0</v>
      </c>
      <c r="Z14" s="14">
        <f t="shared" si="1"/>
        <v>0</v>
      </c>
    </row>
    <row r="15" spans="1:26">
      <c r="A15" s="11">
        <v>3</v>
      </c>
      <c r="B15" s="12" t="s">
        <v>42</v>
      </c>
      <c r="C15" s="71" t="s">
        <v>33</v>
      </c>
      <c r="D15" s="72"/>
      <c r="E15" s="13" t="s">
        <v>13</v>
      </c>
      <c r="F15" s="13" t="s">
        <v>13</v>
      </c>
      <c r="G15" s="14">
        <v>1</v>
      </c>
      <c r="H15" s="14">
        <f t="shared" si="2"/>
        <v>12</v>
      </c>
      <c r="J15" s="11">
        <v>4</v>
      </c>
      <c r="K15" s="12" t="s">
        <v>34</v>
      </c>
      <c r="L15" s="71" t="s">
        <v>34</v>
      </c>
      <c r="M15" s="72"/>
      <c r="N15" s="13" t="s">
        <v>13</v>
      </c>
      <c r="O15" s="13" t="s">
        <v>13</v>
      </c>
      <c r="P15" s="14">
        <v>1</v>
      </c>
      <c r="Q15" s="14">
        <f t="shared" si="0"/>
        <v>12</v>
      </c>
      <c r="S15" s="11">
        <v>4</v>
      </c>
      <c r="T15" s="12" t="s">
        <v>34</v>
      </c>
      <c r="U15" s="71" t="s">
        <v>34</v>
      </c>
      <c r="V15" s="72"/>
      <c r="W15" s="13" t="s">
        <v>13</v>
      </c>
      <c r="X15" s="13" t="s">
        <v>13</v>
      </c>
      <c r="Y15" s="14">
        <v>1</v>
      </c>
      <c r="Z15" s="14">
        <f t="shared" si="1"/>
        <v>12</v>
      </c>
    </row>
    <row r="16" spans="1:26">
      <c r="A16" s="11">
        <v>4</v>
      </c>
      <c r="B16" s="12" t="s">
        <v>34</v>
      </c>
      <c r="C16" s="71" t="s">
        <v>34</v>
      </c>
      <c r="D16" s="72"/>
      <c r="E16" s="13" t="s">
        <v>13</v>
      </c>
      <c r="F16" s="13" t="s">
        <v>13</v>
      </c>
      <c r="G16" s="14">
        <v>1</v>
      </c>
      <c r="H16" s="14">
        <f t="shared" si="2"/>
        <v>12</v>
      </c>
      <c r="J16" s="11">
        <v>5</v>
      </c>
      <c r="K16" s="24" t="s">
        <v>1</v>
      </c>
      <c r="L16" s="71" t="s">
        <v>14</v>
      </c>
      <c r="M16" s="72"/>
      <c r="N16" s="13" t="s">
        <v>2</v>
      </c>
      <c r="O16" s="13" t="s">
        <v>15</v>
      </c>
      <c r="P16" s="27">
        <v>6.7000000000000004E-2</v>
      </c>
      <c r="Q16" s="27">
        <f t="shared" si="0"/>
        <v>0.80400000000000005</v>
      </c>
      <c r="S16" s="11">
        <v>5</v>
      </c>
      <c r="T16" s="24" t="s">
        <v>1</v>
      </c>
      <c r="U16" s="71" t="s">
        <v>14</v>
      </c>
      <c r="V16" s="72"/>
      <c r="W16" s="13" t="s">
        <v>2</v>
      </c>
      <c r="X16" s="13" t="s">
        <v>15</v>
      </c>
      <c r="Y16" s="27">
        <v>6.7000000000000004E-2</v>
      </c>
      <c r="Z16" s="27">
        <f t="shared" si="1"/>
        <v>0.80400000000000005</v>
      </c>
    </row>
    <row r="17" spans="1:26">
      <c r="A17" s="11">
        <v>5</v>
      </c>
      <c r="B17" s="24" t="s">
        <v>1</v>
      </c>
      <c r="C17" s="71" t="s">
        <v>14</v>
      </c>
      <c r="D17" s="72"/>
      <c r="E17" s="13" t="s">
        <v>2</v>
      </c>
      <c r="F17" s="13" t="s">
        <v>15</v>
      </c>
      <c r="G17" s="27">
        <v>6.7000000000000004E-2</v>
      </c>
      <c r="H17" s="27">
        <f t="shared" si="2"/>
        <v>0.80400000000000005</v>
      </c>
      <c r="J17" s="25">
        <v>6</v>
      </c>
      <c r="K17" s="24" t="s">
        <v>31</v>
      </c>
      <c r="L17" s="71" t="s">
        <v>31</v>
      </c>
      <c r="M17" s="72"/>
      <c r="N17" s="13" t="s">
        <v>32</v>
      </c>
      <c r="O17" s="13" t="s">
        <v>13</v>
      </c>
      <c r="P17" s="14">
        <f>1/5</f>
        <v>0.2</v>
      </c>
      <c r="Q17" s="14">
        <f t="shared" si="0"/>
        <v>2.4000000000000004</v>
      </c>
      <c r="S17" s="25">
        <v>6</v>
      </c>
      <c r="T17" s="24" t="s">
        <v>31</v>
      </c>
      <c r="U17" s="71" t="s">
        <v>31</v>
      </c>
      <c r="V17" s="72"/>
      <c r="W17" s="13" t="s">
        <v>32</v>
      </c>
      <c r="X17" s="13" t="s">
        <v>13</v>
      </c>
      <c r="Y17" s="14">
        <f>1/5</f>
        <v>0.2</v>
      </c>
      <c r="Z17" s="14">
        <f t="shared" si="1"/>
        <v>2.4000000000000004</v>
      </c>
    </row>
    <row r="18" spans="1:26">
      <c r="A18" s="25">
        <v>6</v>
      </c>
      <c r="B18" s="24" t="s">
        <v>31</v>
      </c>
      <c r="C18" s="71" t="s">
        <v>31</v>
      </c>
      <c r="D18" s="72"/>
      <c r="E18" s="13" t="s">
        <v>32</v>
      </c>
      <c r="F18" s="13" t="s">
        <v>13</v>
      </c>
      <c r="G18" s="14">
        <f>1/5</f>
        <v>0.2</v>
      </c>
      <c r="H18" s="14">
        <f t="shared" si="2"/>
        <v>2.4000000000000004</v>
      </c>
      <c r="J18" s="73" t="s">
        <v>16</v>
      </c>
      <c r="K18" s="74"/>
      <c r="L18" s="74"/>
      <c r="M18" s="74"/>
      <c r="N18" s="74"/>
      <c r="O18" s="74"/>
      <c r="P18" s="74"/>
      <c r="Q18" s="75"/>
      <c r="S18" s="73" t="s">
        <v>16</v>
      </c>
      <c r="T18" s="74"/>
      <c r="U18" s="74"/>
      <c r="V18" s="74"/>
      <c r="W18" s="74"/>
      <c r="X18" s="74"/>
      <c r="Y18" s="74"/>
      <c r="Z18" s="75"/>
    </row>
    <row r="19" spans="1:26">
      <c r="A19" s="73" t="s">
        <v>16</v>
      </c>
      <c r="B19" s="74"/>
      <c r="C19" s="74"/>
      <c r="D19" s="74"/>
      <c r="E19" s="74"/>
      <c r="F19" s="74"/>
      <c r="G19" s="74"/>
      <c r="H19" s="75"/>
      <c r="J19" s="76" t="s">
        <v>17</v>
      </c>
      <c r="K19" s="77"/>
      <c r="L19" s="78" t="s">
        <v>18</v>
      </c>
      <c r="M19" s="79"/>
      <c r="N19" s="79"/>
      <c r="O19" s="79"/>
      <c r="P19" s="79"/>
      <c r="Q19" s="80"/>
      <c r="S19" s="76" t="s">
        <v>17</v>
      </c>
      <c r="T19" s="77"/>
      <c r="U19" s="78" t="s">
        <v>18</v>
      </c>
      <c r="V19" s="79"/>
      <c r="W19" s="79"/>
      <c r="X19" s="79"/>
      <c r="Y19" s="79"/>
      <c r="Z19" s="80"/>
    </row>
    <row r="20" spans="1:26">
      <c r="A20" s="76" t="s">
        <v>17</v>
      </c>
      <c r="B20" s="77"/>
      <c r="C20" s="78" t="s">
        <v>18</v>
      </c>
      <c r="D20" s="79"/>
      <c r="E20" s="79"/>
      <c r="F20" s="79"/>
      <c r="G20" s="79"/>
      <c r="H20" s="80"/>
      <c r="J20" s="55" t="str">
        <f>J2</f>
        <v>CHEF COAT 182</v>
      </c>
      <c r="K20" s="56"/>
      <c r="L20" s="52">
        <f>(SUM(L21:P21)*12)/60</f>
        <v>2.286</v>
      </c>
      <c r="M20" s="53"/>
      <c r="N20" s="53"/>
      <c r="O20" s="53"/>
      <c r="P20" s="53"/>
      <c r="Q20" s="54"/>
      <c r="S20" s="55" t="str">
        <f>S2</f>
        <v>CHEF COAT 188</v>
      </c>
      <c r="T20" s="56"/>
      <c r="U20" s="52">
        <f>(SUM(U21:Y21)*12)/60</f>
        <v>2.1800000000000002</v>
      </c>
      <c r="V20" s="53"/>
      <c r="W20" s="53"/>
      <c r="X20" s="53"/>
      <c r="Y20" s="53"/>
      <c r="Z20" s="54"/>
    </row>
    <row r="21" spans="1:26" ht="14.4">
      <c r="A21" s="55" t="str">
        <f>A3</f>
        <v>CHEF COAT</v>
      </c>
      <c r="B21" s="56"/>
      <c r="C21" s="52">
        <f>(SUM(C22:G22)*12)/60</f>
        <v>2.5</v>
      </c>
      <c r="D21" s="53"/>
      <c r="E21" s="53"/>
      <c r="F21" s="53"/>
      <c r="G21" s="53"/>
      <c r="H21" s="54"/>
      <c r="J21" s="57" t="s">
        <v>30</v>
      </c>
      <c r="K21" s="58"/>
      <c r="L21" s="59">
        <v>11.43</v>
      </c>
      <c r="M21" s="60"/>
      <c r="N21" s="60"/>
      <c r="O21" s="60"/>
      <c r="P21" s="61"/>
      <c r="Q21" s="37"/>
      <c r="S21" s="57" t="s">
        <v>30</v>
      </c>
      <c r="T21" s="58"/>
      <c r="U21" s="59">
        <v>10.9</v>
      </c>
      <c r="V21" s="60"/>
      <c r="W21" s="60"/>
      <c r="X21" s="60"/>
      <c r="Y21" s="61"/>
      <c r="Z21" s="37"/>
    </row>
    <row r="22" spans="1:26" ht="14.4">
      <c r="A22" s="57" t="s">
        <v>30</v>
      </c>
      <c r="B22" s="58"/>
      <c r="C22" s="59">
        <v>12.5</v>
      </c>
      <c r="D22" s="60"/>
      <c r="E22" s="60"/>
      <c r="F22" s="60"/>
      <c r="G22" s="61"/>
      <c r="H22" s="37"/>
      <c r="J22" s="62" t="s">
        <v>19</v>
      </c>
      <c r="K22" s="63"/>
      <c r="L22" s="63"/>
      <c r="M22" s="63"/>
      <c r="N22" s="63"/>
      <c r="O22" s="63"/>
      <c r="P22" s="63"/>
      <c r="Q22" s="64"/>
      <c r="S22" s="62" t="s">
        <v>19</v>
      </c>
      <c r="T22" s="63"/>
      <c r="U22" s="63"/>
      <c r="V22" s="63"/>
      <c r="W22" s="63"/>
      <c r="X22" s="63"/>
      <c r="Y22" s="63"/>
      <c r="Z22" s="64"/>
    </row>
    <row r="23" spans="1:26">
      <c r="A23" s="62" t="s">
        <v>19</v>
      </c>
      <c r="B23" s="63"/>
      <c r="C23" s="63"/>
      <c r="D23" s="63"/>
      <c r="E23" s="63"/>
      <c r="F23" s="63"/>
      <c r="G23" s="63"/>
      <c r="H23" s="64"/>
      <c r="J23" s="15" t="s">
        <v>7</v>
      </c>
      <c r="K23" s="16" t="s">
        <v>0</v>
      </c>
      <c r="L23" s="65" t="s">
        <v>20</v>
      </c>
      <c r="M23" s="66"/>
      <c r="N23" s="67"/>
      <c r="O23" s="15" t="s">
        <v>21</v>
      </c>
      <c r="P23" s="15" t="s">
        <v>22</v>
      </c>
      <c r="Q23" s="15" t="s">
        <v>23</v>
      </c>
      <c r="S23" s="15" t="s">
        <v>7</v>
      </c>
      <c r="T23" s="16" t="s">
        <v>0</v>
      </c>
      <c r="U23" s="65" t="s">
        <v>20</v>
      </c>
      <c r="V23" s="66"/>
      <c r="W23" s="67"/>
      <c r="X23" s="15" t="s">
        <v>21</v>
      </c>
      <c r="Y23" s="15" t="s">
        <v>22</v>
      </c>
      <c r="Z23" s="15" t="s">
        <v>23</v>
      </c>
    </row>
    <row r="24" spans="1:26">
      <c r="A24" s="15" t="s">
        <v>7</v>
      </c>
      <c r="B24" s="16" t="s">
        <v>0</v>
      </c>
      <c r="C24" s="65" t="s">
        <v>20</v>
      </c>
      <c r="D24" s="66"/>
      <c r="E24" s="67"/>
      <c r="F24" s="15" t="s">
        <v>21</v>
      </c>
      <c r="G24" s="15" t="s">
        <v>22</v>
      </c>
      <c r="H24" s="15" t="s">
        <v>23</v>
      </c>
      <c r="J24" s="13">
        <f t="shared" ref="J24:K24" si="3">IF(J12="","",J12)</f>
        <v>1</v>
      </c>
      <c r="K24" s="17" t="str">
        <f t="shared" si="3"/>
        <v>Main Fabric-TCF0559</v>
      </c>
      <c r="L24" s="68">
        <f t="shared" ref="L24:L29" si="4">IF(Q12="","",Q12)</f>
        <v>19.200000000000003</v>
      </c>
      <c r="M24" s="69"/>
      <c r="N24" s="70"/>
      <c r="O24" s="13" t="str">
        <f t="shared" ref="O24:O29" si="5">IF(N12="","",N12)</f>
        <v>alsco</v>
      </c>
      <c r="P24" s="18">
        <v>1.835</v>
      </c>
      <c r="Q24" s="19">
        <f t="shared" ref="Q24:Q29" si="6">Q12*P24</f>
        <v>35.232000000000006</v>
      </c>
      <c r="S24" s="13">
        <f t="shared" ref="S24:T24" si="7">IF(S12="","",S12)</f>
        <v>1</v>
      </c>
      <c r="T24" s="17" t="str">
        <f t="shared" si="7"/>
        <v>Main Fabric-TCF0559</v>
      </c>
      <c r="U24" s="68">
        <f t="shared" ref="U24:U29" si="8">IF(Z12="","",Z12)</f>
        <v>15.600000000000001</v>
      </c>
      <c r="V24" s="69"/>
      <c r="W24" s="70"/>
      <c r="X24" s="13" t="str">
        <f t="shared" ref="X24:X29" si="9">IF(W12="","",W12)</f>
        <v>alsco</v>
      </c>
      <c r="Y24" s="18">
        <v>1.835</v>
      </c>
      <c r="Z24" s="19">
        <f t="shared" ref="Z24:Z29" si="10">Z12*Y24</f>
        <v>28.626000000000001</v>
      </c>
    </row>
    <row r="25" spans="1:26">
      <c r="A25" s="13">
        <f t="shared" ref="A25:B30" si="11">IF(A13="","",A13)</f>
        <v>1</v>
      </c>
      <c r="B25" s="17" t="str">
        <f t="shared" si="11"/>
        <v>Main Fabric-TCF0559</v>
      </c>
      <c r="C25" s="68">
        <f t="shared" ref="C25:C30" si="12">IF(H13="","",H13)</f>
        <v>19.200000000000003</v>
      </c>
      <c r="D25" s="69"/>
      <c r="E25" s="70"/>
      <c r="F25" s="13" t="str">
        <f t="shared" ref="F25:F30" si="13">IF(E13="","",E13)</f>
        <v>alsco</v>
      </c>
      <c r="G25" s="18">
        <v>1.835</v>
      </c>
      <c r="H25" s="19">
        <f t="shared" ref="H25:H30" si="14">H13*G25</f>
        <v>35.232000000000006</v>
      </c>
      <c r="J25" s="13">
        <f t="shared" ref="J25:K25" si="15">IF(J13="","",J13)</f>
        <v>2</v>
      </c>
      <c r="K25" s="43" t="str">
        <f t="shared" si="15"/>
        <v xml:space="preserve"> Button</v>
      </c>
      <c r="L25" s="85">
        <f t="shared" si="4"/>
        <v>120</v>
      </c>
      <c r="M25" s="86"/>
      <c r="N25" s="87"/>
      <c r="O25" s="44" t="str">
        <f t="shared" si="5"/>
        <v>White</v>
      </c>
      <c r="P25" s="40">
        <v>1.4E-2</v>
      </c>
      <c r="Q25" s="19">
        <f t="shared" si="6"/>
        <v>1.68</v>
      </c>
      <c r="S25" s="13">
        <f t="shared" ref="S25:T25" si="16">IF(S13="","",S13)</f>
        <v>2</v>
      </c>
      <c r="T25" s="43" t="str">
        <f t="shared" si="16"/>
        <v xml:space="preserve"> Button</v>
      </c>
      <c r="U25" s="85">
        <f t="shared" si="8"/>
        <v>120</v>
      </c>
      <c r="V25" s="86"/>
      <c r="W25" s="87"/>
      <c r="X25" s="44" t="str">
        <f t="shared" si="9"/>
        <v>White</v>
      </c>
      <c r="Y25" s="40">
        <v>1.4E-2</v>
      </c>
      <c r="Z25" s="19">
        <f t="shared" si="10"/>
        <v>1.68</v>
      </c>
    </row>
    <row r="26" spans="1:26">
      <c r="A26" s="13">
        <f t="shared" si="11"/>
        <v>2</v>
      </c>
      <c r="B26" s="43" t="str">
        <f t="shared" si="11"/>
        <v xml:space="preserve"> Button</v>
      </c>
      <c r="C26" s="85">
        <f t="shared" si="12"/>
        <v>120</v>
      </c>
      <c r="D26" s="86"/>
      <c r="E26" s="87"/>
      <c r="F26" s="44" t="str">
        <f t="shared" si="13"/>
        <v>White</v>
      </c>
      <c r="G26" s="40">
        <v>0.05</v>
      </c>
      <c r="H26" s="19">
        <f t="shared" si="14"/>
        <v>6</v>
      </c>
      <c r="J26" s="13"/>
      <c r="K26" s="17" t="s">
        <v>57</v>
      </c>
      <c r="L26" s="46">
        <v>12</v>
      </c>
      <c r="M26" s="47"/>
      <c r="N26" s="48"/>
      <c r="O26" s="13"/>
      <c r="P26" s="33">
        <v>0.05</v>
      </c>
      <c r="Q26" s="19">
        <f>0.6</f>
        <v>0.6</v>
      </c>
      <c r="S26" s="13">
        <f t="shared" ref="S26:T26" si="17">IF(S14="","",S14)</f>
        <v>3</v>
      </c>
      <c r="T26" s="17" t="str">
        <f t="shared" si="17"/>
        <v>Main Label</v>
      </c>
      <c r="U26" s="46">
        <f t="shared" si="8"/>
        <v>0</v>
      </c>
      <c r="V26" s="47"/>
      <c r="W26" s="48"/>
      <c r="X26" s="13" t="str">
        <f t="shared" si="9"/>
        <v>-</v>
      </c>
      <c r="Y26" s="33">
        <v>0</v>
      </c>
      <c r="Z26" s="19">
        <f t="shared" si="10"/>
        <v>0</v>
      </c>
    </row>
    <row r="27" spans="1:26">
      <c r="A27" s="13">
        <f t="shared" si="11"/>
        <v>3</v>
      </c>
      <c r="B27" s="17" t="str">
        <f t="shared" si="11"/>
        <v>Main Label</v>
      </c>
      <c r="C27" s="46">
        <f t="shared" si="12"/>
        <v>12</v>
      </c>
      <c r="D27" s="47"/>
      <c r="E27" s="48"/>
      <c r="F27" s="13" t="str">
        <f t="shared" si="13"/>
        <v>-</v>
      </c>
      <c r="G27" s="33">
        <v>0.05</v>
      </c>
      <c r="H27" s="19">
        <f t="shared" si="14"/>
        <v>0.60000000000000009</v>
      </c>
      <c r="J27" s="13">
        <f t="shared" ref="J27:K27" si="18">IF(J15="","",J15)</f>
        <v>4</v>
      </c>
      <c r="K27" s="17" t="str">
        <f t="shared" si="18"/>
        <v>Care Label</v>
      </c>
      <c r="L27" s="46">
        <f t="shared" si="4"/>
        <v>12</v>
      </c>
      <c r="M27" s="47"/>
      <c r="N27" s="48"/>
      <c r="O27" s="13" t="str">
        <f t="shared" si="5"/>
        <v>-</v>
      </c>
      <c r="P27" s="33">
        <v>0.01</v>
      </c>
      <c r="Q27" s="19">
        <f t="shared" si="6"/>
        <v>0.12</v>
      </c>
      <c r="S27" s="13">
        <f t="shared" ref="S27:T27" si="19">IF(S15="","",S15)</f>
        <v>4</v>
      </c>
      <c r="T27" s="17" t="str">
        <f t="shared" si="19"/>
        <v>Care Label</v>
      </c>
      <c r="U27" s="46">
        <f t="shared" si="8"/>
        <v>12</v>
      </c>
      <c r="V27" s="47"/>
      <c r="W27" s="48"/>
      <c r="X27" s="13" t="str">
        <f t="shared" si="9"/>
        <v>-</v>
      </c>
      <c r="Y27" s="33">
        <v>8.0000000000000002E-3</v>
      </c>
      <c r="Z27" s="19">
        <f t="shared" si="10"/>
        <v>9.6000000000000002E-2</v>
      </c>
    </row>
    <row r="28" spans="1:26">
      <c r="A28" s="13">
        <f t="shared" si="11"/>
        <v>4</v>
      </c>
      <c r="B28" s="17" t="str">
        <f t="shared" si="11"/>
        <v>Care Label</v>
      </c>
      <c r="C28" s="46">
        <f t="shared" si="12"/>
        <v>12</v>
      </c>
      <c r="D28" s="47"/>
      <c r="E28" s="48"/>
      <c r="F28" s="13" t="str">
        <f t="shared" si="13"/>
        <v>-</v>
      </c>
      <c r="G28" s="33">
        <v>8.0000000000000002E-3</v>
      </c>
      <c r="H28" s="19">
        <f t="shared" si="14"/>
        <v>9.6000000000000002E-2</v>
      </c>
      <c r="J28" s="13">
        <f t="shared" ref="J28:K28" si="20">IF(J16="","",J16)</f>
        <v>5</v>
      </c>
      <c r="K28" s="17" t="str">
        <f t="shared" si="20"/>
        <v>Thread Tex40</v>
      </c>
      <c r="L28" s="49">
        <f t="shared" si="4"/>
        <v>0.80400000000000005</v>
      </c>
      <c r="M28" s="50"/>
      <c r="N28" s="51"/>
      <c r="O28" s="13" t="str">
        <f t="shared" si="5"/>
        <v>DTM Body</v>
      </c>
      <c r="P28" s="18">
        <v>3.5</v>
      </c>
      <c r="Q28" s="19">
        <f t="shared" si="6"/>
        <v>2.8140000000000001</v>
      </c>
      <c r="S28" s="13">
        <f t="shared" ref="S28:T28" si="21">IF(S16="","",S16)</f>
        <v>5</v>
      </c>
      <c r="T28" s="17" t="str">
        <f t="shared" si="21"/>
        <v>Thread Tex40</v>
      </c>
      <c r="U28" s="49">
        <f t="shared" si="8"/>
        <v>0.80400000000000005</v>
      </c>
      <c r="V28" s="50"/>
      <c r="W28" s="51"/>
      <c r="X28" s="13" t="str">
        <f t="shared" si="9"/>
        <v>DTM Body</v>
      </c>
      <c r="Y28" s="18">
        <v>3.5</v>
      </c>
      <c r="Z28" s="19">
        <f t="shared" si="10"/>
        <v>2.8140000000000001</v>
      </c>
    </row>
    <row r="29" spans="1:26">
      <c r="A29" s="13">
        <f t="shared" si="11"/>
        <v>5</v>
      </c>
      <c r="B29" s="17" t="str">
        <f t="shared" si="11"/>
        <v>Thread Tex40</v>
      </c>
      <c r="C29" s="49">
        <f t="shared" si="12"/>
        <v>0.80400000000000005</v>
      </c>
      <c r="D29" s="50"/>
      <c r="E29" s="51"/>
      <c r="F29" s="13" t="str">
        <f t="shared" si="13"/>
        <v>DTM Body</v>
      </c>
      <c r="G29" s="18">
        <v>3.5</v>
      </c>
      <c r="H29" s="19">
        <f t="shared" si="14"/>
        <v>2.8140000000000001</v>
      </c>
      <c r="J29" s="13">
        <f t="shared" ref="J29:K29" si="22">IF(J17="","",J17)</f>
        <v>6</v>
      </c>
      <c r="K29" s="17" t="str">
        <f t="shared" si="22"/>
        <v>Polybag</v>
      </c>
      <c r="L29" s="49">
        <f t="shared" si="4"/>
        <v>2.4000000000000004</v>
      </c>
      <c r="M29" s="50"/>
      <c r="N29" s="51"/>
      <c r="O29" s="13" t="str">
        <f t="shared" si="5"/>
        <v>Clear</v>
      </c>
      <c r="P29" s="18">
        <v>3.1300000000000001E-2</v>
      </c>
      <c r="Q29" s="19">
        <f t="shared" si="6"/>
        <v>7.512000000000002E-2</v>
      </c>
      <c r="S29" s="13">
        <f t="shared" ref="S29:T29" si="23">IF(S17="","",S17)</f>
        <v>6</v>
      </c>
      <c r="T29" s="17" t="str">
        <f t="shared" si="23"/>
        <v>Polybag</v>
      </c>
      <c r="U29" s="49">
        <f t="shared" si="8"/>
        <v>2.4000000000000004</v>
      </c>
      <c r="V29" s="50"/>
      <c r="W29" s="51"/>
      <c r="X29" s="13" t="str">
        <f t="shared" si="9"/>
        <v>Clear</v>
      </c>
      <c r="Y29" s="18">
        <v>3.1300000000000001E-2</v>
      </c>
      <c r="Z29" s="19">
        <f t="shared" si="10"/>
        <v>7.512000000000002E-2</v>
      </c>
    </row>
    <row r="30" spans="1:26">
      <c r="A30" s="13">
        <f t="shared" si="11"/>
        <v>6</v>
      </c>
      <c r="B30" s="17" t="str">
        <f t="shared" si="11"/>
        <v>Polybag</v>
      </c>
      <c r="C30" s="49">
        <f t="shared" si="12"/>
        <v>2.4000000000000004</v>
      </c>
      <c r="D30" s="50"/>
      <c r="E30" s="51"/>
      <c r="F30" s="13" t="str">
        <f t="shared" si="13"/>
        <v>Clear</v>
      </c>
      <c r="G30" s="18">
        <v>3.1300000000000001E-2</v>
      </c>
      <c r="H30" s="19">
        <f t="shared" si="14"/>
        <v>7.512000000000002E-2</v>
      </c>
      <c r="J30" s="13">
        <v>7</v>
      </c>
      <c r="K30" s="17" t="s">
        <v>37</v>
      </c>
      <c r="L30" s="52">
        <f>1/24*12</f>
        <v>0.5</v>
      </c>
      <c r="M30" s="53"/>
      <c r="N30" s="54"/>
      <c r="O30" s="20"/>
      <c r="P30" s="18">
        <v>0.99</v>
      </c>
      <c r="Q30" s="19">
        <f>IF(P30="","",L30*P30)</f>
        <v>0.495</v>
      </c>
      <c r="S30" s="13">
        <v>7</v>
      </c>
      <c r="T30" s="17" t="s">
        <v>37</v>
      </c>
      <c r="U30" s="52">
        <f>1/24*12</f>
        <v>0.5</v>
      </c>
      <c r="V30" s="53"/>
      <c r="W30" s="54"/>
      <c r="X30" s="20"/>
      <c r="Y30" s="18">
        <v>0.99</v>
      </c>
      <c r="Z30" s="19">
        <f>IF(Y30="","",U30*Y30)</f>
        <v>0.495</v>
      </c>
    </row>
    <row r="31" spans="1:26">
      <c r="A31" s="13">
        <v>7</v>
      </c>
      <c r="B31" s="17" t="s">
        <v>37</v>
      </c>
      <c r="C31" s="52">
        <f>1/24*12</f>
        <v>0.5</v>
      </c>
      <c r="D31" s="53"/>
      <c r="E31" s="54"/>
      <c r="F31" s="20"/>
      <c r="G31" s="18">
        <v>0.99</v>
      </c>
      <c r="H31" s="19">
        <f>IF(G31="","",C31*G31)</f>
        <v>0.495</v>
      </c>
      <c r="J31" s="13">
        <v>8</v>
      </c>
      <c r="K31" s="17" t="s">
        <v>24</v>
      </c>
      <c r="L31" s="52">
        <f>L20</f>
        <v>2.286</v>
      </c>
      <c r="M31" s="53"/>
      <c r="N31" s="54"/>
      <c r="O31" s="20"/>
      <c r="P31" s="18">
        <v>7.68</v>
      </c>
      <c r="Q31" s="19">
        <f>IF(P31="","",L31*P31)</f>
        <v>17.556480000000001</v>
      </c>
      <c r="S31" s="13">
        <v>8</v>
      </c>
      <c r="T31" s="17" t="s">
        <v>24</v>
      </c>
      <c r="U31" s="52">
        <f>U20</f>
        <v>2.1800000000000002</v>
      </c>
      <c r="V31" s="53"/>
      <c r="W31" s="54"/>
      <c r="X31" s="20"/>
      <c r="Y31" s="18">
        <v>7.68</v>
      </c>
      <c r="Z31" s="19">
        <f>IF(Y31="","",U31*Y31)</f>
        <v>16.7424</v>
      </c>
    </row>
    <row r="32" spans="1:26">
      <c r="A32" s="13">
        <v>8</v>
      </c>
      <c r="B32" s="17" t="s">
        <v>24</v>
      </c>
      <c r="C32" s="52">
        <f>C21</f>
        <v>2.5</v>
      </c>
      <c r="D32" s="53"/>
      <c r="E32" s="54"/>
      <c r="F32" s="20"/>
      <c r="G32" s="18">
        <v>7.68</v>
      </c>
      <c r="H32" s="19">
        <f>IF(G32="","",C32*G32)</f>
        <v>19.2</v>
      </c>
      <c r="J32" s="8"/>
      <c r="Q32" s="21"/>
      <c r="S32" s="8"/>
      <c r="Z32" s="21"/>
    </row>
    <row r="33" spans="1:26">
      <c r="A33" s="8"/>
      <c r="H33" s="21"/>
      <c r="J33" s="8"/>
      <c r="L33" s="42"/>
      <c r="M33" s="41"/>
      <c r="N33" s="41"/>
      <c r="O33" s="41"/>
      <c r="P33" s="22" t="s">
        <v>25</v>
      </c>
      <c r="Q33" s="19">
        <f>SUM(Q24:Q31)</f>
        <v>58.572600000000001</v>
      </c>
      <c r="S33" s="8"/>
      <c r="U33" s="42"/>
      <c r="V33" s="41"/>
      <c r="W33" s="41"/>
      <c r="X33" s="41"/>
      <c r="Y33" s="22" t="s">
        <v>25</v>
      </c>
      <c r="Z33" s="19">
        <f>SUM(Z24:Z31)</f>
        <v>50.52852</v>
      </c>
    </row>
    <row r="34" spans="1:26">
      <c r="A34" s="8"/>
      <c r="C34" s="42"/>
      <c r="D34" s="41"/>
      <c r="E34" s="41"/>
      <c r="F34" s="41"/>
      <c r="G34" s="22" t="s">
        <v>25</v>
      </c>
      <c r="H34" s="19">
        <f>SUM(H25:H32)</f>
        <v>64.512119999999996</v>
      </c>
      <c r="J34" s="8"/>
      <c r="P34" s="4" t="s">
        <v>26</v>
      </c>
      <c r="Q34" s="19">
        <f>15000/(1170*24)</f>
        <v>0.53418803418803418</v>
      </c>
      <c r="S34" s="8"/>
      <c r="Y34" s="4" t="s">
        <v>26</v>
      </c>
      <c r="Z34" s="19">
        <f>15000/(1170*30)</f>
        <v>0.42735042735042733</v>
      </c>
    </row>
    <row r="35" spans="1:26">
      <c r="A35" s="8"/>
      <c r="G35" s="4" t="s">
        <v>26</v>
      </c>
      <c r="H35" s="19">
        <f>15000/(1170*30)</f>
        <v>0.42735042735042733</v>
      </c>
      <c r="J35" s="8"/>
      <c r="P35" s="22" t="s">
        <v>27</v>
      </c>
      <c r="Q35" s="19">
        <f>(Q33/12)</f>
        <v>4.8810500000000001</v>
      </c>
      <c r="S35" s="8"/>
      <c r="Y35" s="22" t="s">
        <v>27</v>
      </c>
      <c r="Z35" s="19">
        <f>(Z33/12)</f>
        <v>4.2107099999999997</v>
      </c>
    </row>
    <row r="36" spans="1:26">
      <c r="A36" s="8"/>
      <c r="G36" s="22" t="s">
        <v>27</v>
      </c>
      <c r="H36" s="19">
        <f>(H34/12)</f>
        <v>5.37601</v>
      </c>
      <c r="J36" s="8"/>
      <c r="P36" s="4" t="s">
        <v>44</v>
      </c>
      <c r="Q36" s="19">
        <f>Q35*(0.165+0.1)</f>
        <v>1.2934782500000002</v>
      </c>
      <c r="S36" s="8"/>
      <c r="Y36" s="4" t="s">
        <v>44</v>
      </c>
      <c r="Z36" s="19">
        <f>Z35*(0.165+0.1)</f>
        <v>1.1158381500000001</v>
      </c>
    </row>
    <row r="37" spans="1:26">
      <c r="A37" s="8"/>
      <c r="G37" s="4" t="s">
        <v>44</v>
      </c>
      <c r="H37" s="19">
        <f>H38*(0.165+0.1)</f>
        <v>1.7741502490660024</v>
      </c>
      <c r="J37" s="8"/>
      <c r="P37" s="4" t="s">
        <v>28</v>
      </c>
      <c r="Q37" s="32">
        <f>Q35/0.872</f>
        <v>5.5975344036697248</v>
      </c>
      <c r="S37" s="8"/>
      <c r="Y37" s="4" t="s">
        <v>28</v>
      </c>
      <c r="Z37" s="32">
        <f>Z35/0.85</f>
        <v>4.9537764705882354</v>
      </c>
    </row>
    <row r="38" spans="1:26">
      <c r="A38" s="8"/>
      <c r="G38" s="4" t="s">
        <v>28</v>
      </c>
      <c r="H38" s="32">
        <f>H36/0.803</f>
        <v>6.6949066002490651</v>
      </c>
      <c r="J38" s="8"/>
      <c r="P38" s="4" t="s">
        <v>45</v>
      </c>
      <c r="Q38" s="38">
        <f>Q34+Q36+Q37</f>
        <v>7.4252006878577586</v>
      </c>
      <c r="S38" s="8"/>
      <c r="Y38" s="4" t="s">
        <v>45</v>
      </c>
      <c r="Z38" s="38">
        <f>Z37+Z36+Z34</f>
        <v>6.4969650479386631</v>
      </c>
    </row>
    <row r="39" spans="1:26">
      <c r="A39" s="8"/>
      <c r="G39" s="4" t="s">
        <v>45</v>
      </c>
      <c r="H39" s="38">
        <f>H38+H37+H35</f>
        <v>8.8964072766654958</v>
      </c>
      <c r="J39" s="8"/>
      <c r="P39" s="4" t="s">
        <v>29</v>
      </c>
      <c r="Q39" s="23">
        <f>(Q37-Q35)/Q37</f>
        <v>0.12799999999999997</v>
      </c>
      <c r="S39" s="8"/>
      <c r="Y39" s="4" t="s">
        <v>29</v>
      </c>
      <c r="Z39" s="23">
        <f>(Z37-Z35)/Z37</f>
        <v>0.15000000000000008</v>
      </c>
    </row>
    <row r="40" spans="1:26">
      <c r="A40" s="8"/>
      <c r="G40" s="4" t="s">
        <v>29</v>
      </c>
      <c r="H40" s="23">
        <f>(H38-H36)/H38</f>
        <v>0.1969999999999999</v>
      </c>
      <c r="J40" s="8"/>
      <c r="Q40" s="21"/>
      <c r="S40" s="8"/>
      <c r="Z40" s="21"/>
    </row>
    <row r="41" spans="1:26">
      <c r="A41" s="8"/>
      <c r="H41" s="21"/>
      <c r="J41" s="84" t="s">
        <v>6</v>
      </c>
      <c r="K41" s="84"/>
      <c r="L41" s="84"/>
      <c r="M41" s="84"/>
      <c r="N41" s="84"/>
      <c r="O41" s="84"/>
      <c r="P41" s="84"/>
      <c r="Q41" s="84"/>
    </row>
    <row r="42" spans="1:26">
      <c r="A42" s="84" t="s">
        <v>6</v>
      </c>
      <c r="B42" s="84"/>
      <c r="C42" s="84"/>
      <c r="D42" s="84"/>
      <c r="E42" s="84"/>
      <c r="F42" s="84"/>
      <c r="G42" s="84"/>
      <c r="H42" s="84"/>
      <c r="J42" s="9" t="s">
        <v>7</v>
      </c>
      <c r="K42" s="10" t="s">
        <v>0</v>
      </c>
      <c r="L42" s="65" t="s">
        <v>8</v>
      </c>
      <c r="M42" s="67"/>
      <c r="N42" s="9" t="s">
        <v>9</v>
      </c>
      <c r="O42" s="9" t="s">
        <v>10</v>
      </c>
      <c r="P42" s="9" t="s">
        <v>11</v>
      </c>
      <c r="Q42" s="9" t="s">
        <v>12</v>
      </c>
    </row>
    <row r="43" spans="1:26">
      <c r="A43" s="9" t="s">
        <v>7</v>
      </c>
      <c r="B43" s="10" t="s">
        <v>0</v>
      </c>
      <c r="C43" s="65" t="s">
        <v>8</v>
      </c>
      <c r="D43" s="67"/>
      <c r="E43" s="9" t="s">
        <v>9</v>
      </c>
      <c r="F43" s="9" t="s">
        <v>10</v>
      </c>
      <c r="G43" s="9" t="s">
        <v>11</v>
      </c>
      <c r="H43" s="9" t="s">
        <v>12</v>
      </c>
      <c r="J43" s="11">
        <v>1</v>
      </c>
      <c r="K43" s="12" t="s">
        <v>36</v>
      </c>
      <c r="L43" s="71">
        <v>7.1</v>
      </c>
      <c r="M43" s="72"/>
      <c r="N43" s="13" t="s">
        <v>47</v>
      </c>
      <c r="O43" s="13">
        <v>65</v>
      </c>
      <c r="P43" s="26">
        <v>1.7</v>
      </c>
      <c r="Q43" s="26">
        <f t="shared" ref="Q43:Q48" si="24">IF(P43="","",P43*12)</f>
        <v>20.399999999999999</v>
      </c>
    </row>
    <row r="44" spans="1:26">
      <c r="A44" s="11">
        <v>1</v>
      </c>
      <c r="B44" s="12" t="s">
        <v>36</v>
      </c>
      <c r="C44" s="71">
        <v>7.1</v>
      </c>
      <c r="D44" s="72"/>
      <c r="E44" s="13" t="s">
        <v>47</v>
      </c>
      <c r="F44" s="13">
        <v>65</v>
      </c>
      <c r="G44" s="26">
        <v>1.7</v>
      </c>
      <c r="H44" s="26">
        <f t="shared" ref="H44:H49" si="25">IF(G44="","",G44*12)</f>
        <v>20.399999999999999</v>
      </c>
      <c r="J44" s="11">
        <v>2</v>
      </c>
      <c r="K44" s="12" t="s">
        <v>50</v>
      </c>
      <c r="L44" s="71" t="s">
        <v>49</v>
      </c>
      <c r="M44" s="72"/>
      <c r="N44" s="13" t="s">
        <v>43</v>
      </c>
      <c r="O44" s="13" t="s">
        <v>13</v>
      </c>
      <c r="P44" s="14">
        <v>10</v>
      </c>
      <c r="Q44" s="14">
        <f t="shared" si="24"/>
        <v>120</v>
      </c>
    </row>
    <row r="45" spans="1:26">
      <c r="A45" s="11">
        <v>2</v>
      </c>
      <c r="B45" s="12" t="s">
        <v>50</v>
      </c>
      <c r="C45" s="71" t="s">
        <v>54</v>
      </c>
      <c r="D45" s="72"/>
      <c r="E45" s="13" t="s">
        <v>43</v>
      </c>
      <c r="F45" s="13" t="s">
        <v>13</v>
      </c>
      <c r="G45" s="14">
        <v>10</v>
      </c>
      <c r="H45" s="14">
        <f t="shared" si="25"/>
        <v>120</v>
      </c>
      <c r="J45" s="11">
        <v>3</v>
      </c>
      <c r="K45" s="12" t="s">
        <v>42</v>
      </c>
      <c r="L45" s="71" t="s">
        <v>33</v>
      </c>
      <c r="M45" s="72"/>
      <c r="N45" s="13" t="s">
        <v>13</v>
      </c>
      <c r="O45" s="13" t="s">
        <v>13</v>
      </c>
      <c r="P45" s="14">
        <v>1</v>
      </c>
      <c r="Q45" s="14">
        <f t="shared" si="24"/>
        <v>12</v>
      </c>
    </row>
    <row r="46" spans="1:26">
      <c r="A46" s="11">
        <v>3</v>
      </c>
      <c r="B46" s="12" t="s">
        <v>42</v>
      </c>
      <c r="C46" s="71" t="s">
        <v>33</v>
      </c>
      <c r="D46" s="72"/>
      <c r="E46" s="13" t="s">
        <v>13</v>
      </c>
      <c r="F46" s="13" t="s">
        <v>13</v>
      </c>
      <c r="G46" s="14">
        <v>1</v>
      </c>
      <c r="H46" s="14">
        <f t="shared" si="25"/>
        <v>12</v>
      </c>
      <c r="J46" s="11">
        <v>4</v>
      </c>
      <c r="K46" s="12" t="s">
        <v>34</v>
      </c>
      <c r="L46" s="71" t="s">
        <v>34</v>
      </c>
      <c r="M46" s="72"/>
      <c r="N46" s="13" t="s">
        <v>13</v>
      </c>
      <c r="O46" s="13" t="s">
        <v>13</v>
      </c>
      <c r="P46" s="14">
        <v>1</v>
      </c>
      <c r="Q46" s="14">
        <f t="shared" si="24"/>
        <v>12</v>
      </c>
    </row>
    <row r="47" spans="1:26">
      <c r="A47" s="11">
        <v>4</v>
      </c>
      <c r="B47" s="12" t="s">
        <v>34</v>
      </c>
      <c r="C47" s="71" t="s">
        <v>34</v>
      </c>
      <c r="D47" s="72"/>
      <c r="E47" s="13" t="s">
        <v>13</v>
      </c>
      <c r="F47" s="13" t="s">
        <v>13</v>
      </c>
      <c r="G47" s="14">
        <v>1</v>
      </c>
      <c r="H47" s="14">
        <f t="shared" si="25"/>
        <v>12</v>
      </c>
      <c r="J47" s="11">
        <v>5</v>
      </c>
      <c r="K47" s="24" t="s">
        <v>1</v>
      </c>
      <c r="L47" s="71" t="s">
        <v>14</v>
      </c>
      <c r="M47" s="72"/>
      <c r="N47" s="13" t="s">
        <v>2</v>
      </c>
      <c r="O47" s="13" t="s">
        <v>15</v>
      </c>
      <c r="P47" s="27">
        <v>6.7000000000000004E-2</v>
      </c>
      <c r="Q47" s="27">
        <f t="shared" si="24"/>
        <v>0.80400000000000005</v>
      </c>
    </row>
    <row r="48" spans="1:26">
      <c r="A48" s="11">
        <v>5</v>
      </c>
      <c r="B48" s="24" t="s">
        <v>1</v>
      </c>
      <c r="C48" s="71" t="s">
        <v>14</v>
      </c>
      <c r="D48" s="72"/>
      <c r="E48" s="13" t="s">
        <v>2</v>
      </c>
      <c r="F48" s="13" t="s">
        <v>15</v>
      </c>
      <c r="G48" s="27">
        <v>6.7000000000000004E-2</v>
      </c>
      <c r="H48" s="27">
        <f t="shared" si="25"/>
        <v>0.80400000000000005</v>
      </c>
      <c r="J48" s="25">
        <v>6</v>
      </c>
      <c r="K48" s="24" t="s">
        <v>31</v>
      </c>
      <c r="L48" s="71" t="s">
        <v>31</v>
      </c>
      <c r="M48" s="72"/>
      <c r="N48" s="13" t="s">
        <v>32</v>
      </c>
      <c r="O48" s="13" t="s">
        <v>13</v>
      </c>
      <c r="P48" s="14">
        <f>1/5</f>
        <v>0.2</v>
      </c>
      <c r="Q48" s="14">
        <f t="shared" si="24"/>
        <v>2.4000000000000004</v>
      </c>
    </row>
    <row r="49" spans="1:17">
      <c r="A49" s="25">
        <v>6</v>
      </c>
      <c r="B49" s="24" t="s">
        <v>31</v>
      </c>
      <c r="C49" s="71" t="s">
        <v>31</v>
      </c>
      <c r="D49" s="72"/>
      <c r="E49" s="13" t="s">
        <v>32</v>
      </c>
      <c r="F49" s="13" t="s">
        <v>13</v>
      </c>
      <c r="G49" s="14">
        <f>1/5</f>
        <v>0.2</v>
      </c>
      <c r="H49" s="14">
        <f t="shared" si="25"/>
        <v>2.4000000000000004</v>
      </c>
      <c r="J49" s="73" t="s">
        <v>16</v>
      </c>
      <c r="K49" s="74"/>
      <c r="L49" s="74"/>
      <c r="M49" s="74"/>
      <c r="N49" s="74"/>
      <c r="O49" s="74"/>
      <c r="P49" s="74"/>
      <c r="Q49" s="75"/>
    </row>
    <row r="50" spans="1:17">
      <c r="A50" s="73" t="s">
        <v>16</v>
      </c>
      <c r="B50" s="74"/>
      <c r="C50" s="74"/>
      <c r="D50" s="74"/>
      <c r="E50" s="74"/>
      <c r="F50" s="74"/>
      <c r="G50" s="74"/>
      <c r="H50" s="75"/>
      <c r="J50" s="76" t="s">
        <v>17</v>
      </c>
      <c r="K50" s="77"/>
      <c r="L50" s="78" t="s">
        <v>18</v>
      </c>
      <c r="M50" s="79"/>
      <c r="N50" s="79"/>
      <c r="O50" s="79"/>
      <c r="P50" s="79"/>
      <c r="Q50" s="80"/>
    </row>
    <row r="51" spans="1:17">
      <c r="A51" s="76" t="s">
        <v>17</v>
      </c>
      <c r="B51" s="77"/>
      <c r="C51" s="78" t="s">
        <v>18</v>
      </c>
      <c r="D51" s="79"/>
      <c r="E51" s="79"/>
      <c r="F51" s="79"/>
      <c r="G51" s="79"/>
      <c r="H51" s="80"/>
      <c r="J51" s="55">
        <f>J33</f>
        <v>0</v>
      </c>
      <c r="K51" s="56"/>
      <c r="L51" s="52">
        <f>(SUM(L52:P52)*12)/60</f>
        <v>2.286</v>
      </c>
      <c r="M51" s="53"/>
      <c r="N51" s="53"/>
      <c r="O51" s="53"/>
      <c r="P51" s="53"/>
      <c r="Q51" s="54"/>
    </row>
    <row r="52" spans="1:17" ht="14.4">
      <c r="A52" s="55">
        <f>A34</f>
        <v>0</v>
      </c>
      <c r="B52" s="56"/>
      <c r="C52" s="52">
        <f>(SUM(C53:G53)*12)/60</f>
        <v>2.5</v>
      </c>
      <c r="D52" s="53"/>
      <c r="E52" s="53"/>
      <c r="F52" s="53"/>
      <c r="G52" s="53"/>
      <c r="H52" s="54"/>
      <c r="J52" s="57" t="s">
        <v>30</v>
      </c>
      <c r="K52" s="58"/>
      <c r="L52" s="59">
        <v>11.43</v>
      </c>
      <c r="M52" s="60"/>
      <c r="N52" s="60"/>
      <c r="O52" s="60"/>
      <c r="P52" s="61"/>
      <c r="Q52" s="37"/>
    </row>
    <row r="53" spans="1:17" ht="14.4">
      <c r="A53" s="57" t="s">
        <v>30</v>
      </c>
      <c r="B53" s="58"/>
      <c r="C53" s="59">
        <v>12.5</v>
      </c>
      <c r="D53" s="60"/>
      <c r="E53" s="60"/>
      <c r="F53" s="60"/>
      <c r="G53" s="61"/>
      <c r="H53" s="37"/>
      <c r="J53" s="62" t="s">
        <v>19</v>
      </c>
      <c r="K53" s="63"/>
      <c r="L53" s="63"/>
      <c r="M53" s="63"/>
      <c r="N53" s="63"/>
      <c r="O53" s="63"/>
      <c r="P53" s="63"/>
      <c r="Q53" s="64"/>
    </row>
    <row r="54" spans="1:17">
      <c r="A54" s="62" t="s">
        <v>19</v>
      </c>
      <c r="B54" s="63"/>
      <c r="C54" s="63"/>
      <c r="D54" s="63"/>
      <c r="E54" s="63"/>
      <c r="F54" s="63"/>
      <c r="G54" s="63"/>
      <c r="H54" s="64"/>
      <c r="J54" s="15" t="s">
        <v>7</v>
      </c>
      <c r="K54" s="16" t="s">
        <v>0</v>
      </c>
      <c r="L54" s="65" t="s">
        <v>20</v>
      </c>
      <c r="M54" s="66"/>
      <c r="N54" s="67"/>
      <c r="O54" s="15" t="s">
        <v>21</v>
      </c>
      <c r="P54" s="15" t="s">
        <v>22</v>
      </c>
      <c r="Q54" s="15" t="s">
        <v>23</v>
      </c>
    </row>
    <row r="55" spans="1:17">
      <c r="A55" s="15" t="s">
        <v>7</v>
      </c>
      <c r="B55" s="16" t="s">
        <v>0</v>
      </c>
      <c r="C55" s="65" t="s">
        <v>20</v>
      </c>
      <c r="D55" s="66"/>
      <c r="E55" s="67"/>
      <c r="F55" s="15" t="s">
        <v>21</v>
      </c>
      <c r="G55" s="15" t="s">
        <v>22</v>
      </c>
      <c r="H55" s="15" t="s">
        <v>23</v>
      </c>
      <c r="J55" s="13">
        <f t="shared" ref="J55:K55" si="26">IF(J43="","",J43)</f>
        <v>1</v>
      </c>
      <c r="K55" s="17" t="str">
        <f t="shared" si="26"/>
        <v>Main Fabric-TCF0559</v>
      </c>
      <c r="L55" s="68">
        <f t="shared" ref="L55:L60" si="27">IF(Q43="","",Q43)</f>
        <v>20.399999999999999</v>
      </c>
      <c r="M55" s="69"/>
      <c r="N55" s="70"/>
      <c r="O55" s="13" t="str">
        <f t="shared" ref="O55:O60" si="28">IF(N43="","",N43)</f>
        <v>alsco</v>
      </c>
      <c r="P55" s="18">
        <v>1.835</v>
      </c>
      <c r="Q55" s="19">
        <f t="shared" ref="Q55:Q60" si="29">Q43*P55</f>
        <v>37.433999999999997</v>
      </c>
    </row>
    <row r="56" spans="1:17">
      <c r="A56" s="13">
        <f t="shared" ref="A56:B61" si="30">IF(A44="","",A44)</f>
        <v>1</v>
      </c>
      <c r="B56" s="17" t="str">
        <f t="shared" si="30"/>
        <v>Main Fabric-TCF0559</v>
      </c>
      <c r="C56" s="68">
        <f t="shared" ref="C56:C61" si="31">IF(H44="","",H44)</f>
        <v>20.399999999999999</v>
      </c>
      <c r="D56" s="69"/>
      <c r="E56" s="70"/>
      <c r="F56" s="13" t="str">
        <f t="shared" ref="F56:F61" si="32">IF(E44="","",E44)</f>
        <v>alsco</v>
      </c>
      <c r="G56" s="18">
        <v>1.835</v>
      </c>
      <c r="H56" s="19">
        <f t="shared" ref="H56:H61" si="33">H44*G56</f>
        <v>37.433999999999997</v>
      </c>
      <c r="J56" s="13">
        <f t="shared" ref="J56:K56" si="34">IF(J44="","",J44)</f>
        <v>2</v>
      </c>
      <c r="K56" s="43" t="str">
        <f t="shared" si="34"/>
        <v xml:space="preserve"> Button</v>
      </c>
      <c r="L56" s="85">
        <f t="shared" si="27"/>
        <v>120</v>
      </c>
      <c r="M56" s="86"/>
      <c r="N56" s="87"/>
      <c r="O56" s="44" t="str">
        <f t="shared" si="28"/>
        <v>White</v>
      </c>
      <c r="P56" s="40">
        <v>1.4E-2</v>
      </c>
      <c r="Q56" s="19">
        <f t="shared" si="29"/>
        <v>1.68</v>
      </c>
    </row>
    <row r="57" spans="1:17">
      <c r="A57" s="13">
        <f t="shared" si="30"/>
        <v>2</v>
      </c>
      <c r="B57" s="43" t="str">
        <f t="shared" si="30"/>
        <v xml:space="preserve"> Button</v>
      </c>
      <c r="C57" s="85">
        <f t="shared" si="31"/>
        <v>120</v>
      </c>
      <c r="D57" s="86"/>
      <c r="E57" s="87"/>
      <c r="F57" s="44" t="str">
        <f t="shared" si="32"/>
        <v>White</v>
      </c>
      <c r="G57" s="40">
        <v>0.05</v>
      </c>
      <c r="H57" s="19">
        <f t="shared" si="33"/>
        <v>6</v>
      </c>
      <c r="J57" s="13">
        <f t="shared" ref="J57:K57" si="35">IF(J45="","",J45)</f>
        <v>3</v>
      </c>
      <c r="K57" s="17" t="str">
        <f t="shared" si="35"/>
        <v>Main Label</v>
      </c>
      <c r="L57" s="46">
        <f t="shared" si="27"/>
        <v>12</v>
      </c>
      <c r="M57" s="47"/>
      <c r="N57" s="48"/>
      <c r="O57" s="13" t="str">
        <f t="shared" si="28"/>
        <v>-</v>
      </c>
      <c r="P57" s="33">
        <v>0.05</v>
      </c>
      <c r="Q57" s="19">
        <f t="shared" si="29"/>
        <v>0.60000000000000009</v>
      </c>
    </row>
    <row r="58" spans="1:17">
      <c r="A58" s="13">
        <f t="shared" si="30"/>
        <v>3</v>
      </c>
      <c r="B58" s="17" t="str">
        <f t="shared" si="30"/>
        <v>Main Label</v>
      </c>
      <c r="C58" s="46">
        <f t="shared" si="31"/>
        <v>12</v>
      </c>
      <c r="D58" s="47"/>
      <c r="E58" s="48"/>
      <c r="F58" s="13" t="str">
        <f t="shared" si="32"/>
        <v>-</v>
      </c>
      <c r="G58" s="33">
        <v>0.05</v>
      </c>
      <c r="H58" s="19">
        <f t="shared" si="33"/>
        <v>0.60000000000000009</v>
      </c>
      <c r="J58" s="13">
        <f t="shared" ref="J58:K58" si="36">IF(J46="","",J46)</f>
        <v>4</v>
      </c>
      <c r="K58" s="17" t="str">
        <f t="shared" si="36"/>
        <v>Care Label</v>
      </c>
      <c r="L58" s="46">
        <f t="shared" si="27"/>
        <v>12</v>
      </c>
      <c r="M58" s="47"/>
      <c r="N58" s="48"/>
      <c r="O58" s="13" t="str">
        <f t="shared" si="28"/>
        <v>-</v>
      </c>
      <c r="P58" s="33">
        <v>0.01</v>
      </c>
      <c r="Q58" s="19">
        <f t="shared" si="29"/>
        <v>0.12</v>
      </c>
    </row>
    <row r="59" spans="1:17">
      <c r="A59" s="13">
        <f t="shared" si="30"/>
        <v>4</v>
      </c>
      <c r="B59" s="17" t="str">
        <f t="shared" si="30"/>
        <v>Care Label</v>
      </c>
      <c r="C59" s="46">
        <f t="shared" si="31"/>
        <v>12</v>
      </c>
      <c r="D59" s="47"/>
      <c r="E59" s="48"/>
      <c r="F59" s="13" t="str">
        <f t="shared" si="32"/>
        <v>-</v>
      </c>
      <c r="G59" s="33">
        <v>8.0000000000000002E-3</v>
      </c>
      <c r="H59" s="19">
        <f t="shared" si="33"/>
        <v>9.6000000000000002E-2</v>
      </c>
      <c r="J59" s="13">
        <f t="shared" ref="J59:K59" si="37">IF(J47="","",J47)</f>
        <v>5</v>
      </c>
      <c r="K59" s="17" t="str">
        <f t="shared" si="37"/>
        <v>Thread Tex40</v>
      </c>
      <c r="L59" s="49">
        <f t="shared" si="27"/>
        <v>0.80400000000000005</v>
      </c>
      <c r="M59" s="50"/>
      <c r="N59" s="51"/>
      <c r="O59" s="13" t="str">
        <f t="shared" si="28"/>
        <v>DTM Body</v>
      </c>
      <c r="P59" s="18">
        <v>3.5</v>
      </c>
      <c r="Q59" s="19">
        <f t="shared" si="29"/>
        <v>2.8140000000000001</v>
      </c>
    </row>
    <row r="60" spans="1:17">
      <c r="A60" s="13">
        <f t="shared" si="30"/>
        <v>5</v>
      </c>
      <c r="B60" s="17" t="str">
        <f t="shared" si="30"/>
        <v>Thread Tex40</v>
      </c>
      <c r="C60" s="49">
        <f t="shared" si="31"/>
        <v>0.80400000000000005</v>
      </c>
      <c r="D60" s="50"/>
      <c r="E60" s="51"/>
      <c r="F60" s="13" t="str">
        <f t="shared" si="32"/>
        <v>DTM Body</v>
      </c>
      <c r="G60" s="18">
        <v>3.5</v>
      </c>
      <c r="H60" s="19">
        <f t="shared" si="33"/>
        <v>2.8140000000000001</v>
      </c>
      <c r="J60" s="13">
        <f t="shared" ref="J60:K60" si="38">IF(J48="","",J48)</f>
        <v>6</v>
      </c>
      <c r="K60" s="17" t="str">
        <f t="shared" si="38"/>
        <v>Polybag</v>
      </c>
      <c r="L60" s="49">
        <f t="shared" si="27"/>
        <v>2.4000000000000004</v>
      </c>
      <c r="M60" s="50"/>
      <c r="N60" s="51"/>
      <c r="O60" s="13" t="str">
        <f t="shared" si="28"/>
        <v>Clear</v>
      </c>
      <c r="P60" s="18">
        <v>3.1300000000000001E-2</v>
      </c>
      <c r="Q60" s="19">
        <f t="shared" si="29"/>
        <v>7.512000000000002E-2</v>
      </c>
    </row>
    <row r="61" spans="1:17">
      <c r="A61" s="13">
        <f t="shared" si="30"/>
        <v>6</v>
      </c>
      <c r="B61" s="17" t="str">
        <f t="shared" si="30"/>
        <v>Polybag</v>
      </c>
      <c r="C61" s="49">
        <f t="shared" si="31"/>
        <v>2.4000000000000004</v>
      </c>
      <c r="D61" s="50"/>
      <c r="E61" s="51"/>
      <c r="F61" s="13" t="str">
        <f t="shared" si="32"/>
        <v>Clear</v>
      </c>
      <c r="G61" s="18">
        <v>3.1300000000000001E-2</v>
      </c>
      <c r="H61" s="19">
        <f t="shared" si="33"/>
        <v>7.512000000000002E-2</v>
      </c>
      <c r="J61" s="13">
        <v>7</v>
      </c>
      <c r="K61" s="17" t="s">
        <v>37</v>
      </c>
      <c r="L61" s="52">
        <f>1/24*12</f>
        <v>0.5</v>
      </c>
      <c r="M61" s="53"/>
      <c r="N61" s="54"/>
      <c r="O61" s="20"/>
      <c r="P61" s="18">
        <v>0.99</v>
      </c>
      <c r="Q61" s="19">
        <f>IF(P61="","",L61*P61)</f>
        <v>0.495</v>
      </c>
    </row>
    <row r="62" spans="1:17">
      <c r="A62" s="13">
        <v>7</v>
      </c>
      <c r="B62" s="17" t="s">
        <v>37</v>
      </c>
      <c r="C62" s="52">
        <f>1/24*12</f>
        <v>0.5</v>
      </c>
      <c r="D62" s="53"/>
      <c r="E62" s="54"/>
      <c r="F62" s="20"/>
      <c r="G62" s="18">
        <v>0.99</v>
      </c>
      <c r="H62" s="19">
        <f>IF(G62="","",C62*G62)</f>
        <v>0.495</v>
      </c>
      <c r="J62" s="13">
        <v>8</v>
      </c>
      <c r="K62" s="39" t="s">
        <v>24</v>
      </c>
      <c r="L62" s="81">
        <f>L51</f>
        <v>2.286</v>
      </c>
      <c r="M62" s="82"/>
      <c r="N62" s="83"/>
      <c r="O62" s="45"/>
      <c r="P62" s="40">
        <v>7.68</v>
      </c>
      <c r="Q62" s="19">
        <f>IF(P62="","",L62*P62)</f>
        <v>17.556480000000001</v>
      </c>
    </row>
    <row r="63" spans="1:17">
      <c r="A63" s="13">
        <v>8</v>
      </c>
      <c r="B63" s="39" t="s">
        <v>24</v>
      </c>
      <c r="C63" s="81">
        <f>C52</f>
        <v>2.5</v>
      </c>
      <c r="D63" s="82"/>
      <c r="E63" s="83"/>
      <c r="F63" s="45"/>
      <c r="G63" s="40">
        <v>7.68</v>
      </c>
      <c r="H63" s="19">
        <f>IF(G63="","",C63*G63)</f>
        <v>19.2</v>
      </c>
      <c r="J63" s="8"/>
      <c r="Q63" s="21"/>
    </row>
    <row r="64" spans="1:17">
      <c r="A64" s="8"/>
      <c r="H64" s="21"/>
      <c r="J64" s="8"/>
      <c r="L64" s="42"/>
      <c r="M64" s="41"/>
      <c r="N64" s="41"/>
      <c r="O64" s="41"/>
      <c r="P64" s="22" t="s">
        <v>25</v>
      </c>
      <c r="Q64" s="19">
        <f>SUM(Q55:Q62)</f>
        <v>60.774599999999992</v>
      </c>
    </row>
    <row r="65" spans="1:17">
      <c r="A65" s="8"/>
      <c r="C65" s="42"/>
      <c r="D65" s="41"/>
      <c r="E65" s="41"/>
      <c r="F65" s="41"/>
      <c r="G65" s="22" t="s">
        <v>25</v>
      </c>
      <c r="H65" s="19">
        <f>SUM(H56:H63)</f>
        <v>66.714119999999994</v>
      </c>
      <c r="J65" s="8"/>
      <c r="L65" s="42"/>
      <c r="P65" s="4" t="s">
        <v>26</v>
      </c>
      <c r="Q65" s="19">
        <f>15000/(1170*24)</f>
        <v>0.53418803418803418</v>
      </c>
    </row>
    <row r="66" spans="1:17">
      <c r="A66" s="8"/>
      <c r="C66" s="42"/>
      <c r="G66" s="4" t="s">
        <v>26</v>
      </c>
      <c r="H66" s="19">
        <f>15000/(1170*30)</f>
        <v>0.42735042735042733</v>
      </c>
      <c r="J66" s="8"/>
      <c r="P66" s="22" t="s">
        <v>27</v>
      </c>
      <c r="Q66" s="19">
        <f>(Q64/12)</f>
        <v>5.0645499999999997</v>
      </c>
    </row>
    <row r="67" spans="1:17">
      <c r="A67" s="8"/>
      <c r="G67" s="22" t="s">
        <v>27</v>
      </c>
      <c r="H67" s="19">
        <f>(H65/12)</f>
        <v>5.5595099999999995</v>
      </c>
      <c r="J67" s="8"/>
      <c r="P67" s="4" t="s">
        <v>44</v>
      </c>
      <c r="Q67" s="19">
        <f>Q66*(0.165+0.1)</f>
        <v>1.34210575</v>
      </c>
    </row>
    <row r="68" spans="1:17">
      <c r="A68" s="8"/>
      <c r="G68" s="4" t="s">
        <v>44</v>
      </c>
      <c r="H68" s="19">
        <f>H69*(0.165+0.1)</f>
        <v>1.95135119205298</v>
      </c>
      <c r="J68" s="8"/>
      <c r="P68" s="4" t="s">
        <v>28</v>
      </c>
      <c r="Q68" s="32">
        <f>Q66/0.855</f>
        <v>5.9234502923976606</v>
      </c>
    </row>
    <row r="69" spans="1:17">
      <c r="A69" s="8"/>
      <c r="G69" s="4" t="s">
        <v>28</v>
      </c>
      <c r="H69" s="32">
        <f>H67/0.755</f>
        <v>7.363589403973509</v>
      </c>
      <c r="J69" s="8"/>
      <c r="P69" s="4" t="s">
        <v>45</v>
      </c>
      <c r="Q69" s="38">
        <f>Q65+Q67+Q68</f>
        <v>7.7997440765856947</v>
      </c>
    </row>
    <row r="70" spans="1:17">
      <c r="A70" s="8"/>
      <c r="G70" s="4" t="s">
        <v>45</v>
      </c>
      <c r="H70" s="38">
        <v>9.73</v>
      </c>
      <c r="I70" s="4">
        <v>7.42</v>
      </c>
      <c r="J70" s="8"/>
      <c r="P70" s="4" t="s">
        <v>29</v>
      </c>
      <c r="Q70" s="23">
        <f>(Q68-Q66)/Q68</f>
        <v>0.14500000000000002</v>
      </c>
    </row>
    <row r="71" spans="1:17">
      <c r="A71" s="8"/>
      <c r="G71" s="4" t="s">
        <v>29</v>
      </c>
      <c r="H71" s="23">
        <f>(H69-H67)/H69</f>
        <v>0.24499999999999997</v>
      </c>
    </row>
  </sheetData>
  <mergeCells count="143">
    <mergeCell ref="U29:W29"/>
    <mergeCell ref="U30:W30"/>
    <mergeCell ref="U31:W31"/>
    <mergeCell ref="S21:T21"/>
    <mergeCell ref="U21:Y21"/>
    <mergeCell ref="S22:Z22"/>
    <mergeCell ref="U23:W23"/>
    <mergeCell ref="U24:W24"/>
    <mergeCell ref="U25:W25"/>
    <mergeCell ref="U26:W26"/>
    <mergeCell ref="U27:W27"/>
    <mergeCell ref="U28:W28"/>
    <mergeCell ref="U13:V13"/>
    <mergeCell ref="U14:V14"/>
    <mergeCell ref="U15:V15"/>
    <mergeCell ref="U16:V16"/>
    <mergeCell ref="U17:V17"/>
    <mergeCell ref="S18:Z18"/>
    <mergeCell ref="S19:T19"/>
    <mergeCell ref="U19:Z19"/>
    <mergeCell ref="S20:T20"/>
    <mergeCell ref="U20:Z20"/>
    <mergeCell ref="S2:Z2"/>
    <mergeCell ref="S3:Z3"/>
    <mergeCell ref="S5:Z5"/>
    <mergeCell ref="S6:Z6"/>
    <mergeCell ref="S7:Z7"/>
    <mergeCell ref="S8:Z8"/>
    <mergeCell ref="S10:Z10"/>
    <mergeCell ref="U11:V11"/>
    <mergeCell ref="U12:V12"/>
    <mergeCell ref="A4:H4"/>
    <mergeCell ref="A6:H6"/>
    <mergeCell ref="A7:H7"/>
    <mergeCell ref="A8:H8"/>
    <mergeCell ref="A9:H9"/>
    <mergeCell ref="A3:H3"/>
    <mergeCell ref="C16:D16"/>
    <mergeCell ref="C17:D17"/>
    <mergeCell ref="C18:D18"/>
    <mergeCell ref="A19:H19"/>
    <mergeCell ref="A20:B20"/>
    <mergeCell ref="C20:H20"/>
    <mergeCell ref="A11:H11"/>
    <mergeCell ref="C12:D12"/>
    <mergeCell ref="C13:D13"/>
    <mergeCell ref="C14:D14"/>
    <mergeCell ref="C15:D15"/>
    <mergeCell ref="C24:E24"/>
    <mergeCell ref="C25:E25"/>
    <mergeCell ref="C26:E26"/>
    <mergeCell ref="C27:E27"/>
    <mergeCell ref="C28:E28"/>
    <mergeCell ref="A21:B21"/>
    <mergeCell ref="C21:H21"/>
    <mergeCell ref="A22:B22"/>
    <mergeCell ref="C22:G22"/>
    <mergeCell ref="A23:H23"/>
    <mergeCell ref="C43:D43"/>
    <mergeCell ref="C44:D44"/>
    <mergeCell ref="C45:D45"/>
    <mergeCell ref="C46:D46"/>
    <mergeCell ref="C47:D47"/>
    <mergeCell ref="C29:E29"/>
    <mergeCell ref="C30:E30"/>
    <mergeCell ref="C31:E31"/>
    <mergeCell ref="C32:E32"/>
    <mergeCell ref="A42:H42"/>
    <mergeCell ref="A52:B52"/>
    <mergeCell ref="C52:H52"/>
    <mergeCell ref="A53:B53"/>
    <mergeCell ref="C53:G53"/>
    <mergeCell ref="A54:H54"/>
    <mergeCell ref="C48:D48"/>
    <mergeCell ref="C49:D49"/>
    <mergeCell ref="A50:H50"/>
    <mergeCell ref="A51:B51"/>
    <mergeCell ref="C51:H51"/>
    <mergeCell ref="C60:E60"/>
    <mergeCell ref="C61:E61"/>
    <mergeCell ref="C62:E62"/>
    <mergeCell ref="C63:E63"/>
    <mergeCell ref="C55:E55"/>
    <mergeCell ref="C56:E56"/>
    <mergeCell ref="C57:E57"/>
    <mergeCell ref="C58:E58"/>
    <mergeCell ref="C59:E59"/>
    <mergeCell ref="J2:Q2"/>
    <mergeCell ref="J3:Q3"/>
    <mergeCell ref="J5:Q5"/>
    <mergeCell ref="J6:Q6"/>
    <mergeCell ref="J7:Q7"/>
    <mergeCell ref="J8:Q8"/>
    <mergeCell ref="J10:Q10"/>
    <mergeCell ref="L11:M11"/>
    <mergeCell ref="L12:M12"/>
    <mergeCell ref="L13:M13"/>
    <mergeCell ref="L14:M14"/>
    <mergeCell ref="L15:M15"/>
    <mergeCell ref="L16:M16"/>
    <mergeCell ref="L17:M17"/>
    <mergeCell ref="J18:Q18"/>
    <mergeCell ref="J19:K19"/>
    <mergeCell ref="L19:Q19"/>
    <mergeCell ref="J20:K20"/>
    <mergeCell ref="L20:Q20"/>
    <mergeCell ref="J21:K21"/>
    <mergeCell ref="L21:P21"/>
    <mergeCell ref="J22:Q22"/>
    <mergeCell ref="L23:N23"/>
    <mergeCell ref="L24:N24"/>
    <mergeCell ref="L25:N25"/>
    <mergeCell ref="L26:N26"/>
    <mergeCell ref="L27:N27"/>
    <mergeCell ref="L28:N28"/>
    <mergeCell ref="L29:N29"/>
    <mergeCell ref="L30:N30"/>
    <mergeCell ref="L31:N31"/>
    <mergeCell ref="J41:Q41"/>
    <mergeCell ref="L42:M42"/>
    <mergeCell ref="L43:M43"/>
    <mergeCell ref="L44:M44"/>
    <mergeCell ref="L45:M45"/>
    <mergeCell ref="L46:M46"/>
    <mergeCell ref="L47:M47"/>
    <mergeCell ref="L48:M48"/>
    <mergeCell ref="J49:Q49"/>
    <mergeCell ref="J50:K50"/>
    <mergeCell ref="L50:Q50"/>
    <mergeCell ref="J51:K51"/>
    <mergeCell ref="L51:Q51"/>
    <mergeCell ref="J52:K52"/>
    <mergeCell ref="L52:P52"/>
    <mergeCell ref="J53:Q53"/>
    <mergeCell ref="L54:N54"/>
    <mergeCell ref="L55:N55"/>
    <mergeCell ref="L56:N56"/>
    <mergeCell ref="L57:N57"/>
    <mergeCell ref="L58:N58"/>
    <mergeCell ref="L59:N59"/>
    <mergeCell ref="L60:N60"/>
    <mergeCell ref="L61:N61"/>
    <mergeCell ref="L62:N62"/>
  </mergeCells>
  <phoneticPr fontId="7" type="noConversion"/>
  <printOptions horizontalCentered="1"/>
  <pageMargins left="0.25" right="0.25" top="0.25" bottom="0" header="0" footer="0"/>
  <pageSetup scale="67" orientation="landscape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"/>
  <sheetViews>
    <sheetView topLeftCell="A4" workbookViewId="0">
      <selection activeCell="S75" sqref="S75"/>
    </sheetView>
  </sheetViews>
  <sheetFormatPr defaultRowHeight="14.4"/>
  <sheetData/>
  <phoneticPr fontId="7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6.9OZ</vt:lpstr>
      <vt:lpstr>MINI MARKER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ASUS</cp:lastModifiedBy>
  <cp:lastPrinted>2019-08-27T09:48:16Z</cp:lastPrinted>
  <dcterms:created xsi:type="dcterms:W3CDTF">2015-07-27T03:14:29Z</dcterms:created>
  <dcterms:modified xsi:type="dcterms:W3CDTF">2026-09-23T20:05:40Z</dcterms:modified>
</cp:coreProperties>
</file>