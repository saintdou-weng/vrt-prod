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20202025DOCS1\WPL\BOM\PO BOM\New folder5474 AUG2026\"/>
    </mc:Choice>
  </mc:AlternateContent>
  <xr:revisionPtr revIDLastSave="0" documentId="8_{A8DB3B07-BD4C-4B6B-A5A7-BF51287FA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ING" sheetId="6" r:id="rId1"/>
    <sheet name="MINI MARKER" sheetId="7" r:id="rId2"/>
  </sheets>
  <definedNames>
    <definedName name="_xlnm.Print_Area" localSheetId="0">COSTING!$A$1:$U$34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6" l="1"/>
  <c r="H31" i="6"/>
  <c r="H52" i="6" l="1"/>
  <c r="H28" i="6"/>
  <c r="F49" i="6"/>
  <c r="H48" i="6"/>
  <c r="F48" i="6"/>
  <c r="C48" i="6"/>
  <c r="F47" i="6"/>
  <c r="B47" i="6"/>
  <c r="A47" i="6"/>
  <c r="H46" i="6"/>
  <c r="F46" i="6"/>
  <c r="B46" i="6"/>
  <c r="A46" i="6"/>
  <c r="F45" i="6"/>
  <c r="B45" i="6"/>
  <c r="A45" i="6"/>
  <c r="C41" i="6"/>
  <c r="C49" i="6" s="1"/>
  <c r="H49" i="6" s="1"/>
  <c r="H51" i="6" s="1"/>
  <c r="H53" i="6" s="1"/>
  <c r="A41" i="6"/>
  <c r="H38" i="6"/>
  <c r="H47" i="6" s="1"/>
  <c r="H37" i="6"/>
  <c r="C46" i="6" s="1"/>
  <c r="H36" i="6"/>
  <c r="H45" i="6" s="1"/>
  <c r="C24" i="6"/>
  <c r="H57" i="6" l="1"/>
  <c r="H54" i="6"/>
  <c r="C47" i="6"/>
  <c r="C45" i="6"/>
  <c r="A22" i="6"/>
  <c r="B22" i="6"/>
  <c r="F22" i="6"/>
  <c r="H13" i="6"/>
  <c r="H22" i="6" s="1"/>
  <c r="C22" i="6" l="1"/>
  <c r="A23" i="6" l="1"/>
  <c r="F23" i="6" l="1"/>
  <c r="F24" i="6"/>
  <c r="F25" i="6"/>
  <c r="B23" i="6"/>
  <c r="C17" i="6" l="1"/>
  <c r="H14" i="6" l="1"/>
  <c r="H23" i="6" s="1"/>
  <c r="C25" i="6" l="1"/>
  <c r="C23" i="6" l="1"/>
  <c r="H12" i="6"/>
  <c r="C21" i="6" s="1"/>
  <c r="H24" i="6"/>
  <c r="F21" i="6"/>
  <c r="B21" i="6"/>
  <c r="A21" i="6"/>
  <c r="H25" i="6"/>
  <c r="A17" i="6"/>
  <c r="H21" i="6" l="1"/>
  <c r="H27" i="6" s="1"/>
  <c r="H29" i="6" s="1"/>
  <c r="H30" i="6" l="1"/>
  <c r="H33" i="6" l="1"/>
</calcChain>
</file>

<file path=xl/sharedStrings.xml><?xml version="1.0" encoding="utf-8"?>
<sst xmlns="http://schemas.openxmlformats.org/spreadsheetml/2006/main" count="88" uniqueCount="46">
  <si>
    <t>Items</t>
  </si>
  <si>
    <t>Main Fabric</t>
  </si>
  <si>
    <t>Thread Tex40</t>
  </si>
  <si>
    <t>DTM Body</t>
  </si>
  <si>
    <t xml:space="preserve">                           Production</t>
  </si>
  <si>
    <t>Construction Details</t>
  </si>
  <si>
    <t>VANTAGE RIVER TEXTILE</t>
  </si>
  <si>
    <t>Standard width and Yards per dozen</t>
  </si>
  <si>
    <t>Nº</t>
  </si>
  <si>
    <t xml:space="preserve">Description </t>
  </si>
  <si>
    <t>Color</t>
  </si>
  <si>
    <t>Width/size</t>
  </si>
  <si>
    <t>Qty/Unit</t>
  </si>
  <si>
    <t>Qty/Dozen</t>
  </si>
  <si>
    <t>-</t>
  </si>
  <si>
    <t>Sewing Thread</t>
  </si>
  <si>
    <t>Tex40</t>
  </si>
  <si>
    <t>SAH's</t>
  </si>
  <si>
    <t>Style</t>
  </si>
  <si>
    <t>SAH's per dozen</t>
  </si>
  <si>
    <t xml:space="preserve">Cost of items </t>
  </si>
  <si>
    <t>Quanlity/Dozen</t>
  </si>
  <si>
    <t>Product color</t>
  </si>
  <si>
    <t>Price per unit</t>
  </si>
  <si>
    <t>Price per dozen</t>
  </si>
  <si>
    <t>Carton</t>
  </si>
  <si>
    <t>Labor</t>
  </si>
  <si>
    <t>MFG COST:</t>
  </si>
  <si>
    <t>freight cost</t>
  </si>
  <si>
    <t>UNIT COST:</t>
  </si>
  <si>
    <t>Sale price</t>
  </si>
  <si>
    <t>Margin</t>
  </si>
  <si>
    <t>At Center Back Neck</t>
  </si>
  <si>
    <t>Sewing SMV</t>
  </si>
  <si>
    <t>Care Label</t>
  </si>
  <si>
    <t>WHITE PLAIN LINEN</t>
  </si>
  <si>
    <t xml:space="preserve"> For Main Body</t>
  </si>
  <si>
    <t>WHITE</t>
  </si>
  <si>
    <t>ETON COATS</t>
  </si>
  <si>
    <t>58.5"</t>
  </si>
  <si>
    <t>Base Size : 46</t>
  </si>
  <si>
    <t>Size Range: 40-60</t>
  </si>
  <si>
    <t>Date Folder Modified : 28 January 2023</t>
  </si>
  <si>
    <t>duty</t>
  </si>
  <si>
    <t>5.75.OZ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</si>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</sst>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&quot;Pcs&quot;"/>
    <numFmt numFmtId="165" formatCode="0.000"/>
    <numFmt numFmtId="166" formatCode="0.0000&quot;USD&quot;"/>
    <numFmt numFmtId="167" formatCode="0.000\ &quot;USD&quot;"/>
    <numFmt numFmtId="168" formatCode="0.000\ &quot;Yards&quot;"/>
    <numFmt numFmtId="169" formatCode="0.000&quot;Cone&quot;"/>
    <numFmt numFmtId="170" formatCode="0.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3" fillId="0" borderId="3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5" fillId="0" borderId="2" xfId="1" applyFont="1" applyBorder="1"/>
    <xf numFmtId="0" fontId="5" fillId="0" borderId="3" xfId="1" applyFont="1" applyBorder="1"/>
    <xf numFmtId="0" fontId="1" fillId="0" borderId="0" xfId="1"/>
    <xf numFmtId="0" fontId="5" fillId="0" borderId="5" xfId="1" applyFont="1" applyBorder="1"/>
    <xf numFmtId="0" fontId="5" fillId="0" borderId="0" xfId="1" applyFont="1"/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5" xfId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4" xfId="1" applyFont="1" applyBorder="1" applyAlignment="1">
      <alignment horizontal="left"/>
    </xf>
    <xf numFmtId="0" fontId="1" fillId="0" borderId="1" xfId="1" applyBorder="1" applyAlignment="1">
      <alignment horizontal="left"/>
    </xf>
    <xf numFmtId="166" fontId="1" fillId="0" borderId="1" xfId="1" applyNumberFormat="1" applyBorder="1" applyAlignment="1">
      <alignment horizontal="center"/>
    </xf>
    <xf numFmtId="167" fontId="1" fillId="0" borderId="1" xfId="1" applyNumberFormat="1" applyBorder="1" applyAlignment="1">
      <alignment horizontal="center"/>
    </xf>
    <xf numFmtId="0" fontId="1" fillId="0" borderId="6" xfId="1" applyBorder="1"/>
    <xf numFmtId="0" fontId="1" fillId="0" borderId="10" xfId="1" applyBorder="1"/>
    <xf numFmtId="10" fontId="1" fillId="0" borderId="1" xfId="1" applyNumberFormat="1" applyBorder="1" applyAlignment="1">
      <alignment horizontal="center"/>
    </xf>
    <xf numFmtId="0" fontId="1" fillId="0" borderId="1" xfId="1" applyBorder="1" applyAlignment="1">
      <alignment vertical="center"/>
    </xf>
    <xf numFmtId="168" fontId="1" fillId="0" borderId="1" xfId="1" applyNumberFormat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vertical="center"/>
    </xf>
    <xf numFmtId="165" fontId="1" fillId="0" borderId="11" xfId="1" applyNumberFormat="1" applyBorder="1" applyAlignment="1">
      <alignment horizontal="center"/>
    </xf>
    <xf numFmtId="0" fontId="0" fillId="3" borderId="10" xfId="0" applyFill="1" applyBorder="1" applyAlignment="1">
      <alignment horizontal="left"/>
    </xf>
    <xf numFmtId="167" fontId="5" fillId="0" borderId="1" xfId="1" applyNumberFormat="1" applyFont="1" applyBorder="1" applyAlignment="1">
      <alignment horizontal="center"/>
    </xf>
    <xf numFmtId="0" fontId="6" fillId="0" borderId="3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166" fontId="1" fillId="4" borderId="1" xfId="1" applyNumberFormat="1" applyFill="1" applyBorder="1" applyAlignment="1">
      <alignment horizontal="center"/>
    </xf>
    <xf numFmtId="0" fontId="4" fillId="0" borderId="4" xfId="1" applyFont="1" applyBorder="1" applyAlignment="1">
      <alignment horizontal="right" vertic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170" fontId="5" fillId="0" borderId="10" xfId="0" applyNumberFormat="1" applyFont="1" applyBorder="1" applyAlignment="1">
      <alignment horizontal="center"/>
    </xf>
    <xf numFmtId="170" fontId="5" fillId="0" borderId="13" xfId="0" applyNumberFormat="1" applyFont="1" applyBorder="1" applyAlignment="1">
      <alignment horizontal="center"/>
    </xf>
    <xf numFmtId="170" fontId="5" fillId="0" borderId="11" xfId="0" applyNumberFormat="1" applyFont="1" applyBorder="1" applyAlignment="1">
      <alignment horizontal="center"/>
    </xf>
    <xf numFmtId="165" fontId="0" fillId="4" borderId="2" xfId="0" applyNumberFormat="1" applyFill="1" applyBorder="1" applyAlignment="1">
      <alignment horizontal="left"/>
    </xf>
    <xf numFmtId="165" fontId="0" fillId="4" borderId="3" xfId="0" applyNumberFormat="1" applyFill="1" applyBorder="1" applyAlignment="1">
      <alignment horizontal="left"/>
    </xf>
    <xf numFmtId="165" fontId="0" fillId="4" borderId="4" xfId="0" applyNumberFormat="1" applyFill="1" applyBorder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165" fontId="1" fillId="0" borderId="10" xfId="1" applyNumberFormat="1" applyBorder="1" applyAlignment="1">
      <alignment horizontal="center"/>
    </xf>
    <xf numFmtId="165" fontId="1" fillId="0" borderId="13" xfId="1" applyNumberFormat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169" fontId="1" fillId="0" borderId="10" xfId="1" applyNumberFormat="1" applyBorder="1" applyAlignment="1">
      <alignment horizontal="center"/>
    </xf>
    <xf numFmtId="169" fontId="1" fillId="0" borderId="13" xfId="1" applyNumberFormat="1" applyBorder="1" applyAlignment="1">
      <alignment horizontal="center"/>
    </xf>
    <xf numFmtId="169" fontId="1" fillId="0" borderId="11" xfId="1" applyNumberFormat="1" applyBorder="1" applyAlignment="1">
      <alignment horizontal="center"/>
    </xf>
    <xf numFmtId="168" fontId="1" fillId="0" borderId="10" xfId="1" applyNumberForma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168" fontId="1" fillId="0" borderId="11" xfId="1" applyNumberFormat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0" fontId="5" fillId="2" borderId="10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228600</xdr:colOff>
      <xdr:row>10</xdr:row>
      <xdr:rowOff>7802</xdr:rowOff>
    </xdr:from>
    <xdr:to>
      <xdr:col>20</xdr:col>
      <xdr:colOff>352425</xdr:colOff>
      <xdr:row>21</xdr:row>
      <xdr:rowOff>184061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435" b="16770"/>
        <a:stretch/>
      </xdr:blipFill>
      <xdr:spPr>
        <a:xfrm>
          <a:off x="10753725" y="1950902"/>
          <a:ext cx="2638425" cy="2214609"/>
        </a:xfrm>
        <a:prstGeom prst="rect">
          <a:avLst/>
        </a:prstGeom>
      </xdr:spPr>
    </xdr:pic>
    <xdr:clientData/>
  </xdr:twoCellAnchor>
  <xdr:twoCellAnchor editAs="oneCell">
    <xdr:from>
      <xdr:col>8</xdr:col>
      <xdr:colOff>92850</xdr:colOff>
      <xdr:row>10</xdr:row>
      <xdr:rowOff>9524</xdr:rowOff>
    </xdr:from>
    <xdr:to>
      <xdr:col>14</xdr:col>
      <xdr:colOff>216675</xdr:colOff>
      <xdr:row>21</xdr:row>
      <xdr:rowOff>183850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99" b="19616"/>
        <a:stretch/>
      </xdr:blipFill>
      <xdr:spPr>
        <a:xfrm>
          <a:off x="8103375" y="1952624"/>
          <a:ext cx="2638425" cy="221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</xdr:colOff>
      <xdr:row>26</xdr:row>
      <xdr:rowOff>166898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669" r="24678" b="7433"/>
        <a:stretch/>
      </xdr:blipFill>
      <xdr:spPr>
        <a:xfrm>
          <a:off x="0" y="0"/>
          <a:ext cx="9153525" cy="5119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U57"/>
  <sheetViews>
    <sheetView tabSelected="1" view="pageBreakPreview" topLeftCell="A27" zoomScale="75" zoomScaleNormal="75" zoomScaleSheetLayoutView="75" workbookViewId="0">
      <selection activeCell="L48" sqref="L48"/>
    </sheetView>
  </sheetViews>
  <sheetFormatPr defaultRowHeight="13.2" x14ac:dyDescent="0.25"/>
  <cols>
    <col min="1" max="1" width="5.44140625" style="12" customWidth="1"/>
    <col min="2" max="2" width="18.109375" style="12" customWidth="1"/>
    <col min="3" max="3" width="13.6640625" style="12" customWidth="1"/>
    <col min="4" max="4" width="23.88671875" style="12" customWidth="1"/>
    <col min="5" max="5" width="14.109375" style="12" customWidth="1"/>
    <col min="6" max="6" width="14.88671875" style="12" customWidth="1"/>
    <col min="7" max="7" width="14.44140625" style="12" customWidth="1"/>
    <col min="8" max="8" width="15.5546875" style="12" customWidth="1"/>
    <col min="9" max="21" width="6.33203125" style="12" customWidth="1"/>
    <col min="22" max="254" width="9.109375" style="12"/>
    <col min="255" max="255" width="5.44140625" style="12" customWidth="1"/>
    <col min="256" max="256" width="13.6640625" style="12" customWidth="1"/>
    <col min="257" max="257" width="23.6640625" style="12" customWidth="1"/>
    <col min="258" max="258" width="14.109375" style="12" customWidth="1"/>
    <col min="259" max="259" width="16.109375" style="12" customWidth="1"/>
    <col min="260" max="260" width="14.44140625" style="12" customWidth="1"/>
    <col min="261" max="261" width="16.44140625" style="12" customWidth="1"/>
    <col min="262" max="264" width="6.33203125" style="12" customWidth="1"/>
    <col min="265" max="265" width="8.109375" style="12" customWidth="1"/>
    <col min="266" max="267" width="6.6640625" style="12" bestFit="1" customWidth="1"/>
    <col min="268" max="268" width="5.44140625" style="12" customWidth="1"/>
    <col min="269" max="269" width="13.44140625" style="12" customWidth="1"/>
    <col min="270" max="510" width="9.109375" style="12"/>
    <col min="511" max="511" width="5.44140625" style="12" customWidth="1"/>
    <col min="512" max="512" width="13.6640625" style="12" customWidth="1"/>
    <col min="513" max="513" width="23.6640625" style="12" customWidth="1"/>
    <col min="514" max="514" width="14.109375" style="12" customWidth="1"/>
    <col min="515" max="515" width="16.109375" style="12" customWidth="1"/>
    <col min="516" max="516" width="14.44140625" style="12" customWidth="1"/>
    <col min="517" max="517" width="16.44140625" style="12" customWidth="1"/>
    <col min="518" max="520" width="6.33203125" style="12" customWidth="1"/>
    <col min="521" max="521" width="8.109375" style="12" customWidth="1"/>
    <col min="522" max="523" width="6.6640625" style="12" bestFit="1" customWidth="1"/>
    <col min="524" max="524" width="5.44140625" style="12" customWidth="1"/>
    <col min="525" max="525" width="13.44140625" style="12" customWidth="1"/>
    <col min="526" max="766" width="9.109375" style="12"/>
    <col min="767" max="767" width="5.44140625" style="12" customWidth="1"/>
    <col min="768" max="768" width="13.6640625" style="12" customWidth="1"/>
    <col min="769" max="769" width="23.6640625" style="12" customWidth="1"/>
    <col min="770" max="770" width="14.109375" style="12" customWidth="1"/>
    <col min="771" max="771" width="16.109375" style="12" customWidth="1"/>
    <col min="772" max="772" width="14.44140625" style="12" customWidth="1"/>
    <col min="773" max="773" width="16.44140625" style="12" customWidth="1"/>
    <col min="774" max="776" width="6.33203125" style="12" customWidth="1"/>
    <col min="777" max="777" width="8.109375" style="12" customWidth="1"/>
    <col min="778" max="779" width="6.6640625" style="12" bestFit="1" customWidth="1"/>
    <col min="780" max="780" width="5.44140625" style="12" customWidth="1"/>
    <col min="781" max="781" width="13.44140625" style="12" customWidth="1"/>
    <col min="782" max="1022" width="9.109375" style="12"/>
    <col min="1023" max="1023" width="5.44140625" style="12" customWidth="1"/>
    <col min="1024" max="1024" width="13.6640625" style="12" customWidth="1"/>
    <col min="1025" max="1025" width="23.6640625" style="12" customWidth="1"/>
    <col min="1026" max="1026" width="14.109375" style="12" customWidth="1"/>
    <col min="1027" max="1027" width="16.109375" style="12" customWidth="1"/>
    <col min="1028" max="1028" width="14.44140625" style="12" customWidth="1"/>
    <col min="1029" max="1029" width="16.44140625" style="12" customWidth="1"/>
    <col min="1030" max="1032" width="6.33203125" style="12" customWidth="1"/>
    <col min="1033" max="1033" width="8.109375" style="12" customWidth="1"/>
    <col min="1034" max="1035" width="6.6640625" style="12" bestFit="1" customWidth="1"/>
    <col min="1036" max="1036" width="5.44140625" style="12" customWidth="1"/>
    <col min="1037" max="1037" width="13.44140625" style="12" customWidth="1"/>
    <col min="1038" max="1278" width="9.109375" style="12"/>
    <col min="1279" max="1279" width="5.44140625" style="12" customWidth="1"/>
    <col min="1280" max="1280" width="13.6640625" style="12" customWidth="1"/>
    <col min="1281" max="1281" width="23.6640625" style="12" customWidth="1"/>
    <col min="1282" max="1282" width="14.109375" style="12" customWidth="1"/>
    <col min="1283" max="1283" width="16.109375" style="12" customWidth="1"/>
    <col min="1284" max="1284" width="14.44140625" style="12" customWidth="1"/>
    <col min="1285" max="1285" width="16.44140625" style="12" customWidth="1"/>
    <col min="1286" max="1288" width="6.33203125" style="12" customWidth="1"/>
    <col min="1289" max="1289" width="8.109375" style="12" customWidth="1"/>
    <col min="1290" max="1291" width="6.6640625" style="12" bestFit="1" customWidth="1"/>
    <col min="1292" max="1292" width="5.44140625" style="12" customWidth="1"/>
    <col min="1293" max="1293" width="13.44140625" style="12" customWidth="1"/>
    <col min="1294" max="1534" width="9.109375" style="12"/>
    <col min="1535" max="1535" width="5.44140625" style="12" customWidth="1"/>
    <col min="1536" max="1536" width="13.6640625" style="12" customWidth="1"/>
    <col min="1537" max="1537" width="23.6640625" style="12" customWidth="1"/>
    <col min="1538" max="1538" width="14.109375" style="12" customWidth="1"/>
    <col min="1539" max="1539" width="16.109375" style="12" customWidth="1"/>
    <col min="1540" max="1540" width="14.44140625" style="12" customWidth="1"/>
    <col min="1541" max="1541" width="16.44140625" style="12" customWidth="1"/>
    <col min="1542" max="1544" width="6.33203125" style="12" customWidth="1"/>
    <col min="1545" max="1545" width="8.109375" style="12" customWidth="1"/>
    <col min="1546" max="1547" width="6.6640625" style="12" bestFit="1" customWidth="1"/>
    <col min="1548" max="1548" width="5.44140625" style="12" customWidth="1"/>
    <col min="1549" max="1549" width="13.44140625" style="12" customWidth="1"/>
    <col min="1550" max="1790" width="9.109375" style="12"/>
    <col min="1791" max="1791" width="5.44140625" style="12" customWidth="1"/>
    <col min="1792" max="1792" width="13.6640625" style="12" customWidth="1"/>
    <col min="1793" max="1793" width="23.6640625" style="12" customWidth="1"/>
    <col min="1794" max="1794" width="14.109375" style="12" customWidth="1"/>
    <col min="1795" max="1795" width="16.109375" style="12" customWidth="1"/>
    <col min="1796" max="1796" width="14.44140625" style="12" customWidth="1"/>
    <col min="1797" max="1797" width="16.44140625" style="12" customWidth="1"/>
    <col min="1798" max="1800" width="6.33203125" style="12" customWidth="1"/>
    <col min="1801" max="1801" width="8.109375" style="12" customWidth="1"/>
    <col min="1802" max="1803" width="6.6640625" style="12" bestFit="1" customWidth="1"/>
    <col min="1804" max="1804" width="5.44140625" style="12" customWidth="1"/>
    <col min="1805" max="1805" width="13.44140625" style="12" customWidth="1"/>
    <col min="1806" max="2046" width="9.109375" style="12"/>
    <col min="2047" max="2047" width="5.44140625" style="12" customWidth="1"/>
    <col min="2048" max="2048" width="13.6640625" style="12" customWidth="1"/>
    <col min="2049" max="2049" width="23.6640625" style="12" customWidth="1"/>
    <col min="2050" max="2050" width="14.109375" style="12" customWidth="1"/>
    <col min="2051" max="2051" width="16.109375" style="12" customWidth="1"/>
    <col min="2052" max="2052" width="14.44140625" style="12" customWidth="1"/>
    <col min="2053" max="2053" width="16.44140625" style="12" customWidth="1"/>
    <col min="2054" max="2056" width="6.33203125" style="12" customWidth="1"/>
    <col min="2057" max="2057" width="8.109375" style="12" customWidth="1"/>
    <col min="2058" max="2059" width="6.6640625" style="12" bestFit="1" customWidth="1"/>
    <col min="2060" max="2060" width="5.44140625" style="12" customWidth="1"/>
    <col min="2061" max="2061" width="13.44140625" style="12" customWidth="1"/>
    <col min="2062" max="2302" width="9.109375" style="12"/>
    <col min="2303" max="2303" width="5.44140625" style="12" customWidth="1"/>
    <col min="2304" max="2304" width="13.6640625" style="12" customWidth="1"/>
    <col min="2305" max="2305" width="23.6640625" style="12" customWidth="1"/>
    <col min="2306" max="2306" width="14.109375" style="12" customWidth="1"/>
    <col min="2307" max="2307" width="16.109375" style="12" customWidth="1"/>
    <col min="2308" max="2308" width="14.44140625" style="12" customWidth="1"/>
    <col min="2309" max="2309" width="16.44140625" style="12" customWidth="1"/>
    <col min="2310" max="2312" width="6.33203125" style="12" customWidth="1"/>
    <col min="2313" max="2313" width="8.109375" style="12" customWidth="1"/>
    <col min="2314" max="2315" width="6.6640625" style="12" bestFit="1" customWidth="1"/>
    <col min="2316" max="2316" width="5.44140625" style="12" customWidth="1"/>
    <col min="2317" max="2317" width="13.44140625" style="12" customWidth="1"/>
    <col min="2318" max="2558" width="9.109375" style="12"/>
    <col min="2559" max="2559" width="5.44140625" style="12" customWidth="1"/>
    <col min="2560" max="2560" width="13.6640625" style="12" customWidth="1"/>
    <col min="2561" max="2561" width="23.6640625" style="12" customWidth="1"/>
    <col min="2562" max="2562" width="14.109375" style="12" customWidth="1"/>
    <col min="2563" max="2563" width="16.109375" style="12" customWidth="1"/>
    <col min="2564" max="2564" width="14.44140625" style="12" customWidth="1"/>
    <col min="2565" max="2565" width="16.44140625" style="12" customWidth="1"/>
    <col min="2566" max="2568" width="6.33203125" style="12" customWidth="1"/>
    <col min="2569" max="2569" width="8.109375" style="12" customWidth="1"/>
    <col min="2570" max="2571" width="6.6640625" style="12" bestFit="1" customWidth="1"/>
    <col min="2572" max="2572" width="5.44140625" style="12" customWidth="1"/>
    <col min="2573" max="2573" width="13.44140625" style="12" customWidth="1"/>
    <col min="2574" max="2814" width="9.109375" style="12"/>
    <col min="2815" max="2815" width="5.44140625" style="12" customWidth="1"/>
    <col min="2816" max="2816" width="13.6640625" style="12" customWidth="1"/>
    <col min="2817" max="2817" width="23.6640625" style="12" customWidth="1"/>
    <col min="2818" max="2818" width="14.109375" style="12" customWidth="1"/>
    <col min="2819" max="2819" width="16.109375" style="12" customWidth="1"/>
    <col min="2820" max="2820" width="14.44140625" style="12" customWidth="1"/>
    <col min="2821" max="2821" width="16.44140625" style="12" customWidth="1"/>
    <col min="2822" max="2824" width="6.33203125" style="12" customWidth="1"/>
    <col min="2825" max="2825" width="8.109375" style="12" customWidth="1"/>
    <col min="2826" max="2827" width="6.6640625" style="12" bestFit="1" customWidth="1"/>
    <col min="2828" max="2828" width="5.44140625" style="12" customWidth="1"/>
    <col min="2829" max="2829" width="13.44140625" style="12" customWidth="1"/>
    <col min="2830" max="3070" width="9.109375" style="12"/>
    <col min="3071" max="3071" width="5.44140625" style="12" customWidth="1"/>
    <col min="3072" max="3072" width="13.6640625" style="12" customWidth="1"/>
    <col min="3073" max="3073" width="23.6640625" style="12" customWidth="1"/>
    <col min="3074" max="3074" width="14.109375" style="12" customWidth="1"/>
    <col min="3075" max="3075" width="16.109375" style="12" customWidth="1"/>
    <col min="3076" max="3076" width="14.44140625" style="12" customWidth="1"/>
    <col min="3077" max="3077" width="16.44140625" style="12" customWidth="1"/>
    <col min="3078" max="3080" width="6.33203125" style="12" customWidth="1"/>
    <col min="3081" max="3081" width="8.109375" style="12" customWidth="1"/>
    <col min="3082" max="3083" width="6.6640625" style="12" bestFit="1" customWidth="1"/>
    <col min="3084" max="3084" width="5.44140625" style="12" customWidth="1"/>
    <col min="3085" max="3085" width="13.44140625" style="12" customWidth="1"/>
    <col min="3086" max="3326" width="9.109375" style="12"/>
    <col min="3327" max="3327" width="5.44140625" style="12" customWidth="1"/>
    <col min="3328" max="3328" width="13.6640625" style="12" customWidth="1"/>
    <col min="3329" max="3329" width="23.6640625" style="12" customWidth="1"/>
    <col min="3330" max="3330" width="14.109375" style="12" customWidth="1"/>
    <col min="3331" max="3331" width="16.109375" style="12" customWidth="1"/>
    <col min="3332" max="3332" width="14.44140625" style="12" customWidth="1"/>
    <col min="3333" max="3333" width="16.44140625" style="12" customWidth="1"/>
    <col min="3334" max="3336" width="6.33203125" style="12" customWidth="1"/>
    <col min="3337" max="3337" width="8.109375" style="12" customWidth="1"/>
    <col min="3338" max="3339" width="6.6640625" style="12" bestFit="1" customWidth="1"/>
    <col min="3340" max="3340" width="5.44140625" style="12" customWidth="1"/>
    <col min="3341" max="3341" width="13.44140625" style="12" customWidth="1"/>
    <col min="3342" max="3582" width="9.109375" style="12"/>
    <col min="3583" max="3583" width="5.44140625" style="12" customWidth="1"/>
    <col min="3584" max="3584" width="13.6640625" style="12" customWidth="1"/>
    <col min="3585" max="3585" width="23.6640625" style="12" customWidth="1"/>
    <col min="3586" max="3586" width="14.109375" style="12" customWidth="1"/>
    <col min="3587" max="3587" width="16.109375" style="12" customWidth="1"/>
    <col min="3588" max="3588" width="14.44140625" style="12" customWidth="1"/>
    <col min="3589" max="3589" width="16.44140625" style="12" customWidth="1"/>
    <col min="3590" max="3592" width="6.33203125" style="12" customWidth="1"/>
    <col min="3593" max="3593" width="8.109375" style="12" customWidth="1"/>
    <col min="3594" max="3595" width="6.6640625" style="12" bestFit="1" customWidth="1"/>
    <col min="3596" max="3596" width="5.44140625" style="12" customWidth="1"/>
    <col min="3597" max="3597" width="13.44140625" style="12" customWidth="1"/>
    <col min="3598" max="3838" width="9.109375" style="12"/>
    <col min="3839" max="3839" width="5.44140625" style="12" customWidth="1"/>
    <col min="3840" max="3840" width="13.6640625" style="12" customWidth="1"/>
    <col min="3841" max="3841" width="23.6640625" style="12" customWidth="1"/>
    <col min="3842" max="3842" width="14.109375" style="12" customWidth="1"/>
    <col min="3843" max="3843" width="16.109375" style="12" customWidth="1"/>
    <col min="3844" max="3844" width="14.44140625" style="12" customWidth="1"/>
    <col min="3845" max="3845" width="16.44140625" style="12" customWidth="1"/>
    <col min="3846" max="3848" width="6.33203125" style="12" customWidth="1"/>
    <col min="3849" max="3849" width="8.109375" style="12" customWidth="1"/>
    <col min="3850" max="3851" width="6.6640625" style="12" bestFit="1" customWidth="1"/>
    <col min="3852" max="3852" width="5.44140625" style="12" customWidth="1"/>
    <col min="3853" max="3853" width="13.44140625" style="12" customWidth="1"/>
    <col min="3854" max="4094" width="9.109375" style="12"/>
    <col min="4095" max="4095" width="5.44140625" style="12" customWidth="1"/>
    <col min="4096" max="4096" width="13.6640625" style="12" customWidth="1"/>
    <col min="4097" max="4097" width="23.6640625" style="12" customWidth="1"/>
    <col min="4098" max="4098" width="14.109375" style="12" customWidth="1"/>
    <col min="4099" max="4099" width="16.109375" style="12" customWidth="1"/>
    <col min="4100" max="4100" width="14.44140625" style="12" customWidth="1"/>
    <col min="4101" max="4101" width="16.44140625" style="12" customWidth="1"/>
    <col min="4102" max="4104" width="6.33203125" style="12" customWidth="1"/>
    <col min="4105" max="4105" width="8.109375" style="12" customWidth="1"/>
    <col min="4106" max="4107" width="6.6640625" style="12" bestFit="1" customWidth="1"/>
    <col min="4108" max="4108" width="5.44140625" style="12" customWidth="1"/>
    <col min="4109" max="4109" width="13.44140625" style="12" customWidth="1"/>
    <col min="4110" max="4350" width="9.109375" style="12"/>
    <col min="4351" max="4351" width="5.44140625" style="12" customWidth="1"/>
    <col min="4352" max="4352" width="13.6640625" style="12" customWidth="1"/>
    <col min="4353" max="4353" width="23.6640625" style="12" customWidth="1"/>
    <col min="4354" max="4354" width="14.109375" style="12" customWidth="1"/>
    <col min="4355" max="4355" width="16.109375" style="12" customWidth="1"/>
    <col min="4356" max="4356" width="14.44140625" style="12" customWidth="1"/>
    <col min="4357" max="4357" width="16.44140625" style="12" customWidth="1"/>
    <col min="4358" max="4360" width="6.33203125" style="12" customWidth="1"/>
    <col min="4361" max="4361" width="8.109375" style="12" customWidth="1"/>
    <col min="4362" max="4363" width="6.6640625" style="12" bestFit="1" customWidth="1"/>
    <col min="4364" max="4364" width="5.44140625" style="12" customWidth="1"/>
    <col min="4365" max="4365" width="13.44140625" style="12" customWidth="1"/>
    <col min="4366" max="4606" width="9.109375" style="12"/>
    <col min="4607" max="4607" width="5.44140625" style="12" customWidth="1"/>
    <col min="4608" max="4608" width="13.6640625" style="12" customWidth="1"/>
    <col min="4609" max="4609" width="23.6640625" style="12" customWidth="1"/>
    <col min="4610" max="4610" width="14.109375" style="12" customWidth="1"/>
    <col min="4611" max="4611" width="16.109375" style="12" customWidth="1"/>
    <col min="4612" max="4612" width="14.44140625" style="12" customWidth="1"/>
    <col min="4613" max="4613" width="16.44140625" style="12" customWidth="1"/>
    <col min="4614" max="4616" width="6.33203125" style="12" customWidth="1"/>
    <col min="4617" max="4617" width="8.109375" style="12" customWidth="1"/>
    <col min="4618" max="4619" width="6.6640625" style="12" bestFit="1" customWidth="1"/>
    <col min="4620" max="4620" width="5.44140625" style="12" customWidth="1"/>
    <col min="4621" max="4621" width="13.44140625" style="12" customWidth="1"/>
    <col min="4622" max="4862" width="9.109375" style="12"/>
    <col min="4863" max="4863" width="5.44140625" style="12" customWidth="1"/>
    <col min="4864" max="4864" width="13.6640625" style="12" customWidth="1"/>
    <col min="4865" max="4865" width="23.6640625" style="12" customWidth="1"/>
    <col min="4866" max="4866" width="14.109375" style="12" customWidth="1"/>
    <col min="4867" max="4867" width="16.109375" style="12" customWidth="1"/>
    <col min="4868" max="4868" width="14.44140625" style="12" customWidth="1"/>
    <col min="4869" max="4869" width="16.44140625" style="12" customWidth="1"/>
    <col min="4870" max="4872" width="6.33203125" style="12" customWidth="1"/>
    <col min="4873" max="4873" width="8.109375" style="12" customWidth="1"/>
    <col min="4874" max="4875" width="6.6640625" style="12" bestFit="1" customWidth="1"/>
    <col min="4876" max="4876" width="5.44140625" style="12" customWidth="1"/>
    <col min="4877" max="4877" width="13.44140625" style="12" customWidth="1"/>
    <col min="4878" max="5118" width="9.109375" style="12"/>
    <col min="5119" max="5119" width="5.44140625" style="12" customWidth="1"/>
    <col min="5120" max="5120" width="13.6640625" style="12" customWidth="1"/>
    <col min="5121" max="5121" width="23.6640625" style="12" customWidth="1"/>
    <col min="5122" max="5122" width="14.109375" style="12" customWidth="1"/>
    <col min="5123" max="5123" width="16.109375" style="12" customWidth="1"/>
    <col min="5124" max="5124" width="14.44140625" style="12" customWidth="1"/>
    <col min="5125" max="5125" width="16.44140625" style="12" customWidth="1"/>
    <col min="5126" max="5128" width="6.33203125" style="12" customWidth="1"/>
    <col min="5129" max="5129" width="8.109375" style="12" customWidth="1"/>
    <col min="5130" max="5131" width="6.6640625" style="12" bestFit="1" customWidth="1"/>
    <col min="5132" max="5132" width="5.44140625" style="12" customWidth="1"/>
    <col min="5133" max="5133" width="13.44140625" style="12" customWidth="1"/>
    <col min="5134" max="5374" width="9.109375" style="12"/>
    <col min="5375" max="5375" width="5.44140625" style="12" customWidth="1"/>
    <col min="5376" max="5376" width="13.6640625" style="12" customWidth="1"/>
    <col min="5377" max="5377" width="23.6640625" style="12" customWidth="1"/>
    <col min="5378" max="5378" width="14.109375" style="12" customWidth="1"/>
    <col min="5379" max="5379" width="16.109375" style="12" customWidth="1"/>
    <col min="5380" max="5380" width="14.44140625" style="12" customWidth="1"/>
    <col min="5381" max="5381" width="16.44140625" style="12" customWidth="1"/>
    <col min="5382" max="5384" width="6.33203125" style="12" customWidth="1"/>
    <col min="5385" max="5385" width="8.109375" style="12" customWidth="1"/>
    <col min="5386" max="5387" width="6.6640625" style="12" bestFit="1" customWidth="1"/>
    <col min="5388" max="5388" width="5.44140625" style="12" customWidth="1"/>
    <col min="5389" max="5389" width="13.44140625" style="12" customWidth="1"/>
    <col min="5390" max="5630" width="9.109375" style="12"/>
    <col min="5631" max="5631" width="5.44140625" style="12" customWidth="1"/>
    <col min="5632" max="5632" width="13.6640625" style="12" customWidth="1"/>
    <col min="5633" max="5633" width="23.6640625" style="12" customWidth="1"/>
    <col min="5634" max="5634" width="14.109375" style="12" customWidth="1"/>
    <col min="5635" max="5635" width="16.109375" style="12" customWidth="1"/>
    <col min="5636" max="5636" width="14.44140625" style="12" customWidth="1"/>
    <col min="5637" max="5637" width="16.44140625" style="12" customWidth="1"/>
    <col min="5638" max="5640" width="6.33203125" style="12" customWidth="1"/>
    <col min="5641" max="5641" width="8.109375" style="12" customWidth="1"/>
    <col min="5642" max="5643" width="6.6640625" style="12" bestFit="1" customWidth="1"/>
    <col min="5644" max="5644" width="5.44140625" style="12" customWidth="1"/>
    <col min="5645" max="5645" width="13.44140625" style="12" customWidth="1"/>
    <col min="5646" max="5886" width="9.109375" style="12"/>
    <col min="5887" max="5887" width="5.44140625" style="12" customWidth="1"/>
    <col min="5888" max="5888" width="13.6640625" style="12" customWidth="1"/>
    <col min="5889" max="5889" width="23.6640625" style="12" customWidth="1"/>
    <col min="5890" max="5890" width="14.109375" style="12" customWidth="1"/>
    <col min="5891" max="5891" width="16.109375" style="12" customWidth="1"/>
    <col min="5892" max="5892" width="14.44140625" style="12" customWidth="1"/>
    <col min="5893" max="5893" width="16.44140625" style="12" customWidth="1"/>
    <col min="5894" max="5896" width="6.33203125" style="12" customWidth="1"/>
    <col min="5897" max="5897" width="8.109375" style="12" customWidth="1"/>
    <col min="5898" max="5899" width="6.6640625" style="12" bestFit="1" customWidth="1"/>
    <col min="5900" max="5900" width="5.44140625" style="12" customWidth="1"/>
    <col min="5901" max="5901" width="13.44140625" style="12" customWidth="1"/>
    <col min="5902" max="6142" width="9.109375" style="12"/>
    <col min="6143" max="6143" width="5.44140625" style="12" customWidth="1"/>
    <col min="6144" max="6144" width="13.6640625" style="12" customWidth="1"/>
    <col min="6145" max="6145" width="23.6640625" style="12" customWidth="1"/>
    <col min="6146" max="6146" width="14.109375" style="12" customWidth="1"/>
    <col min="6147" max="6147" width="16.109375" style="12" customWidth="1"/>
    <col min="6148" max="6148" width="14.44140625" style="12" customWidth="1"/>
    <col min="6149" max="6149" width="16.44140625" style="12" customWidth="1"/>
    <col min="6150" max="6152" width="6.33203125" style="12" customWidth="1"/>
    <col min="6153" max="6153" width="8.109375" style="12" customWidth="1"/>
    <col min="6154" max="6155" width="6.6640625" style="12" bestFit="1" customWidth="1"/>
    <col min="6156" max="6156" width="5.44140625" style="12" customWidth="1"/>
    <col min="6157" max="6157" width="13.44140625" style="12" customWidth="1"/>
    <col min="6158" max="6398" width="9.109375" style="12"/>
    <col min="6399" max="6399" width="5.44140625" style="12" customWidth="1"/>
    <col min="6400" max="6400" width="13.6640625" style="12" customWidth="1"/>
    <col min="6401" max="6401" width="23.6640625" style="12" customWidth="1"/>
    <col min="6402" max="6402" width="14.109375" style="12" customWidth="1"/>
    <col min="6403" max="6403" width="16.109375" style="12" customWidth="1"/>
    <col min="6404" max="6404" width="14.44140625" style="12" customWidth="1"/>
    <col min="6405" max="6405" width="16.44140625" style="12" customWidth="1"/>
    <col min="6406" max="6408" width="6.33203125" style="12" customWidth="1"/>
    <col min="6409" max="6409" width="8.109375" style="12" customWidth="1"/>
    <col min="6410" max="6411" width="6.6640625" style="12" bestFit="1" customWidth="1"/>
    <col min="6412" max="6412" width="5.44140625" style="12" customWidth="1"/>
    <col min="6413" max="6413" width="13.44140625" style="12" customWidth="1"/>
    <col min="6414" max="6654" width="9.109375" style="12"/>
    <col min="6655" max="6655" width="5.44140625" style="12" customWidth="1"/>
    <col min="6656" max="6656" width="13.6640625" style="12" customWidth="1"/>
    <col min="6657" max="6657" width="23.6640625" style="12" customWidth="1"/>
    <col min="6658" max="6658" width="14.109375" style="12" customWidth="1"/>
    <col min="6659" max="6659" width="16.109375" style="12" customWidth="1"/>
    <col min="6660" max="6660" width="14.44140625" style="12" customWidth="1"/>
    <col min="6661" max="6661" width="16.44140625" style="12" customWidth="1"/>
    <col min="6662" max="6664" width="6.33203125" style="12" customWidth="1"/>
    <col min="6665" max="6665" width="8.109375" style="12" customWidth="1"/>
    <col min="6666" max="6667" width="6.6640625" style="12" bestFit="1" customWidth="1"/>
    <col min="6668" max="6668" width="5.44140625" style="12" customWidth="1"/>
    <col min="6669" max="6669" width="13.44140625" style="12" customWidth="1"/>
    <col min="6670" max="6910" width="9.109375" style="12"/>
    <col min="6911" max="6911" width="5.44140625" style="12" customWidth="1"/>
    <col min="6912" max="6912" width="13.6640625" style="12" customWidth="1"/>
    <col min="6913" max="6913" width="23.6640625" style="12" customWidth="1"/>
    <col min="6914" max="6914" width="14.109375" style="12" customWidth="1"/>
    <col min="6915" max="6915" width="16.109375" style="12" customWidth="1"/>
    <col min="6916" max="6916" width="14.44140625" style="12" customWidth="1"/>
    <col min="6917" max="6917" width="16.44140625" style="12" customWidth="1"/>
    <col min="6918" max="6920" width="6.33203125" style="12" customWidth="1"/>
    <col min="6921" max="6921" width="8.109375" style="12" customWidth="1"/>
    <col min="6922" max="6923" width="6.6640625" style="12" bestFit="1" customWidth="1"/>
    <col min="6924" max="6924" width="5.44140625" style="12" customWidth="1"/>
    <col min="6925" max="6925" width="13.44140625" style="12" customWidth="1"/>
    <col min="6926" max="7166" width="9.109375" style="12"/>
    <col min="7167" max="7167" width="5.44140625" style="12" customWidth="1"/>
    <col min="7168" max="7168" width="13.6640625" style="12" customWidth="1"/>
    <col min="7169" max="7169" width="23.6640625" style="12" customWidth="1"/>
    <col min="7170" max="7170" width="14.109375" style="12" customWidth="1"/>
    <col min="7171" max="7171" width="16.109375" style="12" customWidth="1"/>
    <col min="7172" max="7172" width="14.44140625" style="12" customWidth="1"/>
    <col min="7173" max="7173" width="16.44140625" style="12" customWidth="1"/>
    <col min="7174" max="7176" width="6.33203125" style="12" customWidth="1"/>
    <col min="7177" max="7177" width="8.109375" style="12" customWidth="1"/>
    <col min="7178" max="7179" width="6.6640625" style="12" bestFit="1" customWidth="1"/>
    <col min="7180" max="7180" width="5.44140625" style="12" customWidth="1"/>
    <col min="7181" max="7181" width="13.44140625" style="12" customWidth="1"/>
    <col min="7182" max="7422" width="9.109375" style="12"/>
    <col min="7423" max="7423" width="5.44140625" style="12" customWidth="1"/>
    <col min="7424" max="7424" width="13.6640625" style="12" customWidth="1"/>
    <col min="7425" max="7425" width="23.6640625" style="12" customWidth="1"/>
    <col min="7426" max="7426" width="14.109375" style="12" customWidth="1"/>
    <col min="7427" max="7427" width="16.109375" style="12" customWidth="1"/>
    <col min="7428" max="7428" width="14.44140625" style="12" customWidth="1"/>
    <col min="7429" max="7429" width="16.44140625" style="12" customWidth="1"/>
    <col min="7430" max="7432" width="6.33203125" style="12" customWidth="1"/>
    <col min="7433" max="7433" width="8.109375" style="12" customWidth="1"/>
    <col min="7434" max="7435" width="6.6640625" style="12" bestFit="1" customWidth="1"/>
    <col min="7436" max="7436" width="5.44140625" style="12" customWidth="1"/>
    <col min="7437" max="7437" width="13.44140625" style="12" customWidth="1"/>
    <col min="7438" max="7678" width="9.109375" style="12"/>
    <col min="7679" max="7679" width="5.44140625" style="12" customWidth="1"/>
    <col min="7680" max="7680" width="13.6640625" style="12" customWidth="1"/>
    <col min="7681" max="7681" width="23.6640625" style="12" customWidth="1"/>
    <col min="7682" max="7682" width="14.109375" style="12" customWidth="1"/>
    <col min="7683" max="7683" width="16.109375" style="12" customWidth="1"/>
    <col min="7684" max="7684" width="14.44140625" style="12" customWidth="1"/>
    <col min="7685" max="7685" width="16.44140625" style="12" customWidth="1"/>
    <col min="7686" max="7688" width="6.33203125" style="12" customWidth="1"/>
    <col min="7689" max="7689" width="8.109375" style="12" customWidth="1"/>
    <col min="7690" max="7691" width="6.6640625" style="12" bestFit="1" customWidth="1"/>
    <col min="7692" max="7692" width="5.44140625" style="12" customWidth="1"/>
    <col min="7693" max="7693" width="13.44140625" style="12" customWidth="1"/>
    <col min="7694" max="7934" width="9.109375" style="12"/>
    <col min="7935" max="7935" width="5.44140625" style="12" customWidth="1"/>
    <col min="7936" max="7936" width="13.6640625" style="12" customWidth="1"/>
    <col min="7937" max="7937" width="23.6640625" style="12" customWidth="1"/>
    <col min="7938" max="7938" width="14.109375" style="12" customWidth="1"/>
    <col min="7939" max="7939" width="16.109375" style="12" customWidth="1"/>
    <col min="7940" max="7940" width="14.44140625" style="12" customWidth="1"/>
    <col min="7941" max="7941" width="16.44140625" style="12" customWidth="1"/>
    <col min="7942" max="7944" width="6.33203125" style="12" customWidth="1"/>
    <col min="7945" max="7945" width="8.109375" style="12" customWidth="1"/>
    <col min="7946" max="7947" width="6.6640625" style="12" bestFit="1" customWidth="1"/>
    <col min="7948" max="7948" width="5.44140625" style="12" customWidth="1"/>
    <col min="7949" max="7949" width="13.44140625" style="12" customWidth="1"/>
    <col min="7950" max="8190" width="9.109375" style="12"/>
    <col min="8191" max="8191" width="5.44140625" style="12" customWidth="1"/>
    <col min="8192" max="8192" width="13.6640625" style="12" customWidth="1"/>
    <col min="8193" max="8193" width="23.6640625" style="12" customWidth="1"/>
    <col min="8194" max="8194" width="14.109375" style="12" customWidth="1"/>
    <col min="8195" max="8195" width="16.109375" style="12" customWidth="1"/>
    <col min="8196" max="8196" width="14.44140625" style="12" customWidth="1"/>
    <col min="8197" max="8197" width="16.44140625" style="12" customWidth="1"/>
    <col min="8198" max="8200" width="6.33203125" style="12" customWidth="1"/>
    <col min="8201" max="8201" width="8.109375" style="12" customWidth="1"/>
    <col min="8202" max="8203" width="6.6640625" style="12" bestFit="1" customWidth="1"/>
    <col min="8204" max="8204" width="5.44140625" style="12" customWidth="1"/>
    <col min="8205" max="8205" width="13.44140625" style="12" customWidth="1"/>
    <col min="8206" max="8446" width="9.109375" style="12"/>
    <col min="8447" max="8447" width="5.44140625" style="12" customWidth="1"/>
    <col min="8448" max="8448" width="13.6640625" style="12" customWidth="1"/>
    <col min="8449" max="8449" width="23.6640625" style="12" customWidth="1"/>
    <col min="8450" max="8450" width="14.109375" style="12" customWidth="1"/>
    <col min="8451" max="8451" width="16.109375" style="12" customWidth="1"/>
    <col min="8452" max="8452" width="14.44140625" style="12" customWidth="1"/>
    <col min="8453" max="8453" width="16.44140625" style="12" customWidth="1"/>
    <col min="8454" max="8456" width="6.33203125" style="12" customWidth="1"/>
    <col min="8457" max="8457" width="8.109375" style="12" customWidth="1"/>
    <col min="8458" max="8459" width="6.6640625" style="12" bestFit="1" customWidth="1"/>
    <col min="8460" max="8460" width="5.44140625" style="12" customWidth="1"/>
    <col min="8461" max="8461" width="13.44140625" style="12" customWidth="1"/>
    <col min="8462" max="8702" width="9.109375" style="12"/>
    <col min="8703" max="8703" width="5.44140625" style="12" customWidth="1"/>
    <col min="8704" max="8704" width="13.6640625" style="12" customWidth="1"/>
    <col min="8705" max="8705" width="23.6640625" style="12" customWidth="1"/>
    <col min="8706" max="8706" width="14.109375" style="12" customWidth="1"/>
    <col min="8707" max="8707" width="16.109375" style="12" customWidth="1"/>
    <col min="8708" max="8708" width="14.44140625" style="12" customWidth="1"/>
    <col min="8709" max="8709" width="16.44140625" style="12" customWidth="1"/>
    <col min="8710" max="8712" width="6.33203125" style="12" customWidth="1"/>
    <col min="8713" max="8713" width="8.109375" style="12" customWidth="1"/>
    <col min="8714" max="8715" width="6.6640625" style="12" bestFit="1" customWidth="1"/>
    <col min="8716" max="8716" width="5.44140625" style="12" customWidth="1"/>
    <col min="8717" max="8717" width="13.44140625" style="12" customWidth="1"/>
    <col min="8718" max="8958" width="9.109375" style="12"/>
    <col min="8959" max="8959" width="5.44140625" style="12" customWidth="1"/>
    <col min="8960" max="8960" width="13.6640625" style="12" customWidth="1"/>
    <col min="8961" max="8961" width="23.6640625" style="12" customWidth="1"/>
    <col min="8962" max="8962" width="14.109375" style="12" customWidth="1"/>
    <col min="8963" max="8963" width="16.109375" style="12" customWidth="1"/>
    <col min="8964" max="8964" width="14.44140625" style="12" customWidth="1"/>
    <col min="8965" max="8965" width="16.44140625" style="12" customWidth="1"/>
    <col min="8966" max="8968" width="6.33203125" style="12" customWidth="1"/>
    <col min="8969" max="8969" width="8.109375" style="12" customWidth="1"/>
    <col min="8970" max="8971" width="6.6640625" style="12" bestFit="1" customWidth="1"/>
    <col min="8972" max="8972" width="5.44140625" style="12" customWidth="1"/>
    <col min="8973" max="8973" width="13.44140625" style="12" customWidth="1"/>
    <col min="8974" max="9214" width="9.109375" style="12"/>
    <col min="9215" max="9215" width="5.44140625" style="12" customWidth="1"/>
    <col min="9216" max="9216" width="13.6640625" style="12" customWidth="1"/>
    <col min="9217" max="9217" width="23.6640625" style="12" customWidth="1"/>
    <col min="9218" max="9218" width="14.109375" style="12" customWidth="1"/>
    <col min="9219" max="9219" width="16.109375" style="12" customWidth="1"/>
    <col min="9220" max="9220" width="14.44140625" style="12" customWidth="1"/>
    <col min="9221" max="9221" width="16.44140625" style="12" customWidth="1"/>
    <col min="9222" max="9224" width="6.33203125" style="12" customWidth="1"/>
    <col min="9225" max="9225" width="8.109375" style="12" customWidth="1"/>
    <col min="9226" max="9227" width="6.6640625" style="12" bestFit="1" customWidth="1"/>
    <col min="9228" max="9228" width="5.44140625" style="12" customWidth="1"/>
    <col min="9229" max="9229" width="13.44140625" style="12" customWidth="1"/>
    <col min="9230" max="9470" width="9.109375" style="12"/>
    <col min="9471" max="9471" width="5.44140625" style="12" customWidth="1"/>
    <col min="9472" max="9472" width="13.6640625" style="12" customWidth="1"/>
    <col min="9473" max="9473" width="23.6640625" style="12" customWidth="1"/>
    <col min="9474" max="9474" width="14.109375" style="12" customWidth="1"/>
    <col min="9475" max="9475" width="16.109375" style="12" customWidth="1"/>
    <col min="9476" max="9476" width="14.44140625" style="12" customWidth="1"/>
    <col min="9477" max="9477" width="16.44140625" style="12" customWidth="1"/>
    <col min="9478" max="9480" width="6.33203125" style="12" customWidth="1"/>
    <col min="9481" max="9481" width="8.109375" style="12" customWidth="1"/>
    <col min="9482" max="9483" width="6.6640625" style="12" bestFit="1" customWidth="1"/>
    <col min="9484" max="9484" width="5.44140625" style="12" customWidth="1"/>
    <col min="9485" max="9485" width="13.44140625" style="12" customWidth="1"/>
    <col min="9486" max="9726" width="9.109375" style="12"/>
    <col min="9727" max="9727" width="5.44140625" style="12" customWidth="1"/>
    <col min="9728" max="9728" width="13.6640625" style="12" customWidth="1"/>
    <col min="9729" max="9729" width="23.6640625" style="12" customWidth="1"/>
    <col min="9730" max="9730" width="14.109375" style="12" customWidth="1"/>
    <col min="9731" max="9731" width="16.109375" style="12" customWidth="1"/>
    <col min="9732" max="9732" width="14.44140625" style="12" customWidth="1"/>
    <col min="9733" max="9733" width="16.44140625" style="12" customWidth="1"/>
    <col min="9734" max="9736" width="6.33203125" style="12" customWidth="1"/>
    <col min="9737" max="9737" width="8.109375" style="12" customWidth="1"/>
    <col min="9738" max="9739" width="6.6640625" style="12" bestFit="1" customWidth="1"/>
    <col min="9740" max="9740" width="5.44140625" style="12" customWidth="1"/>
    <col min="9741" max="9741" width="13.44140625" style="12" customWidth="1"/>
    <col min="9742" max="9982" width="9.109375" style="12"/>
    <col min="9983" max="9983" width="5.44140625" style="12" customWidth="1"/>
    <col min="9984" max="9984" width="13.6640625" style="12" customWidth="1"/>
    <col min="9985" max="9985" width="23.6640625" style="12" customWidth="1"/>
    <col min="9986" max="9986" width="14.109375" style="12" customWidth="1"/>
    <col min="9987" max="9987" width="16.109375" style="12" customWidth="1"/>
    <col min="9988" max="9988" width="14.44140625" style="12" customWidth="1"/>
    <col min="9989" max="9989" width="16.44140625" style="12" customWidth="1"/>
    <col min="9990" max="9992" width="6.33203125" style="12" customWidth="1"/>
    <col min="9993" max="9993" width="8.109375" style="12" customWidth="1"/>
    <col min="9994" max="9995" width="6.6640625" style="12" bestFit="1" customWidth="1"/>
    <col min="9996" max="9996" width="5.44140625" style="12" customWidth="1"/>
    <col min="9997" max="9997" width="13.44140625" style="12" customWidth="1"/>
    <col min="9998" max="10238" width="9.109375" style="12"/>
    <col min="10239" max="10239" width="5.44140625" style="12" customWidth="1"/>
    <col min="10240" max="10240" width="13.6640625" style="12" customWidth="1"/>
    <col min="10241" max="10241" width="23.6640625" style="12" customWidth="1"/>
    <col min="10242" max="10242" width="14.109375" style="12" customWidth="1"/>
    <col min="10243" max="10243" width="16.109375" style="12" customWidth="1"/>
    <col min="10244" max="10244" width="14.44140625" style="12" customWidth="1"/>
    <col min="10245" max="10245" width="16.44140625" style="12" customWidth="1"/>
    <col min="10246" max="10248" width="6.33203125" style="12" customWidth="1"/>
    <col min="10249" max="10249" width="8.109375" style="12" customWidth="1"/>
    <col min="10250" max="10251" width="6.6640625" style="12" bestFit="1" customWidth="1"/>
    <col min="10252" max="10252" width="5.44140625" style="12" customWidth="1"/>
    <col min="10253" max="10253" width="13.44140625" style="12" customWidth="1"/>
    <col min="10254" max="10494" width="9.109375" style="12"/>
    <col min="10495" max="10495" width="5.44140625" style="12" customWidth="1"/>
    <col min="10496" max="10496" width="13.6640625" style="12" customWidth="1"/>
    <col min="10497" max="10497" width="23.6640625" style="12" customWidth="1"/>
    <col min="10498" max="10498" width="14.109375" style="12" customWidth="1"/>
    <col min="10499" max="10499" width="16.109375" style="12" customWidth="1"/>
    <col min="10500" max="10500" width="14.44140625" style="12" customWidth="1"/>
    <col min="10501" max="10501" width="16.44140625" style="12" customWidth="1"/>
    <col min="10502" max="10504" width="6.33203125" style="12" customWidth="1"/>
    <col min="10505" max="10505" width="8.109375" style="12" customWidth="1"/>
    <col min="10506" max="10507" width="6.6640625" style="12" bestFit="1" customWidth="1"/>
    <col min="10508" max="10508" width="5.44140625" style="12" customWidth="1"/>
    <col min="10509" max="10509" width="13.44140625" style="12" customWidth="1"/>
    <col min="10510" max="10750" width="9.109375" style="12"/>
    <col min="10751" max="10751" width="5.44140625" style="12" customWidth="1"/>
    <col min="10752" max="10752" width="13.6640625" style="12" customWidth="1"/>
    <col min="10753" max="10753" width="23.6640625" style="12" customWidth="1"/>
    <col min="10754" max="10754" width="14.109375" style="12" customWidth="1"/>
    <col min="10755" max="10755" width="16.109375" style="12" customWidth="1"/>
    <col min="10756" max="10756" width="14.44140625" style="12" customWidth="1"/>
    <col min="10757" max="10757" width="16.44140625" style="12" customWidth="1"/>
    <col min="10758" max="10760" width="6.33203125" style="12" customWidth="1"/>
    <col min="10761" max="10761" width="8.109375" style="12" customWidth="1"/>
    <col min="10762" max="10763" width="6.6640625" style="12" bestFit="1" customWidth="1"/>
    <col min="10764" max="10764" width="5.44140625" style="12" customWidth="1"/>
    <col min="10765" max="10765" width="13.44140625" style="12" customWidth="1"/>
    <col min="10766" max="11006" width="9.109375" style="12"/>
    <col min="11007" max="11007" width="5.44140625" style="12" customWidth="1"/>
    <col min="11008" max="11008" width="13.6640625" style="12" customWidth="1"/>
    <col min="11009" max="11009" width="23.6640625" style="12" customWidth="1"/>
    <col min="11010" max="11010" width="14.109375" style="12" customWidth="1"/>
    <col min="11011" max="11011" width="16.109375" style="12" customWidth="1"/>
    <col min="11012" max="11012" width="14.44140625" style="12" customWidth="1"/>
    <col min="11013" max="11013" width="16.44140625" style="12" customWidth="1"/>
    <col min="11014" max="11016" width="6.33203125" style="12" customWidth="1"/>
    <col min="11017" max="11017" width="8.109375" style="12" customWidth="1"/>
    <col min="11018" max="11019" width="6.6640625" style="12" bestFit="1" customWidth="1"/>
    <col min="11020" max="11020" width="5.44140625" style="12" customWidth="1"/>
    <col min="11021" max="11021" width="13.44140625" style="12" customWidth="1"/>
    <col min="11022" max="11262" width="9.109375" style="12"/>
    <col min="11263" max="11263" width="5.44140625" style="12" customWidth="1"/>
    <col min="11264" max="11264" width="13.6640625" style="12" customWidth="1"/>
    <col min="11265" max="11265" width="23.6640625" style="12" customWidth="1"/>
    <col min="11266" max="11266" width="14.109375" style="12" customWidth="1"/>
    <col min="11267" max="11267" width="16.109375" style="12" customWidth="1"/>
    <col min="11268" max="11268" width="14.44140625" style="12" customWidth="1"/>
    <col min="11269" max="11269" width="16.44140625" style="12" customWidth="1"/>
    <col min="11270" max="11272" width="6.33203125" style="12" customWidth="1"/>
    <col min="11273" max="11273" width="8.109375" style="12" customWidth="1"/>
    <col min="11274" max="11275" width="6.6640625" style="12" bestFit="1" customWidth="1"/>
    <col min="11276" max="11276" width="5.44140625" style="12" customWidth="1"/>
    <col min="11277" max="11277" width="13.44140625" style="12" customWidth="1"/>
    <col min="11278" max="11518" width="9.109375" style="12"/>
    <col min="11519" max="11519" width="5.44140625" style="12" customWidth="1"/>
    <col min="11520" max="11520" width="13.6640625" style="12" customWidth="1"/>
    <col min="11521" max="11521" width="23.6640625" style="12" customWidth="1"/>
    <col min="11522" max="11522" width="14.109375" style="12" customWidth="1"/>
    <col min="11523" max="11523" width="16.109375" style="12" customWidth="1"/>
    <col min="11524" max="11524" width="14.44140625" style="12" customWidth="1"/>
    <col min="11525" max="11525" width="16.44140625" style="12" customWidth="1"/>
    <col min="11526" max="11528" width="6.33203125" style="12" customWidth="1"/>
    <col min="11529" max="11529" width="8.109375" style="12" customWidth="1"/>
    <col min="11530" max="11531" width="6.6640625" style="12" bestFit="1" customWidth="1"/>
    <col min="11532" max="11532" width="5.44140625" style="12" customWidth="1"/>
    <col min="11533" max="11533" width="13.44140625" style="12" customWidth="1"/>
    <col min="11534" max="11774" width="9.109375" style="12"/>
    <col min="11775" max="11775" width="5.44140625" style="12" customWidth="1"/>
    <col min="11776" max="11776" width="13.6640625" style="12" customWidth="1"/>
    <col min="11777" max="11777" width="23.6640625" style="12" customWidth="1"/>
    <col min="11778" max="11778" width="14.109375" style="12" customWidth="1"/>
    <col min="11779" max="11779" width="16.109375" style="12" customWidth="1"/>
    <col min="11780" max="11780" width="14.44140625" style="12" customWidth="1"/>
    <col min="11781" max="11781" width="16.44140625" style="12" customWidth="1"/>
    <col min="11782" max="11784" width="6.33203125" style="12" customWidth="1"/>
    <col min="11785" max="11785" width="8.109375" style="12" customWidth="1"/>
    <col min="11786" max="11787" width="6.6640625" style="12" bestFit="1" customWidth="1"/>
    <col min="11788" max="11788" width="5.44140625" style="12" customWidth="1"/>
    <col min="11789" max="11789" width="13.44140625" style="12" customWidth="1"/>
    <col min="11790" max="12030" width="9.109375" style="12"/>
    <col min="12031" max="12031" width="5.44140625" style="12" customWidth="1"/>
    <col min="12032" max="12032" width="13.6640625" style="12" customWidth="1"/>
    <col min="12033" max="12033" width="23.6640625" style="12" customWidth="1"/>
    <col min="12034" max="12034" width="14.109375" style="12" customWidth="1"/>
    <col min="12035" max="12035" width="16.109375" style="12" customWidth="1"/>
    <col min="12036" max="12036" width="14.44140625" style="12" customWidth="1"/>
    <col min="12037" max="12037" width="16.44140625" style="12" customWidth="1"/>
    <col min="12038" max="12040" width="6.33203125" style="12" customWidth="1"/>
    <col min="12041" max="12041" width="8.109375" style="12" customWidth="1"/>
    <col min="12042" max="12043" width="6.6640625" style="12" bestFit="1" customWidth="1"/>
    <col min="12044" max="12044" width="5.44140625" style="12" customWidth="1"/>
    <col min="12045" max="12045" width="13.44140625" style="12" customWidth="1"/>
    <col min="12046" max="12286" width="9.109375" style="12"/>
    <col min="12287" max="12287" width="5.44140625" style="12" customWidth="1"/>
    <col min="12288" max="12288" width="13.6640625" style="12" customWidth="1"/>
    <col min="12289" max="12289" width="23.6640625" style="12" customWidth="1"/>
    <col min="12290" max="12290" width="14.109375" style="12" customWidth="1"/>
    <col min="12291" max="12291" width="16.109375" style="12" customWidth="1"/>
    <col min="12292" max="12292" width="14.44140625" style="12" customWidth="1"/>
    <col min="12293" max="12293" width="16.44140625" style="12" customWidth="1"/>
    <col min="12294" max="12296" width="6.33203125" style="12" customWidth="1"/>
    <col min="12297" max="12297" width="8.109375" style="12" customWidth="1"/>
    <col min="12298" max="12299" width="6.6640625" style="12" bestFit="1" customWidth="1"/>
    <col min="12300" max="12300" width="5.44140625" style="12" customWidth="1"/>
    <col min="12301" max="12301" width="13.44140625" style="12" customWidth="1"/>
    <col min="12302" max="12542" width="9.109375" style="12"/>
    <col min="12543" max="12543" width="5.44140625" style="12" customWidth="1"/>
    <col min="12544" max="12544" width="13.6640625" style="12" customWidth="1"/>
    <col min="12545" max="12545" width="23.6640625" style="12" customWidth="1"/>
    <col min="12546" max="12546" width="14.109375" style="12" customWidth="1"/>
    <col min="12547" max="12547" width="16.109375" style="12" customWidth="1"/>
    <col min="12548" max="12548" width="14.44140625" style="12" customWidth="1"/>
    <col min="12549" max="12549" width="16.44140625" style="12" customWidth="1"/>
    <col min="12550" max="12552" width="6.33203125" style="12" customWidth="1"/>
    <col min="12553" max="12553" width="8.109375" style="12" customWidth="1"/>
    <col min="12554" max="12555" width="6.6640625" style="12" bestFit="1" customWidth="1"/>
    <col min="12556" max="12556" width="5.44140625" style="12" customWidth="1"/>
    <col min="12557" max="12557" width="13.44140625" style="12" customWidth="1"/>
    <col min="12558" max="12798" width="9.109375" style="12"/>
    <col min="12799" max="12799" width="5.44140625" style="12" customWidth="1"/>
    <col min="12800" max="12800" width="13.6640625" style="12" customWidth="1"/>
    <col min="12801" max="12801" width="23.6640625" style="12" customWidth="1"/>
    <col min="12802" max="12802" width="14.109375" style="12" customWidth="1"/>
    <col min="12803" max="12803" width="16.109375" style="12" customWidth="1"/>
    <col min="12804" max="12804" width="14.44140625" style="12" customWidth="1"/>
    <col min="12805" max="12805" width="16.44140625" style="12" customWidth="1"/>
    <col min="12806" max="12808" width="6.33203125" style="12" customWidth="1"/>
    <col min="12809" max="12809" width="8.109375" style="12" customWidth="1"/>
    <col min="12810" max="12811" width="6.6640625" style="12" bestFit="1" customWidth="1"/>
    <col min="12812" max="12812" width="5.44140625" style="12" customWidth="1"/>
    <col min="12813" max="12813" width="13.44140625" style="12" customWidth="1"/>
    <col min="12814" max="13054" width="9.109375" style="12"/>
    <col min="13055" max="13055" width="5.44140625" style="12" customWidth="1"/>
    <col min="13056" max="13056" width="13.6640625" style="12" customWidth="1"/>
    <col min="13057" max="13057" width="23.6640625" style="12" customWidth="1"/>
    <col min="13058" max="13058" width="14.109375" style="12" customWidth="1"/>
    <col min="13059" max="13059" width="16.109375" style="12" customWidth="1"/>
    <col min="13060" max="13060" width="14.44140625" style="12" customWidth="1"/>
    <col min="13061" max="13061" width="16.44140625" style="12" customWidth="1"/>
    <col min="13062" max="13064" width="6.33203125" style="12" customWidth="1"/>
    <col min="13065" max="13065" width="8.109375" style="12" customWidth="1"/>
    <col min="13066" max="13067" width="6.6640625" style="12" bestFit="1" customWidth="1"/>
    <col min="13068" max="13068" width="5.44140625" style="12" customWidth="1"/>
    <col min="13069" max="13069" width="13.44140625" style="12" customWidth="1"/>
    <col min="13070" max="13310" width="9.109375" style="12"/>
    <col min="13311" max="13311" width="5.44140625" style="12" customWidth="1"/>
    <col min="13312" max="13312" width="13.6640625" style="12" customWidth="1"/>
    <col min="13313" max="13313" width="23.6640625" style="12" customWidth="1"/>
    <col min="13314" max="13314" width="14.109375" style="12" customWidth="1"/>
    <col min="13315" max="13315" width="16.109375" style="12" customWidth="1"/>
    <col min="13316" max="13316" width="14.44140625" style="12" customWidth="1"/>
    <col min="13317" max="13317" width="16.44140625" style="12" customWidth="1"/>
    <col min="13318" max="13320" width="6.33203125" style="12" customWidth="1"/>
    <col min="13321" max="13321" width="8.109375" style="12" customWidth="1"/>
    <col min="13322" max="13323" width="6.6640625" style="12" bestFit="1" customWidth="1"/>
    <col min="13324" max="13324" width="5.44140625" style="12" customWidth="1"/>
    <col min="13325" max="13325" width="13.44140625" style="12" customWidth="1"/>
    <col min="13326" max="13566" width="9.109375" style="12"/>
    <col min="13567" max="13567" width="5.44140625" style="12" customWidth="1"/>
    <col min="13568" max="13568" width="13.6640625" style="12" customWidth="1"/>
    <col min="13569" max="13569" width="23.6640625" style="12" customWidth="1"/>
    <col min="13570" max="13570" width="14.109375" style="12" customWidth="1"/>
    <col min="13571" max="13571" width="16.109375" style="12" customWidth="1"/>
    <col min="13572" max="13572" width="14.44140625" style="12" customWidth="1"/>
    <col min="13573" max="13573" width="16.44140625" style="12" customWidth="1"/>
    <col min="13574" max="13576" width="6.33203125" style="12" customWidth="1"/>
    <col min="13577" max="13577" width="8.109375" style="12" customWidth="1"/>
    <col min="13578" max="13579" width="6.6640625" style="12" bestFit="1" customWidth="1"/>
    <col min="13580" max="13580" width="5.44140625" style="12" customWidth="1"/>
    <col min="13581" max="13581" width="13.44140625" style="12" customWidth="1"/>
    <col min="13582" max="13822" width="9.109375" style="12"/>
    <col min="13823" max="13823" width="5.44140625" style="12" customWidth="1"/>
    <col min="13824" max="13824" width="13.6640625" style="12" customWidth="1"/>
    <col min="13825" max="13825" width="23.6640625" style="12" customWidth="1"/>
    <col min="13826" max="13826" width="14.109375" style="12" customWidth="1"/>
    <col min="13827" max="13827" width="16.109375" style="12" customWidth="1"/>
    <col min="13828" max="13828" width="14.44140625" style="12" customWidth="1"/>
    <col min="13829" max="13829" width="16.44140625" style="12" customWidth="1"/>
    <col min="13830" max="13832" width="6.33203125" style="12" customWidth="1"/>
    <col min="13833" max="13833" width="8.109375" style="12" customWidth="1"/>
    <col min="13834" max="13835" width="6.6640625" style="12" bestFit="1" customWidth="1"/>
    <col min="13836" max="13836" width="5.44140625" style="12" customWidth="1"/>
    <col min="13837" max="13837" width="13.44140625" style="12" customWidth="1"/>
    <col min="13838" max="14078" width="9.109375" style="12"/>
    <col min="14079" max="14079" width="5.44140625" style="12" customWidth="1"/>
    <col min="14080" max="14080" width="13.6640625" style="12" customWidth="1"/>
    <col min="14081" max="14081" width="23.6640625" style="12" customWidth="1"/>
    <col min="14082" max="14082" width="14.109375" style="12" customWidth="1"/>
    <col min="14083" max="14083" width="16.109375" style="12" customWidth="1"/>
    <col min="14084" max="14084" width="14.44140625" style="12" customWidth="1"/>
    <col min="14085" max="14085" width="16.44140625" style="12" customWidth="1"/>
    <col min="14086" max="14088" width="6.33203125" style="12" customWidth="1"/>
    <col min="14089" max="14089" width="8.109375" style="12" customWidth="1"/>
    <col min="14090" max="14091" width="6.6640625" style="12" bestFit="1" customWidth="1"/>
    <col min="14092" max="14092" width="5.44140625" style="12" customWidth="1"/>
    <col min="14093" max="14093" width="13.44140625" style="12" customWidth="1"/>
    <col min="14094" max="14334" width="9.109375" style="12"/>
    <col min="14335" max="14335" width="5.44140625" style="12" customWidth="1"/>
    <col min="14336" max="14336" width="13.6640625" style="12" customWidth="1"/>
    <col min="14337" max="14337" width="23.6640625" style="12" customWidth="1"/>
    <col min="14338" max="14338" width="14.109375" style="12" customWidth="1"/>
    <col min="14339" max="14339" width="16.109375" style="12" customWidth="1"/>
    <col min="14340" max="14340" width="14.44140625" style="12" customWidth="1"/>
    <col min="14341" max="14341" width="16.44140625" style="12" customWidth="1"/>
    <col min="14342" max="14344" width="6.33203125" style="12" customWidth="1"/>
    <col min="14345" max="14345" width="8.109375" style="12" customWidth="1"/>
    <col min="14346" max="14347" width="6.6640625" style="12" bestFit="1" customWidth="1"/>
    <col min="14348" max="14348" width="5.44140625" style="12" customWidth="1"/>
    <col min="14349" max="14349" width="13.44140625" style="12" customWidth="1"/>
    <col min="14350" max="14590" width="9.109375" style="12"/>
    <col min="14591" max="14591" width="5.44140625" style="12" customWidth="1"/>
    <col min="14592" max="14592" width="13.6640625" style="12" customWidth="1"/>
    <col min="14593" max="14593" width="23.6640625" style="12" customWidth="1"/>
    <col min="14594" max="14594" width="14.109375" style="12" customWidth="1"/>
    <col min="14595" max="14595" width="16.109375" style="12" customWidth="1"/>
    <col min="14596" max="14596" width="14.44140625" style="12" customWidth="1"/>
    <col min="14597" max="14597" width="16.44140625" style="12" customWidth="1"/>
    <col min="14598" max="14600" width="6.33203125" style="12" customWidth="1"/>
    <col min="14601" max="14601" width="8.109375" style="12" customWidth="1"/>
    <col min="14602" max="14603" width="6.6640625" style="12" bestFit="1" customWidth="1"/>
    <col min="14604" max="14604" width="5.44140625" style="12" customWidth="1"/>
    <col min="14605" max="14605" width="13.44140625" style="12" customWidth="1"/>
    <col min="14606" max="14846" width="9.109375" style="12"/>
    <col min="14847" max="14847" width="5.44140625" style="12" customWidth="1"/>
    <col min="14848" max="14848" width="13.6640625" style="12" customWidth="1"/>
    <col min="14849" max="14849" width="23.6640625" style="12" customWidth="1"/>
    <col min="14850" max="14850" width="14.109375" style="12" customWidth="1"/>
    <col min="14851" max="14851" width="16.109375" style="12" customWidth="1"/>
    <col min="14852" max="14852" width="14.44140625" style="12" customWidth="1"/>
    <col min="14853" max="14853" width="16.44140625" style="12" customWidth="1"/>
    <col min="14854" max="14856" width="6.33203125" style="12" customWidth="1"/>
    <col min="14857" max="14857" width="8.109375" style="12" customWidth="1"/>
    <col min="14858" max="14859" width="6.6640625" style="12" bestFit="1" customWidth="1"/>
    <col min="14860" max="14860" width="5.44140625" style="12" customWidth="1"/>
    <col min="14861" max="14861" width="13.44140625" style="12" customWidth="1"/>
    <col min="14862" max="15102" width="9.109375" style="12"/>
    <col min="15103" max="15103" width="5.44140625" style="12" customWidth="1"/>
    <col min="15104" max="15104" width="13.6640625" style="12" customWidth="1"/>
    <col min="15105" max="15105" width="23.6640625" style="12" customWidth="1"/>
    <col min="15106" max="15106" width="14.109375" style="12" customWidth="1"/>
    <col min="15107" max="15107" width="16.109375" style="12" customWidth="1"/>
    <col min="15108" max="15108" width="14.44140625" style="12" customWidth="1"/>
    <col min="15109" max="15109" width="16.44140625" style="12" customWidth="1"/>
    <col min="15110" max="15112" width="6.33203125" style="12" customWidth="1"/>
    <col min="15113" max="15113" width="8.109375" style="12" customWidth="1"/>
    <col min="15114" max="15115" width="6.6640625" style="12" bestFit="1" customWidth="1"/>
    <col min="15116" max="15116" width="5.44140625" style="12" customWidth="1"/>
    <col min="15117" max="15117" width="13.44140625" style="12" customWidth="1"/>
    <col min="15118" max="15358" width="9.109375" style="12"/>
    <col min="15359" max="15359" width="5.44140625" style="12" customWidth="1"/>
    <col min="15360" max="15360" width="13.6640625" style="12" customWidth="1"/>
    <col min="15361" max="15361" width="23.6640625" style="12" customWidth="1"/>
    <col min="15362" max="15362" width="14.109375" style="12" customWidth="1"/>
    <col min="15363" max="15363" width="16.109375" style="12" customWidth="1"/>
    <col min="15364" max="15364" width="14.44140625" style="12" customWidth="1"/>
    <col min="15365" max="15365" width="16.44140625" style="12" customWidth="1"/>
    <col min="15366" max="15368" width="6.33203125" style="12" customWidth="1"/>
    <col min="15369" max="15369" width="8.109375" style="12" customWidth="1"/>
    <col min="15370" max="15371" width="6.6640625" style="12" bestFit="1" customWidth="1"/>
    <col min="15372" max="15372" width="5.44140625" style="12" customWidth="1"/>
    <col min="15373" max="15373" width="13.44140625" style="12" customWidth="1"/>
    <col min="15374" max="15614" width="9.109375" style="12"/>
    <col min="15615" max="15615" width="5.44140625" style="12" customWidth="1"/>
    <col min="15616" max="15616" width="13.6640625" style="12" customWidth="1"/>
    <col min="15617" max="15617" width="23.6640625" style="12" customWidth="1"/>
    <col min="15618" max="15618" width="14.109375" style="12" customWidth="1"/>
    <col min="15619" max="15619" width="16.109375" style="12" customWidth="1"/>
    <col min="15620" max="15620" width="14.44140625" style="12" customWidth="1"/>
    <col min="15621" max="15621" width="16.44140625" style="12" customWidth="1"/>
    <col min="15622" max="15624" width="6.33203125" style="12" customWidth="1"/>
    <col min="15625" max="15625" width="8.109375" style="12" customWidth="1"/>
    <col min="15626" max="15627" width="6.6640625" style="12" bestFit="1" customWidth="1"/>
    <col min="15628" max="15628" width="5.44140625" style="12" customWidth="1"/>
    <col min="15629" max="15629" width="13.44140625" style="12" customWidth="1"/>
    <col min="15630" max="15870" width="9.109375" style="12"/>
    <col min="15871" max="15871" width="5.44140625" style="12" customWidth="1"/>
    <col min="15872" max="15872" width="13.6640625" style="12" customWidth="1"/>
    <col min="15873" max="15873" width="23.6640625" style="12" customWidth="1"/>
    <col min="15874" max="15874" width="14.109375" style="12" customWidth="1"/>
    <col min="15875" max="15875" width="16.109375" style="12" customWidth="1"/>
    <col min="15876" max="15876" width="14.44140625" style="12" customWidth="1"/>
    <col min="15877" max="15877" width="16.44140625" style="12" customWidth="1"/>
    <col min="15878" max="15880" width="6.33203125" style="12" customWidth="1"/>
    <col min="15881" max="15881" width="8.109375" style="12" customWidth="1"/>
    <col min="15882" max="15883" width="6.6640625" style="12" bestFit="1" customWidth="1"/>
    <col min="15884" max="15884" width="5.44140625" style="12" customWidth="1"/>
    <col min="15885" max="15885" width="13.44140625" style="12" customWidth="1"/>
    <col min="15886" max="16126" width="9.109375" style="12"/>
    <col min="16127" max="16127" width="5.44140625" style="12" customWidth="1"/>
    <col min="16128" max="16128" width="13.6640625" style="12" customWidth="1"/>
    <col min="16129" max="16129" width="23.6640625" style="12" customWidth="1"/>
    <col min="16130" max="16130" width="14.109375" style="12" customWidth="1"/>
    <col min="16131" max="16131" width="16.109375" style="12" customWidth="1"/>
    <col min="16132" max="16132" width="14.44140625" style="12" customWidth="1"/>
    <col min="16133" max="16133" width="16.44140625" style="12" customWidth="1"/>
    <col min="16134" max="16136" width="6.33203125" style="12" customWidth="1"/>
    <col min="16137" max="16137" width="8.109375" style="12" customWidth="1"/>
    <col min="16138" max="16139" width="6.6640625" style="12" bestFit="1" customWidth="1"/>
    <col min="16140" max="16140" width="5.44140625" style="12" customWidth="1"/>
    <col min="16141" max="16141" width="13.44140625" style="12" customWidth="1"/>
    <col min="16142" max="16384" width="9.109375" style="12"/>
  </cols>
  <sheetData>
    <row r="1" spans="1:21" s="5" customFormat="1" ht="20.399999999999999" x14ac:dyDescent="0.25">
      <c r="A1" s="41" t="s">
        <v>35</v>
      </c>
      <c r="B1" s="40"/>
      <c r="C1" s="1"/>
      <c r="D1" s="1"/>
      <c r="E1" s="2"/>
      <c r="F1" s="3"/>
      <c r="G1" s="2"/>
      <c r="H1" s="4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s="5" customFormat="1" ht="15.6" x14ac:dyDescent="0.25">
      <c r="A2" s="55" t="s">
        <v>38</v>
      </c>
      <c r="B2" s="55"/>
      <c r="C2" s="55"/>
      <c r="D2" s="55"/>
      <c r="E2" s="55"/>
      <c r="F2" s="55"/>
      <c r="G2" s="55"/>
      <c r="H2" s="5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s="5" customFormat="1" ht="15.6" x14ac:dyDescent="0.3">
      <c r="A3" s="57" t="s">
        <v>5</v>
      </c>
      <c r="B3" s="58"/>
      <c r="C3" s="58"/>
      <c r="D3" s="58"/>
      <c r="E3" s="58"/>
      <c r="F3" s="58"/>
      <c r="G3" s="58"/>
      <c r="H3" s="5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5" customFormat="1" ht="15.6" x14ac:dyDescent="0.3">
      <c r="A4" s="7"/>
      <c r="B4" s="8"/>
      <c r="C4" s="8"/>
      <c r="D4" s="8"/>
      <c r="E4" s="8"/>
      <c r="F4" s="8"/>
      <c r="G4" s="8"/>
      <c r="H4" s="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5" customHeight="1" x14ac:dyDescent="0.25">
      <c r="A5" s="60" t="s">
        <v>6</v>
      </c>
      <c r="B5" s="61"/>
      <c r="C5" s="61"/>
      <c r="D5" s="61"/>
      <c r="E5" s="61"/>
      <c r="F5" s="61"/>
      <c r="G5" s="61"/>
      <c r="H5" s="62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5" customHeight="1" x14ac:dyDescent="0.25">
      <c r="A6" s="63" t="s">
        <v>41</v>
      </c>
      <c r="B6" s="64"/>
      <c r="C6" s="64"/>
      <c r="D6" s="64"/>
      <c r="E6" s="64"/>
      <c r="F6" s="64"/>
      <c r="G6" s="64"/>
      <c r="H6" s="65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15" customHeight="1" x14ac:dyDescent="0.25">
      <c r="A7" s="63" t="s">
        <v>40</v>
      </c>
      <c r="B7" s="64"/>
      <c r="C7" s="64"/>
      <c r="D7" s="64"/>
      <c r="E7" s="64"/>
      <c r="F7" s="64"/>
      <c r="G7" s="64"/>
      <c r="H7" s="65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15" customHeight="1" x14ac:dyDescent="0.25">
      <c r="A8" s="63" t="s">
        <v>42</v>
      </c>
      <c r="B8" s="64"/>
      <c r="C8" s="64"/>
      <c r="D8" s="64"/>
      <c r="E8" s="64"/>
      <c r="F8" s="64"/>
      <c r="G8" s="64"/>
      <c r="H8" s="65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x14ac:dyDescent="0.25">
      <c r="A9" s="15"/>
      <c r="B9" s="16"/>
      <c r="C9" s="16"/>
      <c r="D9" s="16"/>
      <c r="E9" s="16"/>
      <c r="F9" s="16"/>
      <c r="G9" s="16"/>
      <c r="H9" s="17"/>
      <c r="I9" s="18"/>
    </row>
    <row r="10" spans="1:21" x14ac:dyDescent="0.25">
      <c r="A10" s="81" t="s">
        <v>7</v>
      </c>
      <c r="B10" s="81"/>
      <c r="C10" s="81"/>
      <c r="D10" s="81"/>
      <c r="E10" s="81"/>
      <c r="F10" s="81"/>
      <c r="G10" s="81"/>
      <c r="H10" s="81"/>
      <c r="I10" s="66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</row>
    <row r="11" spans="1:21" ht="15" customHeight="1" x14ac:dyDescent="0.25">
      <c r="A11" s="19" t="s">
        <v>8</v>
      </c>
      <c r="B11" s="20" t="s">
        <v>0</v>
      </c>
      <c r="C11" s="84" t="s">
        <v>9</v>
      </c>
      <c r="D11" s="85"/>
      <c r="E11" s="19" t="s">
        <v>10</v>
      </c>
      <c r="F11" s="19" t="s">
        <v>11</v>
      </c>
      <c r="G11" s="19" t="s">
        <v>12</v>
      </c>
      <c r="H11" s="19" t="s">
        <v>13</v>
      </c>
      <c r="I11" s="68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</row>
    <row r="12" spans="1:21" ht="15" customHeight="1" x14ac:dyDescent="0.25">
      <c r="A12" s="21">
        <v>1</v>
      </c>
      <c r="B12" s="22" t="s">
        <v>1</v>
      </c>
      <c r="C12" s="82" t="s">
        <v>44</v>
      </c>
      <c r="D12" s="83"/>
      <c r="E12" s="23" t="s">
        <v>37</v>
      </c>
      <c r="F12" s="23" t="s">
        <v>39</v>
      </c>
      <c r="G12" s="34">
        <v>1.8</v>
      </c>
      <c r="H12" s="34">
        <f t="shared" ref="H12:H14" si="0">IF(G12="","",G12*12)</f>
        <v>21.6</v>
      </c>
      <c r="I12" s="68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</row>
    <row r="13" spans="1:21" ht="15" customHeight="1" x14ac:dyDescent="0.25">
      <c r="A13" s="21">
        <v>2</v>
      </c>
      <c r="B13" s="22" t="s">
        <v>34</v>
      </c>
      <c r="C13" s="82" t="s">
        <v>32</v>
      </c>
      <c r="D13" s="83"/>
      <c r="E13" s="23" t="s">
        <v>14</v>
      </c>
      <c r="F13" s="23" t="s">
        <v>14</v>
      </c>
      <c r="G13" s="24">
        <v>1</v>
      </c>
      <c r="H13" s="24">
        <f t="shared" ref="H13" si="1">IF(G13="","",G13*12)</f>
        <v>12</v>
      </c>
      <c r="I13" s="68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</row>
    <row r="14" spans="1:21" ht="15" customHeight="1" x14ac:dyDescent="0.25">
      <c r="A14" s="36">
        <v>3</v>
      </c>
      <c r="B14" s="33" t="s">
        <v>2</v>
      </c>
      <c r="C14" s="82" t="s">
        <v>15</v>
      </c>
      <c r="D14" s="83"/>
      <c r="E14" s="23" t="s">
        <v>3</v>
      </c>
      <c r="F14" s="23" t="s">
        <v>16</v>
      </c>
      <c r="G14" s="35">
        <v>0.05</v>
      </c>
      <c r="H14" s="35">
        <f t="shared" si="0"/>
        <v>0.60000000000000009</v>
      </c>
      <c r="I14" s="68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</row>
    <row r="15" spans="1:21" x14ac:dyDescent="0.25">
      <c r="A15" s="96" t="s">
        <v>17</v>
      </c>
      <c r="B15" s="97"/>
      <c r="C15" s="97"/>
      <c r="D15" s="97"/>
      <c r="E15" s="97"/>
      <c r="F15" s="97"/>
      <c r="G15" s="97"/>
      <c r="H15" s="98"/>
      <c r="I15" s="68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</row>
    <row r="16" spans="1:21" ht="15" customHeight="1" x14ac:dyDescent="0.25">
      <c r="A16" s="88" t="s">
        <v>18</v>
      </c>
      <c r="B16" s="89"/>
      <c r="C16" s="46" t="s">
        <v>19</v>
      </c>
      <c r="D16" s="47"/>
      <c r="E16" s="47"/>
      <c r="F16" s="47"/>
      <c r="G16" s="47"/>
      <c r="H16" s="48"/>
      <c r="I16" s="68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</row>
    <row r="17" spans="1:21" ht="15" customHeight="1" x14ac:dyDescent="0.3">
      <c r="A17" s="86" t="str">
        <f>A2</f>
        <v>ETON COATS</v>
      </c>
      <c r="B17" s="87"/>
      <c r="C17" s="49">
        <f>(SUM(C18:G18)*12)/60</f>
        <v>3</v>
      </c>
      <c r="D17" s="50"/>
      <c r="E17" s="50"/>
      <c r="F17" s="50"/>
      <c r="G17" s="51"/>
      <c r="H17" s="38"/>
      <c r="I17" s="68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</row>
    <row r="18" spans="1:21" ht="15" customHeight="1" x14ac:dyDescent="0.3">
      <c r="A18" s="44" t="s">
        <v>33</v>
      </c>
      <c r="B18" s="45"/>
      <c r="C18" s="52">
        <v>15</v>
      </c>
      <c r="D18" s="53"/>
      <c r="E18" s="53"/>
      <c r="F18" s="53"/>
      <c r="G18" s="54"/>
      <c r="H18" s="37"/>
      <c r="I18" s="6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</row>
    <row r="19" spans="1:21" x14ac:dyDescent="0.25">
      <c r="A19" s="93" t="s">
        <v>20</v>
      </c>
      <c r="B19" s="94"/>
      <c r="C19" s="94"/>
      <c r="D19" s="94"/>
      <c r="E19" s="94"/>
      <c r="F19" s="94"/>
      <c r="G19" s="94"/>
      <c r="H19" s="95"/>
      <c r="I19" s="68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</row>
    <row r="20" spans="1:21" ht="15" customHeight="1" x14ac:dyDescent="0.25">
      <c r="A20" s="25" t="s">
        <v>8</v>
      </c>
      <c r="B20" s="26" t="s">
        <v>0</v>
      </c>
      <c r="C20" s="46" t="s">
        <v>21</v>
      </c>
      <c r="D20" s="47"/>
      <c r="E20" s="48"/>
      <c r="F20" s="25" t="s">
        <v>22</v>
      </c>
      <c r="G20" s="25" t="s">
        <v>23</v>
      </c>
      <c r="H20" s="25" t="s">
        <v>24</v>
      </c>
      <c r="I20" s="6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</row>
    <row r="21" spans="1:21" ht="15" customHeight="1" x14ac:dyDescent="0.25">
      <c r="A21" s="23">
        <f t="shared" ref="A21:B23" si="2">IF(A12="","",A12)</f>
        <v>1</v>
      </c>
      <c r="B21" s="27" t="str">
        <f t="shared" si="2"/>
        <v>Main Fabric</v>
      </c>
      <c r="C21" s="78">
        <f>IF(H12="","",H12)</f>
        <v>21.6</v>
      </c>
      <c r="D21" s="79"/>
      <c r="E21" s="80"/>
      <c r="F21" s="23" t="str">
        <f>IF(E12="","",E12)</f>
        <v>WHITE</v>
      </c>
      <c r="G21" s="42">
        <v>2.25</v>
      </c>
      <c r="H21" s="29">
        <f>H12*G21</f>
        <v>48.6</v>
      </c>
      <c r="I21" s="68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</row>
    <row r="22" spans="1:21" ht="15" customHeight="1" x14ac:dyDescent="0.25">
      <c r="A22" s="23">
        <f t="shared" si="2"/>
        <v>2</v>
      </c>
      <c r="B22" s="27" t="str">
        <f t="shared" si="2"/>
        <v>Care Label</v>
      </c>
      <c r="C22" s="90">
        <f>IF(H13="","",H13)</f>
        <v>12</v>
      </c>
      <c r="D22" s="91"/>
      <c r="E22" s="92"/>
      <c r="F22" s="23" t="str">
        <f>IF(E13="","",E13)</f>
        <v>-</v>
      </c>
      <c r="G22" s="28">
        <v>0.05</v>
      </c>
      <c r="H22" s="29">
        <f>H13*G22</f>
        <v>0.60000000000000009</v>
      </c>
      <c r="I22" s="68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</row>
    <row r="23" spans="1:21" ht="15" customHeight="1" x14ac:dyDescent="0.25">
      <c r="A23" s="23">
        <f t="shared" si="2"/>
        <v>3</v>
      </c>
      <c r="B23" s="27" t="str">
        <f t="shared" si="2"/>
        <v>Thread Tex40</v>
      </c>
      <c r="C23" s="75">
        <f>IF(H14="","",H14)</f>
        <v>0.60000000000000009</v>
      </c>
      <c r="D23" s="76"/>
      <c r="E23" s="77"/>
      <c r="F23" s="23" t="str">
        <f>IF(E14="","",E14)</f>
        <v>DTM Body</v>
      </c>
      <c r="G23" s="28">
        <v>3.6</v>
      </c>
      <c r="H23" s="29">
        <f>H14*G23</f>
        <v>2.1600000000000006</v>
      </c>
      <c r="I23" s="68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</row>
    <row r="24" spans="1:21" ht="15" customHeight="1" x14ac:dyDescent="0.25">
      <c r="A24" s="23">
        <v>4</v>
      </c>
      <c r="B24" s="27" t="s">
        <v>25</v>
      </c>
      <c r="C24" s="72">
        <f>1/24*12</f>
        <v>0.5</v>
      </c>
      <c r="D24" s="73"/>
      <c r="E24" s="74"/>
      <c r="F24" s="23" t="str">
        <f>IF(E15="","",E15)</f>
        <v/>
      </c>
      <c r="G24" s="28">
        <v>1</v>
      </c>
      <c r="H24" s="29">
        <f t="shared" ref="H24:H25" si="3">IF(G24="","",C24*G24)</f>
        <v>0.5</v>
      </c>
      <c r="I24" s="68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</row>
    <row r="25" spans="1:21" ht="15" customHeight="1" x14ac:dyDescent="0.25">
      <c r="A25" s="23">
        <v>5</v>
      </c>
      <c r="B25" s="27" t="s">
        <v>26</v>
      </c>
      <c r="C25" s="72">
        <f>C17</f>
        <v>3</v>
      </c>
      <c r="D25" s="73"/>
      <c r="E25" s="74"/>
      <c r="F25" s="23" t="str">
        <f>IF(E16="","",E16)</f>
        <v/>
      </c>
      <c r="G25" s="28">
        <v>7.68</v>
      </c>
      <c r="H25" s="29">
        <f t="shared" si="3"/>
        <v>23.04</v>
      </c>
      <c r="I25" s="6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</row>
    <row r="26" spans="1:21" x14ac:dyDescent="0.25">
      <c r="A26" s="18"/>
      <c r="H26" s="30"/>
      <c r="I26" s="68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</row>
    <row r="27" spans="1:21" x14ac:dyDescent="0.25">
      <c r="A27" s="18"/>
      <c r="G27" s="31" t="s">
        <v>27</v>
      </c>
      <c r="H27" s="29">
        <f>SUM(H21:H25)</f>
        <v>74.900000000000006</v>
      </c>
      <c r="I27" s="6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</row>
    <row r="28" spans="1:21" x14ac:dyDescent="0.25">
      <c r="A28" s="18"/>
      <c r="C28" s="14"/>
      <c r="G28" s="12" t="s">
        <v>28</v>
      </c>
      <c r="H28" s="29">
        <f>15000/(1170*36)</f>
        <v>0.35612535612535612</v>
      </c>
      <c r="I28" s="68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</row>
    <row r="29" spans="1:21" x14ac:dyDescent="0.25">
      <c r="A29" s="18"/>
      <c r="G29" s="31" t="s">
        <v>29</v>
      </c>
      <c r="H29" s="29">
        <f>(H27/12)</f>
        <v>6.2416666666666671</v>
      </c>
      <c r="I29" s="68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</row>
    <row r="30" spans="1:21" x14ac:dyDescent="0.25">
      <c r="A30" s="18"/>
      <c r="G30" s="12" t="s">
        <v>43</v>
      </c>
      <c r="H30" s="29">
        <f>H29*0.265</f>
        <v>1.6540416666666669</v>
      </c>
      <c r="I30" s="68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</row>
    <row r="31" spans="1:21" x14ac:dyDescent="0.25">
      <c r="A31" s="18"/>
      <c r="G31" s="12" t="s">
        <v>30</v>
      </c>
      <c r="H31" s="39">
        <f>H29/0.774</f>
        <v>8.0641688199827737</v>
      </c>
      <c r="I31" s="68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</row>
    <row r="32" spans="1:21" x14ac:dyDescent="0.25">
      <c r="A32" s="18"/>
      <c r="G32" s="12" t="s">
        <v>45</v>
      </c>
      <c r="H32" s="29">
        <v>10.08</v>
      </c>
      <c r="I32" s="68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</row>
    <row r="33" spans="1:21" x14ac:dyDescent="0.25">
      <c r="A33" s="18"/>
      <c r="G33" s="12" t="s">
        <v>31</v>
      </c>
      <c r="H33" s="32">
        <f>(H31-H29)/H31</f>
        <v>0.22599999999999995</v>
      </c>
      <c r="I33" s="70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</row>
    <row r="34" spans="1:21" x14ac:dyDescent="0.25">
      <c r="A34" s="81" t="s">
        <v>7</v>
      </c>
      <c r="B34" s="81"/>
      <c r="C34" s="81"/>
      <c r="D34" s="81"/>
      <c r="E34" s="81"/>
      <c r="F34" s="81"/>
      <c r="G34" s="81"/>
      <c r="H34" s="81"/>
    </row>
    <row r="35" spans="1:21" x14ac:dyDescent="0.25">
      <c r="A35" s="19" t="s">
        <v>8</v>
      </c>
      <c r="B35" s="20" t="s">
        <v>0</v>
      </c>
      <c r="C35" s="84" t="s">
        <v>9</v>
      </c>
      <c r="D35" s="85"/>
      <c r="E35" s="19" t="s">
        <v>10</v>
      </c>
      <c r="F35" s="19" t="s">
        <v>11</v>
      </c>
      <c r="G35" s="19" t="s">
        <v>12</v>
      </c>
      <c r="H35" s="19" t="s">
        <v>13</v>
      </c>
    </row>
    <row r="36" spans="1:21" x14ac:dyDescent="0.25">
      <c r="A36" s="21">
        <v>1</v>
      </c>
      <c r="B36" s="22" t="s">
        <v>1</v>
      </c>
      <c r="C36" s="82" t="s">
        <v>36</v>
      </c>
      <c r="D36" s="83"/>
      <c r="E36" s="23" t="s">
        <v>37</v>
      </c>
      <c r="F36" s="23" t="s">
        <v>39</v>
      </c>
      <c r="G36" s="34">
        <v>2</v>
      </c>
      <c r="H36" s="34">
        <f t="shared" ref="H36:H38" si="4">IF(G36="","",G36*12)</f>
        <v>24</v>
      </c>
    </row>
    <row r="37" spans="1:21" x14ac:dyDescent="0.25">
      <c r="A37" s="21">
        <v>2</v>
      </c>
      <c r="B37" s="22" t="s">
        <v>34</v>
      </c>
      <c r="C37" s="82" t="s">
        <v>32</v>
      </c>
      <c r="D37" s="83"/>
      <c r="E37" s="23" t="s">
        <v>14</v>
      </c>
      <c r="F37" s="23" t="s">
        <v>14</v>
      </c>
      <c r="G37" s="24">
        <v>1</v>
      </c>
      <c r="H37" s="24">
        <f t="shared" si="4"/>
        <v>12</v>
      </c>
    </row>
    <row r="38" spans="1:21" x14ac:dyDescent="0.25">
      <c r="A38" s="36">
        <v>3</v>
      </c>
      <c r="B38" s="33" t="s">
        <v>2</v>
      </c>
      <c r="C38" s="82" t="s">
        <v>15</v>
      </c>
      <c r="D38" s="83"/>
      <c r="E38" s="23" t="s">
        <v>3</v>
      </c>
      <c r="F38" s="23" t="s">
        <v>16</v>
      </c>
      <c r="G38" s="35">
        <v>0.05</v>
      </c>
      <c r="H38" s="35">
        <f t="shared" si="4"/>
        <v>0.60000000000000009</v>
      </c>
    </row>
    <row r="39" spans="1:21" x14ac:dyDescent="0.25">
      <c r="A39" s="96" t="s">
        <v>17</v>
      </c>
      <c r="B39" s="97"/>
      <c r="C39" s="97"/>
      <c r="D39" s="97"/>
      <c r="E39" s="97"/>
      <c r="F39" s="97"/>
      <c r="G39" s="97"/>
      <c r="H39" s="98"/>
    </row>
    <row r="40" spans="1:21" x14ac:dyDescent="0.25">
      <c r="A40" s="88" t="s">
        <v>18</v>
      </c>
      <c r="B40" s="89"/>
      <c r="C40" s="46" t="s">
        <v>19</v>
      </c>
      <c r="D40" s="47"/>
      <c r="E40" s="47"/>
      <c r="F40" s="47"/>
      <c r="G40" s="47"/>
      <c r="H40" s="48"/>
    </row>
    <row r="41" spans="1:21" ht="14.4" x14ac:dyDescent="0.3">
      <c r="A41" s="86">
        <f>A26</f>
        <v>0</v>
      </c>
      <c r="B41" s="87"/>
      <c r="C41" s="49">
        <f>(SUM(C42:G42)*12)/60</f>
        <v>3</v>
      </c>
      <c r="D41" s="50"/>
      <c r="E41" s="50"/>
      <c r="F41" s="50"/>
      <c r="G41" s="51"/>
      <c r="H41" s="38"/>
    </row>
    <row r="42" spans="1:21" ht="14.4" x14ac:dyDescent="0.3">
      <c r="A42" s="44" t="s">
        <v>33</v>
      </c>
      <c r="B42" s="45"/>
      <c r="C42" s="52">
        <v>15</v>
      </c>
      <c r="D42" s="53"/>
      <c r="E42" s="53"/>
      <c r="F42" s="53"/>
      <c r="G42" s="54"/>
      <c r="H42" s="37"/>
    </row>
    <row r="43" spans="1:21" x14ac:dyDescent="0.25">
      <c r="A43" s="93" t="s">
        <v>20</v>
      </c>
      <c r="B43" s="94"/>
      <c r="C43" s="94"/>
      <c r="D43" s="94"/>
      <c r="E43" s="94"/>
      <c r="F43" s="94"/>
      <c r="G43" s="94"/>
      <c r="H43" s="95"/>
    </row>
    <row r="44" spans="1:21" x14ac:dyDescent="0.25">
      <c r="A44" s="25" t="s">
        <v>8</v>
      </c>
      <c r="B44" s="26" t="s">
        <v>0</v>
      </c>
      <c r="C44" s="46" t="s">
        <v>21</v>
      </c>
      <c r="D44" s="47"/>
      <c r="E44" s="48"/>
      <c r="F44" s="25" t="s">
        <v>22</v>
      </c>
      <c r="G44" s="25" t="s">
        <v>23</v>
      </c>
      <c r="H44" s="25" t="s">
        <v>24</v>
      </c>
    </row>
    <row r="45" spans="1:21" x14ac:dyDescent="0.25">
      <c r="A45" s="23">
        <f t="shared" ref="A45:B47" si="5">IF(A36="","",A36)</f>
        <v>1</v>
      </c>
      <c r="B45" s="27" t="str">
        <f t="shared" si="5"/>
        <v>Main Fabric</v>
      </c>
      <c r="C45" s="78">
        <f>IF(H36="","",H36)</f>
        <v>24</v>
      </c>
      <c r="D45" s="79"/>
      <c r="E45" s="80"/>
      <c r="F45" s="23" t="str">
        <f>IF(E36="","",E36)</f>
        <v>WHITE</v>
      </c>
      <c r="G45" s="42">
        <v>2.25</v>
      </c>
      <c r="H45" s="29">
        <f>H36*G45</f>
        <v>54</v>
      </c>
    </row>
    <row r="46" spans="1:21" x14ac:dyDescent="0.25">
      <c r="A46" s="23">
        <f t="shared" si="5"/>
        <v>2</v>
      </c>
      <c r="B46" s="27" t="str">
        <f t="shared" si="5"/>
        <v>Care Label</v>
      </c>
      <c r="C46" s="90">
        <f>IF(H37="","",H37)</f>
        <v>12</v>
      </c>
      <c r="D46" s="91"/>
      <c r="E46" s="92"/>
      <c r="F46" s="23" t="str">
        <f>IF(E37="","",E37)</f>
        <v>-</v>
      </c>
      <c r="G46" s="28">
        <v>3.5000000000000001E-3</v>
      </c>
      <c r="H46" s="29">
        <f>H37*G46</f>
        <v>4.2000000000000003E-2</v>
      </c>
    </row>
    <row r="47" spans="1:21" x14ac:dyDescent="0.25">
      <c r="A47" s="23">
        <f t="shared" si="5"/>
        <v>3</v>
      </c>
      <c r="B47" s="27" t="str">
        <f t="shared" si="5"/>
        <v>Thread Tex40</v>
      </c>
      <c r="C47" s="75">
        <f>IF(H38="","",H38)</f>
        <v>0.60000000000000009</v>
      </c>
      <c r="D47" s="76"/>
      <c r="E47" s="77"/>
      <c r="F47" s="23" t="str">
        <f>IF(E38="","",E38)</f>
        <v>DTM Body</v>
      </c>
      <c r="G47" s="28">
        <v>3.6</v>
      </c>
      <c r="H47" s="29">
        <f>H38*G47</f>
        <v>2.1600000000000006</v>
      </c>
    </row>
    <row r="48" spans="1:21" x14ac:dyDescent="0.25">
      <c r="A48" s="23">
        <v>4</v>
      </c>
      <c r="B48" s="27" t="s">
        <v>25</v>
      </c>
      <c r="C48" s="72">
        <f>1/24*12</f>
        <v>0.5</v>
      </c>
      <c r="D48" s="73"/>
      <c r="E48" s="74"/>
      <c r="F48" s="23" t="str">
        <f>IF(E39="","",E39)</f>
        <v/>
      </c>
      <c r="G48" s="28">
        <v>1</v>
      </c>
      <c r="H48" s="29">
        <f t="shared" ref="H48:H49" si="6">IF(G48="","",C48*G48)</f>
        <v>0.5</v>
      </c>
    </row>
    <row r="49" spans="1:8" x14ac:dyDescent="0.25">
      <c r="A49" s="23">
        <v>5</v>
      </c>
      <c r="B49" s="27" t="s">
        <v>26</v>
      </c>
      <c r="C49" s="72">
        <f>C41</f>
        <v>3</v>
      </c>
      <c r="D49" s="73"/>
      <c r="E49" s="74"/>
      <c r="F49" s="23" t="str">
        <f>IF(E40="","",E40)</f>
        <v/>
      </c>
      <c r="G49" s="28">
        <v>6.6</v>
      </c>
      <c r="H49" s="29">
        <f t="shared" si="6"/>
        <v>19.799999999999997</v>
      </c>
    </row>
    <row r="50" spans="1:8" x14ac:dyDescent="0.25">
      <c r="A50" s="18"/>
      <c r="H50" s="30"/>
    </row>
    <row r="51" spans="1:8" x14ac:dyDescent="0.25">
      <c r="A51" s="18"/>
      <c r="G51" s="31" t="s">
        <v>27</v>
      </c>
      <c r="H51" s="29">
        <f>SUM(H45:H49)</f>
        <v>76.50200000000001</v>
      </c>
    </row>
    <row r="52" spans="1:8" x14ac:dyDescent="0.25">
      <c r="A52" s="18"/>
      <c r="C52" s="14"/>
      <c r="G52" s="12" t="s">
        <v>28</v>
      </c>
      <c r="H52" s="29">
        <f>15000/(1170*36)</f>
        <v>0.35612535612535612</v>
      </c>
    </row>
    <row r="53" spans="1:8" x14ac:dyDescent="0.25">
      <c r="A53" s="18"/>
      <c r="G53" s="31" t="s">
        <v>29</v>
      </c>
      <c r="H53" s="29">
        <f>(H51/12)</f>
        <v>6.3751666666666678</v>
      </c>
    </row>
    <row r="54" spans="1:8" x14ac:dyDescent="0.25">
      <c r="A54" s="18"/>
      <c r="G54" s="12" t="s">
        <v>43</v>
      </c>
      <c r="H54" s="29">
        <f>H53*0.265</f>
        <v>1.6894191666666671</v>
      </c>
    </row>
    <row r="55" spans="1:8" x14ac:dyDescent="0.25">
      <c r="A55" s="18"/>
      <c r="G55" s="12" t="s">
        <v>30</v>
      </c>
      <c r="H55" s="39">
        <f>H53/0.765</f>
        <v>8.3335511982570818</v>
      </c>
    </row>
    <row r="56" spans="1:8" x14ac:dyDescent="0.25">
      <c r="A56" s="18"/>
      <c r="F56" s="12">
        <v>7.5</v>
      </c>
      <c r="G56" s="12" t="s">
        <v>45</v>
      </c>
      <c r="H56" s="29">
        <v>10.38</v>
      </c>
    </row>
    <row r="57" spans="1:8" x14ac:dyDescent="0.25">
      <c r="A57" s="18"/>
      <c r="F57" s="12">
        <v>8</v>
      </c>
      <c r="G57" s="12" t="s">
        <v>31</v>
      </c>
      <c r="H57" s="32">
        <f>(H55-H53)/H55</f>
        <v>0.23499999999999999</v>
      </c>
    </row>
  </sheetData>
  <mergeCells count="45">
    <mergeCell ref="C46:E46"/>
    <mergeCell ref="C47:E47"/>
    <mergeCell ref="C48:E48"/>
    <mergeCell ref="C49:E49"/>
    <mergeCell ref="A42:B42"/>
    <mergeCell ref="C42:G42"/>
    <mergeCell ref="A43:H43"/>
    <mergeCell ref="C44:E44"/>
    <mergeCell ref="C45:E45"/>
    <mergeCell ref="A39:H39"/>
    <mergeCell ref="A40:B40"/>
    <mergeCell ref="C40:H40"/>
    <mergeCell ref="A41:B41"/>
    <mergeCell ref="C41:G41"/>
    <mergeCell ref="A34:H34"/>
    <mergeCell ref="C35:D35"/>
    <mergeCell ref="C36:D36"/>
    <mergeCell ref="C37:D37"/>
    <mergeCell ref="C38:D38"/>
    <mergeCell ref="I10:U33"/>
    <mergeCell ref="C25:E25"/>
    <mergeCell ref="C23:E23"/>
    <mergeCell ref="C20:E20"/>
    <mergeCell ref="C21:E21"/>
    <mergeCell ref="A10:H10"/>
    <mergeCell ref="C14:D14"/>
    <mergeCell ref="C11:D11"/>
    <mergeCell ref="C12:D12"/>
    <mergeCell ref="A17:B17"/>
    <mergeCell ref="C24:E24"/>
    <mergeCell ref="A16:B16"/>
    <mergeCell ref="C13:D13"/>
    <mergeCell ref="C22:E22"/>
    <mergeCell ref="A19:H19"/>
    <mergeCell ref="A15:H15"/>
    <mergeCell ref="A18:B18"/>
    <mergeCell ref="C16:H16"/>
    <mergeCell ref="C17:G17"/>
    <mergeCell ref="C18:G18"/>
    <mergeCell ref="A2:H2"/>
    <mergeCell ref="A3:H3"/>
    <mergeCell ref="A5:H5"/>
    <mergeCell ref="A8:H8"/>
    <mergeCell ref="A7:H7"/>
    <mergeCell ref="A6:H6"/>
  </mergeCells>
  <pageMargins left="0.34" right="0" top="0.25" bottom="0" header="0" footer="0"/>
  <pageSetup scale="43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"/>
  <sheetViews>
    <sheetView workbookViewId="0">
      <selection activeCell="R47" sqref="R4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COSTING</vt:lpstr>
      <vt:lpstr>MINI MARKER</vt:lpstr>
      <vt:lpstr>COSTING!Print_Area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2015-07-28T06:30:08Z</cp:lastPrinted>
  <dcterms:created xsi:type="dcterms:W3CDTF">2015-07-27T03:14:29Z</dcterms:created>
  <dcterms:modified xsi:type="dcterms:W3CDTF">2026-09-23T19:18:10Z</dcterms:modified>
</cp:coreProperties>
</file>