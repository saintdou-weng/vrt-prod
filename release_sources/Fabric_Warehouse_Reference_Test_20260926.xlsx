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_chea\Desktop\Report\"/>
    </mc:Choice>
  </mc:AlternateContent>
  <xr:revisionPtr revIDLastSave="0" documentId="13_ncr:1_{376C8123-A64D-4101-BCBF-A562D03DE16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ily Record" sheetId="1" r:id="rId1"/>
    <sheet name="Stock 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" i="1" l="1"/>
  <c r="H86" i="1"/>
  <c r="H85" i="1"/>
  <c r="H84" i="1"/>
  <c r="H83" i="1"/>
  <c r="H82" i="1"/>
  <c r="H81" i="1"/>
  <c r="G80" i="1"/>
  <c r="H79" i="1"/>
  <c r="H78" i="1"/>
  <c r="H77" i="1"/>
  <c r="H76" i="1"/>
  <c r="H75" i="1"/>
  <c r="H74" i="1"/>
  <c r="H73" i="1"/>
  <c r="H72" i="1"/>
  <c r="G71" i="1"/>
  <c r="H70" i="1"/>
  <c r="H69" i="1"/>
  <c r="H68" i="1"/>
  <c r="H67" i="1"/>
  <c r="H66" i="1"/>
  <c r="H65" i="1"/>
  <c r="H64" i="1"/>
  <c r="H63" i="1"/>
  <c r="H62" i="1"/>
  <c r="H61" i="1"/>
  <c r="G60" i="1"/>
  <c r="G53" i="1"/>
  <c r="H59" i="1"/>
  <c r="H58" i="1"/>
  <c r="H57" i="1"/>
  <c r="H56" i="1"/>
  <c r="H55" i="1"/>
  <c r="H54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G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0" i="1"/>
  <c r="H60" i="1"/>
  <c r="H11" i="1"/>
  <c r="H10" i="1"/>
</calcChain>
</file>

<file path=xl/sharedStrings.xml><?xml version="1.0" encoding="utf-8"?>
<sst xmlns="http://schemas.openxmlformats.org/spreadsheetml/2006/main" count="734" uniqueCount="200">
  <si>
    <t>VRT | DAILY FABRIC MOVEMENT RECORD</t>
  </si>
  <si>
    <t>កំណត់ត្រាប្រចាំថ្ងៃនៃការទទួល និងចេញក្រណាត់</t>
  </si>
  <si>
    <t>REFERENCE ONLY — Rows 10–18 are examples, NOT actual transactions. EX- names, documents and orders are fictional.</t>
  </si>
  <si>
    <t>សម្រាប់ជាគំរូប៉ុណ្ណោះ៖ ជួរ 10–18 មិនមែនជាប្រតិបត្តិការពិតទេ។ ឈ្មោះ ឯកសារ និងបញ្ជាទិញដែលមាន EX- គឺជាទិន្នន័យគំរូ។</t>
  </si>
  <si>
    <t>Before live use: clear example inputs, keep column H formulas. Enter ONE confirmed Opening per Fabric Code + full Lot/Roll No. A new lot starts at 0; Opening is NOT a receipt.</t>
  </si>
  <si>
    <t>មុនប្រើប្រាស់ពិត៖ លុបទិន្នន័យគំរូ ហើយរក្សារូបមន្តជួរឈរ H។ បញ្ចូលស្តុកដើមគ្រាតែម្តងសម្រាប់កូដក្រណាត់ និងលេខឡូត៍/រមូរនីមួយៗ។ ឡូត៍ថ្មីចាប់ផ្តើមពី 0។ ស្តុកដើមគ្រាមិនមែនជាការទទួលចូលទេ។</t>
  </si>
  <si>
    <t>Use positive quantities in ONE of In/Out. Append in date order; filter instead of sorting. Update the original stock file once, after checking.
ប្រើចំនួនវិជ្ជមានក្នុងជួរឈរ ចូល ឬ ចេញ តែមួយប៉ុណ្ណោះ។ បន្ថែមតាមលំដាប់ថ្ងៃ និងប្រើតម្រងជំនួសការតម្រៀបជួរ។ បន្ទាប់ពីផ្ទៀងផ្ទាត់ សូមធ្វើបច្ចុប្បន្នភាពឯកសារស្តុកដើមតែម្តង។</t>
  </si>
  <si>
    <t>Date
កាលបរិច្ឆេទ</t>
  </si>
  <si>
    <t>Document No.
លេខឯកសារ</t>
  </si>
  <si>
    <t>Movement
ប្រភេទប្រតិបត្តិការ</t>
  </si>
  <si>
    <t>Fabric Code
លេខកូដក្រណាត់</t>
  </si>
  <si>
    <t>Lot / Roll No.
លេខឡូត៍ / លេខរមូរ</t>
  </si>
  <si>
    <t>In (yd)
ចូល (យ៉ាត)</t>
  </si>
  <si>
    <t>Out (yd)
ចេញ (យ៉ាត)</t>
  </si>
  <si>
    <t>Balance (yd)
សមតុល្យ (យ៉ាត)</t>
  </si>
  <si>
    <t>Location
ទីតាំងរក្សាទុក</t>
  </si>
  <si>
    <t>Customer (Buyer)
អតិថិជនបញ្ជាទិញ</t>
  </si>
  <si>
    <t>Order / PO
លេខបញ្ជាទិញ</t>
  </si>
  <si>
    <t>To / From: Dept. + Name
អ្នកទទួល / ប្រគល់៖ ផ្នែក និងឈ្មោះ</t>
  </si>
  <si>
    <t>Recorded by
អ្នកកត់ត្រា</t>
  </si>
  <si>
    <t>Reason / Approval
មូលហេតុ / ការអនុម័ត</t>
  </si>
  <si>
    <t>Opening / ស្តុកដើមគ្រា</t>
  </si>
  <si>
    <t>TCF0001</t>
  </si>
  <si>
    <t>20260404-130</t>
  </si>
  <si>
    <t>RACK A02</t>
  </si>
  <si>
    <t>TBC / រង់ចាំបញ្ជាក់</t>
  </si>
  <si>
    <t>EX-WH</t>
  </si>
  <si>
    <t>Issue / ចេញក្រណាត់</t>
  </si>
  <si>
    <t>VRT | EXISTING STOCK FILE — SIMPLE COLUMN UPDATE</t>
  </si>
  <si>
    <t>គំរូកែប្រែជួរឈរបញ្ជីស្តុកក្រណាត់ដើម</t>
  </si>
  <si>
    <t>Layout example only, NOT the complete stock balance. Keep the existing file and history; add only the buyer column and clarify Supplier / Source.</t>
  </si>
  <si>
    <t>នេះជាគំរូទម្រង់ប៉ុណ្ណោះ មិនមែនជាស្តុកសរុបទេ។ រក្សាឯកសារដើម និងប្រវត្តិ។ បន្ថែមតែជួរឈរអតិថិជនបញ្ជាទិញ និងបញ្ជាក់ឱ្យច្បាស់អំពីអ្នកផ្គត់ផ្គង់ / ប្រភព។</t>
  </si>
  <si>
    <t>Sample quantities and original identifiers are unchanged. No customer has been inferred from an ERP code or fabric description.
ចំនួន និងលេខសម្គាល់ដើមក្នុងគំរូមិនបានកែប្រែទេ។ មិនត្រូវសន្និដ្ឋានអតិថិជនពីកូដ ERP ឬសេចក្តីពិពណ៌នាក្រណាត់ឡើយ។</t>
  </si>
  <si>
    <t>No.
ល.រ.</t>
  </si>
  <si>
    <t>ERP Code
លេខកូដ ERP</t>
  </si>
  <si>
    <t>Description
សេចក្តីពិពណ៌នា</t>
  </si>
  <si>
    <t>Supplier / Source*
អ្នកផ្គត់ផ្គង់ / ប្រភព*</t>
  </si>
  <si>
    <t>Quantity
ចំនួន</t>
  </si>
  <si>
    <t>Unit
ឯកតា</t>
  </si>
  <si>
    <t>Quality
គុណភាព</t>
  </si>
  <si>
    <t>Comment
កំណត់សម្គាល់</t>
  </si>
  <si>
    <t>COB71555ALSCO</t>
  </si>
  <si>
    <t>7.1OZ/SDHV-55.5" (OB12*OB12) #ALSCO WHITE</t>
  </si>
  <si>
    <t>TA CHIANG SPINNING</t>
  </si>
  <si>
    <t>YARD</t>
  </si>
  <si>
    <t>A</t>
  </si>
  <si>
    <t>TCF0487</t>
  </si>
  <si>
    <t>CSD6168300K385</t>
  </si>
  <si>
    <t>6.1OZ-68" (T300D*SD12) #K385 BLACK</t>
  </si>
  <si>
    <t>20250602-028R</t>
  </si>
  <si>
    <t>RACK D02</t>
  </si>
  <si>
    <t>20260323-064R</t>
  </si>
  <si>
    <t>* TA CHIANG SPINNING was copied from the original Customer field. Check source documents before confirming it as Supplier / Source.</t>
  </si>
  <si>
    <t>* TA CHIANG SPINNING ត្រូវបានចម្លងពីជួរឈរ Customer ដើម។ សូមផ្ទៀងផ្ទាត់ឯកសារដើម មុនបញ្ជាក់ថាជាអ្នកផ្គត់ផ្គង់ / ប្រភព។</t>
  </si>
  <si>
    <t>CUSTOMER FILLING GUIDE | របៀបបំពេញព័ត៌មានអតិថិជន</t>
  </si>
  <si>
    <t>Confirmed buyer / អតិថិជនបានបញ្ជាក់</t>
  </si>
  <si>
    <t>Enter the garment buyer confirmed by Production Planning. Put the actual order / PO on each movement when applicable.
បញ្ចូលអតិថិជនបញ្ជាទិញសម្លៀកបំពាក់ដែលផ្នែកផែនការផលិតកម្មបានបញ្ជាក់។ កត់លេខបញ្ជាទិញ / PO ពិតនៅក្នុងប្រតិបត្តិការនីមួយៗដែលពាក់ព័ន្ធ។</t>
  </si>
  <si>
    <t>Unknown / មិនទាន់ច្បាស់</t>
  </si>
  <si>
    <t>Use TBC / រង់ចាំបញ្ជាក់. Ask Production Planning; do not guess and do not treat a missing customer as free stock.
ប្រើ TBC / រង់ចាំបញ្ជាក់ ហើយសួរផ្នែកផែនការផលិតកម្ម។ កុំស្មាន និងកុំចាត់ទុកក្រណាត់ដែលខ្វះព័ត៌មានអតិថិជនថាអាចប្រើបានដោយសេរី។</t>
  </si>
  <si>
    <t>Shared / ប្រើរួម</t>
  </si>
  <si>
    <t>Use Shared only after confirmation. Keep one stock row per roll; record the actual customer and PO on each issue. Never duplicate the full quantity for different customers.
ប្រើពាក្យ ប្រើរួម បន្ទាប់ពីបានបញ្ជាក់ប៉ុណ្ណោះ។ រក្សាមួយជួរសម្រាប់រមូរនីមួយៗ និងកត់អតិថិជននិង PO ពិតពេលចេញ។ កុំចម្លងចំនួនស្តុកពេញទៅអតិថិជនច្រើន។</t>
  </si>
  <si>
    <t>Try first / សាកល្បងជាមុន</t>
  </si>
  <si>
    <t>Try these two formats with current transactions. Raise unclear fields, workload or practical problems for discussion; the format can be adjusted.
សូមសាកល្បងទម្រង់ទាំងពីរជាមួយប្រតិបត្តិការបច្ចុប្បន្ន។ ប្រសិនបើមានជួរឈរមិនច្បាស់ បន្ទុកការងារ ឬបញ្ហាអនុវត្ត សូមលើកឡើងពិភាក្សា ដើម្បីកែសម្រួលទម្រង់។</t>
  </si>
  <si>
    <t>Source: FABRIC STOCK UPDATE ON 15.SEP.2026.xlsx | Fabric Details rows 7, 2978 and 4. Daily Record is a separate trial register, not automatically linked to this sample.</t>
  </si>
  <si>
    <t>ប្រភព៖ ឯកសារខាងលើ ជួរ 7, 2978 និង 4។ Daily Record គឺជាកំណត់ត្រាសាកល្បងដាច់ដោយឡែក មិនបានភ្ជាប់ដោយស្វ័យប្រវត្តិទៅគំរូស្តុកនេះទេ។</t>
  </si>
  <si>
    <t>TCF0004</t>
  </si>
  <si>
    <t>20260107-602</t>
  </si>
  <si>
    <t>TCF0104</t>
  </si>
  <si>
    <t>20260221-020</t>
  </si>
  <si>
    <t>RACK G12</t>
  </si>
  <si>
    <t>TCF0456</t>
  </si>
  <si>
    <t>20260904-374</t>
  </si>
  <si>
    <t>RACK H05</t>
  </si>
  <si>
    <t>TCF0509</t>
  </si>
  <si>
    <t>20260904-613</t>
  </si>
  <si>
    <t>SSNG14474</t>
  </si>
  <si>
    <t>TCF0603</t>
  </si>
  <si>
    <t>20221007-146</t>
  </si>
  <si>
    <t>RACK A04</t>
  </si>
  <si>
    <t>RACK A08</t>
  </si>
  <si>
    <t>RACK H08</t>
  </si>
  <si>
    <t>TCF0714</t>
  </si>
  <si>
    <t>20260723-469</t>
  </si>
  <si>
    <t>RACK G07</t>
  </si>
  <si>
    <t>TCF0750</t>
  </si>
  <si>
    <t>20260812-150</t>
  </si>
  <si>
    <t>TCF0803</t>
  </si>
  <si>
    <t>RACK J03</t>
  </si>
  <si>
    <t>SSNG14504</t>
  </si>
  <si>
    <t>20260904-001</t>
  </si>
  <si>
    <t>TCF0817</t>
  </si>
  <si>
    <t>RACK K03</t>
  </si>
  <si>
    <t>TCF0888</t>
  </si>
  <si>
    <t>20260821-122</t>
  </si>
  <si>
    <t>RACK A07</t>
  </si>
  <si>
    <t>TCF0889</t>
  </si>
  <si>
    <t>20260730-155</t>
  </si>
  <si>
    <t>RACK B07</t>
  </si>
  <si>
    <t>TCF0898</t>
  </si>
  <si>
    <t>20260821-254</t>
  </si>
  <si>
    <t>RACK F02</t>
  </si>
  <si>
    <t>TCF0899</t>
  </si>
  <si>
    <t>20260723-555</t>
  </si>
  <si>
    <t>RACK F09</t>
  </si>
  <si>
    <t>TCF0909</t>
  </si>
  <si>
    <t>RACK F03</t>
  </si>
  <si>
    <t>Cutting / TREA</t>
  </si>
  <si>
    <t>EX-WH / KIMCHEA</t>
  </si>
  <si>
    <t>VRT.FAB-001</t>
  </si>
  <si>
    <t>O1114KWHT</t>
  </si>
  <si>
    <t>A1535BNBL</t>
  </si>
  <si>
    <t>TPS085085WHS</t>
  </si>
  <si>
    <t>GPPC399</t>
  </si>
  <si>
    <t>T052S114RWH</t>
  </si>
  <si>
    <t>TPS071071NBS</t>
  </si>
  <si>
    <t>NPS021021NVS</t>
  </si>
  <si>
    <t>GCRSS320BF-WH</t>
  </si>
  <si>
    <t>TPS061061BKP</t>
  </si>
  <si>
    <t>1505SH44WHT</t>
  </si>
  <si>
    <t>1112GSWD</t>
  </si>
  <si>
    <t>O1114KRED</t>
  </si>
  <si>
    <t>412-WH</t>
  </si>
  <si>
    <t>T052S132RNV</t>
  </si>
  <si>
    <t>ISSUE FOLLOW CUTTING PLAN</t>
  </si>
  <si>
    <t>TCF0225</t>
  </si>
  <si>
    <t>RACK M04</t>
  </si>
  <si>
    <t>1450BLKMHS</t>
  </si>
  <si>
    <t>TCF0375</t>
  </si>
  <si>
    <t>20250310-244</t>
  </si>
  <si>
    <t>20250107-122</t>
  </si>
  <si>
    <t>20260723-475</t>
  </si>
  <si>
    <t>20241012-465</t>
  </si>
  <si>
    <t>20260822-050</t>
  </si>
  <si>
    <t>TCF0861</t>
  </si>
  <si>
    <t>TCF0900</t>
  </si>
  <si>
    <t>20260822-006</t>
  </si>
  <si>
    <t>RACK F04</t>
  </si>
  <si>
    <t>RACK K05</t>
  </si>
  <si>
    <t>TCF0902</t>
  </si>
  <si>
    <t>20260904-144</t>
  </si>
  <si>
    <t>1834NBL</t>
  </si>
  <si>
    <t>1072ZBLK</t>
  </si>
  <si>
    <t>TCF0016</t>
  </si>
  <si>
    <t>20260529-583</t>
  </si>
  <si>
    <t>RACK A01</t>
  </si>
  <si>
    <t>A050-W-SP-CHP</t>
  </si>
  <si>
    <t>SORD45909</t>
  </si>
  <si>
    <t>TCF0362</t>
  </si>
  <si>
    <t>20260626-144</t>
  </si>
  <si>
    <t>RACK C05</t>
  </si>
  <si>
    <t>AP151-NWP</t>
  </si>
  <si>
    <t>TCF0860</t>
  </si>
  <si>
    <t>20250918-628</t>
  </si>
  <si>
    <t>RACK H01</t>
  </si>
  <si>
    <t>S27-1103</t>
  </si>
  <si>
    <t>20241121-145</t>
  </si>
  <si>
    <t>TCF0027</t>
  </si>
  <si>
    <t>RACK F06</t>
  </si>
  <si>
    <t>RACK F07</t>
  </si>
  <si>
    <t>1450WHTMHSP</t>
  </si>
  <si>
    <t>TCF0160</t>
  </si>
  <si>
    <t>20240818-124</t>
  </si>
  <si>
    <t>RACK L10</t>
  </si>
  <si>
    <t>RACK L11</t>
  </si>
  <si>
    <t>A1037GNBL</t>
  </si>
  <si>
    <t>TCF0374</t>
  </si>
  <si>
    <t>20250710-137</t>
  </si>
  <si>
    <t>TCF0840</t>
  </si>
  <si>
    <t>20260818-226</t>
  </si>
  <si>
    <t>1833TAN</t>
  </si>
  <si>
    <t>TCF0870</t>
  </si>
  <si>
    <t>20260911-144</t>
  </si>
  <si>
    <t>O1113KMRN</t>
  </si>
  <si>
    <t>20260612-210</t>
  </si>
  <si>
    <t>P137-W-SP</t>
  </si>
  <si>
    <t>SORD45845</t>
  </si>
  <si>
    <t>RACK H07</t>
  </si>
  <si>
    <t>SFP147257-W-SP</t>
  </si>
  <si>
    <t>SORD4545</t>
  </si>
  <si>
    <t>TCF0112</t>
  </si>
  <si>
    <t>RACK G11</t>
  </si>
  <si>
    <t>P154-R</t>
  </si>
  <si>
    <t>20251223-410</t>
  </si>
  <si>
    <t>20260731-522</t>
  </si>
  <si>
    <t>TCF0124</t>
  </si>
  <si>
    <t>XMRA-BL</t>
  </si>
  <si>
    <t>20241023-114</t>
  </si>
  <si>
    <t>RACK E07</t>
  </si>
  <si>
    <t>TCF0554</t>
  </si>
  <si>
    <t>20260822-322</t>
  </si>
  <si>
    <t>ALA.APR005-998-A</t>
  </si>
  <si>
    <t>MANX50027</t>
  </si>
  <si>
    <t>TCF0599</t>
  </si>
  <si>
    <t>20220706-144</t>
  </si>
  <si>
    <t>TPS071071WHS</t>
  </si>
  <si>
    <t>TCF0821</t>
  </si>
  <si>
    <t>20260818-225</t>
  </si>
  <si>
    <t>RACK F01</t>
  </si>
  <si>
    <t>3269SWBL</t>
  </si>
  <si>
    <t>RACK I05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</si>
</sst>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0;[Red]\(#,##0.00\);0.00"/>
    <numFmt numFmtId="166" formatCode="0000000"/>
  </numFmts>
  <fonts count="12">
    <font>
      <sz val="11"/>
      <name val="Carlito"/>
    </font>
    <font>
      <sz val="11"/>
      <color rgb="FF253744"/>
      <name val="Noto Sans Khmer"/>
    </font>
    <font>
      <b/>
      <sz val="17"/>
      <color rgb="FFFFFFFF"/>
      <name val="Noto Sans Khmer"/>
    </font>
    <font>
      <b/>
      <sz val="15"/>
      <color rgb="FFFFFFFF"/>
      <name val="Noto Sans Khmer"/>
    </font>
    <font>
      <b/>
      <sz val="11"/>
      <color rgb="FF253744"/>
      <name val="Noto Sans Khmer"/>
    </font>
    <font>
      <sz val="11"/>
      <color rgb="FF253744"/>
      <name val="Noto Sans Khmer"/>
    </font>
    <font>
      <b/>
      <sz val="11"/>
      <color rgb="FFFFFFFF"/>
      <name val="Noto Sans Khmer"/>
    </font>
    <font>
      <b/>
      <sz val="11"/>
      <color rgb="FF285E47"/>
      <name val="Noto Sans Khmer"/>
    </font>
    <font>
      <b/>
      <sz val="16"/>
      <color rgb="FFFFFFFF"/>
      <name val="Noto Sans Khmer"/>
    </font>
    <font>
      <b/>
      <sz val="12"/>
      <color rgb="FFFFFFFF"/>
      <name val="Noto Sans Khmer"/>
    </font>
    <font>
      <sz val="10"/>
      <color rgb="FF566977"/>
      <name val="Noto Sans Khmer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285F86"/>
      </patternFill>
    </fill>
    <fill>
      <patternFill patternType="solid">
        <fgColor rgb="FFFFF1D8"/>
      </patternFill>
    </fill>
    <fill>
      <patternFill patternType="solid">
        <fgColor rgb="FFEAF2F8"/>
      </patternFill>
    </fill>
    <fill>
      <patternFill patternType="solid">
        <fgColor rgb="FFEAF4EE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165" fontId="1" fillId="3" borderId="0" xfId="0" applyNumberFormat="1" applyFont="1" applyFill="1" applyAlignment="1">
      <alignment horizontal="right" vertical="center" wrapText="1"/>
    </xf>
    <xf numFmtId="165" fontId="7" fillId="5" borderId="0" xfId="0" applyNumberFormat="1" applyFont="1" applyFill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4" fontId="1" fillId="6" borderId="0" xfId="0" applyNumberFormat="1" applyFont="1" applyFill="1" applyAlignment="1">
      <alignment horizontal="right" vertical="center" wrapText="1"/>
    </xf>
    <xf numFmtId="166" fontId="1" fillId="3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165" fontId="4" fillId="0" borderId="0" xfId="0" applyNumberFormat="1" applyFont="1" applyAlignment="1">
      <alignment horizontal="right" vertical="center" wrapText="1"/>
    </xf>
    <xf numFmtId="0" fontId="5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color rgb="FF9C2424"/>
      </font>
      <fill>
        <patternFill patternType="solid">
          <bgColor rgb="FFFBE3E2"/>
        </patternFill>
      </fill>
    </dxf>
    <dxf>
      <font>
        <color rgb="FF9C2424"/>
      </font>
      <fill>
        <patternFill patternType="solid">
          <bgColor rgb="FFFBE3E2"/>
        </patternFill>
      </fill>
    </dxf>
    <dxf>
      <fill>
        <patternFill patternType="solid">
          <bgColor rgb="FFFBE3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bricMovement" displayName="FabricMovement" ref="A9:N194" totalsRowShown="0">
  <tableColumns count="14">
    <tableColumn id="1" xr3:uid="{00000000-0010-0000-0000-000001000000}" name="Date_x000a_កាលបរិច្ឆេទ"/>
    <tableColumn id="2" xr3:uid="{00000000-0010-0000-0000-000002000000}" name="Document No._x000a_លេខឯកសារ"/>
    <tableColumn id="3" xr3:uid="{00000000-0010-0000-0000-000003000000}" name="Movement_x000a_ប្រភេទប្រតិបត្តិការ"/>
    <tableColumn id="4" xr3:uid="{00000000-0010-0000-0000-000004000000}" name="Fabric Code_x000a_លេខកូដក្រណាត់"/>
    <tableColumn id="5" xr3:uid="{00000000-0010-0000-0000-000005000000}" name="Lot / Roll No._x000a_លេខឡូត៍ / លេខរមូរ"/>
    <tableColumn id="6" xr3:uid="{00000000-0010-0000-0000-000006000000}" name="In (yd)_x000a_ចូល (យ៉ាត)"/>
    <tableColumn id="7" xr3:uid="{00000000-0010-0000-0000-000007000000}" name="Out (yd)_x000a_ចេញ (យ៉ាត)"/>
    <tableColumn id="8" xr3:uid="{00000000-0010-0000-0000-000008000000}" name="Balance (yd)_x000a_សមតុល្យ (យ៉ាត)"/>
    <tableColumn id="9" xr3:uid="{00000000-0010-0000-0000-000009000000}" name="Location_x000a_ទីតាំងរក្សាទុក"/>
    <tableColumn id="10" xr3:uid="{00000000-0010-0000-0000-00000A000000}" name="Customer (Buyer)_x000a_អតិថិជនបញ្ជាទិញ"/>
    <tableColumn id="11" xr3:uid="{00000000-0010-0000-0000-00000B000000}" name="Order / PO_x000a_លេខបញ្ជាទិញ"/>
    <tableColumn id="12" xr3:uid="{00000000-0010-0000-0000-00000C000000}" name="To / From: Dept. + Name_x000a_អ្នកទទួល / ប្រគល់៖ ផ្នែក និងឈ្មោះ"/>
    <tableColumn id="13" xr3:uid="{00000000-0010-0000-0000-00000D000000}" name="Recorded by_x000a_អ្នកកត់ត្រា"/>
    <tableColumn id="14" xr3:uid="{00000000-0010-0000-0000-00000E000000}" name="Reason / Approval_x000a_មូលហេតុ / ការអនុម័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ockLayoutExample" displayName="StockLayoutExample" ref="A7:L10" totalsRowShown="0">
  <tableColumns count="12">
    <tableColumn id="1" xr3:uid="{00000000-0010-0000-0100-000001000000}" name="No._x000a_ល.រ."/>
    <tableColumn id="2" xr3:uid="{00000000-0010-0000-0100-000002000000}" name="Fabric Code_x000a_លេខកូដក្រណាត់"/>
    <tableColumn id="3" xr3:uid="{00000000-0010-0000-0100-000003000000}" name="ERP Code_x000a_លេខកូដ ERP"/>
    <tableColumn id="4" xr3:uid="{00000000-0010-0000-0100-000004000000}" name="Description_x000a_សេចក្តីពិពណ៌នា"/>
    <tableColumn id="5" xr3:uid="{00000000-0010-0000-0100-000005000000}" name="Lot / Roll No._x000a_លេខឡូត៍ / លេខរមូរ"/>
    <tableColumn id="6" xr3:uid="{00000000-0010-0000-0100-000006000000}" name="Supplier / Source*_x000a_អ្នកផ្គត់ផ្គង់ / ប្រភព*"/>
    <tableColumn id="7" xr3:uid="{00000000-0010-0000-0100-000007000000}" name="Customer (Buyer)_x000a_អតិថិជនបញ្ជាទិញ"/>
    <tableColumn id="8" xr3:uid="{00000000-0010-0000-0100-000008000000}" name="Quantity_x000a_ចំនួន"/>
    <tableColumn id="9" xr3:uid="{00000000-0010-0000-0100-000009000000}" name="Unit_x000a_ឯកតា"/>
    <tableColumn id="10" xr3:uid="{00000000-0010-0000-0100-00000A000000}" name="Quality_x000a_គុណភាព"/>
    <tableColumn id="11" xr3:uid="{00000000-0010-0000-0100-00000B000000}" name="Location_x000a_ទីតាំងរក្សាទុក"/>
    <tableColumn id="12" xr3:uid="{00000000-0010-0000-0100-00000C000000}" name="Comment_x000a_កំណត់សម្គាល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4"/>
  <sheetViews>
    <sheetView tabSelected="1" topLeftCell="A73" zoomScale="93" zoomScaleNormal="93" workbookViewId="0">
      <selection activeCell="A81" sqref="A81"/>
    </sheetView>
  </sheetViews>
  <sheetFormatPr defaultRowHeight="14.25"/>
  <cols>
    <col min="1" max="1" width="16" customWidth="1"/>
    <col min="2" max="2" width="21" customWidth="1"/>
    <col min="3" max="3" width="25" customWidth="1"/>
    <col min="4" max="4" width="15" customWidth="1"/>
    <col min="5" max="5" width="22" customWidth="1"/>
    <col min="6" max="7" width="12" customWidth="1"/>
    <col min="8" max="8" width="14" customWidth="1"/>
    <col min="9" max="9" width="18" customWidth="1"/>
    <col min="10" max="10" width="23" customWidth="1"/>
    <col min="11" max="11" width="18" customWidth="1"/>
    <col min="12" max="12" width="26" customWidth="1"/>
    <col min="13" max="13" width="17" customWidth="1"/>
    <col min="14" max="14" width="31" customWidth="1"/>
  </cols>
  <sheetData>
    <row r="1" spans="1:14" ht="24.6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7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23.1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27.6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5.35" customHeight="1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33.950000000000003" customHeight="1">
      <c r="A6" s="15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43.15" customHeight="1">
      <c r="A7" s="16" t="s">
        <v>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7.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53.85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</row>
    <row r="10" spans="1:14" ht="44.45" customHeight="1">
      <c r="A10" s="7">
        <v>46281</v>
      </c>
      <c r="B10" s="2" t="s">
        <v>108</v>
      </c>
      <c r="C10" s="2" t="s">
        <v>21</v>
      </c>
      <c r="D10" s="2" t="s">
        <v>65</v>
      </c>
      <c r="E10" s="2" t="s">
        <v>66</v>
      </c>
      <c r="F10" s="4">
        <v>23581</v>
      </c>
      <c r="G10" s="4"/>
      <c r="H10" s="5">
        <f>IF(OR(D10="",E10="",C10=""),"",IF(COUNTIFS($D$10:D10,D10,$E$10:E10,E10,$C$10:C10,"Opening / ស្តុកដើមគ្រា")=0,"OPEN?",IF(COUNTIFS($D$10:D10,D10,$E$10:E10,E10,$C$10:C10,"Opening / ស្តុកដើមគ្រា")&gt;1,"CHECK OPEN",SUMIFS($F$10:F10,$D$10:D10,D10,$E$10:E10,E10)-SUMIFS($G$10:G10,$D$10:D10,D10,$E$10:E10,E10))))</f>
        <v>23581</v>
      </c>
      <c r="I10" s="2" t="s">
        <v>24</v>
      </c>
      <c r="J10" s="2" t="s">
        <v>25</v>
      </c>
      <c r="K10" s="2"/>
      <c r="L10" s="2" t="s">
        <v>26</v>
      </c>
      <c r="M10" s="2" t="s">
        <v>107</v>
      </c>
      <c r="N10" s="2" t="s">
        <v>123</v>
      </c>
    </row>
    <row r="11" spans="1:14" ht="44.45" customHeight="1">
      <c r="A11" s="7">
        <v>46281</v>
      </c>
      <c r="B11" s="2" t="s">
        <v>108</v>
      </c>
      <c r="C11" s="2" t="s">
        <v>27</v>
      </c>
      <c r="D11" s="2" t="s">
        <v>65</v>
      </c>
      <c r="E11" s="2" t="s">
        <v>66</v>
      </c>
      <c r="F11" s="4"/>
      <c r="G11" s="4">
        <v>728</v>
      </c>
      <c r="H11" s="5">
        <f>IF(OR(D11="",E11="",C11=""),"",IF(COUNTIFS($D$10:D11,D11,$E$10:E11,E11,$C$10:C11,"Opening / ស្តុកដើមគ្រា")=0,"OPEN?",IF(COUNTIFS($D$10:D11,D11,$E$10:E11,E11,$C$10:C11,"Opening / ស្តុកដើមគ្រា")&gt;1,"CHECK OPEN",SUMIFS($F$10:F11,$D$10:D11,D11,$E$10:E11,E11)-SUMIFS($G$10:G11,$D$10:D11,D11,$E$10:E11,E11))))</f>
        <v>22853</v>
      </c>
      <c r="I11" s="2" t="s">
        <v>24</v>
      </c>
      <c r="J11" s="2" t="s">
        <v>109</v>
      </c>
      <c r="K11" s="2">
        <v>203878</v>
      </c>
      <c r="L11" s="2" t="s">
        <v>106</v>
      </c>
      <c r="M11" s="2" t="s">
        <v>107</v>
      </c>
      <c r="N11" s="2" t="s">
        <v>123</v>
      </c>
    </row>
    <row r="12" spans="1:14" ht="44.45" customHeight="1">
      <c r="A12" s="7">
        <v>46281</v>
      </c>
      <c r="B12" s="2" t="s">
        <v>108</v>
      </c>
      <c r="C12" s="2" t="s">
        <v>21</v>
      </c>
      <c r="D12" s="2" t="s">
        <v>67</v>
      </c>
      <c r="E12" s="2" t="s">
        <v>68</v>
      </c>
      <c r="F12" s="4">
        <v>5606</v>
      </c>
      <c r="G12" s="4"/>
      <c r="H12" s="5">
        <f>IF(OR(D12="",E12="",C12=""),"",IF(COUNTIFS($D$10:D12,D12,$E$10:E12,E12,$C$10:C12,"Opening / ស្តុកដើមគ្រា")=0,"OPEN?",IF(COUNTIFS($D$10:D12,D12,$E$10:E12,E12,$C$10:C12,"Opening / ស្តុកដើមគ្រា")&gt;1,"CHECK OPEN",SUMIFS($F$10:F12,$D$10:D12,D12,$E$10:E12,E12)-SUMIFS($G$10:G12,$D$10:D12,D12,$E$10:E12,E12))))</f>
        <v>5606</v>
      </c>
      <c r="I12" s="2" t="s">
        <v>69</v>
      </c>
      <c r="J12" s="2" t="s">
        <v>25</v>
      </c>
      <c r="K12" s="2"/>
      <c r="L12" s="2" t="s">
        <v>26</v>
      </c>
      <c r="M12" s="2" t="s">
        <v>107</v>
      </c>
      <c r="N12" s="2" t="s">
        <v>123</v>
      </c>
    </row>
    <row r="13" spans="1:14" ht="44.45" customHeight="1">
      <c r="A13" s="7">
        <v>46281</v>
      </c>
      <c r="B13" s="2" t="s">
        <v>108</v>
      </c>
      <c r="C13" s="2" t="s">
        <v>27</v>
      </c>
      <c r="D13" s="2" t="s">
        <v>67</v>
      </c>
      <c r="E13" s="2" t="s">
        <v>68</v>
      </c>
      <c r="F13" s="4"/>
      <c r="G13" s="4">
        <v>257</v>
      </c>
      <c r="H13" s="5">
        <f>IF(OR(D13="",E13="",C13=""),"",IF(COUNTIFS($D$10:D13,D13,$E$10:E13,E13,$C$10:C13,"Opening / ស្តុកដើមគ្រា")=0,"OPEN?",IF(COUNTIFS($D$10:D13,D13,$E$10:E13,E13,$C$10:C13,"Opening / ស្តុកដើមគ្រា")&gt;1,"CHECK OPEN",SUMIFS($F$10:F13,$D$10:D13,D13,$E$10:E13,E13)-SUMIFS($G$10:G13,$D$10:D13,D13,$E$10:E13,E13))))</f>
        <v>5349</v>
      </c>
      <c r="I13" s="2" t="s">
        <v>69</v>
      </c>
      <c r="J13" s="2" t="s">
        <v>110</v>
      </c>
      <c r="K13" s="2">
        <v>203878</v>
      </c>
      <c r="L13" s="2" t="s">
        <v>106</v>
      </c>
      <c r="M13" s="2" t="s">
        <v>107</v>
      </c>
      <c r="N13" s="2" t="s">
        <v>123</v>
      </c>
    </row>
    <row r="14" spans="1:14" ht="44.45" customHeight="1">
      <c r="A14" s="7">
        <v>46281</v>
      </c>
      <c r="B14" s="2" t="s">
        <v>108</v>
      </c>
      <c r="C14" s="2" t="s">
        <v>21</v>
      </c>
      <c r="D14" s="2" t="s">
        <v>70</v>
      </c>
      <c r="E14" s="2" t="s">
        <v>71</v>
      </c>
      <c r="F14" s="4">
        <v>3672</v>
      </c>
      <c r="G14" s="4"/>
      <c r="H14" s="5">
        <f>IF(OR(D14="",E14="",C14=""),"",IF(COUNTIFS($D$10:D14,D14,$E$10:E14,E14,$C$10:C14,"Opening / ស្តុកដើមគ្រា")=0,"OPEN?",IF(COUNTIFS($D$10:D14,D14,$E$10:E14,E14,$C$10:C14,"Opening / ស្តុកដើមគ្រា")&gt;1,"CHECK OPEN",SUMIFS($F$10:F14,$D$10:D14,D14,$E$10:E14,E14)-SUMIFS($G$10:G14,$D$10:D14,D14,$E$10:E14,E14))))</f>
        <v>3672</v>
      </c>
      <c r="I14" s="2" t="s">
        <v>72</v>
      </c>
      <c r="J14" s="2" t="s">
        <v>25</v>
      </c>
      <c r="K14" s="2"/>
      <c r="L14" s="2" t="s">
        <v>26</v>
      </c>
      <c r="M14" s="2" t="s">
        <v>107</v>
      </c>
      <c r="N14" s="2" t="s">
        <v>123</v>
      </c>
    </row>
    <row r="15" spans="1:14" ht="44.45" customHeight="1">
      <c r="A15" s="7">
        <v>46281</v>
      </c>
      <c r="B15" s="2" t="s">
        <v>108</v>
      </c>
      <c r="C15" s="2" t="s">
        <v>27</v>
      </c>
      <c r="D15" s="2" t="s">
        <v>70</v>
      </c>
      <c r="E15" s="2" t="s">
        <v>71</v>
      </c>
      <c r="F15" s="4"/>
      <c r="G15" s="4">
        <v>48</v>
      </c>
      <c r="H15" s="5">
        <f>IF(OR(D15="",E15="",C15=""),"",IF(COUNTIFS($D$10:D15,D15,$E$10:E15,E15,$C$10:C15,"Opening / ស្តុកដើមគ្រា")=0,"OPEN?",IF(COUNTIFS($D$10:D15,D15,$E$10:E15,E15,$C$10:C15,"Opening / ស្តុកដើមគ្រា")&gt;1,"CHECK OPEN",SUMIFS($F$10:F15,$D$10:D15,D15,$E$10:E15,E15)-SUMIFS($G$10:G15,$D$10:D15,D15,$E$10:E15,E15))))</f>
        <v>3624</v>
      </c>
      <c r="I15" s="2" t="s">
        <v>72</v>
      </c>
      <c r="J15" s="2" t="s">
        <v>111</v>
      </c>
      <c r="K15" s="11">
        <v>5677</v>
      </c>
      <c r="L15" s="2" t="s">
        <v>106</v>
      </c>
      <c r="M15" s="2" t="s">
        <v>107</v>
      </c>
      <c r="N15" s="2" t="s">
        <v>123</v>
      </c>
    </row>
    <row r="16" spans="1:14" ht="44.45" customHeight="1">
      <c r="A16" s="7">
        <v>46281</v>
      </c>
      <c r="B16" s="2" t="s">
        <v>108</v>
      </c>
      <c r="C16" s="2" t="s">
        <v>21</v>
      </c>
      <c r="D16" s="2" t="s">
        <v>73</v>
      </c>
      <c r="E16" s="2" t="s">
        <v>74</v>
      </c>
      <c r="F16" s="4">
        <v>1551</v>
      </c>
      <c r="G16" s="4"/>
      <c r="H16" s="5">
        <f>IF(OR(D16="",E16="",C16=""),"",IF(COUNTIFS($D$10:D16,D16,$E$10:E16,E16,$C$10:C16,"Opening / ស្តុកដើមគ្រា")=0,"OPEN?",IF(COUNTIFS($D$10:D16,D16,$E$10:E16,E16,$C$10:C16,"Opening / ស្តុកដើមគ្រា")&gt;1,"CHECK OPEN",SUMIFS($F$10:F16,$D$10:D16,D16,$E$10:E16,E16)-SUMIFS($G$10:G16,$D$10:D16,D16,$E$10:E16,E16))))</f>
        <v>1551</v>
      </c>
      <c r="I16" s="2" t="s">
        <v>79</v>
      </c>
      <c r="J16" s="2" t="s">
        <v>25</v>
      </c>
      <c r="K16" s="2"/>
      <c r="L16" s="2" t="s">
        <v>26</v>
      </c>
      <c r="M16" s="2" t="s">
        <v>107</v>
      </c>
      <c r="N16" s="2" t="s">
        <v>123</v>
      </c>
    </row>
    <row r="17" spans="1:14" ht="44.45" customHeight="1">
      <c r="A17" s="7">
        <v>46281</v>
      </c>
      <c r="B17" s="2" t="s">
        <v>108</v>
      </c>
      <c r="C17" s="2" t="s">
        <v>27</v>
      </c>
      <c r="D17" s="2" t="s">
        <v>73</v>
      </c>
      <c r="E17" s="2" t="s">
        <v>74</v>
      </c>
      <c r="F17" s="4"/>
      <c r="G17" s="4">
        <v>237</v>
      </c>
      <c r="H17" s="5">
        <f>IF(OR(D17="",E17="",C17=""),"",IF(COUNTIFS($D$10:D17,D17,$E$10:E17,E17,$C$10:C17,"Opening / ស្តុកដើមគ្រា")=0,"OPEN?",IF(COUNTIFS($D$10:D17,D17,$E$10:E17,E17,$C$10:C17,"Opening / ស្តុកដើមគ្រា")&gt;1,"CHECK OPEN",SUMIFS($F$10:F17,$D$10:D17,D17,$E$10:E17,E17)-SUMIFS($G$10:G17,$D$10:D17,D17,$E$10:E17,E17))))</f>
        <v>1314</v>
      </c>
      <c r="I17" s="2" t="s">
        <v>80</v>
      </c>
      <c r="J17" s="2" t="s">
        <v>112</v>
      </c>
      <c r="K17" s="12" t="s">
        <v>75</v>
      </c>
      <c r="L17" s="2" t="s">
        <v>106</v>
      </c>
      <c r="M17" s="2" t="s">
        <v>107</v>
      </c>
      <c r="N17" s="2" t="s">
        <v>123</v>
      </c>
    </row>
    <row r="18" spans="1:14" ht="44.45" customHeight="1">
      <c r="A18" s="7">
        <v>46281</v>
      </c>
      <c r="B18" s="2" t="s">
        <v>108</v>
      </c>
      <c r="C18" s="2" t="s">
        <v>21</v>
      </c>
      <c r="D18" s="2" t="s">
        <v>76</v>
      </c>
      <c r="E18" s="2" t="s">
        <v>77</v>
      </c>
      <c r="F18" s="4">
        <v>3061</v>
      </c>
      <c r="G18" s="4"/>
      <c r="H18" s="5">
        <f>IF(OR(D18="",E18="",C18=""),"",IF(COUNTIFS($D$10:D18,D18,$E$10:E18,E18,$C$10:C18,"Opening / ស្តុកដើមគ្រា")=0,"OPEN?",IF(COUNTIFS($D$10:D18,D18,$E$10:E18,E18,$C$10:C18,"Opening / ស្តុកដើមគ្រា")&gt;1,"CHECK OPEN",SUMIFS($F$10:F18,$D$10:D18,D18,$E$10:E18,E18)-SUMIFS($G$10:G18,$D$10:D18,D18,$E$10:E18,E18))))</f>
        <v>3061</v>
      </c>
      <c r="I18" s="2" t="s">
        <v>78</v>
      </c>
      <c r="J18" s="2" t="s">
        <v>25</v>
      </c>
      <c r="K18" s="2"/>
      <c r="L18" s="2" t="s">
        <v>26</v>
      </c>
      <c r="M18" s="2" t="s">
        <v>107</v>
      </c>
      <c r="N18" s="2" t="s">
        <v>123</v>
      </c>
    </row>
    <row r="19" spans="1:14" ht="29.25" customHeight="1">
      <c r="A19" s="7">
        <v>46281</v>
      </c>
      <c r="B19" s="2" t="s">
        <v>108</v>
      </c>
      <c r="C19" s="2" t="s">
        <v>27</v>
      </c>
      <c r="D19" s="2" t="s">
        <v>76</v>
      </c>
      <c r="E19" s="2" t="s">
        <v>77</v>
      </c>
      <c r="F19" s="4"/>
      <c r="G19" s="4">
        <v>470</v>
      </c>
      <c r="H19" s="5">
        <f>IF(OR(D19="",E19="",C19=""),"",IF(COUNTIFS($D$10:D19,D19,$E$10:E19,E19,$C$10:C19,"Opening / ស្តុកដើមគ្រា")=0,"OPEN?",IF(COUNTIFS($D$10:D19,D19,$E$10:E19,E19,$C$10:C19,"Opening / ស្តុកដើមគ្រា")&gt;1,"CHECK OPEN",SUMIFS($F$10:F19,$D$10:D19,D19,$E$10:E19,E19)-SUMIFS($G$10:G19,$D$10:D19,D19,$E$10:E19,E19))))</f>
        <v>2591</v>
      </c>
      <c r="I19" s="2" t="s">
        <v>78</v>
      </c>
      <c r="J19" s="2" t="s">
        <v>113</v>
      </c>
      <c r="K19" s="11">
        <v>5474</v>
      </c>
      <c r="L19" s="2" t="s">
        <v>106</v>
      </c>
      <c r="M19" s="2" t="s">
        <v>107</v>
      </c>
      <c r="N19" s="2" t="s">
        <v>123</v>
      </c>
    </row>
    <row r="20" spans="1:14" ht="29.25" customHeight="1">
      <c r="A20" s="7">
        <v>46281</v>
      </c>
      <c r="B20" s="2" t="s">
        <v>108</v>
      </c>
      <c r="C20" s="2" t="s">
        <v>21</v>
      </c>
      <c r="D20" s="2" t="s">
        <v>81</v>
      </c>
      <c r="E20" s="2" t="s">
        <v>82</v>
      </c>
      <c r="F20" s="4">
        <v>861</v>
      </c>
      <c r="G20" s="4"/>
      <c r="H20" s="5">
        <f>IF(OR(D20="",E20="",C20=""),"",IF(COUNTIFS($D$10:D20,D20,$E$10:E20,E20,$C$10:C20,"Opening / ស្តុកដើមគ្រា")=0,"OPEN?",IF(COUNTIFS($D$10:D20,D20,$E$10:E20,E20,$C$10:C20,"Opening / ស្តុកដើមគ្រា")&gt;1,"CHECK OPEN",SUMIFS($F$10:F20,$D$10:D20,D20,$E$10:E20,E20)-SUMIFS($G$10:G20,$D$10:D20,D20,$E$10:E20,E20))))</f>
        <v>861</v>
      </c>
      <c r="I20" s="2" t="s">
        <v>83</v>
      </c>
      <c r="J20" s="2" t="s">
        <v>25</v>
      </c>
      <c r="K20" s="2"/>
      <c r="L20" s="2" t="s">
        <v>26</v>
      </c>
      <c r="M20" s="2" t="s">
        <v>107</v>
      </c>
      <c r="N20" s="2" t="s">
        <v>123</v>
      </c>
    </row>
    <row r="21" spans="1:14" ht="29.25" customHeight="1">
      <c r="A21" s="7">
        <v>46281</v>
      </c>
      <c r="B21" s="2" t="s">
        <v>108</v>
      </c>
      <c r="C21" s="2" t="s">
        <v>27</v>
      </c>
      <c r="D21" s="2" t="s">
        <v>81</v>
      </c>
      <c r="E21" s="2" t="s">
        <v>82</v>
      </c>
      <c r="F21" s="4"/>
      <c r="G21" s="4">
        <v>554</v>
      </c>
      <c r="H21" s="5">
        <f>IF(OR(D21="",E21="",C21=""),"",IF(COUNTIFS($D$10:D21,D21,$E$10:E21,E21,$C$10:C21,"Opening / ស្តុកដើមគ្រា")=0,"OPEN?",IF(COUNTIFS($D$10:D21,D21,$E$10:E21,E21,$C$10:C21,"Opening / ស្តុកដើមគ្រា")&gt;1,"CHECK OPEN",SUMIFS($F$10:F21,$D$10:D21,D21,$E$10:E21,E21)-SUMIFS($G$10:G21,$D$10:D21,D21,$E$10:E21,E21))))</f>
        <v>307</v>
      </c>
      <c r="I21" s="2" t="s">
        <v>83</v>
      </c>
      <c r="J21" s="2" t="s">
        <v>114</v>
      </c>
      <c r="K21" s="11">
        <v>5474</v>
      </c>
      <c r="L21" s="2" t="s">
        <v>106</v>
      </c>
      <c r="M21" s="2" t="s">
        <v>107</v>
      </c>
      <c r="N21" s="2" t="s">
        <v>123</v>
      </c>
    </row>
    <row r="22" spans="1:14" ht="29.25" customHeight="1">
      <c r="A22" s="7">
        <v>46281</v>
      </c>
      <c r="B22" s="2" t="s">
        <v>108</v>
      </c>
      <c r="C22" s="2" t="s">
        <v>21</v>
      </c>
      <c r="D22" s="2" t="s">
        <v>84</v>
      </c>
      <c r="E22" s="2" t="s">
        <v>85</v>
      </c>
      <c r="F22" s="4">
        <v>917</v>
      </c>
      <c r="G22" s="4"/>
      <c r="H22" s="5">
        <f>IF(OR(D22="",E22="",C22=""),"",IF(COUNTIFS($D$10:D22,D22,$E$10:E22,E22,$C$10:C22,"Opening / ស្តុកដើមគ្រា")=0,"OPEN?",IF(COUNTIFS($D$10:D22,D22,$E$10:E22,E22,$C$10:C22,"Opening / ស្តុកដើមគ្រា")&gt;1,"CHECK OPEN",SUMIFS($F$10:F22,$D$10:D22,D22,$E$10:E22,E22)-SUMIFS($G$10:G22,$D$10:D22,D22,$E$10:E22,E22))))</f>
        <v>917</v>
      </c>
      <c r="I22" s="2" t="s">
        <v>79</v>
      </c>
      <c r="J22" s="2" t="s">
        <v>25</v>
      </c>
      <c r="K22" s="2"/>
      <c r="L22" s="2" t="s">
        <v>26</v>
      </c>
      <c r="M22" s="2" t="s">
        <v>107</v>
      </c>
      <c r="N22" s="2" t="s">
        <v>123</v>
      </c>
    </row>
    <row r="23" spans="1:14" ht="29.25" customHeight="1">
      <c r="A23" s="7">
        <v>46281</v>
      </c>
      <c r="B23" s="2" t="s">
        <v>108</v>
      </c>
      <c r="C23" s="2" t="s">
        <v>27</v>
      </c>
      <c r="D23" s="2" t="s">
        <v>84</v>
      </c>
      <c r="E23" s="2" t="s">
        <v>85</v>
      </c>
      <c r="F23" s="4"/>
      <c r="G23" s="4">
        <v>857</v>
      </c>
      <c r="H23" s="5">
        <f>IF(OR(D23="",E23="",C23=""),"",IF(COUNTIFS($D$10:D23,D23,$E$10:E23,E23,$C$10:C23,"Opening / ស្តុកដើមគ្រា")=0,"OPEN?",IF(COUNTIFS($D$10:D23,D23,$E$10:E23,E23,$C$10:C23,"Opening / ស្តុកដើមគ្រា")&gt;1,"CHECK OPEN",SUMIFS($F$10:F23,$D$10:D23,D23,$E$10:E23,E23)-SUMIFS($G$10:G23,$D$10:D23,D23,$E$10:E23,E23))))</f>
        <v>60</v>
      </c>
      <c r="I23" s="2" t="s">
        <v>79</v>
      </c>
      <c r="J23" s="2" t="s">
        <v>115</v>
      </c>
      <c r="K23" s="11">
        <v>5474</v>
      </c>
      <c r="L23" s="2" t="s">
        <v>106</v>
      </c>
      <c r="M23" s="2" t="s">
        <v>107</v>
      </c>
      <c r="N23" s="2" t="s">
        <v>123</v>
      </c>
    </row>
    <row r="24" spans="1:14" ht="29.25" customHeight="1">
      <c r="A24" s="7">
        <v>46281</v>
      </c>
      <c r="B24" s="2" t="s">
        <v>108</v>
      </c>
      <c r="C24" s="2" t="s">
        <v>21</v>
      </c>
      <c r="D24" s="2" t="s">
        <v>86</v>
      </c>
      <c r="E24" s="2" t="s">
        <v>89</v>
      </c>
      <c r="F24" s="4">
        <v>656</v>
      </c>
      <c r="G24" s="4"/>
      <c r="H24" s="5">
        <f>IF(OR(D24="",E24="",C24=""),"",IF(COUNTIFS($D$10:D24,D24,$E$10:E24,E24,$C$10:C24,"Opening / ស្តុកដើមគ្រា")=0,"OPEN?",IF(COUNTIFS($D$10:D24,D24,$E$10:E24,E24,$C$10:C24,"Opening / ស្តុកដើមគ្រា")&gt;1,"CHECK OPEN",SUMIFS($F$10:F24,$D$10:D24,D24,$E$10:E24,E24)-SUMIFS($G$10:G24,$D$10:D24,D24,$E$10:E24,E24))))</f>
        <v>656</v>
      </c>
      <c r="I24" s="2" t="s">
        <v>87</v>
      </c>
      <c r="J24" s="2" t="s">
        <v>25</v>
      </c>
      <c r="K24" s="2"/>
      <c r="L24" s="2" t="s">
        <v>26</v>
      </c>
      <c r="M24" s="2" t="s">
        <v>107</v>
      </c>
      <c r="N24" s="2" t="s">
        <v>123</v>
      </c>
    </row>
    <row r="25" spans="1:14" ht="29.25" customHeight="1">
      <c r="A25" s="7">
        <v>46281</v>
      </c>
      <c r="B25" s="2" t="s">
        <v>108</v>
      </c>
      <c r="C25" s="2" t="s">
        <v>27</v>
      </c>
      <c r="D25" s="2" t="s">
        <v>86</v>
      </c>
      <c r="E25" s="2" t="s">
        <v>89</v>
      </c>
      <c r="F25" s="4"/>
      <c r="G25" s="4">
        <v>126</v>
      </c>
      <c r="H25" s="5">
        <f>IF(OR(D25="",E25="",C25=""),"",IF(COUNTIFS($D$10:D25,D25,$E$10:E25,E25,$C$10:C25,"Opening / ស្តុកដើមគ្រា")=0,"OPEN?",IF(COUNTIFS($D$10:D25,D25,$E$10:E25,E25,$C$10:C25,"Opening / ស្តុកដើមគ្រា")&gt;1,"CHECK OPEN",SUMIFS($F$10:F25,$D$10:D25,D25,$E$10:E25,E25)-SUMIFS($G$10:G25,$D$10:D25,D25,$E$10:E25,E25))))</f>
        <v>530</v>
      </c>
      <c r="I25" s="2" t="s">
        <v>87</v>
      </c>
      <c r="J25" s="2" t="s">
        <v>116</v>
      </c>
      <c r="K25" s="12" t="s">
        <v>88</v>
      </c>
      <c r="L25" s="2" t="s">
        <v>106</v>
      </c>
      <c r="M25" s="2" t="s">
        <v>107</v>
      </c>
      <c r="N25" s="2" t="s">
        <v>123</v>
      </c>
    </row>
    <row r="26" spans="1:14" ht="29.25" customHeight="1">
      <c r="A26" s="7">
        <v>46281</v>
      </c>
      <c r="B26" s="2" t="s">
        <v>108</v>
      </c>
      <c r="C26" s="2" t="s">
        <v>21</v>
      </c>
      <c r="D26" s="2" t="s">
        <v>90</v>
      </c>
      <c r="E26" s="2" t="s">
        <v>66</v>
      </c>
      <c r="F26" s="4">
        <v>934</v>
      </c>
      <c r="G26" s="4"/>
      <c r="H26" s="5">
        <f>IF(OR(D26="",E26="",C26=""),"",IF(COUNTIFS($D$10:D26,D26,$E$10:E26,E26,$C$10:C26,"Opening / ស្តុកដើមគ្រា")=0,"OPEN?",IF(COUNTIFS($D$10:D26,D26,$E$10:E26,E26,$C$10:C26,"Opening / ស្តុកដើមគ្រា")&gt;1,"CHECK OPEN",SUMIFS($F$10:F26,$D$10:D26,D26,$E$10:E26,E26)-SUMIFS($G$10:G26,$D$10:D26,D26,$E$10:E26,E26))))</f>
        <v>934</v>
      </c>
      <c r="I26" s="2" t="s">
        <v>91</v>
      </c>
      <c r="J26" s="2" t="s">
        <v>25</v>
      </c>
      <c r="K26" s="2"/>
      <c r="L26" s="2" t="s">
        <v>26</v>
      </c>
      <c r="M26" s="2" t="s">
        <v>107</v>
      </c>
      <c r="N26" s="2" t="s">
        <v>123</v>
      </c>
    </row>
    <row r="27" spans="1:14" ht="29.25" customHeight="1">
      <c r="A27" s="7">
        <v>46281</v>
      </c>
      <c r="B27" s="2" t="s">
        <v>108</v>
      </c>
      <c r="C27" s="2" t="s">
        <v>27</v>
      </c>
      <c r="D27" s="2" t="s">
        <v>90</v>
      </c>
      <c r="E27" s="2" t="s">
        <v>66</v>
      </c>
      <c r="F27" s="4"/>
      <c r="G27" s="4">
        <v>597</v>
      </c>
      <c r="H27" s="5">
        <f>IF(OR(D27="",E27="",C27=""),"",IF(COUNTIFS($D$10:D27,D27,$E$10:E27,E27,$C$10:C27,"Opening / ស្តុកដើមគ្រា")=0,"OPEN?",IF(COUNTIFS($D$10:D27,D27,$E$10:E27,E27,$C$10:C27,"Opening / ស្តុកដើមគ្រា")&gt;1,"CHECK OPEN",SUMIFS($F$10:F27,$D$10:D27,D27,$E$10:E27,E27)-SUMIFS($G$10:G27,$D$10:D27,D27,$E$10:E27,E27))))</f>
        <v>337</v>
      </c>
      <c r="I27" s="2" t="s">
        <v>91</v>
      </c>
      <c r="J27" s="2" t="s">
        <v>117</v>
      </c>
      <c r="K27" s="11">
        <v>5474</v>
      </c>
      <c r="L27" s="2" t="s">
        <v>106</v>
      </c>
      <c r="M27" s="2" t="s">
        <v>107</v>
      </c>
      <c r="N27" s="2" t="s">
        <v>123</v>
      </c>
    </row>
    <row r="28" spans="1:14" ht="29.25" customHeight="1">
      <c r="A28" s="7">
        <v>46281</v>
      </c>
      <c r="B28" s="2" t="s">
        <v>108</v>
      </c>
      <c r="C28" s="2" t="s">
        <v>21</v>
      </c>
      <c r="D28" s="2" t="s">
        <v>92</v>
      </c>
      <c r="E28" s="2" t="s">
        <v>93</v>
      </c>
      <c r="F28" s="4">
        <v>597</v>
      </c>
      <c r="G28" s="4"/>
      <c r="H28" s="5">
        <f>IF(OR(D28="",E28="",C28=""),"",IF(COUNTIFS($D$10:D28,D28,$E$10:E28,E28,$C$10:C28,"Opening / ស្តុកដើមគ្រា")=0,"OPEN?",IF(COUNTIFS($D$10:D28,D28,$E$10:E28,E28,$C$10:C28,"Opening / ស្តុកដើមគ្រា")&gt;1,"CHECK OPEN",SUMIFS($F$10:F28,$D$10:D28,D28,$E$10:E28,E28)-SUMIFS($G$10:G28,$D$10:D28,D28,$E$10:E28,E28))))</f>
        <v>597</v>
      </c>
      <c r="I28" s="2" t="s">
        <v>94</v>
      </c>
      <c r="J28" s="2" t="s">
        <v>25</v>
      </c>
      <c r="K28" s="2"/>
      <c r="L28" s="2" t="s">
        <v>26</v>
      </c>
      <c r="M28" s="2" t="s">
        <v>107</v>
      </c>
      <c r="N28" s="2" t="s">
        <v>123</v>
      </c>
    </row>
    <row r="29" spans="1:14" ht="29.25" customHeight="1">
      <c r="A29" s="7">
        <v>46281</v>
      </c>
      <c r="B29" s="2" t="s">
        <v>108</v>
      </c>
      <c r="C29" s="2" t="s">
        <v>27</v>
      </c>
      <c r="D29" s="2" t="s">
        <v>92</v>
      </c>
      <c r="E29" s="2" t="s">
        <v>93</v>
      </c>
      <c r="F29" s="4"/>
      <c r="G29" s="4">
        <v>362</v>
      </c>
      <c r="H29" s="5">
        <f>IF(OR(D29="",E29="",C29=""),"",IF(COUNTIFS($D$10:D29,D29,$E$10:E29,E29,$C$10:C29,"Opening / ស្តុកដើមគ្រា")=0,"OPEN?",IF(COUNTIFS($D$10:D29,D29,$E$10:E29,E29,$C$10:C29,"Opening / ស្តុកដើមគ្រា")&gt;1,"CHECK OPEN",SUMIFS($F$10:F29,$D$10:D29,D29,$E$10:E29,E29)-SUMIFS($G$10:G29,$D$10:D29,D29,$E$10:E29,E29))))</f>
        <v>235</v>
      </c>
      <c r="I29" s="2" t="s">
        <v>94</v>
      </c>
      <c r="J29" s="2" t="s">
        <v>118</v>
      </c>
      <c r="K29" s="2">
        <v>203777</v>
      </c>
      <c r="L29" s="2" t="s">
        <v>106</v>
      </c>
      <c r="M29" s="2" t="s">
        <v>107</v>
      </c>
      <c r="N29" s="2" t="s">
        <v>123</v>
      </c>
    </row>
    <row r="30" spans="1:14" ht="29.25" customHeight="1">
      <c r="A30" s="7">
        <v>46281</v>
      </c>
      <c r="B30" s="2" t="s">
        <v>108</v>
      </c>
      <c r="C30" s="2" t="s">
        <v>21</v>
      </c>
      <c r="D30" s="2" t="s">
        <v>95</v>
      </c>
      <c r="E30" s="2" t="s">
        <v>96</v>
      </c>
      <c r="F30" s="4">
        <v>946</v>
      </c>
      <c r="G30" s="4"/>
      <c r="H30" s="5">
        <f>IF(OR(D30="",E30="",C30=""),"",IF(COUNTIFS($D$10:D30,D30,$E$10:E30,E30,$C$10:C30,"Opening / ស្តុកដើមគ្រា")=0,"OPEN?",IF(COUNTIFS($D$10:D30,D30,$E$10:E30,E30,$C$10:C30,"Opening / ស្តុកដើមគ្រា")&gt;1,"CHECK OPEN",SUMIFS($F$10:F30,$D$10:D30,D30,$E$10:E30,E30)-SUMIFS($G$10:G30,$D$10:D30,D30,$E$10:E30,E30))))</f>
        <v>946</v>
      </c>
      <c r="I30" s="2" t="s">
        <v>97</v>
      </c>
      <c r="J30" s="2" t="s">
        <v>25</v>
      </c>
      <c r="K30" s="2"/>
      <c r="L30" s="2" t="s">
        <v>26</v>
      </c>
      <c r="M30" s="2" t="s">
        <v>107</v>
      </c>
      <c r="N30" s="2" t="s">
        <v>123</v>
      </c>
    </row>
    <row r="31" spans="1:14" ht="29.25" customHeight="1">
      <c r="A31" s="7">
        <v>46281</v>
      </c>
      <c r="B31" s="2" t="s">
        <v>108</v>
      </c>
      <c r="C31" s="2" t="s">
        <v>27</v>
      </c>
      <c r="D31" s="2" t="s">
        <v>95</v>
      </c>
      <c r="E31" s="2" t="s">
        <v>96</v>
      </c>
      <c r="F31" s="4"/>
      <c r="G31" s="4">
        <v>251</v>
      </c>
      <c r="H31" s="5">
        <f>IF(OR(D31="",E31="",C31=""),"",IF(COUNTIFS($D$10:D31,D31,$E$10:E31,E31,$C$10:C31,"Opening / ស្តុកដើមគ្រា")=0,"OPEN?",IF(COUNTIFS($D$10:D31,D31,$E$10:E31,E31,$C$10:C31,"Opening / ស្តុកដើមគ្រា")&gt;1,"CHECK OPEN",SUMIFS($F$10:F31,$D$10:D31,D31,$E$10:E31,E31)-SUMIFS($G$10:G31,$D$10:D31,D31,$E$10:E31,E31))))</f>
        <v>695</v>
      </c>
      <c r="I31" s="2" t="s">
        <v>97</v>
      </c>
      <c r="J31" s="2" t="s">
        <v>119</v>
      </c>
      <c r="K31" s="2">
        <v>203972</v>
      </c>
      <c r="L31" s="2" t="s">
        <v>106</v>
      </c>
      <c r="M31" s="2" t="s">
        <v>107</v>
      </c>
      <c r="N31" s="2" t="s">
        <v>123</v>
      </c>
    </row>
    <row r="32" spans="1:14" ht="29.25" customHeight="1">
      <c r="A32" s="7">
        <v>46281</v>
      </c>
      <c r="B32" s="2" t="s">
        <v>108</v>
      </c>
      <c r="C32" s="2" t="s">
        <v>21</v>
      </c>
      <c r="D32" s="2" t="s">
        <v>98</v>
      </c>
      <c r="E32" s="2" t="s">
        <v>99</v>
      </c>
      <c r="F32" s="4">
        <v>1319</v>
      </c>
      <c r="G32" s="4"/>
      <c r="H32" s="5">
        <f>IF(OR(D32="",E32="",C32=""),"",IF(COUNTIFS($D$10:D32,D32,$E$10:E32,E32,$C$10:C32,"Opening / ស្តុកដើមគ្រា")=0,"OPEN?",IF(COUNTIFS($D$10:D32,D32,$E$10:E32,E32,$C$10:C32,"Opening / ស្តុកដើមគ្រា")&gt;1,"CHECK OPEN",SUMIFS($F$10:F32,$D$10:D32,D32,$E$10:E32,E32)-SUMIFS($G$10:G32,$D$10:D32,D32,$E$10:E32,E32))))</f>
        <v>1319</v>
      </c>
      <c r="I32" s="2" t="s">
        <v>100</v>
      </c>
      <c r="J32" s="2" t="s">
        <v>25</v>
      </c>
      <c r="K32" s="2"/>
      <c r="L32" s="2" t="s">
        <v>26</v>
      </c>
      <c r="M32" s="2" t="s">
        <v>107</v>
      </c>
      <c r="N32" s="2" t="s">
        <v>123</v>
      </c>
    </row>
    <row r="33" spans="1:14" ht="29.25" customHeight="1">
      <c r="A33" s="7">
        <v>46281</v>
      </c>
      <c r="B33" s="2" t="s">
        <v>108</v>
      </c>
      <c r="C33" s="2" t="s">
        <v>27</v>
      </c>
      <c r="D33" s="2" t="s">
        <v>98</v>
      </c>
      <c r="E33" s="2" t="s">
        <v>99</v>
      </c>
      <c r="F33" s="4"/>
      <c r="G33" s="4">
        <v>311</v>
      </c>
      <c r="H33" s="5">
        <f>IF(OR(D33="",E33="",C33=""),"",IF(COUNTIFS($D$10:D33,D33,$E$10:E33,E33,$C$10:C33,"Opening / ស្តុកដើមគ្រា")=0,"OPEN?",IF(COUNTIFS($D$10:D33,D33,$E$10:E33,E33,$C$10:C33,"Opening / ស្តុកដើមគ្រា")&gt;1,"CHECK OPEN",SUMIFS($F$10:F33,$D$10:D33,D33,$E$10:E33,E33)-SUMIFS($G$10:G33,$D$10:D33,D33,$E$10:E33,E33))))</f>
        <v>1008</v>
      </c>
      <c r="I33" s="2" t="s">
        <v>100</v>
      </c>
      <c r="J33" s="2" t="s">
        <v>121</v>
      </c>
      <c r="K33" s="11">
        <v>5474</v>
      </c>
      <c r="L33" s="2" t="s">
        <v>106</v>
      </c>
      <c r="M33" s="2" t="s">
        <v>107</v>
      </c>
      <c r="N33" s="2" t="s">
        <v>123</v>
      </c>
    </row>
    <row r="34" spans="1:14" ht="29.25" customHeight="1">
      <c r="A34" s="7">
        <v>46281</v>
      </c>
      <c r="B34" s="2" t="s">
        <v>108</v>
      </c>
      <c r="C34" s="2" t="s">
        <v>21</v>
      </c>
      <c r="D34" s="2" t="s">
        <v>101</v>
      </c>
      <c r="E34" s="2" t="s">
        <v>102</v>
      </c>
      <c r="F34" s="4">
        <v>531</v>
      </c>
      <c r="G34" s="4"/>
      <c r="H34" s="5">
        <f>IF(OR(D34="",E34="",C34=""),"",IF(COUNTIFS($D$10:D34,D34,$E$10:E34,E34,$C$10:C34,"Opening / ស្តុកដើមគ្រា")=0,"OPEN?",IF(COUNTIFS($D$10:D34,D34,$E$10:E34,E34,$C$10:C34,"Opening / ស្តុកដើមគ្រា")&gt;1,"CHECK OPEN",SUMIFS($F$10:F34,$D$10:D34,D34,$E$10:E34,E34)-SUMIFS($G$10:G34,$D$10:D34,D34,$E$10:E34,E34))))</f>
        <v>531</v>
      </c>
      <c r="I34" s="2" t="s">
        <v>103</v>
      </c>
      <c r="J34" s="2" t="s">
        <v>25</v>
      </c>
      <c r="K34" s="2"/>
      <c r="L34" s="2" t="s">
        <v>26</v>
      </c>
      <c r="M34" s="2" t="s">
        <v>107</v>
      </c>
      <c r="N34" s="2" t="s">
        <v>123</v>
      </c>
    </row>
    <row r="35" spans="1:14" ht="29.25" customHeight="1">
      <c r="A35" s="7">
        <v>46281</v>
      </c>
      <c r="B35" s="2" t="s">
        <v>108</v>
      </c>
      <c r="C35" s="2" t="s">
        <v>27</v>
      </c>
      <c r="D35" s="2" t="s">
        <v>101</v>
      </c>
      <c r="E35" s="2" t="s">
        <v>102</v>
      </c>
      <c r="F35" s="4"/>
      <c r="G35" s="4">
        <v>146</v>
      </c>
      <c r="H35" s="5">
        <f>IF(OR(D35="",E35="",C35=""),"",IF(COUNTIFS($D$10:D35,D35,$E$10:E35,E35,$C$10:C35,"Opening / ស្តុកដើមគ្រា")=0,"OPEN?",IF(COUNTIFS($D$10:D35,D35,$E$10:E35,E35,$C$10:C35,"Opening / ស្តុកដើមគ្រា")&gt;1,"CHECK OPEN",SUMIFS($F$10:F35,$D$10:D35,D35,$E$10:E35,E35)-SUMIFS($G$10:G35,$D$10:D35,D35,$E$10:E35,E35))))</f>
        <v>385</v>
      </c>
      <c r="I35" s="2" t="s">
        <v>103</v>
      </c>
      <c r="J35" s="2" t="s">
        <v>120</v>
      </c>
      <c r="K35" s="2">
        <v>203972</v>
      </c>
      <c r="L35" s="2" t="s">
        <v>106</v>
      </c>
      <c r="M35" s="2" t="s">
        <v>107</v>
      </c>
      <c r="N35" s="2" t="s">
        <v>123</v>
      </c>
    </row>
    <row r="36" spans="1:14" ht="29.25" customHeight="1">
      <c r="A36" s="7">
        <v>46281</v>
      </c>
      <c r="B36" s="2" t="s">
        <v>108</v>
      </c>
      <c r="C36" s="2" t="s">
        <v>21</v>
      </c>
      <c r="D36" s="2" t="s">
        <v>104</v>
      </c>
      <c r="E36" s="2" t="s">
        <v>66</v>
      </c>
      <c r="F36" s="4">
        <v>861</v>
      </c>
      <c r="G36" s="4"/>
      <c r="H36" s="5">
        <f>IF(OR(D36="",E36="",C36=""),"",IF(COUNTIFS($D$10:D36,D36,$E$10:E36,E36,$C$10:C36,"Opening / ស្តុកដើមគ្រា")=0,"OPEN?",IF(COUNTIFS($D$10:D36,D36,$E$10:E36,E36,$C$10:C36,"Opening / ស្តុកដើមគ្រា")&gt;1,"CHECK OPEN",SUMIFS($F$10:F36,$D$10:D36,D36,$E$10:E36,E36)-SUMIFS($G$10:G36,$D$10:D36,D36,$E$10:E36,E36))))</f>
        <v>861</v>
      </c>
      <c r="I36" s="2" t="s">
        <v>105</v>
      </c>
      <c r="J36" s="2" t="s">
        <v>25</v>
      </c>
      <c r="K36" s="2"/>
      <c r="L36" s="2" t="s">
        <v>26</v>
      </c>
      <c r="M36" s="2" t="s">
        <v>107</v>
      </c>
      <c r="N36" s="2" t="s">
        <v>123</v>
      </c>
    </row>
    <row r="37" spans="1:14" ht="29.25" customHeight="1">
      <c r="A37" s="7">
        <v>46281</v>
      </c>
      <c r="B37" s="2" t="s">
        <v>108</v>
      </c>
      <c r="C37" s="2" t="s">
        <v>27</v>
      </c>
      <c r="D37" s="2" t="s">
        <v>104</v>
      </c>
      <c r="E37" s="2" t="s">
        <v>66</v>
      </c>
      <c r="F37" s="4"/>
      <c r="G37" s="4">
        <v>406</v>
      </c>
      <c r="H37" s="5">
        <f>IF(OR(D37="",E37="",C37=""),"",IF(COUNTIFS($D$10:D37,D37,$E$10:E37,E37,$C$10:C37,"Opening / ស្តុកដើមគ្រា")=0,"OPEN?",IF(COUNTIFS($D$10:D37,D37,$E$10:E37,E37,$C$10:C37,"Opening / ស្តុកដើមគ្រា")&gt;1,"CHECK OPEN",SUMIFS($F$10:F37,$D$10:D37,D37,$E$10:E37,E37)-SUMIFS($G$10:G37,$D$10:D37,D37,$E$10:E37,E37))))</f>
        <v>455</v>
      </c>
      <c r="I37" s="2" t="s">
        <v>105</v>
      </c>
      <c r="J37" s="2" t="s">
        <v>122</v>
      </c>
      <c r="K37" s="11">
        <v>5474</v>
      </c>
      <c r="L37" s="2" t="s">
        <v>106</v>
      </c>
      <c r="M37" s="2" t="s">
        <v>107</v>
      </c>
      <c r="N37" s="2" t="s">
        <v>123</v>
      </c>
    </row>
    <row r="38" spans="1:14" ht="29.25" customHeight="1">
      <c r="A38" s="8"/>
      <c r="B38" s="1"/>
      <c r="C38" s="1"/>
      <c r="D38" s="1"/>
      <c r="E38" s="1"/>
      <c r="F38" s="6"/>
      <c r="G38" s="14">
        <f>SUBTOTAL(109,G10:G37)</f>
        <v>5350</v>
      </c>
      <c r="H38" s="5"/>
      <c r="I38" s="1"/>
      <c r="J38" s="1"/>
      <c r="K38" s="1"/>
      <c r="L38" s="1"/>
      <c r="M38" s="1"/>
      <c r="N38" s="1"/>
    </row>
    <row r="39" spans="1:14" ht="29.25" customHeight="1">
      <c r="A39" s="7">
        <v>46282</v>
      </c>
      <c r="B39" s="2" t="s">
        <v>108</v>
      </c>
      <c r="C39" s="2" t="s">
        <v>21</v>
      </c>
      <c r="D39" s="2" t="s">
        <v>124</v>
      </c>
      <c r="E39" s="2" t="s">
        <v>129</v>
      </c>
      <c r="F39" s="4">
        <v>9997</v>
      </c>
      <c r="G39" s="4"/>
      <c r="H39" s="5">
        <f>IF(OR(D39="",E39="",C39=""),"",IF(COUNTIFS($D$10:D39,D39,$E$10:E39,E39,$C$10:C39,"Opening / ស្តុកដើមគ្រា")=0,"OPEN?",IF(COUNTIFS($D$10:D39,D39,$E$10:E39,E39,$C$10:C39,"Opening / ស្តុកដើមគ្រា")&gt;1,"CHECK OPEN",SUMIFS($F$10:F39,$D$10:D39,D39,$E$10:E39,E39)-SUMIFS($G$10:G39,$D$10:D39,D39,$E$10:E39,E39))))</f>
        <v>9997</v>
      </c>
      <c r="I39" s="2" t="s">
        <v>125</v>
      </c>
      <c r="J39" s="2" t="s">
        <v>25</v>
      </c>
      <c r="K39" s="2"/>
      <c r="L39" s="2" t="s">
        <v>26</v>
      </c>
      <c r="M39" s="2" t="s">
        <v>107</v>
      </c>
      <c r="N39" s="2" t="s">
        <v>123</v>
      </c>
    </row>
    <row r="40" spans="1:14" ht="29.25" customHeight="1">
      <c r="A40" s="7">
        <v>46282</v>
      </c>
      <c r="B40" s="2" t="s">
        <v>108</v>
      </c>
      <c r="C40" s="2" t="s">
        <v>27</v>
      </c>
      <c r="D40" s="2" t="s">
        <v>124</v>
      </c>
      <c r="E40" s="2" t="s">
        <v>129</v>
      </c>
      <c r="F40" s="4"/>
      <c r="G40" s="4">
        <v>314</v>
      </c>
      <c r="H40" s="5">
        <f>IF(OR(D40="",E40="",C40=""),"",IF(COUNTIFS($D$10:D40,D40,$E$10:E40,E40,$C$10:C40,"Opening / ស្តុកដើមគ្រា")=0,"OPEN?",IF(COUNTIFS($D$10:D40,D40,$E$10:E40,E40,$C$10:C40,"Opening / ស្តុកដើមគ្រា")&gt;1,"CHECK OPEN",SUMIFS($F$10:F40,$D$10:D40,D40,$E$10:E40,E40)-SUMIFS($G$10:G40,$D$10:D40,D40,$E$10:E40,E40))))</f>
        <v>9683</v>
      </c>
      <c r="I40" s="2" t="s">
        <v>125</v>
      </c>
      <c r="J40" s="2" t="s">
        <v>126</v>
      </c>
      <c r="K40" s="2">
        <v>203866</v>
      </c>
      <c r="L40" s="2" t="s">
        <v>106</v>
      </c>
      <c r="M40" s="2" t="s">
        <v>107</v>
      </c>
      <c r="N40" s="2" t="s">
        <v>123</v>
      </c>
    </row>
    <row r="41" spans="1:14" ht="29.25" customHeight="1">
      <c r="A41" s="7">
        <v>46282</v>
      </c>
      <c r="B41" s="2" t="s">
        <v>108</v>
      </c>
      <c r="C41" s="2" t="s">
        <v>21</v>
      </c>
      <c r="D41" s="2" t="s">
        <v>127</v>
      </c>
      <c r="E41" s="2" t="s">
        <v>128</v>
      </c>
      <c r="F41" s="4">
        <v>766</v>
      </c>
      <c r="G41" s="4"/>
      <c r="H41" s="5">
        <f>IF(OR(D41="",E41="",C41=""),"",IF(COUNTIFS($D$10:D41,D41,$E$10:E41,E41,$C$10:C41,"Opening / ស្តុកដើមគ្រា")=0,"OPEN?",IF(COUNTIFS($D$10:D41,D41,$E$10:E41,E41,$C$10:C41,"Opening / ស្តុកដើមគ្រា")&gt;1,"CHECK OPEN",SUMIFS($F$10:F41,$D$10:D41,D41,$E$10:E41,E41)-SUMIFS($G$10:G41,$D$10:D41,D41,$E$10:E41,E41))))</f>
        <v>766</v>
      </c>
      <c r="I41" s="2" t="s">
        <v>137</v>
      </c>
      <c r="J41" s="2" t="s">
        <v>25</v>
      </c>
      <c r="K41" s="2"/>
      <c r="L41" s="2" t="s">
        <v>26</v>
      </c>
      <c r="M41" s="2" t="s">
        <v>107</v>
      </c>
      <c r="N41" s="2" t="s">
        <v>123</v>
      </c>
    </row>
    <row r="42" spans="1:14" ht="29.25" customHeight="1">
      <c r="A42" s="7">
        <v>46282</v>
      </c>
      <c r="B42" s="2" t="s">
        <v>108</v>
      </c>
      <c r="C42" s="2" t="s">
        <v>27</v>
      </c>
      <c r="D42" s="2" t="s">
        <v>127</v>
      </c>
      <c r="E42" s="2" t="s">
        <v>128</v>
      </c>
      <c r="F42" s="4"/>
      <c r="G42" s="4">
        <v>70</v>
      </c>
      <c r="H42" s="5">
        <f>IF(OR(D42="",E42="",C42=""),"",IF(COUNTIFS($D$10:D42,D42,$E$10:E42,E42,$C$10:C42,"Opening / ស្តុកដើមគ្រា")=0,"OPEN?",IF(COUNTIFS($D$10:D42,D42,$E$10:E42,E42,$C$10:C42,"Opening / ស្តុកដើមគ្រា")&gt;1,"CHECK OPEN",SUMIFS($F$10:F42,$D$10:D42,D42,$E$10:E42,E42)-SUMIFS($G$10:G42,$D$10:D42,D42,$E$10:E42,E42))))</f>
        <v>696</v>
      </c>
      <c r="I42" s="2" t="s">
        <v>137</v>
      </c>
      <c r="J42" s="2" t="s">
        <v>126</v>
      </c>
      <c r="K42" s="2">
        <v>203866</v>
      </c>
      <c r="L42" s="2" t="s">
        <v>106</v>
      </c>
      <c r="M42" s="2" t="s">
        <v>107</v>
      </c>
      <c r="N42" s="2" t="s">
        <v>123</v>
      </c>
    </row>
    <row r="43" spans="1:14" ht="29.25" customHeight="1">
      <c r="A43" s="7">
        <v>46282</v>
      </c>
      <c r="B43" s="2" t="s">
        <v>108</v>
      </c>
      <c r="C43" s="2" t="s">
        <v>21</v>
      </c>
      <c r="D43" s="2" t="s">
        <v>81</v>
      </c>
      <c r="E43" s="2" t="s">
        <v>130</v>
      </c>
      <c r="F43" s="4">
        <v>344</v>
      </c>
      <c r="G43" s="4"/>
      <c r="H43" s="5">
        <f>IF(OR(D43="",E43="",C43=""),"",IF(COUNTIFS($D$10:D43,D43,$E$10:E43,E43,$C$10:C43,"Opening / ស្តុកដើមគ្រា")=0,"OPEN?",IF(COUNTIFS($D$10:D43,D43,$E$10:E43,E43,$C$10:C43,"Opening / ស្តុកដើមគ្រា")&gt;1,"CHECK OPEN",SUMIFS($F$10:F43,$D$10:D43,D43,$E$10:E43,E43)-SUMIFS($G$10:G43,$D$10:D43,D43,$E$10:E43,E43))))</f>
        <v>344</v>
      </c>
      <c r="I43" s="2" t="s">
        <v>105</v>
      </c>
      <c r="J43" s="2" t="s">
        <v>25</v>
      </c>
      <c r="K43" s="2"/>
      <c r="L43" s="2" t="s">
        <v>26</v>
      </c>
      <c r="M43" s="2" t="s">
        <v>107</v>
      </c>
      <c r="N43" s="2" t="s">
        <v>123</v>
      </c>
    </row>
    <row r="44" spans="1:14" ht="29.25" customHeight="1">
      <c r="A44" s="7">
        <v>46282</v>
      </c>
      <c r="B44" s="2" t="s">
        <v>108</v>
      </c>
      <c r="C44" s="2" t="s">
        <v>27</v>
      </c>
      <c r="D44" s="2" t="s">
        <v>81</v>
      </c>
      <c r="E44" s="2" t="s">
        <v>130</v>
      </c>
      <c r="F44" s="4"/>
      <c r="G44" s="4">
        <v>37</v>
      </c>
      <c r="H44" s="5">
        <f>IF(OR(D44="",E44="",C44=""),"",IF(COUNTIFS($D$10:D44,D44,$E$10:E44,E44,$C$10:C44,"Opening / ស្តុកដើមគ្រា")=0,"OPEN?",IF(COUNTIFS($D$10:D44,D44,$E$10:E44,E44,$C$10:C44,"Opening / ស្តុកដើមគ្រា")&gt;1,"CHECK OPEN",SUMIFS($F$10:F44,$D$10:D44,D44,$E$10:E44,E44)-SUMIFS($G$10:G44,$D$10:D44,D44,$E$10:E44,E44))))</f>
        <v>307</v>
      </c>
      <c r="I44" s="2" t="s">
        <v>105</v>
      </c>
      <c r="J44" s="2" t="s">
        <v>114</v>
      </c>
      <c r="K44" s="11">
        <v>5474</v>
      </c>
      <c r="L44" s="2" t="s">
        <v>106</v>
      </c>
      <c r="M44" s="2" t="s">
        <v>107</v>
      </c>
      <c r="N44" s="2" t="s">
        <v>123</v>
      </c>
    </row>
    <row r="45" spans="1:14" ht="29.25" customHeight="1">
      <c r="A45" s="7">
        <v>46282</v>
      </c>
      <c r="B45" s="2" t="s">
        <v>108</v>
      </c>
      <c r="C45" s="2" t="s">
        <v>21</v>
      </c>
      <c r="D45" s="2" t="s">
        <v>90</v>
      </c>
      <c r="E45" s="2" t="s">
        <v>131</v>
      </c>
      <c r="F45" s="4">
        <v>337</v>
      </c>
      <c r="G45" s="4"/>
      <c r="H45" s="5">
        <f>IF(OR(D45="",E45="",C45=""),"",IF(COUNTIFS($D$10:D45,D45,$E$10:E45,E45,$C$10:C45,"Opening / ស្តុកដើមគ្រា")=0,"OPEN?",IF(COUNTIFS($D$10:D45,D45,$E$10:E45,E45,$C$10:C45,"Opening / ស្តុកដើមគ្រា")&gt;1,"CHECK OPEN",SUMIFS($F$10:F45,$D$10:D45,D45,$E$10:E45,E45)-SUMIFS($G$10:G45,$D$10:D45,D45,$E$10:E45,E45))))</f>
        <v>337</v>
      </c>
      <c r="I45" s="2" t="s">
        <v>91</v>
      </c>
      <c r="J45" s="2" t="s">
        <v>25</v>
      </c>
      <c r="K45" s="2"/>
      <c r="L45" s="2" t="s">
        <v>26</v>
      </c>
      <c r="M45" s="2" t="s">
        <v>107</v>
      </c>
      <c r="N45" s="2" t="s">
        <v>123</v>
      </c>
    </row>
    <row r="46" spans="1:14" ht="29.25" customHeight="1">
      <c r="A46" s="7">
        <v>46282</v>
      </c>
      <c r="B46" s="2" t="s">
        <v>108</v>
      </c>
      <c r="C46" s="2" t="s">
        <v>27</v>
      </c>
      <c r="D46" s="2" t="s">
        <v>90</v>
      </c>
      <c r="E46" s="2" t="s">
        <v>131</v>
      </c>
      <c r="F46" s="4"/>
      <c r="G46" s="4">
        <v>39</v>
      </c>
      <c r="H46" s="5">
        <f>IF(OR(D46="",E46="",C46=""),"",IF(COUNTIFS($D$10:D46,D46,$E$10:E46,E46,$C$10:C46,"Opening / ស្តុកដើមគ្រា")=0,"OPEN?",IF(COUNTIFS($D$10:D46,D46,$E$10:E46,E46,$C$10:C46,"Opening / ស្តុកដើមគ្រា")&gt;1,"CHECK OPEN",SUMIFS($F$10:F46,$D$10:D46,D46,$E$10:E46,E46)-SUMIFS($G$10:G46,$D$10:D46,D46,$E$10:E46,E46))))</f>
        <v>298</v>
      </c>
      <c r="I46" s="2" t="s">
        <v>91</v>
      </c>
      <c r="J46" s="2" t="s">
        <v>117</v>
      </c>
      <c r="K46" s="11">
        <v>5474</v>
      </c>
      <c r="L46" s="2" t="s">
        <v>106</v>
      </c>
      <c r="M46" s="2" t="s">
        <v>107</v>
      </c>
      <c r="N46" s="2" t="s">
        <v>123</v>
      </c>
    </row>
    <row r="47" spans="1:14" ht="29.25" customHeight="1">
      <c r="A47" s="7">
        <v>46282</v>
      </c>
      <c r="B47" s="2" t="s">
        <v>108</v>
      </c>
      <c r="C47" s="2" t="s">
        <v>21</v>
      </c>
      <c r="D47" s="2" t="s">
        <v>133</v>
      </c>
      <c r="E47" s="2" t="s">
        <v>132</v>
      </c>
      <c r="F47" s="4">
        <v>2330</v>
      </c>
      <c r="G47" s="4"/>
      <c r="H47" s="5">
        <f>IF(OR(D47="",E47="",C47=""),"",IF(COUNTIFS($D$10:D47,D47,$E$10:E47,E47,$C$10:C47,"Opening / ស្តុកដើមគ្រា")=0,"OPEN?",IF(COUNTIFS($D$10:D47,D47,$E$10:E47,E47,$C$10:C47,"Opening / ស្តុកដើមគ្រា")&gt;1,"CHECK OPEN",SUMIFS($F$10:F47,$D$10:D47,D47,$E$10:E47,E47)-SUMIFS($G$10:G47,$D$10:D47,D47,$E$10:E47,E47))))</f>
        <v>2330</v>
      </c>
      <c r="I47" s="2" t="s">
        <v>105</v>
      </c>
      <c r="J47" s="2" t="s">
        <v>25</v>
      </c>
      <c r="K47" s="2"/>
      <c r="L47" s="2" t="s">
        <v>26</v>
      </c>
      <c r="M47" s="2" t="s">
        <v>107</v>
      </c>
      <c r="N47" s="2" t="s">
        <v>123</v>
      </c>
    </row>
    <row r="48" spans="1:14" ht="29.25" customHeight="1">
      <c r="A48" s="7">
        <v>46282</v>
      </c>
      <c r="B48" s="2" t="s">
        <v>108</v>
      </c>
      <c r="C48" s="2" t="s">
        <v>27</v>
      </c>
      <c r="D48" s="2" t="s">
        <v>133</v>
      </c>
      <c r="E48" s="2" t="s">
        <v>132</v>
      </c>
      <c r="F48" s="4"/>
      <c r="G48" s="4">
        <v>1933</v>
      </c>
      <c r="H48" s="5">
        <f>IF(OR(D48="",E48="",C48=""),"",IF(COUNTIFS($D$10:D48,D48,$E$10:E48,E48,$C$10:C48,"Opening / ស្តុកដើមគ្រា")=0,"OPEN?",IF(COUNTIFS($D$10:D48,D48,$E$10:E48,E48,$C$10:C48,"Opening / ស្តុកដើមគ្រា")&gt;1,"CHECK OPEN",SUMIFS($F$10:F48,$D$10:D48,D48,$E$10:E48,E48)-SUMIFS($G$10:G48,$D$10:D48,D48,$E$10:E48,E48))))</f>
        <v>397</v>
      </c>
      <c r="I48" s="2" t="s">
        <v>105</v>
      </c>
      <c r="J48" s="2" t="s">
        <v>122</v>
      </c>
      <c r="K48" s="2">
        <v>203972</v>
      </c>
      <c r="L48" s="2" t="s">
        <v>106</v>
      </c>
      <c r="M48" s="2" t="s">
        <v>107</v>
      </c>
      <c r="N48" s="2" t="s">
        <v>123</v>
      </c>
    </row>
    <row r="49" spans="1:14" ht="29.25" customHeight="1">
      <c r="A49" s="7">
        <v>46282</v>
      </c>
      <c r="B49" s="2" t="s">
        <v>108</v>
      </c>
      <c r="C49" s="2" t="s">
        <v>21</v>
      </c>
      <c r="D49" s="2" t="s">
        <v>134</v>
      </c>
      <c r="E49" s="2" t="s">
        <v>135</v>
      </c>
      <c r="F49" s="4">
        <v>1282</v>
      </c>
      <c r="G49" s="4"/>
      <c r="H49" s="5">
        <f>IF(OR(D49="",E49="",C49=""),"",IF(COUNTIFS($D$10:D49,D49,$E$10:E49,E49,$C$10:C49,"Opening / ស្តុកដើមគ្រា")=0,"OPEN?",IF(COUNTIFS($D$10:D49,D49,$E$10:E49,E49,$C$10:C49,"Opening / ស្តុកដើមគ្រា")&gt;1,"CHECK OPEN",SUMIFS($F$10:F49,$D$10:D49,D49,$E$10:E49,E49)-SUMIFS($G$10:G49,$D$10:D49,D49,$E$10:E49,E49))))</f>
        <v>1282</v>
      </c>
      <c r="I49" s="2" t="s">
        <v>136</v>
      </c>
      <c r="J49" s="2" t="s">
        <v>25</v>
      </c>
      <c r="K49" s="2"/>
      <c r="L49" s="2" t="s">
        <v>26</v>
      </c>
      <c r="M49" s="2" t="s">
        <v>107</v>
      </c>
      <c r="N49" s="2" t="s">
        <v>123</v>
      </c>
    </row>
    <row r="50" spans="1:14" ht="29.25" customHeight="1">
      <c r="A50" s="7">
        <v>46282</v>
      </c>
      <c r="B50" s="2" t="s">
        <v>108</v>
      </c>
      <c r="C50" s="2" t="s">
        <v>27</v>
      </c>
      <c r="D50" s="2" t="s">
        <v>134</v>
      </c>
      <c r="E50" s="2" t="s">
        <v>135</v>
      </c>
      <c r="F50" s="4"/>
      <c r="G50" s="4">
        <v>363</v>
      </c>
      <c r="H50" s="5">
        <f>IF(OR(D50="",E50="",C50=""),"",IF(COUNTIFS($D$10:D50,D50,$E$10:E50,E50,$C$10:C50,"Opening / ស្តុកដើមគ្រា")=0,"OPEN?",IF(COUNTIFS($D$10:D50,D50,$E$10:E50,E50,$C$10:C50,"Opening / ស្តុកដើមគ្រា")&gt;1,"CHECK OPEN",SUMIFS($F$10:F50,$D$10:D50,D50,$E$10:E50,E50)-SUMIFS($G$10:G50,$D$10:D50,D50,$E$10:E50,E50))))</f>
        <v>919</v>
      </c>
      <c r="I50" s="2" t="s">
        <v>136</v>
      </c>
      <c r="J50" s="2" t="s">
        <v>141</v>
      </c>
      <c r="K50" s="2">
        <v>202831</v>
      </c>
      <c r="L50" s="2" t="s">
        <v>106</v>
      </c>
      <c r="M50" s="2" t="s">
        <v>107</v>
      </c>
      <c r="N50" s="2" t="s">
        <v>123</v>
      </c>
    </row>
    <row r="51" spans="1:14" ht="29.25" customHeight="1">
      <c r="A51" s="7">
        <v>46282</v>
      </c>
      <c r="B51" s="2" t="s">
        <v>108</v>
      </c>
      <c r="C51" s="2" t="s">
        <v>21</v>
      </c>
      <c r="D51" s="2" t="s">
        <v>138</v>
      </c>
      <c r="E51" s="2" t="s">
        <v>139</v>
      </c>
      <c r="F51" s="4">
        <v>343</v>
      </c>
      <c r="G51" s="4"/>
      <c r="H51" s="5">
        <f>IF(OR(D51="",E51="",C51=""),"",IF(COUNTIFS($D$10:D51,D51,$E$10:E51,E51,$C$10:C51,"Opening / ស្តុកដើមគ្រា")=0,"OPEN?",IF(COUNTIFS($D$10:D51,D51,$E$10:E51,E51,$C$10:C51,"Opening / ស្តុកដើមគ្រា")&gt;1,"CHECK OPEN",SUMIFS($F$10:F51,$D$10:D51,D51,$E$10:E51,E51)-SUMIFS($G$10:G51,$D$10:D51,D51,$E$10:E51,E51))))</f>
        <v>343</v>
      </c>
      <c r="I51" s="2" t="s">
        <v>105</v>
      </c>
      <c r="J51" s="2" t="s">
        <v>25</v>
      </c>
      <c r="K51" s="2"/>
      <c r="L51" s="2" t="s">
        <v>26</v>
      </c>
      <c r="M51" s="2" t="s">
        <v>107</v>
      </c>
      <c r="N51" s="2" t="s">
        <v>123</v>
      </c>
    </row>
    <row r="52" spans="1:14" ht="29.25" customHeight="1">
      <c r="A52" s="7">
        <v>46282</v>
      </c>
      <c r="B52" s="2" t="s">
        <v>108</v>
      </c>
      <c r="C52" s="2" t="s">
        <v>27</v>
      </c>
      <c r="D52" s="2" t="s">
        <v>138</v>
      </c>
      <c r="E52" s="2" t="s">
        <v>139</v>
      </c>
      <c r="F52" s="4"/>
      <c r="G52" s="4">
        <v>343</v>
      </c>
      <c r="H52" s="5">
        <f>IF(OR(D52="",E52="",C52=""),"",IF(COUNTIFS($D$10:D52,D52,$E$10:E52,E52,$C$10:C52,"Opening / ស្តុកដើមគ្រា")=0,"OPEN?",IF(COUNTIFS($D$10:D52,D52,$E$10:E52,E52,$C$10:C52,"Opening / ស្តុកដើមគ្រា")&gt;1,"CHECK OPEN",SUMIFS($F$10:F52,$D$10:D52,D52,$E$10:E52,E52)-SUMIFS($G$10:G52,$D$10:D52,D52,$E$10:E52,E52))))</f>
        <v>0</v>
      </c>
      <c r="I52" s="2" t="s">
        <v>105</v>
      </c>
      <c r="J52" s="2" t="s">
        <v>140</v>
      </c>
      <c r="K52" s="2">
        <v>203035</v>
      </c>
      <c r="L52" s="2" t="s">
        <v>106</v>
      </c>
      <c r="M52" s="2" t="s">
        <v>107</v>
      </c>
      <c r="N52" s="2" t="s">
        <v>123</v>
      </c>
    </row>
    <row r="53" spans="1:14" ht="29.25" customHeight="1">
      <c r="A53" s="8"/>
      <c r="B53" s="1"/>
      <c r="C53" s="1"/>
      <c r="D53" s="1"/>
      <c r="E53" s="1"/>
      <c r="F53" s="6"/>
      <c r="G53" s="14">
        <f>SUM(G40:G52)</f>
        <v>3099</v>
      </c>
      <c r="H53" s="5"/>
      <c r="I53" s="1"/>
      <c r="J53" s="1"/>
      <c r="K53" s="1"/>
      <c r="L53" s="1"/>
      <c r="M53" s="1"/>
      <c r="N53" s="1"/>
    </row>
    <row r="54" spans="1:14" ht="29.25" customHeight="1">
      <c r="A54" s="7">
        <v>46284</v>
      </c>
      <c r="B54" s="2" t="s">
        <v>108</v>
      </c>
      <c r="C54" s="2" t="s">
        <v>21</v>
      </c>
      <c r="D54" s="2" t="s">
        <v>142</v>
      </c>
      <c r="E54" s="2" t="s">
        <v>143</v>
      </c>
      <c r="F54" s="4">
        <v>1256</v>
      </c>
      <c r="G54" s="4"/>
      <c r="H54" s="5">
        <f>IF(OR(D54="",E54="",C54=""),"",IF(COUNTIFS($D$10:D54,D54,$E$10:E54,E54,$C$10:C54,"Opening / ស្តុកដើមគ្រា")=0,"OPEN?",IF(COUNTIFS($D$10:D54,D54,$E$10:E54,E54,$C$10:C54,"Opening / ស្តុកដើមគ្រា")&gt;1,"CHECK OPEN",SUMIFS($F$10:F54,$D$10:D54,D54,$E$10:E54,E54)-SUMIFS($G$10:G54,$D$10:D54,D54,$E$10:E54,E54))))</f>
        <v>1256</v>
      </c>
      <c r="I54" s="2" t="s">
        <v>144</v>
      </c>
      <c r="J54" s="2" t="s">
        <v>25</v>
      </c>
      <c r="K54" s="2"/>
      <c r="L54" s="2" t="s">
        <v>26</v>
      </c>
      <c r="M54" s="2" t="s">
        <v>107</v>
      </c>
      <c r="N54" s="2" t="s">
        <v>123</v>
      </c>
    </row>
    <row r="55" spans="1:14" ht="29.25" customHeight="1">
      <c r="A55" s="7">
        <v>46284</v>
      </c>
      <c r="B55" s="2" t="s">
        <v>108</v>
      </c>
      <c r="C55" s="2" t="s">
        <v>27</v>
      </c>
      <c r="D55" s="2" t="s">
        <v>142</v>
      </c>
      <c r="E55" s="2" t="s">
        <v>143</v>
      </c>
      <c r="F55" s="4"/>
      <c r="G55" s="4">
        <v>139</v>
      </c>
      <c r="H55" s="5">
        <f>IF(OR(D55="",E55="",C55=""),"",IF(COUNTIFS($D$10:D55,D55,$E$10:E55,E55,$C$10:C55,"Opening / ស្តុកដើមគ្រា")=0,"OPEN?",IF(COUNTIFS($D$10:D55,D55,$E$10:E55,E55,$C$10:C55,"Opening / ស្តុកដើមគ្រា")&gt;1,"CHECK OPEN",SUMIFS($F$10:F55,$D$10:D55,D55,$E$10:E55,E55)-SUMIFS($G$10:G55,$D$10:D55,D55,$E$10:E55,E55))))</f>
        <v>1117</v>
      </c>
      <c r="I55" s="2" t="s">
        <v>144</v>
      </c>
      <c r="J55" s="2" t="s">
        <v>145</v>
      </c>
      <c r="K55" s="12" t="s">
        <v>146</v>
      </c>
      <c r="L55" s="2" t="s">
        <v>106</v>
      </c>
      <c r="M55" s="2" t="s">
        <v>107</v>
      </c>
      <c r="N55" s="2" t="s">
        <v>123</v>
      </c>
    </row>
    <row r="56" spans="1:14" ht="29.25" customHeight="1">
      <c r="A56" s="7">
        <v>46284</v>
      </c>
      <c r="B56" s="2" t="s">
        <v>108</v>
      </c>
      <c r="C56" s="2" t="s">
        <v>21</v>
      </c>
      <c r="D56" s="2" t="s">
        <v>147</v>
      </c>
      <c r="E56" s="2" t="s">
        <v>148</v>
      </c>
      <c r="F56" s="4">
        <v>12012</v>
      </c>
      <c r="G56" s="4"/>
      <c r="H56" s="5">
        <f>IF(OR(D56="",E56="",C56=""),"",IF(COUNTIFS($D$10:D56,D56,$E$10:E56,E56,$C$10:C56,"Opening / ស្តុកដើមគ្រា")=0,"OPEN?",IF(COUNTIFS($D$10:D56,D56,$E$10:E56,E56,$C$10:C56,"Opening / ស្តុកដើមគ្រា")&gt;1,"CHECK OPEN",SUMIFS($F$10:F56,$D$10:D56,D56,$E$10:E56,E56)-SUMIFS($G$10:G56,$D$10:D56,D56,$E$10:E56,E56))))</f>
        <v>12012</v>
      </c>
      <c r="I56" s="2" t="s">
        <v>149</v>
      </c>
      <c r="J56" s="2" t="s">
        <v>25</v>
      </c>
      <c r="K56" s="2"/>
      <c r="L56" s="2" t="s">
        <v>26</v>
      </c>
      <c r="M56" s="2" t="s">
        <v>107</v>
      </c>
      <c r="N56" s="2" t="s">
        <v>123</v>
      </c>
    </row>
    <row r="57" spans="1:14" ht="29.25" customHeight="1">
      <c r="A57" s="7">
        <v>46284</v>
      </c>
      <c r="B57" s="2" t="s">
        <v>108</v>
      </c>
      <c r="C57" s="2" t="s">
        <v>27</v>
      </c>
      <c r="D57" s="2" t="s">
        <v>147</v>
      </c>
      <c r="E57" s="2" t="s">
        <v>148</v>
      </c>
      <c r="F57" s="4"/>
      <c r="G57" s="4">
        <v>343</v>
      </c>
      <c r="H57" s="5">
        <f>IF(OR(D57="",E57="",C57=""),"",IF(COUNTIFS($D$10:D57,D57,$E$10:E57,E57,$C$10:C57,"Opening / ស្តុកដើមគ្រា")=0,"OPEN?",IF(COUNTIFS($D$10:D57,D57,$E$10:E57,E57,$C$10:C57,"Opening / ស្តុកដើមគ្រា")&gt;1,"CHECK OPEN",SUMIFS($F$10:F57,$D$10:D57,D57,$E$10:E57,E57)-SUMIFS($G$10:G57,$D$10:D57,D57,$E$10:E57,E57))))</f>
        <v>11669</v>
      </c>
      <c r="I57" s="2" t="s">
        <v>149</v>
      </c>
      <c r="J57" s="2" t="s">
        <v>150</v>
      </c>
      <c r="K57" s="12" t="s">
        <v>146</v>
      </c>
      <c r="L57" s="2" t="s">
        <v>106</v>
      </c>
      <c r="M57" s="2" t="s">
        <v>107</v>
      </c>
      <c r="N57" s="2" t="s">
        <v>123</v>
      </c>
    </row>
    <row r="58" spans="1:14" ht="29.25" customHeight="1">
      <c r="A58" s="7">
        <v>46284</v>
      </c>
      <c r="B58" s="2" t="s">
        <v>108</v>
      </c>
      <c r="C58" s="2" t="s">
        <v>21</v>
      </c>
      <c r="D58" s="2" t="s">
        <v>151</v>
      </c>
      <c r="E58" s="2" t="s">
        <v>152</v>
      </c>
      <c r="F58" s="4">
        <v>772</v>
      </c>
      <c r="G58" s="4"/>
      <c r="H58" s="5">
        <f>IF(OR(D58="",E58="",C58=""),"",IF(COUNTIFS($D$10:D58,D58,$E$10:E58,E58,$C$10:C58,"Opening / ស្តុកដើមគ្រា")=0,"OPEN?",IF(COUNTIFS($D$10:D58,D58,$E$10:E58,E58,$C$10:C58,"Opening / ស្តុកដើមគ្រា")&gt;1,"CHECK OPEN",SUMIFS($F$10:F58,$D$10:D58,D58,$E$10:E58,E58)-SUMIFS($G$10:G58,$D$10:D58,D58,$E$10:E58,E58))))</f>
        <v>772</v>
      </c>
      <c r="I58" s="2" t="s">
        <v>153</v>
      </c>
      <c r="J58" s="2" t="s">
        <v>25</v>
      </c>
      <c r="K58" s="2"/>
      <c r="L58" s="2" t="s">
        <v>26</v>
      </c>
      <c r="M58" s="2" t="s">
        <v>107</v>
      </c>
      <c r="N58" s="2" t="s">
        <v>123</v>
      </c>
    </row>
    <row r="59" spans="1:14" ht="29.25" customHeight="1">
      <c r="A59" s="7">
        <v>46284</v>
      </c>
      <c r="B59" s="2" t="s">
        <v>108</v>
      </c>
      <c r="C59" s="2" t="s">
        <v>27</v>
      </c>
      <c r="D59" s="2" t="s">
        <v>151</v>
      </c>
      <c r="E59" s="2" t="s">
        <v>152</v>
      </c>
      <c r="F59" s="4"/>
      <c r="G59" s="4">
        <v>191</v>
      </c>
      <c r="H59" s="5">
        <f>IF(OR(D59="",E59="",C59=""),"",IF(COUNTIFS($D$10:D59,D59,$E$10:E59,E59,$C$10:C59,"Opening / ស្តុកដើមគ្រា")=0,"OPEN?",IF(COUNTIFS($D$10:D59,D59,$E$10:E59,E59,$C$10:C59,"Opening / ស្តុកដើមគ្រា")&gt;1,"CHECK OPEN",SUMIFS($F$10:F59,$D$10:D59,D59,$E$10:E59,E59)-SUMIFS($G$10:G59,$D$10:D59,D59,$E$10:E59,E59))))</f>
        <v>581</v>
      </c>
      <c r="I59" s="2" t="s">
        <v>153</v>
      </c>
      <c r="J59" s="13">
        <v>6137</v>
      </c>
      <c r="K59" s="12" t="s">
        <v>154</v>
      </c>
      <c r="L59" s="2" t="s">
        <v>106</v>
      </c>
      <c r="M59" s="2" t="s">
        <v>107</v>
      </c>
      <c r="N59" s="2" t="s">
        <v>123</v>
      </c>
    </row>
    <row r="60" spans="1:14" ht="29.25" customHeight="1">
      <c r="A60" s="8"/>
      <c r="B60" s="1"/>
      <c r="C60" s="1"/>
      <c r="D60" s="1"/>
      <c r="E60" s="1"/>
      <c r="F60" s="6"/>
      <c r="G60" s="14">
        <f>SUM(G55:G59)</f>
        <v>673</v>
      </c>
      <c r="H60" s="5" t="str">
        <f>IF(OR(D60="",E60="",C60=""),"",IF(COUNTIFS($D$10:D60,D60,$E$10:E60,E60,$C$10:C60,"Opening / ស្តុកដើមគ្រា")=0,"OPEN?",IF(COUNTIFS($D$10:D60,D60,$E$10:E60,E60,$C$10:C60,"Opening / ស្តុកដើមគ្រា")&gt;1,"CHECK OPEN",SUMIFS($F$10:F60,$D$10:D60,D60,$E$10:E60,E60)-SUMIFS($G$10:G60,$D$10:D60,D60,$E$10:E60,E60))))</f>
        <v/>
      </c>
      <c r="I60" s="1"/>
      <c r="J60" s="1"/>
      <c r="K60" s="1"/>
      <c r="L60" s="1"/>
      <c r="M60" s="1"/>
      <c r="N60" s="1"/>
    </row>
    <row r="61" spans="1:14" ht="29.25" customHeight="1">
      <c r="A61" s="7">
        <v>46286</v>
      </c>
      <c r="B61" s="2" t="s">
        <v>108</v>
      </c>
      <c r="C61" s="2" t="s">
        <v>21</v>
      </c>
      <c r="D61" s="2" t="s">
        <v>156</v>
      </c>
      <c r="E61" s="2" t="s">
        <v>155</v>
      </c>
      <c r="F61" s="4">
        <v>15837.68</v>
      </c>
      <c r="G61" s="4"/>
      <c r="H61" s="5">
        <f>IF(OR(D61="",E61="",C61=""),"",IF(COUNTIFS($D$10:D61,D61,$E$10:E61,E61,$C$10:C61,"Opening / ស្តុកដើមគ្រា")=0,"OPEN?",IF(COUNTIFS($D$10:D61,D61,$E$10:E61,E61,$C$10:C61,"Opening / ស្តុកដើមគ្រា")&gt;1,"CHECK OPEN",SUMIFS($F$10:F61,$D$10:D61,D61,$E$10:E61,E61)-SUMIFS($G$10:G61,$D$10:D61,D61,$E$10:E61,E61))))</f>
        <v>15837.68</v>
      </c>
      <c r="I61" s="2" t="s">
        <v>157</v>
      </c>
      <c r="J61" s="2" t="s">
        <v>25</v>
      </c>
      <c r="K61" s="2"/>
      <c r="L61" s="2" t="s">
        <v>26</v>
      </c>
      <c r="M61" s="2" t="s">
        <v>107</v>
      </c>
      <c r="N61" s="2" t="s">
        <v>123</v>
      </c>
    </row>
    <row r="62" spans="1:14" ht="29.25" customHeight="1">
      <c r="A62" s="7">
        <v>46286</v>
      </c>
      <c r="B62" s="2" t="s">
        <v>108</v>
      </c>
      <c r="C62" s="2" t="s">
        <v>27</v>
      </c>
      <c r="D62" s="2" t="s">
        <v>156</v>
      </c>
      <c r="E62" s="2" t="s">
        <v>155</v>
      </c>
      <c r="F62" s="4"/>
      <c r="G62" s="4">
        <v>151</v>
      </c>
      <c r="H62" s="5">
        <f>IF(OR(D62="",E62="",C62=""),"",IF(COUNTIFS($D$10:D62,D62,$E$10:E62,E62,$C$10:C62,"Opening / ស្តុកដើមគ្រា")=0,"OPEN?",IF(COUNTIFS($D$10:D62,D62,$E$10:E62,E62,$C$10:C62,"Opening / ស្តុកដើមគ្រា")&gt;1,"CHECK OPEN",SUMIFS($F$10:F62,$D$10:D62,D62,$E$10:E62,E62)-SUMIFS($G$10:G62,$D$10:D62,D62,$E$10:E62,E62))))</f>
        <v>15686.68</v>
      </c>
      <c r="I62" s="2" t="s">
        <v>157</v>
      </c>
      <c r="J62" s="2" t="s">
        <v>159</v>
      </c>
      <c r="K62" s="2">
        <v>203972</v>
      </c>
      <c r="L62" s="2" t="s">
        <v>106</v>
      </c>
      <c r="M62" s="2" t="s">
        <v>107</v>
      </c>
      <c r="N62" s="2" t="s">
        <v>123</v>
      </c>
    </row>
    <row r="63" spans="1:14" ht="29.25" customHeight="1">
      <c r="A63" s="7">
        <v>46286</v>
      </c>
      <c r="B63" s="2" t="s">
        <v>108</v>
      </c>
      <c r="C63" s="2" t="s">
        <v>21</v>
      </c>
      <c r="D63" s="2" t="s">
        <v>160</v>
      </c>
      <c r="E63" s="2" t="s">
        <v>161</v>
      </c>
      <c r="F63" s="4">
        <v>240</v>
      </c>
      <c r="G63" s="4"/>
      <c r="H63" s="5">
        <f>IF(OR(D63="",E63="",C63=""),"",IF(COUNTIFS($D$10:D63,D63,$E$10:E63,E63,$C$10:C63,"Opening / ស្តុកដើមគ្រា")=0,"OPEN?",IF(COUNTIFS($D$10:D63,D63,$E$10:E63,E63,$C$10:C63,"Opening / ស្តុកដើមគ្រា")&gt;1,"CHECK OPEN",SUMIFS($F$10:F63,$D$10:D63,D63,$E$10:E63,E63)-SUMIFS($G$10:G63,$D$10:D63,D63,$E$10:E63,E63))))</f>
        <v>240</v>
      </c>
      <c r="I63" s="2" t="s">
        <v>162</v>
      </c>
      <c r="J63" s="2" t="s">
        <v>25</v>
      </c>
      <c r="K63" s="2"/>
      <c r="L63" s="2" t="s">
        <v>26</v>
      </c>
      <c r="M63" s="2" t="s">
        <v>107</v>
      </c>
      <c r="N63" s="2" t="s">
        <v>123</v>
      </c>
    </row>
    <row r="64" spans="1:14" ht="29.25" customHeight="1">
      <c r="A64" s="7">
        <v>46286</v>
      </c>
      <c r="B64" s="2" t="s">
        <v>108</v>
      </c>
      <c r="C64" s="2" t="s">
        <v>27</v>
      </c>
      <c r="D64" s="2" t="s">
        <v>160</v>
      </c>
      <c r="E64" s="2" t="s">
        <v>161</v>
      </c>
      <c r="F64" s="4"/>
      <c r="G64" s="4">
        <v>64</v>
      </c>
      <c r="H64" s="5">
        <f>IF(OR(D64="",E64="",C64=""),"",IF(COUNTIFS($D$10:D64,D64,$E$10:E64,E64,$C$10:C64,"Opening / ស្តុកដើមគ្រា")=0,"OPEN?",IF(COUNTIFS($D$10:D64,D64,$E$10:E64,E64,$C$10:C64,"Opening / ស្តុកដើមគ្រា")&gt;1,"CHECK OPEN",SUMIFS($F$10:F64,$D$10:D64,D64,$E$10:E64,E64)-SUMIFS($G$10:G64,$D$10:D64,D64,$E$10:E64,E64))))</f>
        <v>176</v>
      </c>
      <c r="I64" s="2" t="s">
        <v>163</v>
      </c>
      <c r="J64" s="2" t="s">
        <v>164</v>
      </c>
      <c r="K64" s="2">
        <v>203866</v>
      </c>
      <c r="L64" s="2" t="s">
        <v>106</v>
      </c>
      <c r="M64" s="2" t="s">
        <v>107</v>
      </c>
      <c r="N64" s="2" t="s">
        <v>123</v>
      </c>
    </row>
    <row r="65" spans="1:14" ht="29.25" customHeight="1">
      <c r="A65" s="7">
        <v>46286</v>
      </c>
      <c r="B65" s="2" t="s">
        <v>108</v>
      </c>
      <c r="C65" s="2" t="s">
        <v>21</v>
      </c>
      <c r="D65" s="2" t="s">
        <v>165</v>
      </c>
      <c r="E65" s="2" t="s">
        <v>166</v>
      </c>
      <c r="F65" s="4">
        <v>1507</v>
      </c>
      <c r="G65" s="4"/>
      <c r="H65" s="5">
        <f>IF(OR(D65="",E65="",C65=""),"",IF(COUNTIFS($D$10:D65,D65,$E$10:E65,E65,$C$10:C65,"Opening / ស្តុកដើមគ្រា")=0,"OPEN?",IF(COUNTIFS($D$10:D65,D65,$E$10:E65,E65,$C$10:C65,"Opening / ស្តុកដើមគ្រា")&gt;1,"CHECK OPEN",SUMIFS($F$10:F65,$D$10:D65,D65,$E$10:E65,E65)-SUMIFS($G$10:G65,$D$10:D65,D65,$E$10:E65,E65))))</f>
        <v>1507</v>
      </c>
      <c r="I65" s="2" t="s">
        <v>158</v>
      </c>
      <c r="J65" s="2" t="s">
        <v>25</v>
      </c>
      <c r="K65" s="2"/>
      <c r="L65" s="2" t="s">
        <v>26</v>
      </c>
      <c r="M65" s="2" t="s">
        <v>107</v>
      </c>
      <c r="N65" s="2" t="s">
        <v>123</v>
      </c>
    </row>
    <row r="66" spans="1:14" ht="29.25" customHeight="1">
      <c r="A66" s="7">
        <v>46286</v>
      </c>
      <c r="B66" s="2" t="s">
        <v>108</v>
      </c>
      <c r="C66" s="2" t="s">
        <v>27</v>
      </c>
      <c r="D66" s="2" t="s">
        <v>165</v>
      </c>
      <c r="E66" s="2" t="s">
        <v>166</v>
      </c>
      <c r="F66" s="4"/>
      <c r="G66" s="4">
        <v>223</v>
      </c>
      <c r="H66" s="5">
        <f>IF(OR(D66="",E66="",C66=""),"",IF(COUNTIFS($D$10:D66,D66,$E$10:E66,E66,$C$10:C66,"Opening / ស្តុកដើមគ្រា")=0,"OPEN?",IF(COUNTIFS($D$10:D66,D66,$E$10:E66,E66,$C$10:C66,"Opening / ស្តុកដើមគ្រា")&gt;1,"CHECK OPEN",SUMIFS($F$10:F66,$D$10:D66,D66,$E$10:E66,E66)-SUMIFS($G$10:G66,$D$10:D66,D66,$E$10:E66,E66))))</f>
        <v>1284</v>
      </c>
      <c r="I66" s="2" t="s">
        <v>158</v>
      </c>
      <c r="J66" s="2" t="s">
        <v>159</v>
      </c>
      <c r="K66" s="2">
        <v>203777</v>
      </c>
      <c r="L66" s="2" t="s">
        <v>106</v>
      </c>
      <c r="M66" s="2" t="s">
        <v>107</v>
      </c>
      <c r="N66" s="2" t="s">
        <v>123</v>
      </c>
    </row>
    <row r="67" spans="1:14" ht="29.25" customHeight="1">
      <c r="A67" s="7">
        <v>46286</v>
      </c>
      <c r="B67" s="2" t="s">
        <v>108</v>
      </c>
      <c r="C67" s="2" t="s">
        <v>21</v>
      </c>
      <c r="D67" s="2" t="s">
        <v>167</v>
      </c>
      <c r="E67" s="2" t="s">
        <v>168</v>
      </c>
      <c r="F67" s="4">
        <v>452</v>
      </c>
      <c r="G67" s="4"/>
      <c r="H67" s="5">
        <f>IF(OR(D67="",E67="",C67=""),"",IF(COUNTIFS($D$10:D67,D67,$E$10:E67,E67,$C$10:C67,"Opening / ស្តុកដើមគ្រា")=0,"OPEN?",IF(COUNTIFS($D$10:D67,D67,$E$10:E67,E67,$C$10:C67,"Opening / ស្តុកដើមគ្រា")&gt;1,"CHECK OPEN",SUMIFS($F$10:F67,$D$10:D67,D67,$E$10:E67,E67)-SUMIFS($G$10:G67,$D$10:D67,D67,$E$10:E67,E67))))</f>
        <v>452</v>
      </c>
      <c r="I67" s="2" t="s">
        <v>83</v>
      </c>
      <c r="J67" s="2" t="s">
        <v>25</v>
      </c>
      <c r="K67" s="2"/>
      <c r="L67" s="2" t="s">
        <v>26</v>
      </c>
      <c r="M67" s="2" t="s">
        <v>107</v>
      </c>
      <c r="N67" s="2" t="s">
        <v>123</v>
      </c>
    </row>
    <row r="68" spans="1:14" ht="29.25" customHeight="1">
      <c r="A68" s="7">
        <v>46286</v>
      </c>
      <c r="B68" s="2" t="s">
        <v>108</v>
      </c>
      <c r="C68" s="2" t="s">
        <v>27</v>
      </c>
      <c r="D68" s="2" t="s">
        <v>167</v>
      </c>
      <c r="E68" s="2" t="s">
        <v>168</v>
      </c>
      <c r="F68" s="4"/>
      <c r="G68" s="4">
        <v>413</v>
      </c>
      <c r="H68" s="5">
        <f>IF(OR(D68="",E68="",C68=""),"",IF(COUNTIFS($D$10:D68,D68,$E$10:E68,E68,$C$10:C68,"Opening / ស្តុកដើមគ្រា")=0,"OPEN?",IF(COUNTIFS($D$10:D68,D68,$E$10:E68,E68,$C$10:C68,"Opening / ស្តុកដើមគ្រា")&gt;1,"CHECK OPEN",SUMIFS($F$10:F68,$D$10:D68,D68,$E$10:E68,E68)-SUMIFS($G$10:G68,$D$10:D68,D68,$E$10:E68,E68))))</f>
        <v>39</v>
      </c>
      <c r="I68" s="2" t="s">
        <v>83</v>
      </c>
      <c r="J68" s="2" t="s">
        <v>169</v>
      </c>
      <c r="K68" s="2">
        <v>203777</v>
      </c>
      <c r="L68" s="2" t="s">
        <v>106</v>
      </c>
      <c r="M68" s="2" t="s">
        <v>107</v>
      </c>
      <c r="N68" s="2" t="s">
        <v>123</v>
      </c>
    </row>
    <row r="69" spans="1:14" ht="29.25" customHeight="1">
      <c r="A69" s="7">
        <v>46286</v>
      </c>
      <c r="B69" s="2" t="s">
        <v>108</v>
      </c>
      <c r="C69" s="2" t="s">
        <v>21</v>
      </c>
      <c r="D69" s="2" t="s">
        <v>170</v>
      </c>
      <c r="E69" s="2" t="s">
        <v>171</v>
      </c>
      <c r="F69" s="4">
        <v>3191</v>
      </c>
      <c r="G69" s="4"/>
      <c r="H69" s="5">
        <f>IF(OR(D69="",E69="",C69=""),"",IF(COUNTIFS($D$10:D69,D69,$E$10:E69,E69,$C$10:C69,"Opening / ស្តុកដើមគ្រា")=0,"OPEN?",IF(COUNTIFS($D$10:D69,D69,$E$10:E69,E69,$C$10:C69,"Opening / ស្តុកដើមគ្រា")&gt;1,"CHECK OPEN",SUMIFS($F$10:F69,$D$10:D69,D69,$E$10:E69,E69)-SUMIFS($G$10:G69,$D$10:D69,D69,$E$10:E69,E69))))</f>
        <v>3191</v>
      </c>
      <c r="I69" s="2" t="s">
        <v>105</v>
      </c>
      <c r="J69" s="2" t="s">
        <v>25</v>
      </c>
      <c r="K69" s="2"/>
      <c r="L69" s="2" t="s">
        <v>26</v>
      </c>
      <c r="M69" s="2" t="s">
        <v>107</v>
      </c>
      <c r="N69" s="2" t="s">
        <v>123</v>
      </c>
    </row>
    <row r="70" spans="1:14" ht="29.25" customHeight="1">
      <c r="A70" s="7">
        <v>46286</v>
      </c>
      <c r="B70" s="2" t="s">
        <v>108</v>
      </c>
      <c r="C70" s="2" t="s">
        <v>27</v>
      </c>
      <c r="D70" s="2" t="s">
        <v>170</v>
      </c>
      <c r="E70" s="2" t="s">
        <v>171</v>
      </c>
      <c r="F70" s="4"/>
      <c r="G70" s="4">
        <v>2277</v>
      </c>
      <c r="H70" s="5">
        <f>IF(OR(D70="",E70="",C70=""),"",IF(COUNTIFS($D$10:D70,D70,$E$10:E70,E70,$C$10:C70,"Opening / ស្តុកដើមគ្រា")=0,"OPEN?",IF(COUNTIFS($D$10:D70,D70,$E$10:E70,E70,$C$10:C70,"Opening / ស្តុកដើមគ្រា")&gt;1,"CHECK OPEN",SUMIFS($F$10:F70,$D$10:D70,D70,$E$10:E70,E70)-SUMIFS($G$10:G70,$D$10:D70,D70,$E$10:E70,E70))))</f>
        <v>914</v>
      </c>
      <c r="I70" s="2" t="s">
        <v>105</v>
      </c>
      <c r="J70" s="2" t="s">
        <v>172</v>
      </c>
      <c r="K70" s="2">
        <v>203597</v>
      </c>
      <c r="L70" s="2" t="s">
        <v>106</v>
      </c>
      <c r="M70" s="2" t="s">
        <v>107</v>
      </c>
      <c r="N70" s="2" t="s">
        <v>123</v>
      </c>
    </row>
    <row r="71" spans="1:14" ht="29.25" customHeight="1">
      <c r="A71" s="8"/>
      <c r="B71" s="1"/>
      <c r="C71" s="1"/>
      <c r="D71" s="1"/>
      <c r="E71" s="1"/>
      <c r="F71" s="6"/>
      <c r="G71" s="14">
        <f>SUM(G62:G70)</f>
        <v>3128</v>
      </c>
      <c r="H71" s="5"/>
      <c r="I71" s="1"/>
      <c r="J71" s="1"/>
      <c r="K71" s="1"/>
      <c r="L71" s="1"/>
      <c r="M71" s="1"/>
      <c r="N71" s="1"/>
    </row>
    <row r="72" spans="1:14" ht="29.25" customHeight="1">
      <c r="A72" s="7">
        <v>46287</v>
      </c>
      <c r="B72" s="2" t="s">
        <v>108</v>
      </c>
      <c r="C72" s="2" t="s">
        <v>21</v>
      </c>
      <c r="D72" s="2" t="s">
        <v>22</v>
      </c>
      <c r="E72" s="2" t="s">
        <v>173</v>
      </c>
      <c r="F72" s="4">
        <v>22363</v>
      </c>
      <c r="G72" s="4"/>
      <c r="H72" s="5">
        <f>IF(OR(D72="",E72="",C72=""),"",IF(COUNTIFS($D$10:D72,D72,$E$10:E72,E72,$C$10:C72,"Opening / ស្តុកដើមគ្រា")=0,"OPEN?",IF(COUNTIFS($D$10:D72,D72,$E$10:E72,E72,$C$10:C72,"Opening / ស្តុកដើមគ្រា")&gt;1,"CHECK OPEN",SUMIFS($F$10:F72,$D$10:D72,D72,$E$10:E72,E72)-SUMIFS($G$10:G72,$D$10:D72,D72,$E$10:E72,E72))))</f>
        <v>22363</v>
      </c>
      <c r="I72" s="2" t="s">
        <v>24</v>
      </c>
      <c r="J72" s="2" t="s">
        <v>25</v>
      </c>
      <c r="K72" s="2"/>
      <c r="L72" s="2" t="s">
        <v>26</v>
      </c>
      <c r="M72" s="2" t="s">
        <v>107</v>
      </c>
      <c r="N72" s="2" t="s">
        <v>123</v>
      </c>
    </row>
    <row r="73" spans="1:14" ht="29.25" customHeight="1">
      <c r="A73" s="7">
        <v>46287</v>
      </c>
      <c r="B73" s="2" t="s">
        <v>108</v>
      </c>
      <c r="C73" s="2" t="s">
        <v>27</v>
      </c>
      <c r="D73" s="2" t="s">
        <v>22</v>
      </c>
      <c r="E73" s="2" t="s">
        <v>173</v>
      </c>
      <c r="F73" s="4"/>
      <c r="G73" s="4">
        <v>952</v>
      </c>
      <c r="H73" s="5">
        <f>IF(OR(D73="",E73="",C73=""),"",IF(COUNTIFS($D$10:D73,D73,$E$10:E73,E73,$C$10:C73,"Opening / ស្តុកដើមគ្រា")=0,"OPEN?",IF(COUNTIFS($D$10:D73,D73,$E$10:E73,E73,$C$10:C73,"Opening / ស្តុកដើមគ្រា")&gt;1,"CHECK OPEN",SUMIFS($F$10:F73,$D$10:D73,D73,$E$10:E73,E73)-SUMIFS($G$10:G73,$D$10:D73,D73,$E$10:E73,E73))))</f>
        <v>21411</v>
      </c>
      <c r="I73" s="2" t="s">
        <v>24</v>
      </c>
      <c r="J73" s="2" t="s">
        <v>174</v>
      </c>
      <c r="K73" s="12" t="s">
        <v>175</v>
      </c>
      <c r="L73" s="2" t="s">
        <v>106</v>
      </c>
      <c r="M73" s="2" t="s">
        <v>107</v>
      </c>
      <c r="N73" s="2" t="s">
        <v>123</v>
      </c>
    </row>
    <row r="74" spans="1:14" ht="29.25" customHeight="1">
      <c r="A74" s="7">
        <v>46287</v>
      </c>
      <c r="B74" s="2" t="s">
        <v>108</v>
      </c>
      <c r="C74" s="2" t="s">
        <v>21</v>
      </c>
      <c r="D74" s="2" t="s">
        <v>65</v>
      </c>
      <c r="E74" s="2" t="s">
        <v>183</v>
      </c>
      <c r="F74" s="4">
        <v>22826</v>
      </c>
      <c r="G74" s="4"/>
      <c r="H74" s="5">
        <f>IF(OR(D74="",E74="",C74=""),"",IF(COUNTIFS($D$10:D74,D74,$E$10:E74,E74,$C$10:C74,"Opening / ស្តុកដើមគ្រា")=0,"OPEN?",IF(COUNTIFS($D$10:D74,D74,$E$10:E74,E74,$C$10:C74,"Opening / ស្តុកដើមគ្រា")&gt;1,"CHECK OPEN",SUMIFS($F$10:F74,$D$10:D74,D74,$E$10:E74,E74)-SUMIFS($G$10:G74,$D$10:D74,D74,$E$10:E74,E74))))</f>
        <v>22826</v>
      </c>
      <c r="I74" s="2" t="s">
        <v>176</v>
      </c>
      <c r="J74" s="2" t="s">
        <v>25</v>
      </c>
      <c r="K74" s="12"/>
      <c r="L74" s="2" t="s">
        <v>26</v>
      </c>
      <c r="M74" s="2" t="s">
        <v>107</v>
      </c>
      <c r="N74" s="2" t="s">
        <v>123</v>
      </c>
    </row>
    <row r="75" spans="1:14" ht="29.25" customHeight="1">
      <c r="A75" s="7">
        <v>46287</v>
      </c>
      <c r="B75" s="2" t="s">
        <v>108</v>
      </c>
      <c r="C75" s="2" t="s">
        <v>27</v>
      </c>
      <c r="D75" s="2" t="s">
        <v>65</v>
      </c>
      <c r="E75" s="2" t="s">
        <v>183</v>
      </c>
      <c r="F75" s="4"/>
      <c r="G75" s="4">
        <v>431</v>
      </c>
      <c r="H75" s="5">
        <f>IF(OR(D75="",E75="",C75=""),"",IF(COUNTIFS($D$10:D75,D75,$E$10:E75,E75,$C$10:C75,"Opening / ស្តុកដើមគ្រា")=0,"OPEN?",IF(COUNTIFS($D$10:D75,D75,$E$10:E75,E75,$C$10:C75,"Opening / ស្តុកដើមគ្រា")&gt;1,"CHECK OPEN",SUMIFS($F$10:F75,$D$10:D75,D75,$E$10:E75,E75)-SUMIFS($G$10:G75,$D$10:D75,D75,$E$10:E75,E75))))</f>
        <v>22395</v>
      </c>
      <c r="I75" s="2" t="s">
        <v>176</v>
      </c>
      <c r="J75" s="2" t="s">
        <v>177</v>
      </c>
      <c r="K75" s="12" t="s">
        <v>178</v>
      </c>
      <c r="L75" s="2" t="s">
        <v>106</v>
      </c>
      <c r="M75" s="2" t="s">
        <v>107</v>
      </c>
      <c r="N75" s="2" t="s">
        <v>123</v>
      </c>
    </row>
    <row r="76" spans="1:14" ht="29.25" customHeight="1">
      <c r="A76" s="7">
        <v>46287</v>
      </c>
      <c r="B76" s="2" t="s">
        <v>108</v>
      </c>
      <c r="C76" s="2" t="s">
        <v>21</v>
      </c>
      <c r="D76" s="2" t="s">
        <v>179</v>
      </c>
      <c r="E76" s="2" t="s">
        <v>182</v>
      </c>
      <c r="F76" s="4">
        <v>830</v>
      </c>
      <c r="G76" s="4"/>
      <c r="H76" s="5">
        <f>IF(OR(D76="",E76="",C76=""),"",IF(COUNTIFS($D$10:D76,D76,$E$10:E76,E76,$C$10:C76,"Opening / ស្តុកដើមគ្រា")=0,"OPEN?",IF(COUNTIFS($D$10:D76,D76,$E$10:E76,E76,$C$10:C76,"Opening / ស្តុកដើមគ្រា")&gt;1,"CHECK OPEN",SUMIFS($F$10:F76,$D$10:D76,D76,$E$10:E76,E76)-SUMIFS($G$10:G76,$D$10:D76,D76,$E$10:E76,E76))))</f>
        <v>830</v>
      </c>
      <c r="I76" s="2" t="s">
        <v>180</v>
      </c>
      <c r="J76" s="2" t="s">
        <v>25</v>
      </c>
      <c r="K76" s="2"/>
      <c r="L76" s="2" t="s">
        <v>26</v>
      </c>
      <c r="M76" s="2" t="s">
        <v>107</v>
      </c>
      <c r="N76" s="2" t="s">
        <v>123</v>
      </c>
    </row>
    <row r="77" spans="1:14" ht="29.25" customHeight="1">
      <c r="A77" s="7">
        <v>46287</v>
      </c>
      <c r="B77" s="2" t="s">
        <v>108</v>
      </c>
      <c r="C77" s="2" t="s">
        <v>27</v>
      </c>
      <c r="D77" s="2" t="s">
        <v>179</v>
      </c>
      <c r="E77" s="2" t="s">
        <v>182</v>
      </c>
      <c r="F77" s="4"/>
      <c r="G77" s="4">
        <v>106</v>
      </c>
      <c r="H77" s="5">
        <f>IF(OR(D77="",E77="",C77=""),"",IF(COUNTIFS($D$10:D77,D77,$E$10:E77,E77,$C$10:C77,"Opening / ស្តុកដើមគ្រា")=0,"OPEN?",IF(COUNTIFS($D$10:D77,D77,$E$10:E77,E77,$C$10:C77,"Opening / ស្តុកដើមគ្រា")&gt;1,"CHECK OPEN",SUMIFS($F$10:F77,$D$10:D77,D77,$E$10:E77,E77)-SUMIFS($G$10:G77,$D$10:D77,D77,$E$10:E77,E77))))</f>
        <v>724</v>
      </c>
      <c r="I77" s="2" t="s">
        <v>180</v>
      </c>
      <c r="J77" s="2" t="s">
        <v>181</v>
      </c>
      <c r="K77" s="12" t="s">
        <v>178</v>
      </c>
      <c r="L77" s="2" t="s">
        <v>106</v>
      </c>
      <c r="M77" s="2" t="s">
        <v>107</v>
      </c>
      <c r="N77" s="2" t="s">
        <v>123</v>
      </c>
    </row>
    <row r="78" spans="1:14" ht="29.25" customHeight="1">
      <c r="A78" s="7">
        <v>46287</v>
      </c>
      <c r="B78" s="2" t="s">
        <v>108</v>
      </c>
      <c r="C78" s="2" t="s">
        <v>21</v>
      </c>
      <c r="D78" s="2" t="s">
        <v>184</v>
      </c>
      <c r="E78" s="2" t="s">
        <v>186</v>
      </c>
      <c r="F78" s="4">
        <v>484</v>
      </c>
      <c r="G78" s="4"/>
      <c r="H78" s="5">
        <f>IF(OR(D78="",E78="",C78=""),"",IF(COUNTIFS($D$10:D78,D78,$E$10:E78,E78,$C$10:C78,"Opening / ស្តុកដើមគ្រា")=0,"OPEN?",IF(COUNTIFS($D$10:D78,D78,$E$10:E78,E78,$C$10:C78,"Opening / ស្តុកដើមគ្រា")&gt;1,"CHECK OPEN",SUMIFS($F$10:F78,$D$10:D78,D78,$E$10:E78,E78)-SUMIFS($G$10:G78,$D$10:D78,D78,$E$10:E78,E78))))</f>
        <v>484</v>
      </c>
      <c r="I78" s="2" t="s">
        <v>187</v>
      </c>
      <c r="J78" s="2" t="s">
        <v>25</v>
      </c>
      <c r="K78" s="2"/>
      <c r="L78" s="2" t="s">
        <v>26</v>
      </c>
      <c r="M78" s="2" t="s">
        <v>107</v>
      </c>
      <c r="N78" s="2" t="s">
        <v>123</v>
      </c>
    </row>
    <row r="79" spans="1:14" ht="29.25" customHeight="1">
      <c r="A79" s="7">
        <v>46287</v>
      </c>
      <c r="B79" s="2" t="s">
        <v>108</v>
      </c>
      <c r="C79" s="2" t="s">
        <v>27</v>
      </c>
      <c r="D79" s="2" t="s">
        <v>184</v>
      </c>
      <c r="E79" s="2" t="s">
        <v>186</v>
      </c>
      <c r="F79" s="4"/>
      <c r="G79" s="4">
        <v>222</v>
      </c>
      <c r="H79" s="5">
        <f>IF(OR(D79="",E79="",C79=""),"",IF(COUNTIFS($D$10:D79,D79,$E$10:E79,E79,$C$10:C79,"Opening / ស្តុកដើមគ្រា")=0,"OPEN?",IF(COUNTIFS($D$10:D79,D79,$E$10:E79,E79,$C$10:C79,"Opening / ស្តុកដើមគ្រា")&gt;1,"CHECK OPEN",SUMIFS($F$10:F79,$D$10:D79,D79,$E$10:E79,E79)-SUMIFS($G$10:G79,$D$10:D79,D79,$E$10:E79,E79))))</f>
        <v>262</v>
      </c>
      <c r="I79" s="2" t="s">
        <v>187</v>
      </c>
      <c r="J79" s="2" t="s">
        <v>185</v>
      </c>
      <c r="K79" s="12" t="s">
        <v>175</v>
      </c>
      <c r="L79" s="2" t="s">
        <v>106</v>
      </c>
      <c r="M79" s="2" t="s">
        <v>107</v>
      </c>
      <c r="N79" s="2" t="s">
        <v>123</v>
      </c>
    </row>
    <row r="80" spans="1:14" ht="29.25" customHeight="1">
      <c r="A80" s="8"/>
      <c r="B80" s="1"/>
      <c r="C80" s="1"/>
      <c r="D80" s="1"/>
      <c r="E80" s="1"/>
      <c r="F80" s="6"/>
      <c r="G80" s="14">
        <f>SUM(G73:G79)</f>
        <v>1711</v>
      </c>
      <c r="H80" s="5" t="str">
        <f>IF(OR(D80="",E80="",C80=""),"",IF(COUNTIFS($D$10:D80,D80,$E$10:E80,E80,$C$10:C80,"Opening / ស្តុកដើមគ្រា")=0,"OPEN?",IF(COUNTIFS($D$10:D80,D80,$E$10:E80,E80,$C$10:C80,"Opening / ស្តុកដើមគ្រា")&gt;1,"CHECK OPEN",SUMIFS($F$10:F80,$D$10:D80,D80,$E$10:E80,E80)-SUMIFS($G$10:G80,$D$10:D80,D80,$E$10:E80,E80))))</f>
        <v/>
      </c>
      <c r="I80" s="1"/>
      <c r="J80" s="1"/>
      <c r="K80" s="1"/>
      <c r="L80" s="1"/>
      <c r="M80" s="1"/>
      <c r="N80" s="1"/>
    </row>
    <row r="81" spans="1:14" ht="29.25" customHeight="1">
      <c r="A81" s="7">
        <v>46288</v>
      </c>
      <c r="B81" s="2" t="s">
        <v>108</v>
      </c>
      <c r="C81" s="2" t="s">
        <v>21</v>
      </c>
      <c r="D81" s="2" t="s">
        <v>188</v>
      </c>
      <c r="E81" s="2" t="s">
        <v>189</v>
      </c>
      <c r="F81" s="4">
        <v>417</v>
      </c>
      <c r="G81" s="4"/>
      <c r="H81" s="5">
        <f>IF(OR(D81="",E81="",C81=""),"",IF(COUNTIFS($D$10:D81,D81,$E$10:E81,E81,$C$10:C81,"Opening / ស្តុកដើមគ្រា")=0,"OPEN?",IF(COUNTIFS($D$10:D81,D81,$E$10:E81,E81,$C$10:C81,"Opening / ស្តុកដើមគ្រា")&gt;1,"CHECK OPEN",SUMIFS($F$10:F81,$D$10:D81,D81,$E$10:E81,E81)-SUMIFS($G$10:G81,$D$10:D81,D81,$E$10:E81,E81))))</f>
        <v>417</v>
      </c>
      <c r="I81" s="2" t="s">
        <v>137</v>
      </c>
      <c r="J81" s="2" t="s">
        <v>25</v>
      </c>
      <c r="K81" s="2"/>
      <c r="L81" s="2" t="s">
        <v>26</v>
      </c>
      <c r="M81" s="2" t="s">
        <v>107</v>
      </c>
      <c r="N81" s="2" t="s">
        <v>123</v>
      </c>
    </row>
    <row r="82" spans="1:14" ht="29.25" customHeight="1">
      <c r="A82" s="7">
        <v>46288</v>
      </c>
      <c r="B82" s="2" t="s">
        <v>108</v>
      </c>
      <c r="C82" s="2" t="s">
        <v>27</v>
      </c>
      <c r="D82" s="2" t="s">
        <v>188</v>
      </c>
      <c r="E82" s="2" t="s">
        <v>189</v>
      </c>
      <c r="F82" s="4"/>
      <c r="G82" s="4">
        <v>84</v>
      </c>
      <c r="H82" s="5">
        <f>IF(OR(D82="",E82="",C82=""),"",IF(COUNTIFS($D$10:D82,D82,$E$10:E82,E82,$C$10:C82,"Opening / ស្តុកដើមគ្រា")=0,"OPEN?",IF(COUNTIFS($D$10:D82,D82,$E$10:E82,E82,$C$10:C82,"Opening / ស្តុកដើមគ្រា")&gt;1,"CHECK OPEN",SUMIFS($F$10:F82,$D$10:D82,D82,$E$10:E82,E82)-SUMIFS($G$10:G82,$D$10:D82,D82,$E$10:E82,E82))))</f>
        <v>333</v>
      </c>
      <c r="I82" s="2" t="s">
        <v>137</v>
      </c>
      <c r="J82" s="2" t="s">
        <v>190</v>
      </c>
      <c r="K82" s="12" t="s">
        <v>191</v>
      </c>
      <c r="L82" s="2" t="s">
        <v>106</v>
      </c>
      <c r="M82" s="2" t="s">
        <v>107</v>
      </c>
      <c r="N82" s="2" t="s">
        <v>123</v>
      </c>
    </row>
    <row r="83" spans="1:14" ht="29.25" customHeight="1">
      <c r="A83" s="7">
        <v>46288</v>
      </c>
      <c r="B83" s="2" t="s">
        <v>108</v>
      </c>
      <c r="C83" s="2" t="s">
        <v>21</v>
      </c>
      <c r="D83" s="2" t="s">
        <v>192</v>
      </c>
      <c r="E83" s="2" t="s">
        <v>193</v>
      </c>
      <c r="F83" s="4">
        <v>223</v>
      </c>
      <c r="G83" s="4"/>
      <c r="H83" s="5">
        <f>IF(OR(D83="",E83="",C83=""),"",IF(COUNTIFS($D$10:D83,D83,$E$10:E83,E83,$C$10:C83,"Opening / ស្តុកដើមគ្រា")=0,"OPEN?",IF(COUNTIFS($D$10:D83,D83,$E$10:E83,E83,$C$10:C83,"Opening / ស្តុកដើមគ្រា")&gt;1,"CHECK OPEN",SUMIFS($F$10:F83,$D$10:D83,D83,$E$10:E83,E83)-SUMIFS($G$10:G83,$D$10:D83,D83,$E$10:E83,E83))))</f>
        <v>223</v>
      </c>
      <c r="I83" s="2" t="s">
        <v>199</v>
      </c>
      <c r="J83" s="2" t="s">
        <v>25</v>
      </c>
      <c r="K83" s="12"/>
      <c r="L83" s="2" t="s">
        <v>26</v>
      </c>
      <c r="M83" s="2" t="s">
        <v>107</v>
      </c>
      <c r="N83" s="2" t="s">
        <v>123</v>
      </c>
    </row>
    <row r="84" spans="1:14" ht="29.25" customHeight="1">
      <c r="A84" s="7">
        <v>46288</v>
      </c>
      <c r="B84" s="2" t="s">
        <v>108</v>
      </c>
      <c r="C84" s="2" t="s">
        <v>27</v>
      </c>
      <c r="D84" s="2" t="s">
        <v>192</v>
      </c>
      <c r="E84" s="2" t="s">
        <v>193</v>
      </c>
      <c r="F84" s="4"/>
      <c r="G84" s="4">
        <v>165</v>
      </c>
      <c r="H84" s="5">
        <f>IF(OR(D84="",E84="",C84=""),"",IF(COUNTIFS($D$10:D84,D84,$E$10:E84,E84,$C$10:C84,"Opening / ស្តុកដើមគ្រា")=0,"OPEN?",IF(COUNTIFS($D$10:D84,D84,$E$10:E84,E84,$C$10:C84,"Opening / ស្តុកដើមគ្រា")&gt;1,"CHECK OPEN",SUMIFS($F$10:F84,$D$10:D84,D84,$E$10:E84,E84)-SUMIFS($G$10:G84,$D$10:D84,D84,$E$10:E84,E84))))</f>
        <v>58</v>
      </c>
      <c r="I84" s="2" t="s">
        <v>199</v>
      </c>
      <c r="J84" s="2" t="s">
        <v>194</v>
      </c>
      <c r="K84" s="11">
        <v>5474</v>
      </c>
      <c r="L84" s="2" t="s">
        <v>106</v>
      </c>
      <c r="M84" s="2" t="s">
        <v>107</v>
      </c>
      <c r="N84" s="2" t="s">
        <v>123</v>
      </c>
    </row>
    <row r="85" spans="1:14" ht="29.25" customHeight="1">
      <c r="A85" s="7">
        <v>46288</v>
      </c>
      <c r="B85" s="2" t="s">
        <v>108</v>
      </c>
      <c r="C85" s="2" t="s">
        <v>21</v>
      </c>
      <c r="D85" s="2" t="s">
        <v>195</v>
      </c>
      <c r="E85" s="2" t="s">
        <v>196</v>
      </c>
      <c r="F85" s="4">
        <v>647</v>
      </c>
      <c r="G85" s="4"/>
      <c r="H85" s="5">
        <f>IF(OR(D85="",E85="",C85=""),"",IF(COUNTIFS($D$10:D85,D85,$E$10:E85,E85,$C$10:C85,"Opening / ស្តុកដើមគ្រា")=0,"OPEN?",IF(COUNTIFS($D$10:D85,D85,$E$10:E85,E85,$C$10:C85,"Opening / ស្តុកដើមគ្រា")&gt;1,"CHECK OPEN",SUMIFS($F$10:F85,$D$10:D85,D85,$E$10:E85,E85)-SUMIFS($G$10:G85,$D$10:D85,D85,$E$10:E85,E85))))</f>
        <v>647</v>
      </c>
      <c r="I85" s="2" t="s">
        <v>197</v>
      </c>
      <c r="J85" s="2" t="s">
        <v>25</v>
      </c>
      <c r="K85" s="2"/>
      <c r="L85" s="2" t="s">
        <v>26</v>
      </c>
      <c r="M85" s="2" t="s">
        <v>107</v>
      </c>
      <c r="N85" s="2" t="s">
        <v>123</v>
      </c>
    </row>
    <row r="86" spans="1:14" ht="29.25" customHeight="1">
      <c r="A86" s="7">
        <v>46288</v>
      </c>
      <c r="B86" s="2" t="s">
        <v>108</v>
      </c>
      <c r="C86" s="2" t="s">
        <v>27</v>
      </c>
      <c r="D86" s="2" t="s">
        <v>195</v>
      </c>
      <c r="E86" s="2" t="s">
        <v>196</v>
      </c>
      <c r="F86" s="4"/>
      <c r="G86" s="4">
        <v>204</v>
      </c>
      <c r="H86" s="5">
        <f>IF(OR(D86="",E86="",C86=""),"",IF(COUNTIFS($D$10:D86,D86,$E$10:E86,E86,$C$10:C86,"Opening / ស្តុកដើមគ្រា")=0,"OPEN?",IF(COUNTIFS($D$10:D86,D86,$E$10:E86,E86,$C$10:C86,"Opening / ស្តុកដើមគ្រា")&gt;1,"CHECK OPEN",SUMIFS($F$10:F86,$D$10:D86,D86,$E$10:E86,E86)-SUMIFS($G$10:G86,$D$10:D86,D86,$E$10:E86,E86))))</f>
        <v>443</v>
      </c>
      <c r="I86" s="2" t="s">
        <v>197</v>
      </c>
      <c r="J86" s="2" t="s">
        <v>198</v>
      </c>
      <c r="K86" s="12">
        <v>203777</v>
      </c>
      <c r="L86" s="2" t="s">
        <v>106</v>
      </c>
      <c r="M86" s="2" t="s">
        <v>107</v>
      </c>
      <c r="N86" s="2" t="s">
        <v>123</v>
      </c>
    </row>
    <row r="87" spans="1:14" ht="29.25" customHeight="1">
      <c r="A87" s="8"/>
      <c r="B87" s="1"/>
      <c r="C87" s="1"/>
      <c r="D87" s="1"/>
      <c r="E87" s="1"/>
      <c r="F87" s="6"/>
      <c r="G87" s="14">
        <f>SUM(G82:G86)</f>
        <v>453</v>
      </c>
      <c r="H87" s="5" t="str">
        <f>IF(OR(D87="",E87="",C87=""),"",IF(COUNTIFS($D$10:D87,D87,$E$10:E87,E87,$C$10:C87,"Opening / ស្តុកដើមគ្រា")=0,"OPEN?",IF(COUNTIFS($D$10:D87,D87,$E$10:E87,E87,$C$10:C87,"Opening / ស្តុកដើមគ្រា")&gt;1,"CHECK OPEN",SUMIFS($F$10:F87,$D$10:D87,D87,$E$10:E87,E87)-SUMIFS($G$10:G87,$D$10:D87,D87,$E$10:E87,E87))))</f>
        <v/>
      </c>
      <c r="I87" s="1"/>
      <c r="J87" s="1"/>
      <c r="K87" s="1"/>
      <c r="L87" s="1"/>
      <c r="M87" s="1"/>
      <c r="N87" s="1"/>
    </row>
    <row r="88" spans="1:14" ht="29.25" customHeight="1">
      <c r="A88" s="8"/>
      <c r="B88" s="1"/>
      <c r="C88" s="1"/>
      <c r="D88" s="1"/>
      <c r="E88" s="1"/>
      <c r="F88" s="6"/>
      <c r="G88" s="6"/>
      <c r="H88" s="5" t="str">
        <f>IF(OR(D88="",E88="",C88=""),"",IF(COUNTIFS($D$10:D88,D88,$E$10:E88,E88,$C$10:C88,"Opening / ស្តុកដើមគ្រា")=0,"OPEN?",IF(COUNTIFS($D$10:D88,D88,$E$10:E88,E88,$C$10:C88,"Opening / ស្តុកដើមគ្រា")&gt;1,"CHECK OPEN",SUMIFS($F$10:F88,$D$10:D88,D88,$E$10:E88,E88)-SUMIFS($G$10:G88,$D$10:D88,D88,$E$10:E88,E88))))</f>
        <v/>
      </c>
      <c r="I88" s="1"/>
      <c r="J88" s="1"/>
      <c r="K88" s="1"/>
      <c r="L88" s="1"/>
      <c r="M88" s="1"/>
      <c r="N88" s="1"/>
    </row>
    <row r="89" spans="1:14" ht="29.25" customHeight="1">
      <c r="A89" s="8"/>
      <c r="B89" s="1"/>
      <c r="C89" s="1"/>
      <c r="D89" s="1"/>
      <c r="E89" s="1"/>
      <c r="F89" s="6"/>
      <c r="G89" s="6"/>
      <c r="H89" s="5" t="str">
        <f>IF(OR(D89="",E89="",C89=""),"",IF(COUNTIFS($D$10:D89,D89,$E$10:E89,E89,$C$10:C89,"Opening / ស្តុកដើមគ្រា")=0,"OPEN?",IF(COUNTIFS($D$10:D89,D89,$E$10:E89,E89,$C$10:C89,"Opening / ស្តុកដើមគ្រា")&gt;1,"CHECK OPEN",SUMIFS($F$10:F89,$D$10:D89,D89,$E$10:E89,E89)-SUMIFS($G$10:G89,$D$10:D89,D89,$E$10:E89,E89))))</f>
        <v/>
      </c>
      <c r="I89" s="1"/>
      <c r="J89" s="1"/>
      <c r="K89" s="1"/>
      <c r="L89" s="1"/>
      <c r="M89" s="1"/>
      <c r="N89" s="1"/>
    </row>
    <row r="90" spans="1:14" ht="29.25" customHeight="1">
      <c r="A90" s="8"/>
      <c r="B90" s="1"/>
      <c r="C90" s="1"/>
      <c r="D90" s="1"/>
      <c r="E90" s="1"/>
      <c r="F90" s="6"/>
      <c r="G90" s="6"/>
      <c r="H90" s="5" t="str">
        <f>IF(OR(D90="",E90="",C90=""),"",IF(COUNTIFS($D$10:D90,D90,$E$10:E90,E90,$C$10:C90,"Opening / ស្តុកដើមគ្រា")=0,"OPEN?",IF(COUNTIFS($D$10:D90,D90,$E$10:E90,E90,$C$10:C90,"Opening / ស្តុកដើមគ្រា")&gt;1,"CHECK OPEN",SUMIFS($F$10:F90,$D$10:D90,D90,$E$10:E90,E90)-SUMIFS($G$10:G90,$D$10:D90,D90,$E$10:E90,E90))))</f>
        <v/>
      </c>
      <c r="I90" s="1"/>
      <c r="J90" s="1"/>
      <c r="K90" s="1"/>
      <c r="L90" s="1"/>
      <c r="M90" s="1"/>
      <c r="N90" s="1"/>
    </row>
    <row r="91" spans="1:14" ht="29.25" customHeight="1">
      <c r="A91" s="8"/>
      <c r="B91" s="1"/>
      <c r="C91" s="1"/>
      <c r="D91" s="1"/>
      <c r="E91" s="1"/>
      <c r="F91" s="6"/>
      <c r="G91" s="6"/>
      <c r="H91" s="5" t="str">
        <f>IF(OR(D91="",E91="",C91=""),"",IF(COUNTIFS($D$10:D91,D91,$E$10:E91,E91,$C$10:C91,"Opening / ស្តុកដើមគ្រា")=0,"OPEN?",IF(COUNTIFS($D$10:D91,D91,$E$10:E91,E91,$C$10:C91,"Opening / ស្តុកដើមគ្រា")&gt;1,"CHECK OPEN",SUMIFS($F$10:F91,$D$10:D91,D91,$E$10:E91,E91)-SUMIFS($G$10:G91,$D$10:D91,D91,$E$10:E91,E91))))</f>
        <v/>
      </c>
      <c r="I91" s="1"/>
      <c r="J91" s="1"/>
      <c r="K91" s="1"/>
      <c r="L91" s="1"/>
      <c r="M91" s="1"/>
      <c r="N91" s="1"/>
    </row>
    <row r="92" spans="1:14" ht="29.25" customHeight="1">
      <c r="A92" s="8"/>
      <c r="B92" s="1"/>
      <c r="C92" s="1"/>
      <c r="D92" s="1"/>
      <c r="E92" s="1"/>
      <c r="F92" s="6"/>
      <c r="G92" s="6"/>
      <c r="H92" s="5" t="str">
        <f>IF(OR(D92="",E92="",C92=""),"",IF(COUNTIFS($D$10:D92,D92,$E$10:E92,E92,$C$10:C92,"Opening / ស្តុកដើមគ្រា")=0,"OPEN?",IF(COUNTIFS($D$10:D92,D92,$E$10:E92,E92,$C$10:C92,"Opening / ស្តុកដើមគ្រា")&gt;1,"CHECK OPEN",SUMIFS($F$10:F92,$D$10:D92,D92,$E$10:E92,E92)-SUMIFS($G$10:G92,$D$10:D92,D92,$E$10:E92,E92))))</f>
        <v/>
      </c>
      <c r="I92" s="1"/>
      <c r="J92" s="1"/>
      <c r="K92" s="1"/>
      <c r="L92" s="1"/>
      <c r="M92" s="1"/>
      <c r="N92" s="1"/>
    </row>
    <row r="93" spans="1:14" ht="29.25" customHeight="1">
      <c r="A93" s="8"/>
      <c r="B93" s="1"/>
      <c r="C93" s="1"/>
      <c r="D93" s="1"/>
      <c r="E93" s="1"/>
      <c r="F93" s="6"/>
      <c r="G93" s="6"/>
      <c r="H93" s="5" t="str">
        <f>IF(OR(D93="",E93="",C93=""),"",IF(COUNTIFS($D$10:D93,D93,$E$10:E93,E93,$C$10:C93,"Opening / ស្តុកដើមគ្រា")=0,"OPEN?",IF(COUNTIFS($D$10:D93,D93,$E$10:E93,E93,$C$10:C93,"Opening / ស្តុកដើមគ្រា")&gt;1,"CHECK OPEN",SUMIFS($F$10:F93,$D$10:D93,D93,$E$10:E93,E93)-SUMIFS($G$10:G93,$D$10:D93,D93,$E$10:E93,E93))))</f>
        <v/>
      </c>
      <c r="I93" s="1"/>
      <c r="J93" s="1"/>
      <c r="K93" s="1"/>
      <c r="L93" s="1"/>
      <c r="M93" s="1"/>
      <c r="N93" s="1"/>
    </row>
    <row r="94" spans="1:14" ht="29.25" customHeight="1">
      <c r="A94" s="8"/>
      <c r="B94" s="1"/>
      <c r="C94" s="1"/>
      <c r="D94" s="1"/>
      <c r="E94" s="1"/>
      <c r="F94" s="6"/>
      <c r="G94" s="6"/>
      <c r="H94" s="5" t="str">
        <f>IF(OR(D94="",E94="",C94=""),"",IF(COUNTIFS($D$10:D94,D94,$E$10:E94,E94,$C$10:C94,"Opening / ស្តុកដើមគ្រា")=0,"OPEN?",IF(COUNTIFS($D$10:D94,D94,$E$10:E94,E94,$C$10:C94,"Opening / ស្តុកដើមគ្រា")&gt;1,"CHECK OPEN",SUMIFS($F$10:F94,$D$10:D94,D94,$E$10:E94,E94)-SUMIFS($G$10:G94,$D$10:D94,D94,$E$10:E94,E94))))</f>
        <v/>
      </c>
      <c r="I94" s="1"/>
      <c r="J94" s="1"/>
      <c r="K94" s="1"/>
      <c r="L94" s="1"/>
      <c r="M94" s="1"/>
      <c r="N94" s="1"/>
    </row>
    <row r="95" spans="1:14" ht="29.25" customHeight="1">
      <c r="A95" s="8"/>
      <c r="B95" s="1"/>
      <c r="C95" s="1"/>
      <c r="D95" s="1"/>
      <c r="E95" s="1"/>
      <c r="F95" s="6"/>
      <c r="G95" s="6"/>
      <c r="H95" s="5" t="str">
        <f>IF(OR(D95="",E95="",C95=""),"",IF(COUNTIFS($D$10:D95,D95,$E$10:E95,E95,$C$10:C95,"Opening / ស្តុកដើមគ្រា")=0,"OPEN?",IF(COUNTIFS($D$10:D95,D95,$E$10:E95,E95,$C$10:C95,"Opening / ស្តុកដើមគ្រា")&gt;1,"CHECK OPEN",SUMIFS($F$10:F95,$D$10:D95,D95,$E$10:E95,E95)-SUMIFS($G$10:G95,$D$10:D95,D95,$E$10:E95,E95))))</f>
        <v/>
      </c>
      <c r="I95" s="1"/>
      <c r="J95" s="1"/>
      <c r="K95" s="1"/>
      <c r="L95" s="1"/>
      <c r="M95" s="1"/>
      <c r="N95" s="1"/>
    </row>
    <row r="96" spans="1:14" ht="29.25" customHeight="1">
      <c r="A96" s="8"/>
      <c r="B96" s="1"/>
      <c r="C96" s="1"/>
      <c r="D96" s="1"/>
      <c r="E96" s="1"/>
      <c r="F96" s="6"/>
      <c r="G96" s="6"/>
      <c r="H96" s="5" t="str">
        <f>IF(OR(D96="",E96="",C96=""),"",IF(COUNTIFS($D$10:D96,D96,$E$10:E96,E96,$C$10:C96,"Opening / ស្តុកដើមគ្រា")=0,"OPEN?",IF(COUNTIFS($D$10:D96,D96,$E$10:E96,E96,$C$10:C96,"Opening / ស្តុកដើមគ្រា")&gt;1,"CHECK OPEN",SUMIFS($F$10:F96,$D$10:D96,D96,$E$10:E96,E96)-SUMIFS($G$10:G96,$D$10:D96,D96,$E$10:E96,E96))))</f>
        <v/>
      </c>
      <c r="I96" s="1"/>
      <c r="J96" s="1"/>
      <c r="K96" s="1"/>
      <c r="L96" s="1"/>
      <c r="M96" s="1"/>
      <c r="N96" s="1"/>
    </row>
    <row r="97" spans="1:14" ht="29.25" customHeight="1">
      <c r="A97" s="8"/>
      <c r="B97" s="1"/>
      <c r="C97" s="1"/>
      <c r="D97" s="1"/>
      <c r="E97" s="1"/>
      <c r="F97" s="6"/>
      <c r="G97" s="6"/>
      <c r="H97" s="5" t="str">
        <f>IF(OR(D97="",E97="",C97=""),"",IF(COUNTIFS($D$10:D97,D97,$E$10:E97,E97,$C$10:C97,"Opening / ស្តុកដើមគ្រា")=0,"OPEN?",IF(COUNTIFS($D$10:D97,D97,$E$10:E97,E97,$C$10:C97,"Opening / ស្តុកដើមគ្រា")&gt;1,"CHECK OPEN",SUMIFS($F$10:F97,$D$10:D97,D97,$E$10:E97,E97)-SUMIFS($G$10:G97,$D$10:D97,D97,$E$10:E97,E97))))</f>
        <v/>
      </c>
      <c r="I97" s="1"/>
      <c r="J97" s="1"/>
      <c r="K97" s="1"/>
      <c r="L97" s="1"/>
      <c r="M97" s="1"/>
      <c r="N97" s="1"/>
    </row>
    <row r="98" spans="1:14" ht="29.25" customHeight="1">
      <c r="A98" s="8"/>
      <c r="B98" s="1"/>
      <c r="C98" s="1"/>
      <c r="D98" s="1"/>
      <c r="E98" s="1"/>
      <c r="F98" s="6"/>
      <c r="G98" s="6"/>
      <c r="H98" s="5" t="str">
        <f>IF(OR(D98="",E98="",C98=""),"",IF(COUNTIFS($D$10:D98,D98,$E$10:E98,E98,$C$10:C98,"Opening / ស្តុកដើមគ្រា")=0,"OPEN?",IF(COUNTIFS($D$10:D98,D98,$E$10:E98,E98,$C$10:C98,"Opening / ស្តុកដើមគ្រា")&gt;1,"CHECK OPEN",SUMIFS($F$10:F98,$D$10:D98,D98,$E$10:E98,E98)-SUMIFS($G$10:G98,$D$10:D98,D98,$E$10:E98,E98))))</f>
        <v/>
      </c>
      <c r="I98" s="1"/>
      <c r="J98" s="1"/>
      <c r="K98" s="1"/>
      <c r="L98" s="1"/>
      <c r="M98" s="1"/>
      <c r="N98" s="1"/>
    </row>
    <row r="99" spans="1:14" ht="29.25" customHeight="1">
      <c r="A99" s="8"/>
      <c r="B99" s="1"/>
      <c r="C99" s="1"/>
      <c r="D99" s="1"/>
      <c r="E99" s="1"/>
      <c r="F99" s="6"/>
      <c r="G99" s="6"/>
      <c r="H99" s="5" t="str">
        <f>IF(OR(D99="",E99="",C99=""),"",IF(COUNTIFS($D$10:D99,D99,$E$10:E99,E99,$C$10:C99,"Opening / ស្តុកដើមគ្រា")=0,"OPEN?",IF(COUNTIFS($D$10:D99,D99,$E$10:E99,E99,$C$10:C99,"Opening / ស្តុកដើមគ្រា")&gt;1,"CHECK OPEN",SUMIFS($F$10:F99,$D$10:D99,D99,$E$10:E99,E99)-SUMIFS($G$10:G99,$D$10:D99,D99,$E$10:E99,E99))))</f>
        <v/>
      </c>
      <c r="I99" s="1"/>
      <c r="J99" s="1"/>
      <c r="K99" s="1"/>
      <c r="L99" s="1"/>
      <c r="M99" s="1"/>
      <c r="N99" s="1"/>
    </row>
    <row r="100" spans="1:14" ht="29.25" customHeight="1">
      <c r="A100" s="8"/>
      <c r="B100" s="1"/>
      <c r="C100" s="1"/>
      <c r="D100" s="1"/>
      <c r="E100" s="1"/>
      <c r="F100" s="6"/>
      <c r="G100" s="6"/>
      <c r="H100" s="5" t="str">
        <f>IF(OR(D100="",E100="",C100=""),"",IF(COUNTIFS($D$10:D100,D100,$E$10:E100,E100,$C$10:C100,"Opening / ស្តុកដើមគ្រា")=0,"OPEN?",IF(COUNTIFS($D$10:D100,D100,$E$10:E100,E100,$C$10:C100,"Opening / ស្តុកដើមគ្រា")&gt;1,"CHECK OPEN",SUMIFS($F$10:F100,$D$10:D100,D100,$E$10:E100,E100)-SUMIFS($G$10:G100,$D$10:D100,D100,$E$10:E100,E100))))</f>
        <v/>
      </c>
      <c r="I100" s="1"/>
      <c r="J100" s="1"/>
      <c r="K100" s="1"/>
      <c r="L100" s="1"/>
      <c r="M100" s="1"/>
      <c r="N100" s="1"/>
    </row>
    <row r="101" spans="1:14" ht="29.25" customHeight="1">
      <c r="A101" s="8"/>
      <c r="B101" s="1"/>
      <c r="C101" s="1"/>
      <c r="D101" s="1"/>
      <c r="E101" s="1"/>
      <c r="F101" s="6"/>
      <c r="G101" s="6"/>
      <c r="H101" s="5" t="str">
        <f>IF(OR(D101="",E101="",C101=""),"",IF(COUNTIFS($D$10:D101,D101,$E$10:E101,E101,$C$10:C101,"Opening / ស្តុកដើមគ្រា")=0,"OPEN?",IF(COUNTIFS($D$10:D101,D101,$E$10:E101,E101,$C$10:C101,"Opening / ស្តុកដើមគ្រា")&gt;1,"CHECK OPEN",SUMIFS($F$10:F101,$D$10:D101,D101,$E$10:E101,E101)-SUMIFS($G$10:G101,$D$10:D101,D101,$E$10:E101,E101))))</f>
        <v/>
      </c>
      <c r="I101" s="1"/>
      <c r="J101" s="1"/>
      <c r="K101" s="1"/>
      <c r="L101" s="1"/>
      <c r="M101" s="1"/>
      <c r="N101" s="1"/>
    </row>
    <row r="102" spans="1:14" ht="29.25" customHeight="1">
      <c r="A102" s="8"/>
      <c r="B102" s="1"/>
      <c r="C102" s="1"/>
      <c r="D102" s="1"/>
      <c r="E102" s="1"/>
      <c r="F102" s="6"/>
      <c r="G102" s="6"/>
      <c r="H102" s="5" t="str">
        <f>IF(OR(D102="",E102="",C102=""),"",IF(COUNTIFS($D$10:D102,D102,$E$10:E102,E102,$C$10:C102,"Opening / ស្តុកដើមគ្រា")=0,"OPEN?",IF(COUNTIFS($D$10:D102,D102,$E$10:E102,E102,$C$10:C102,"Opening / ស្តុកដើមគ្រា")&gt;1,"CHECK OPEN",SUMIFS($F$10:F102,$D$10:D102,D102,$E$10:E102,E102)-SUMIFS($G$10:G102,$D$10:D102,D102,$E$10:E102,E102))))</f>
        <v/>
      </c>
      <c r="I102" s="1"/>
      <c r="J102" s="1"/>
      <c r="K102" s="1"/>
      <c r="L102" s="1"/>
      <c r="M102" s="1"/>
      <c r="N102" s="1"/>
    </row>
    <row r="103" spans="1:14" ht="29.25" customHeight="1">
      <c r="A103" s="8"/>
      <c r="B103" s="1"/>
      <c r="C103" s="1"/>
      <c r="D103" s="1"/>
      <c r="E103" s="1"/>
      <c r="F103" s="6"/>
      <c r="G103" s="6"/>
      <c r="H103" s="5" t="str">
        <f>IF(OR(D103="",E103="",C103=""),"",IF(COUNTIFS($D$10:D103,D103,$E$10:E103,E103,$C$10:C103,"Opening / ស្តុកដើមគ្រា")=0,"OPEN?",IF(COUNTIFS($D$10:D103,D103,$E$10:E103,E103,$C$10:C103,"Opening / ស្តុកដើមគ្រា")&gt;1,"CHECK OPEN",SUMIFS($F$10:F103,$D$10:D103,D103,$E$10:E103,E103)-SUMIFS($G$10:G103,$D$10:D103,D103,$E$10:E103,E103))))</f>
        <v/>
      </c>
      <c r="I103" s="1"/>
      <c r="J103" s="1"/>
      <c r="K103" s="1"/>
      <c r="L103" s="1"/>
      <c r="M103" s="1"/>
      <c r="N103" s="1"/>
    </row>
    <row r="104" spans="1:14" ht="29.25" customHeight="1">
      <c r="A104" s="8"/>
      <c r="B104" s="1"/>
      <c r="C104" s="1"/>
      <c r="D104" s="1"/>
      <c r="E104" s="1"/>
      <c r="F104" s="6"/>
      <c r="G104" s="6"/>
      <c r="H104" s="5" t="str">
        <f>IF(OR(D104="",E104="",C104=""),"",IF(COUNTIFS($D$10:D104,D104,$E$10:E104,E104,$C$10:C104,"Opening / ស្តុកដើមគ្រា")=0,"OPEN?",IF(COUNTIFS($D$10:D104,D104,$E$10:E104,E104,$C$10:C104,"Opening / ស្តុកដើមគ្រា")&gt;1,"CHECK OPEN",SUMIFS($F$10:F104,$D$10:D104,D104,$E$10:E104,E104)-SUMIFS($G$10:G104,$D$10:D104,D104,$E$10:E104,E104))))</f>
        <v/>
      </c>
      <c r="I104" s="1"/>
      <c r="J104" s="1"/>
      <c r="K104" s="1"/>
      <c r="L104" s="1"/>
      <c r="M104" s="1"/>
      <c r="N104" s="1"/>
    </row>
    <row r="105" spans="1:14" ht="29.25" customHeight="1">
      <c r="A105" s="8"/>
      <c r="B105" s="1"/>
      <c r="C105" s="1"/>
      <c r="D105" s="1"/>
      <c r="E105" s="1"/>
      <c r="F105" s="6"/>
      <c r="G105" s="6"/>
      <c r="H105" s="5" t="str">
        <f>IF(OR(D105="",E105="",C105=""),"",IF(COUNTIFS($D$10:D105,D105,$E$10:E105,E105,$C$10:C105,"Opening / ស្តុកដើមគ្រា")=0,"OPEN?",IF(COUNTIFS($D$10:D105,D105,$E$10:E105,E105,$C$10:C105,"Opening / ស្តុកដើមគ្រា")&gt;1,"CHECK OPEN",SUMIFS($F$10:F105,$D$10:D105,D105,$E$10:E105,E105)-SUMIFS($G$10:G105,$D$10:D105,D105,$E$10:E105,E105))))</f>
        <v/>
      </c>
      <c r="I105" s="1"/>
      <c r="J105" s="1"/>
      <c r="K105" s="1"/>
      <c r="L105" s="1"/>
      <c r="M105" s="1"/>
      <c r="N105" s="1"/>
    </row>
    <row r="106" spans="1:14" ht="29.25" customHeight="1">
      <c r="A106" s="8"/>
      <c r="B106" s="1"/>
      <c r="C106" s="1"/>
      <c r="D106" s="1"/>
      <c r="E106" s="1"/>
      <c r="F106" s="6"/>
      <c r="G106" s="6"/>
      <c r="H106" s="5" t="str">
        <f>IF(OR(D106="",E106="",C106=""),"",IF(COUNTIFS($D$10:D106,D106,$E$10:E106,E106,$C$10:C106,"Opening / ស្តុកដើមគ្រា")=0,"OPEN?",IF(COUNTIFS($D$10:D106,D106,$E$10:E106,E106,$C$10:C106,"Opening / ស្តុកដើមគ្រា")&gt;1,"CHECK OPEN",SUMIFS($F$10:F106,$D$10:D106,D106,$E$10:E106,E106)-SUMIFS($G$10:G106,$D$10:D106,D106,$E$10:E106,E106))))</f>
        <v/>
      </c>
      <c r="I106" s="1"/>
      <c r="J106" s="1"/>
      <c r="K106" s="1"/>
      <c r="L106" s="1"/>
      <c r="M106" s="1"/>
      <c r="N106" s="1"/>
    </row>
    <row r="107" spans="1:14" ht="29.25" customHeight="1">
      <c r="A107" s="8"/>
      <c r="B107" s="1"/>
      <c r="C107" s="1"/>
      <c r="D107" s="1"/>
      <c r="E107" s="1"/>
      <c r="F107" s="6"/>
      <c r="G107" s="6"/>
      <c r="H107" s="5" t="str">
        <f>IF(OR(D107="",E107="",C107=""),"",IF(COUNTIFS($D$10:D107,D107,$E$10:E107,E107,$C$10:C107,"Opening / ស្តុកដើមគ្រា")=0,"OPEN?",IF(COUNTIFS($D$10:D107,D107,$E$10:E107,E107,$C$10:C107,"Opening / ស្តុកដើមគ្រា")&gt;1,"CHECK OPEN",SUMIFS($F$10:F107,$D$10:D107,D107,$E$10:E107,E107)-SUMIFS($G$10:G107,$D$10:D107,D107,$E$10:E107,E107))))</f>
        <v/>
      </c>
      <c r="I107" s="1"/>
      <c r="J107" s="1"/>
      <c r="K107" s="1"/>
      <c r="L107" s="1"/>
      <c r="M107" s="1"/>
      <c r="N107" s="1"/>
    </row>
    <row r="108" spans="1:14" ht="29.25" customHeight="1">
      <c r="A108" s="8"/>
      <c r="B108" s="1"/>
      <c r="C108" s="1"/>
      <c r="D108" s="1"/>
      <c r="E108" s="1"/>
      <c r="F108" s="6"/>
      <c r="G108" s="6"/>
      <c r="H108" s="5" t="str">
        <f>IF(OR(D108="",E108="",C108=""),"",IF(COUNTIFS($D$10:D108,D108,$E$10:E108,E108,$C$10:C108,"Opening / ស្តុកដើមគ្រា")=0,"OPEN?",IF(COUNTIFS($D$10:D108,D108,$E$10:E108,E108,$C$10:C108,"Opening / ស្តុកដើមគ្រា")&gt;1,"CHECK OPEN",SUMIFS($F$10:F108,$D$10:D108,D108,$E$10:E108,E108)-SUMIFS($G$10:G108,$D$10:D108,D108,$E$10:E108,E108))))</f>
        <v/>
      </c>
      <c r="I108" s="1"/>
      <c r="J108" s="1"/>
      <c r="K108" s="1"/>
      <c r="L108" s="1"/>
      <c r="M108" s="1"/>
      <c r="N108" s="1"/>
    </row>
    <row r="109" spans="1:14" ht="29.25" customHeight="1">
      <c r="A109" s="8"/>
      <c r="B109" s="1"/>
      <c r="C109" s="1"/>
      <c r="D109" s="1"/>
      <c r="E109" s="1"/>
      <c r="F109" s="6"/>
      <c r="G109" s="6"/>
      <c r="H109" s="5" t="str">
        <f>IF(OR(D109="",E109="",C109=""),"",IF(COUNTIFS($D$10:D109,D109,$E$10:E109,E109,$C$10:C109,"Opening / ស្តុកដើមគ្រា")=0,"OPEN?",IF(COUNTIFS($D$10:D109,D109,$E$10:E109,E109,$C$10:C109,"Opening / ស្តុកដើមគ្រា")&gt;1,"CHECK OPEN",SUMIFS($F$10:F109,$D$10:D109,D109,$E$10:E109,E109)-SUMIFS($G$10:G109,$D$10:D109,D109,$E$10:E109,E109))))</f>
        <v/>
      </c>
      <c r="I109" s="1"/>
      <c r="J109" s="1"/>
      <c r="K109" s="1"/>
      <c r="L109" s="1"/>
      <c r="M109" s="1"/>
      <c r="N109" s="1"/>
    </row>
    <row r="110" spans="1:14" ht="29.25" customHeight="1">
      <c r="A110" s="8"/>
      <c r="B110" s="1"/>
      <c r="C110" s="1"/>
      <c r="D110" s="1"/>
      <c r="E110" s="1"/>
      <c r="F110" s="6"/>
      <c r="G110" s="6"/>
      <c r="H110" s="5" t="str">
        <f>IF(OR(D110="",E110="",C110=""),"",IF(COUNTIFS($D$10:D110,D110,$E$10:E110,E110,$C$10:C110,"Opening / ស្តុកដើមគ្រា")=0,"OPEN?",IF(COUNTIFS($D$10:D110,D110,$E$10:E110,E110,$C$10:C110,"Opening / ស្តុកដើមគ្រា")&gt;1,"CHECK OPEN",SUMIFS($F$10:F110,$D$10:D110,D110,$E$10:E110,E110)-SUMIFS($G$10:G110,$D$10:D110,D110,$E$10:E110,E110))))</f>
        <v/>
      </c>
      <c r="I110" s="1"/>
      <c r="J110" s="1"/>
      <c r="K110" s="1"/>
      <c r="L110" s="1"/>
      <c r="M110" s="1"/>
      <c r="N110" s="1"/>
    </row>
    <row r="111" spans="1:14" ht="29.25" customHeight="1">
      <c r="A111" s="8"/>
      <c r="B111" s="1"/>
      <c r="C111" s="1"/>
      <c r="D111" s="1"/>
      <c r="E111" s="1"/>
      <c r="F111" s="6"/>
      <c r="G111" s="6"/>
      <c r="H111" s="5" t="str">
        <f>IF(OR(D111="",E111="",C111=""),"",IF(COUNTIFS($D$10:D111,D111,$E$10:E111,E111,$C$10:C111,"Opening / ស្តុកដើមគ្រា")=0,"OPEN?",IF(COUNTIFS($D$10:D111,D111,$E$10:E111,E111,$C$10:C111,"Opening / ស្តុកដើមគ្រា")&gt;1,"CHECK OPEN",SUMIFS($F$10:F111,$D$10:D111,D111,$E$10:E111,E111)-SUMIFS($G$10:G111,$D$10:D111,D111,$E$10:E111,E111))))</f>
        <v/>
      </c>
      <c r="I111" s="1"/>
      <c r="J111" s="1"/>
      <c r="K111" s="1"/>
      <c r="L111" s="1"/>
      <c r="M111" s="1"/>
      <c r="N111" s="1"/>
    </row>
    <row r="112" spans="1:14" ht="29.25" customHeight="1">
      <c r="A112" s="8"/>
      <c r="B112" s="1"/>
      <c r="C112" s="1"/>
      <c r="D112" s="1"/>
      <c r="E112" s="1"/>
      <c r="F112" s="6"/>
      <c r="G112" s="6"/>
      <c r="H112" s="5" t="str">
        <f>IF(OR(D112="",E112="",C112=""),"",IF(COUNTIFS($D$10:D112,D112,$E$10:E112,E112,$C$10:C112,"Opening / ស្តុកដើមគ្រា")=0,"OPEN?",IF(COUNTIFS($D$10:D112,D112,$E$10:E112,E112,$C$10:C112,"Opening / ស្តុកដើមគ្រា")&gt;1,"CHECK OPEN",SUMIFS($F$10:F112,$D$10:D112,D112,$E$10:E112,E112)-SUMIFS($G$10:G112,$D$10:D112,D112,$E$10:E112,E112))))</f>
        <v/>
      </c>
      <c r="I112" s="1"/>
      <c r="J112" s="1"/>
      <c r="K112" s="1"/>
      <c r="L112" s="1"/>
      <c r="M112" s="1"/>
      <c r="N112" s="1"/>
    </row>
    <row r="113" spans="1:14" ht="29.25" customHeight="1">
      <c r="A113" s="8"/>
      <c r="B113" s="1"/>
      <c r="C113" s="1"/>
      <c r="D113" s="1"/>
      <c r="E113" s="1"/>
      <c r="F113" s="6"/>
      <c r="G113" s="6"/>
      <c r="H113" s="5" t="str">
        <f>IF(OR(D113="",E113="",C113=""),"",IF(COUNTIFS($D$10:D113,D113,$E$10:E113,E113,$C$10:C113,"Opening / ស្តុកដើមគ្រា")=0,"OPEN?",IF(COUNTIFS($D$10:D113,D113,$E$10:E113,E113,$C$10:C113,"Opening / ស្តុកដើមគ្រា")&gt;1,"CHECK OPEN",SUMIFS($F$10:F113,$D$10:D113,D113,$E$10:E113,E113)-SUMIFS($G$10:G113,$D$10:D113,D113,$E$10:E113,E113))))</f>
        <v/>
      </c>
      <c r="I113" s="1"/>
      <c r="J113" s="1"/>
      <c r="K113" s="1"/>
      <c r="L113" s="1"/>
      <c r="M113" s="1"/>
      <c r="N113" s="1"/>
    </row>
    <row r="114" spans="1:14" ht="29.25" customHeight="1">
      <c r="A114" s="8"/>
      <c r="B114" s="1"/>
      <c r="C114" s="1"/>
      <c r="D114" s="1"/>
      <c r="E114" s="1"/>
      <c r="F114" s="6"/>
      <c r="G114" s="6"/>
      <c r="H114" s="5" t="str">
        <f>IF(OR(D114="",E114="",C114=""),"",IF(COUNTIFS($D$10:D114,D114,$E$10:E114,E114,$C$10:C114,"Opening / ស្តុកដើមគ្រា")=0,"OPEN?",IF(COUNTIFS($D$10:D114,D114,$E$10:E114,E114,$C$10:C114,"Opening / ស្តុកដើមគ្រា")&gt;1,"CHECK OPEN",SUMIFS($F$10:F114,$D$10:D114,D114,$E$10:E114,E114)-SUMIFS($G$10:G114,$D$10:D114,D114,$E$10:E114,E114))))</f>
        <v/>
      </c>
      <c r="I114" s="1"/>
      <c r="J114" s="1"/>
      <c r="K114" s="1"/>
      <c r="L114" s="1"/>
      <c r="M114" s="1"/>
      <c r="N114" s="1"/>
    </row>
    <row r="115" spans="1:14" ht="29.25" customHeight="1">
      <c r="A115" s="8"/>
      <c r="B115" s="1"/>
      <c r="C115" s="1"/>
      <c r="D115" s="1"/>
      <c r="E115" s="1"/>
      <c r="F115" s="6"/>
      <c r="G115" s="6"/>
      <c r="H115" s="5" t="str">
        <f>IF(OR(D115="",E115="",C115=""),"",IF(COUNTIFS($D$10:D115,D115,$E$10:E115,E115,$C$10:C115,"Opening / ស្តុកដើមគ្រា")=0,"OPEN?",IF(COUNTIFS($D$10:D115,D115,$E$10:E115,E115,$C$10:C115,"Opening / ស្តុកដើមគ្រា")&gt;1,"CHECK OPEN",SUMIFS($F$10:F115,$D$10:D115,D115,$E$10:E115,E115)-SUMIFS($G$10:G115,$D$10:D115,D115,$E$10:E115,E115))))</f>
        <v/>
      </c>
      <c r="I115" s="1"/>
      <c r="J115" s="1"/>
      <c r="K115" s="1"/>
      <c r="L115" s="1"/>
      <c r="M115" s="1"/>
      <c r="N115" s="1"/>
    </row>
    <row r="116" spans="1:14" ht="29.25" customHeight="1">
      <c r="A116" s="8"/>
      <c r="B116" s="1"/>
      <c r="C116" s="1"/>
      <c r="D116" s="1"/>
      <c r="E116" s="1"/>
      <c r="F116" s="6"/>
      <c r="G116" s="6"/>
      <c r="H116" s="5" t="str">
        <f>IF(OR(D116="",E116="",C116=""),"",IF(COUNTIFS($D$10:D116,D116,$E$10:E116,E116,$C$10:C116,"Opening / ស្តុកដើមគ្រា")=0,"OPEN?",IF(COUNTIFS($D$10:D116,D116,$E$10:E116,E116,$C$10:C116,"Opening / ស្តុកដើមគ្រា")&gt;1,"CHECK OPEN",SUMIFS($F$10:F116,$D$10:D116,D116,$E$10:E116,E116)-SUMIFS($G$10:G116,$D$10:D116,D116,$E$10:E116,E116))))</f>
        <v/>
      </c>
      <c r="I116" s="1"/>
      <c r="J116" s="1"/>
      <c r="K116" s="1"/>
      <c r="L116" s="1"/>
      <c r="M116" s="1"/>
      <c r="N116" s="1"/>
    </row>
    <row r="117" spans="1:14" ht="29.25" customHeight="1">
      <c r="A117" s="8"/>
      <c r="B117" s="1"/>
      <c r="C117" s="1"/>
      <c r="D117" s="1"/>
      <c r="E117" s="1"/>
      <c r="F117" s="6"/>
      <c r="G117" s="6"/>
      <c r="H117" s="5" t="str">
        <f>IF(OR(D117="",E117="",C117=""),"",IF(COUNTIFS($D$10:D117,D117,$E$10:E117,E117,$C$10:C117,"Opening / ស្តុកដើមគ្រា")=0,"OPEN?",IF(COUNTIFS($D$10:D117,D117,$E$10:E117,E117,$C$10:C117,"Opening / ស្តុកដើមគ្រា")&gt;1,"CHECK OPEN",SUMIFS($F$10:F117,$D$10:D117,D117,$E$10:E117,E117)-SUMIFS($G$10:G117,$D$10:D117,D117,$E$10:E117,E117))))</f>
        <v/>
      </c>
      <c r="I117" s="1"/>
      <c r="J117" s="1"/>
      <c r="K117" s="1"/>
      <c r="L117" s="1"/>
      <c r="M117" s="1"/>
      <c r="N117" s="1"/>
    </row>
    <row r="118" spans="1:14" ht="29.25" customHeight="1">
      <c r="A118" s="8"/>
      <c r="B118" s="1"/>
      <c r="C118" s="1"/>
      <c r="D118" s="1"/>
      <c r="E118" s="1"/>
      <c r="F118" s="6"/>
      <c r="G118" s="6"/>
      <c r="H118" s="5" t="str">
        <f>IF(OR(D118="",E118="",C118=""),"",IF(COUNTIFS($D$10:D118,D118,$E$10:E118,E118,$C$10:C118,"Opening / ស្តុកដើមគ្រា")=0,"OPEN?",IF(COUNTIFS($D$10:D118,D118,$E$10:E118,E118,$C$10:C118,"Opening / ស្តុកដើមគ្រា")&gt;1,"CHECK OPEN",SUMIFS($F$10:F118,$D$10:D118,D118,$E$10:E118,E118)-SUMIFS($G$10:G118,$D$10:D118,D118,$E$10:E118,E118))))</f>
        <v/>
      </c>
      <c r="I118" s="1"/>
      <c r="J118" s="1"/>
      <c r="K118" s="1"/>
      <c r="L118" s="1"/>
      <c r="M118" s="1"/>
      <c r="N118" s="1"/>
    </row>
    <row r="119" spans="1:14" ht="29.25" customHeight="1">
      <c r="A119" s="8"/>
      <c r="B119" s="1"/>
      <c r="C119" s="1"/>
      <c r="D119" s="1"/>
      <c r="E119" s="1"/>
      <c r="F119" s="6"/>
      <c r="G119" s="6"/>
      <c r="H119" s="5" t="str">
        <f>IF(OR(D119="",E119="",C119=""),"",IF(COUNTIFS($D$10:D119,D119,$E$10:E119,E119,$C$10:C119,"Opening / ស្តុកដើមគ្រា")=0,"OPEN?",IF(COUNTIFS($D$10:D119,D119,$E$10:E119,E119,$C$10:C119,"Opening / ស្តុកដើមគ្រា")&gt;1,"CHECK OPEN",SUMIFS($F$10:F119,$D$10:D119,D119,$E$10:E119,E119)-SUMIFS($G$10:G119,$D$10:D119,D119,$E$10:E119,E119))))</f>
        <v/>
      </c>
      <c r="I119" s="1"/>
      <c r="J119" s="1"/>
      <c r="K119" s="1"/>
      <c r="L119" s="1"/>
      <c r="M119" s="1"/>
      <c r="N119" s="1"/>
    </row>
    <row r="120" spans="1:14" ht="29.25" customHeight="1">
      <c r="A120" s="8"/>
      <c r="B120" s="1"/>
      <c r="C120" s="1"/>
      <c r="D120" s="1"/>
      <c r="E120" s="1"/>
      <c r="F120" s="6"/>
      <c r="G120" s="6"/>
      <c r="H120" s="5" t="str">
        <f>IF(OR(D120="",E120="",C120=""),"",IF(COUNTIFS($D$10:D120,D120,$E$10:E120,E120,$C$10:C120,"Opening / ស្តុកដើមគ្រា")=0,"OPEN?",IF(COUNTIFS($D$10:D120,D120,$E$10:E120,E120,$C$10:C120,"Opening / ស្តុកដើមគ្រា")&gt;1,"CHECK OPEN",SUMIFS($F$10:F120,$D$10:D120,D120,$E$10:E120,E120)-SUMIFS($G$10:G120,$D$10:D120,D120,$E$10:E120,E120))))</f>
        <v/>
      </c>
      <c r="I120" s="1"/>
      <c r="J120" s="1"/>
      <c r="K120" s="1"/>
      <c r="L120" s="1"/>
      <c r="M120" s="1"/>
      <c r="N120" s="1"/>
    </row>
    <row r="121" spans="1:14" ht="29.25" customHeight="1">
      <c r="A121" s="8"/>
      <c r="B121" s="1"/>
      <c r="C121" s="1"/>
      <c r="D121" s="1"/>
      <c r="E121" s="1"/>
      <c r="F121" s="6"/>
      <c r="G121" s="6"/>
      <c r="H121" s="5" t="str">
        <f>IF(OR(D121="",E121="",C121=""),"",IF(COUNTIFS($D$10:D121,D121,$E$10:E121,E121,$C$10:C121,"Opening / ស្តុកដើមគ្រា")=0,"OPEN?",IF(COUNTIFS($D$10:D121,D121,$E$10:E121,E121,$C$10:C121,"Opening / ស្តុកដើមគ្រា")&gt;1,"CHECK OPEN",SUMIFS($F$10:F121,$D$10:D121,D121,$E$10:E121,E121)-SUMIFS($G$10:G121,$D$10:D121,D121,$E$10:E121,E121))))</f>
        <v/>
      </c>
      <c r="I121" s="1"/>
      <c r="J121" s="1"/>
      <c r="K121" s="1"/>
      <c r="L121" s="1"/>
      <c r="M121" s="1"/>
      <c r="N121" s="1"/>
    </row>
    <row r="122" spans="1:14" ht="29.25" customHeight="1">
      <c r="A122" s="8"/>
      <c r="B122" s="1"/>
      <c r="C122" s="1"/>
      <c r="D122" s="1"/>
      <c r="E122" s="1"/>
      <c r="F122" s="6"/>
      <c r="G122" s="6"/>
      <c r="H122" s="5" t="str">
        <f>IF(OR(D122="",E122="",C122=""),"",IF(COUNTIFS($D$10:D122,D122,$E$10:E122,E122,$C$10:C122,"Opening / ស្តុកដើមគ្រា")=0,"OPEN?",IF(COUNTIFS($D$10:D122,D122,$E$10:E122,E122,$C$10:C122,"Opening / ស្តុកដើមគ្រា")&gt;1,"CHECK OPEN",SUMIFS($F$10:F122,$D$10:D122,D122,$E$10:E122,E122)-SUMIFS($G$10:G122,$D$10:D122,D122,$E$10:E122,E122))))</f>
        <v/>
      </c>
      <c r="I122" s="1"/>
      <c r="J122" s="1"/>
      <c r="K122" s="1"/>
      <c r="L122" s="1"/>
      <c r="M122" s="1"/>
      <c r="N122" s="1"/>
    </row>
    <row r="123" spans="1:14" ht="29.25" customHeight="1">
      <c r="A123" s="8"/>
      <c r="B123" s="1"/>
      <c r="C123" s="1"/>
      <c r="D123" s="1"/>
      <c r="E123" s="1"/>
      <c r="F123" s="6"/>
      <c r="G123" s="6"/>
      <c r="H123" s="5" t="str">
        <f>IF(OR(D123="",E123="",C123=""),"",IF(COUNTIFS($D$10:D123,D123,$E$10:E123,E123,$C$10:C123,"Opening / ស្តុកដើមគ្រា")=0,"OPEN?",IF(COUNTIFS($D$10:D123,D123,$E$10:E123,E123,$C$10:C123,"Opening / ស្តុកដើមគ្រា")&gt;1,"CHECK OPEN",SUMIFS($F$10:F123,$D$10:D123,D123,$E$10:E123,E123)-SUMIFS($G$10:G123,$D$10:D123,D123,$E$10:E123,E123))))</f>
        <v/>
      </c>
      <c r="I123" s="1"/>
      <c r="J123" s="1"/>
      <c r="K123" s="1"/>
      <c r="L123" s="1"/>
      <c r="M123" s="1"/>
      <c r="N123" s="1"/>
    </row>
    <row r="124" spans="1:14" ht="29.25" customHeight="1">
      <c r="A124" s="8"/>
      <c r="B124" s="1"/>
      <c r="C124" s="1"/>
      <c r="D124" s="1"/>
      <c r="E124" s="1"/>
      <c r="F124" s="6"/>
      <c r="G124" s="6"/>
      <c r="H124" s="5" t="str">
        <f>IF(OR(D124="",E124="",C124=""),"",IF(COUNTIFS($D$10:D124,D124,$E$10:E124,E124,$C$10:C124,"Opening / ស្តុកដើមគ្រា")=0,"OPEN?",IF(COUNTIFS($D$10:D124,D124,$E$10:E124,E124,$C$10:C124,"Opening / ស្តុកដើមគ្រា")&gt;1,"CHECK OPEN",SUMIFS($F$10:F124,$D$10:D124,D124,$E$10:E124,E124)-SUMIFS($G$10:G124,$D$10:D124,D124,$E$10:E124,E124))))</f>
        <v/>
      </c>
      <c r="I124" s="1"/>
      <c r="J124" s="1"/>
      <c r="K124" s="1"/>
      <c r="L124" s="1"/>
      <c r="M124" s="1"/>
      <c r="N124" s="1"/>
    </row>
    <row r="125" spans="1:14" ht="29.25" customHeight="1">
      <c r="A125" s="8"/>
      <c r="B125" s="1"/>
      <c r="C125" s="1"/>
      <c r="D125" s="1"/>
      <c r="E125" s="1"/>
      <c r="F125" s="6"/>
      <c r="G125" s="6"/>
      <c r="H125" s="5" t="str">
        <f>IF(OR(D125="",E125="",C125=""),"",IF(COUNTIFS($D$10:D125,D125,$E$10:E125,E125,$C$10:C125,"Opening / ស្តុកដើមគ្រា")=0,"OPEN?",IF(COUNTIFS($D$10:D125,D125,$E$10:E125,E125,$C$10:C125,"Opening / ស្តុកដើមគ្រា")&gt;1,"CHECK OPEN",SUMIFS($F$10:F125,$D$10:D125,D125,$E$10:E125,E125)-SUMIFS($G$10:G125,$D$10:D125,D125,$E$10:E125,E125))))</f>
        <v/>
      </c>
      <c r="I125" s="1"/>
      <c r="J125" s="1"/>
      <c r="K125" s="1"/>
      <c r="L125" s="1"/>
      <c r="M125" s="1"/>
      <c r="N125" s="1"/>
    </row>
    <row r="126" spans="1:14" ht="29.25" customHeight="1">
      <c r="A126" s="8"/>
      <c r="B126" s="1"/>
      <c r="C126" s="1"/>
      <c r="D126" s="1"/>
      <c r="E126" s="1"/>
      <c r="F126" s="6"/>
      <c r="G126" s="6"/>
      <c r="H126" s="5" t="str">
        <f>IF(OR(D126="",E126="",C126=""),"",IF(COUNTIFS($D$10:D126,D126,$E$10:E126,E126,$C$10:C126,"Opening / ស្តុកដើមគ្រា")=0,"OPEN?",IF(COUNTIFS($D$10:D126,D126,$E$10:E126,E126,$C$10:C126,"Opening / ស្តុកដើមគ្រា")&gt;1,"CHECK OPEN",SUMIFS($F$10:F126,$D$10:D126,D126,$E$10:E126,E126)-SUMIFS($G$10:G126,$D$10:D126,D126,$E$10:E126,E126))))</f>
        <v/>
      </c>
      <c r="I126" s="1"/>
      <c r="J126" s="1"/>
      <c r="K126" s="1"/>
      <c r="L126" s="1"/>
      <c r="M126" s="1"/>
      <c r="N126" s="1"/>
    </row>
    <row r="127" spans="1:14" ht="29.25" customHeight="1">
      <c r="A127" s="8"/>
      <c r="B127" s="1"/>
      <c r="C127" s="1"/>
      <c r="D127" s="1"/>
      <c r="E127" s="1"/>
      <c r="F127" s="6"/>
      <c r="G127" s="6"/>
      <c r="H127" s="5" t="str">
        <f>IF(OR(D127="",E127="",C127=""),"",IF(COUNTIFS($D$10:D127,D127,$E$10:E127,E127,$C$10:C127,"Opening / ស្តុកដើមគ្រា")=0,"OPEN?",IF(COUNTIFS($D$10:D127,D127,$E$10:E127,E127,$C$10:C127,"Opening / ស្តុកដើមគ្រា")&gt;1,"CHECK OPEN",SUMIFS($F$10:F127,$D$10:D127,D127,$E$10:E127,E127)-SUMIFS($G$10:G127,$D$10:D127,D127,$E$10:E127,E127))))</f>
        <v/>
      </c>
      <c r="I127" s="1"/>
      <c r="J127" s="1"/>
      <c r="K127" s="1"/>
      <c r="L127" s="1"/>
      <c r="M127" s="1"/>
      <c r="N127" s="1"/>
    </row>
    <row r="128" spans="1:14" ht="29.25" customHeight="1">
      <c r="A128" s="8"/>
      <c r="B128" s="1"/>
      <c r="C128" s="1"/>
      <c r="D128" s="1"/>
      <c r="E128" s="1"/>
      <c r="F128" s="6"/>
      <c r="G128" s="6"/>
      <c r="H128" s="5" t="str">
        <f>IF(OR(D128="",E128="",C128=""),"",IF(COUNTIFS($D$10:D128,D128,$E$10:E128,E128,$C$10:C128,"Opening / ស្តុកដើមគ្រា")=0,"OPEN?",IF(COUNTIFS($D$10:D128,D128,$E$10:E128,E128,$C$10:C128,"Opening / ស្តុកដើមគ្រា")&gt;1,"CHECK OPEN",SUMIFS($F$10:F128,$D$10:D128,D128,$E$10:E128,E128)-SUMIFS($G$10:G128,$D$10:D128,D128,$E$10:E128,E128))))</f>
        <v/>
      </c>
      <c r="I128" s="1"/>
      <c r="J128" s="1"/>
      <c r="K128" s="1"/>
      <c r="L128" s="1"/>
      <c r="M128" s="1"/>
      <c r="N128" s="1"/>
    </row>
    <row r="129" spans="1:14" ht="29.25" customHeight="1">
      <c r="A129" s="8"/>
      <c r="B129" s="1"/>
      <c r="C129" s="1"/>
      <c r="D129" s="1"/>
      <c r="E129" s="1"/>
      <c r="F129" s="6"/>
      <c r="G129" s="6"/>
      <c r="H129" s="5" t="str">
        <f>IF(OR(D129="",E129="",C129=""),"",IF(COUNTIFS($D$10:D129,D129,$E$10:E129,E129,$C$10:C129,"Opening / ស្តុកដើមគ្រា")=0,"OPEN?",IF(COUNTIFS($D$10:D129,D129,$E$10:E129,E129,$C$10:C129,"Opening / ស្តុកដើមគ្រា")&gt;1,"CHECK OPEN",SUMIFS($F$10:F129,$D$10:D129,D129,$E$10:E129,E129)-SUMIFS($G$10:G129,$D$10:D129,D129,$E$10:E129,E129))))</f>
        <v/>
      </c>
      <c r="I129" s="1"/>
      <c r="J129" s="1"/>
      <c r="K129" s="1"/>
      <c r="L129" s="1"/>
      <c r="M129" s="1"/>
      <c r="N129" s="1"/>
    </row>
    <row r="130" spans="1:14" ht="29.25" customHeight="1">
      <c r="A130" s="8"/>
      <c r="B130" s="1"/>
      <c r="C130" s="1"/>
      <c r="D130" s="1"/>
      <c r="E130" s="1"/>
      <c r="F130" s="6"/>
      <c r="G130" s="6"/>
      <c r="H130" s="5" t="str">
        <f>IF(OR(D130="",E130="",C130=""),"",IF(COUNTIFS($D$10:D130,D130,$E$10:E130,E130,$C$10:C130,"Opening / ស្តុកដើមគ្រា")=0,"OPEN?",IF(COUNTIFS($D$10:D130,D130,$E$10:E130,E130,$C$10:C130,"Opening / ស្តុកដើមគ្រា")&gt;1,"CHECK OPEN",SUMIFS($F$10:F130,$D$10:D130,D130,$E$10:E130,E130)-SUMIFS($G$10:G130,$D$10:D130,D130,$E$10:E130,E130))))</f>
        <v/>
      </c>
      <c r="I130" s="1"/>
      <c r="J130" s="1"/>
      <c r="K130" s="1"/>
      <c r="L130" s="1"/>
      <c r="M130" s="1"/>
      <c r="N130" s="1"/>
    </row>
    <row r="131" spans="1:14" ht="29.25" customHeight="1">
      <c r="A131" s="8"/>
      <c r="B131" s="1"/>
      <c r="C131" s="1"/>
      <c r="D131" s="1"/>
      <c r="E131" s="1"/>
      <c r="F131" s="6"/>
      <c r="G131" s="6"/>
      <c r="H131" s="5" t="str">
        <f>IF(OR(D131="",E131="",C131=""),"",IF(COUNTIFS($D$10:D131,D131,$E$10:E131,E131,$C$10:C131,"Opening / ស្តុកដើមគ្រា")=0,"OPEN?",IF(COUNTIFS($D$10:D131,D131,$E$10:E131,E131,$C$10:C131,"Opening / ស្តុកដើមគ្រា")&gt;1,"CHECK OPEN",SUMIFS($F$10:F131,$D$10:D131,D131,$E$10:E131,E131)-SUMIFS($G$10:G131,$D$10:D131,D131,$E$10:E131,E131))))</f>
        <v/>
      </c>
      <c r="I131" s="1"/>
      <c r="J131" s="1"/>
      <c r="K131" s="1"/>
      <c r="L131" s="1"/>
      <c r="M131" s="1"/>
      <c r="N131" s="1"/>
    </row>
    <row r="132" spans="1:14" ht="29.25" customHeight="1">
      <c r="A132" s="8"/>
      <c r="B132" s="1"/>
      <c r="C132" s="1"/>
      <c r="D132" s="1"/>
      <c r="E132" s="1"/>
      <c r="F132" s="6"/>
      <c r="G132" s="6"/>
      <c r="H132" s="5" t="str">
        <f>IF(OR(D132="",E132="",C132=""),"",IF(COUNTIFS($D$10:D132,D132,$E$10:E132,E132,$C$10:C132,"Opening / ស្តុកដើមគ្រា")=0,"OPEN?",IF(COUNTIFS($D$10:D132,D132,$E$10:E132,E132,$C$10:C132,"Opening / ស្តុកដើមគ្រា")&gt;1,"CHECK OPEN",SUMIFS($F$10:F132,$D$10:D132,D132,$E$10:E132,E132)-SUMIFS($G$10:G132,$D$10:D132,D132,$E$10:E132,E132))))</f>
        <v/>
      </c>
      <c r="I132" s="1"/>
      <c r="J132" s="1"/>
      <c r="K132" s="1"/>
      <c r="L132" s="1"/>
      <c r="M132" s="1"/>
      <c r="N132" s="1"/>
    </row>
    <row r="133" spans="1:14" ht="29.25" customHeight="1">
      <c r="A133" s="8"/>
      <c r="B133" s="1"/>
      <c r="C133" s="1"/>
      <c r="D133" s="1"/>
      <c r="E133" s="1"/>
      <c r="F133" s="6"/>
      <c r="G133" s="6"/>
      <c r="H133" s="5" t="str">
        <f>IF(OR(D133="",E133="",C133=""),"",IF(COUNTIFS($D$10:D133,D133,$E$10:E133,E133,$C$10:C133,"Opening / ស្តុកដើមគ្រា")=0,"OPEN?",IF(COUNTIFS($D$10:D133,D133,$E$10:E133,E133,$C$10:C133,"Opening / ស្តុកដើមគ្រា")&gt;1,"CHECK OPEN",SUMIFS($F$10:F133,$D$10:D133,D133,$E$10:E133,E133)-SUMIFS($G$10:G133,$D$10:D133,D133,$E$10:E133,E133))))</f>
        <v/>
      </c>
      <c r="I133" s="1"/>
      <c r="J133" s="1"/>
      <c r="K133" s="1"/>
      <c r="L133" s="1"/>
      <c r="M133" s="1"/>
      <c r="N133" s="1"/>
    </row>
    <row r="134" spans="1:14" ht="29.25" customHeight="1">
      <c r="A134" s="8"/>
      <c r="B134" s="1"/>
      <c r="C134" s="1"/>
      <c r="D134" s="1"/>
      <c r="E134" s="1"/>
      <c r="F134" s="6"/>
      <c r="G134" s="6"/>
      <c r="H134" s="5" t="str">
        <f>IF(OR(D134="",E134="",C134=""),"",IF(COUNTIFS($D$10:D134,D134,$E$10:E134,E134,$C$10:C134,"Opening / ស្តុកដើមគ្រា")=0,"OPEN?",IF(COUNTIFS($D$10:D134,D134,$E$10:E134,E134,$C$10:C134,"Opening / ស្តុកដើមគ្រា")&gt;1,"CHECK OPEN",SUMIFS($F$10:F134,$D$10:D134,D134,$E$10:E134,E134)-SUMIFS($G$10:G134,$D$10:D134,D134,$E$10:E134,E134))))</f>
        <v/>
      </c>
      <c r="I134" s="1"/>
      <c r="J134" s="1"/>
      <c r="K134" s="1"/>
      <c r="L134" s="1"/>
      <c r="M134" s="1"/>
      <c r="N134" s="1"/>
    </row>
    <row r="135" spans="1:14" ht="29.25" customHeight="1">
      <c r="A135" s="8"/>
      <c r="B135" s="1"/>
      <c r="C135" s="1"/>
      <c r="D135" s="1"/>
      <c r="E135" s="1"/>
      <c r="F135" s="6"/>
      <c r="G135" s="6"/>
      <c r="H135" s="5" t="str">
        <f>IF(OR(D135="",E135="",C135=""),"",IF(COUNTIFS($D$10:D135,D135,$E$10:E135,E135,$C$10:C135,"Opening / ស្តុកដើមគ្រា")=0,"OPEN?",IF(COUNTIFS($D$10:D135,D135,$E$10:E135,E135,$C$10:C135,"Opening / ស្តុកដើមគ្រា")&gt;1,"CHECK OPEN",SUMIFS($F$10:F135,$D$10:D135,D135,$E$10:E135,E135)-SUMIFS($G$10:G135,$D$10:D135,D135,$E$10:E135,E135))))</f>
        <v/>
      </c>
      <c r="I135" s="1"/>
      <c r="J135" s="1"/>
      <c r="K135" s="1"/>
      <c r="L135" s="1"/>
      <c r="M135" s="1"/>
      <c r="N135" s="1"/>
    </row>
    <row r="136" spans="1:14" ht="29.25" customHeight="1">
      <c r="A136" s="8"/>
      <c r="B136" s="1"/>
      <c r="C136" s="1"/>
      <c r="D136" s="1"/>
      <c r="E136" s="1"/>
      <c r="F136" s="6"/>
      <c r="G136" s="6"/>
      <c r="H136" s="5" t="str">
        <f>IF(OR(D136="",E136="",C136=""),"",IF(COUNTIFS($D$10:D136,D136,$E$10:E136,E136,$C$10:C136,"Opening / ស្តុកដើមគ្រា")=0,"OPEN?",IF(COUNTIFS($D$10:D136,D136,$E$10:E136,E136,$C$10:C136,"Opening / ស្តុកដើមគ្រា")&gt;1,"CHECK OPEN",SUMIFS($F$10:F136,$D$10:D136,D136,$E$10:E136,E136)-SUMIFS($G$10:G136,$D$10:D136,D136,$E$10:E136,E136))))</f>
        <v/>
      </c>
      <c r="I136" s="1"/>
      <c r="J136" s="1"/>
      <c r="K136" s="1"/>
      <c r="L136" s="1"/>
      <c r="M136" s="1"/>
      <c r="N136" s="1"/>
    </row>
    <row r="137" spans="1:14" ht="29.25" customHeight="1">
      <c r="A137" s="8"/>
      <c r="B137" s="1"/>
      <c r="C137" s="1"/>
      <c r="D137" s="1"/>
      <c r="E137" s="1"/>
      <c r="F137" s="6"/>
      <c r="G137" s="6"/>
      <c r="H137" s="5" t="str">
        <f>IF(OR(D137="",E137="",C137=""),"",IF(COUNTIFS($D$10:D137,D137,$E$10:E137,E137,$C$10:C137,"Opening / ស្តុកដើមគ្រា")=0,"OPEN?",IF(COUNTIFS($D$10:D137,D137,$E$10:E137,E137,$C$10:C137,"Opening / ស្តុកដើមគ្រា")&gt;1,"CHECK OPEN",SUMIFS($F$10:F137,$D$10:D137,D137,$E$10:E137,E137)-SUMIFS($G$10:G137,$D$10:D137,D137,$E$10:E137,E137))))</f>
        <v/>
      </c>
      <c r="I137" s="1"/>
      <c r="J137" s="1"/>
      <c r="K137" s="1"/>
      <c r="L137" s="1"/>
      <c r="M137" s="1"/>
      <c r="N137" s="1"/>
    </row>
    <row r="138" spans="1:14" ht="29.25" customHeight="1">
      <c r="A138" s="8"/>
      <c r="B138" s="1"/>
      <c r="C138" s="1"/>
      <c r="D138" s="1"/>
      <c r="E138" s="1"/>
      <c r="F138" s="6"/>
      <c r="G138" s="6"/>
      <c r="H138" s="5" t="str">
        <f>IF(OR(D138="",E138="",C138=""),"",IF(COUNTIFS($D$10:D138,D138,$E$10:E138,E138,$C$10:C138,"Opening / ស្តុកដើមគ្រា")=0,"OPEN?",IF(COUNTIFS($D$10:D138,D138,$E$10:E138,E138,$C$10:C138,"Opening / ស្តុកដើមគ្រា")&gt;1,"CHECK OPEN",SUMIFS($F$10:F138,$D$10:D138,D138,$E$10:E138,E138)-SUMIFS($G$10:G138,$D$10:D138,D138,$E$10:E138,E138))))</f>
        <v/>
      </c>
      <c r="I138" s="1"/>
      <c r="J138" s="1"/>
      <c r="K138" s="1"/>
      <c r="L138" s="1"/>
      <c r="M138" s="1"/>
      <c r="N138" s="1"/>
    </row>
    <row r="139" spans="1:14" ht="29.25" customHeight="1">
      <c r="A139" s="8"/>
      <c r="B139" s="1"/>
      <c r="C139" s="1"/>
      <c r="D139" s="1"/>
      <c r="E139" s="1"/>
      <c r="F139" s="6"/>
      <c r="G139" s="6"/>
      <c r="H139" s="5" t="str">
        <f>IF(OR(D139="",E139="",C139=""),"",IF(COUNTIFS($D$10:D139,D139,$E$10:E139,E139,$C$10:C139,"Opening / ស្តុកដើមគ្រា")=0,"OPEN?",IF(COUNTIFS($D$10:D139,D139,$E$10:E139,E139,$C$10:C139,"Opening / ស្តុកដើមគ្រា")&gt;1,"CHECK OPEN",SUMIFS($F$10:F139,$D$10:D139,D139,$E$10:E139,E139)-SUMIFS($G$10:G139,$D$10:D139,D139,$E$10:E139,E139))))</f>
        <v/>
      </c>
      <c r="I139" s="1"/>
      <c r="J139" s="1"/>
      <c r="K139" s="1"/>
      <c r="L139" s="1"/>
      <c r="M139" s="1"/>
      <c r="N139" s="1"/>
    </row>
    <row r="140" spans="1:14" ht="29.25" customHeight="1">
      <c r="A140" s="8"/>
      <c r="B140" s="1"/>
      <c r="C140" s="1"/>
      <c r="D140" s="1"/>
      <c r="E140" s="1"/>
      <c r="F140" s="6"/>
      <c r="G140" s="6"/>
      <c r="H140" s="5" t="str">
        <f>IF(OR(D140="",E140="",C140=""),"",IF(COUNTIFS($D$10:D140,D140,$E$10:E140,E140,$C$10:C140,"Opening / ស្តុកដើមគ្រា")=0,"OPEN?",IF(COUNTIFS($D$10:D140,D140,$E$10:E140,E140,$C$10:C140,"Opening / ស្តុកដើមគ្រា")&gt;1,"CHECK OPEN",SUMIFS($F$10:F140,$D$10:D140,D140,$E$10:E140,E140)-SUMIFS($G$10:G140,$D$10:D140,D140,$E$10:E140,E140))))</f>
        <v/>
      </c>
      <c r="I140" s="1"/>
      <c r="J140" s="1"/>
      <c r="K140" s="1"/>
      <c r="L140" s="1"/>
      <c r="M140" s="1"/>
      <c r="N140" s="1"/>
    </row>
    <row r="141" spans="1:14" ht="29.25" customHeight="1">
      <c r="A141" s="8"/>
      <c r="B141" s="1"/>
      <c r="C141" s="1"/>
      <c r="D141" s="1"/>
      <c r="E141" s="1"/>
      <c r="F141" s="6"/>
      <c r="G141" s="6"/>
      <c r="H141" s="5" t="str">
        <f>IF(OR(D141="",E141="",C141=""),"",IF(COUNTIFS($D$10:D141,D141,$E$10:E141,E141,$C$10:C141,"Opening / ស្តុកដើមគ្រា")=0,"OPEN?",IF(COUNTIFS($D$10:D141,D141,$E$10:E141,E141,$C$10:C141,"Opening / ស្តុកដើមគ្រា")&gt;1,"CHECK OPEN",SUMIFS($F$10:F141,$D$10:D141,D141,$E$10:E141,E141)-SUMIFS($G$10:G141,$D$10:D141,D141,$E$10:E141,E141))))</f>
        <v/>
      </c>
      <c r="I141" s="1"/>
      <c r="J141" s="1"/>
      <c r="K141" s="1"/>
      <c r="L141" s="1"/>
      <c r="M141" s="1"/>
      <c r="N141" s="1"/>
    </row>
    <row r="142" spans="1:14" ht="29.25" customHeight="1">
      <c r="A142" s="8"/>
      <c r="B142" s="1"/>
      <c r="C142" s="1"/>
      <c r="D142" s="1"/>
      <c r="E142" s="1"/>
      <c r="F142" s="6"/>
      <c r="G142" s="6"/>
      <c r="H142" s="5" t="str">
        <f>IF(OR(D142="",E142="",C142=""),"",IF(COUNTIFS($D$10:D142,D142,$E$10:E142,E142,$C$10:C142,"Opening / ស្តុកដើមគ្រា")=0,"OPEN?",IF(COUNTIFS($D$10:D142,D142,$E$10:E142,E142,$C$10:C142,"Opening / ស្តុកដើមគ្រា")&gt;1,"CHECK OPEN",SUMIFS($F$10:F142,$D$10:D142,D142,$E$10:E142,E142)-SUMIFS($G$10:G142,$D$10:D142,D142,$E$10:E142,E142))))</f>
        <v/>
      </c>
      <c r="I142" s="1"/>
      <c r="J142" s="1"/>
      <c r="K142" s="1"/>
      <c r="L142" s="1"/>
      <c r="M142" s="1"/>
      <c r="N142" s="1"/>
    </row>
    <row r="143" spans="1:14" ht="29.25" customHeight="1">
      <c r="A143" s="8"/>
      <c r="B143" s="1"/>
      <c r="C143" s="1"/>
      <c r="D143" s="1"/>
      <c r="E143" s="1"/>
      <c r="F143" s="6"/>
      <c r="G143" s="6"/>
      <c r="H143" s="5" t="str">
        <f>IF(OR(D143="",E143="",C143=""),"",IF(COUNTIFS($D$10:D143,D143,$E$10:E143,E143,$C$10:C143,"Opening / ស្តុកដើមគ្រា")=0,"OPEN?",IF(COUNTIFS($D$10:D143,D143,$E$10:E143,E143,$C$10:C143,"Opening / ស្តុកដើមគ្រា")&gt;1,"CHECK OPEN",SUMIFS($F$10:F143,$D$10:D143,D143,$E$10:E143,E143)-SUMIFS($G$10:G143,$D$10:D143,D143,$E$10:E143,E143))))</f>
        <v/>
      </c>
      <c r="I143" s="1"/>
      <c r="J143" s="1"/>
      <c r="K143" s="1"/>
      <c r="L143" s="1"/>
      <c r="M143" s="1"/>
      <c r="N143" s="1"/>
    </row>
    <row r="144" spans="1:14" ht="29.25" customHeight="1">
      <c r="A144" s="8"/>
      <c r="B144" s="1"/>
      <c r="C144" s="1"/>
      <c r="D144" s="1"/>
      <c r="E144" s="1"/>
      <c r="F144" s="6"/>
      <c r="G144" s="6"/>
      <c r="H144" s="5" t="str">
        <f>IF(OR(D144="",E144="",C144=""),"",IF(COUNTIFS($D$10:D144,D144,$E$10:E144,E144,$C$10:C144,"Opening / ស្តុកដើមគ្រា")=0,"OPEN?",IF(COUNTIFS($D$10:D144,D144,$E$10:E144,E144,$C$10:C144,"Opening / ស្តុកដើមគ្រា")&gt;1,"CHECK OPEN",SUMIFS($F$10:F144,$D$10:D144,D144,$E$10:E144,E144)-SUMIFS($G$10:G144,$D$10:D144,D144,$E$10:E144,E144))))</f>
        <v/>
      </c>
      <c r="I144" s="1"/>
      <c r="J144" s="1"/>
      <c r="K144" s="1"/>
      <c r="L144" s="1"/>
      <c r="M144" s="1"/>
      <c r="N144" s="1"/>
    </row>
    <row r="145" spans="1:14" ht="29.25" customHeight="1">
      <c r="A145" s="8"/>
      <c r="B145" s="1"/>
      <c r="C145" s="1"/>
      <c r="D145" s="1"/>
      <c r="E145" s="1"/>
      <c r="F145" s="6"/>
      <c r="G145" s="6"/>
      <c r="H145" s="5" t="str">
        <f>IF(OR(D145="",E145="",C145=""),"",IF(COUNTIFS($D$10:D145,D145,$E$10:E145,E145,$C$10:C145,"Opening / ស្តុកដើមគ្រា")=0,"OPEN?",IF(COUNTIFS($D$10:D145,D145,$E$10:E145,E145,$C$10:C145,"Opening / ស្តុកដើមគ្រា")&gt;1,"CHECK OPEN",SUMIFS($F$10:F145,$D$10:D145,D145,$E$10:E145,E145)-SUMIFS($G$10:G145,$D$10:D145,D145,$E$10:E145,E145))))</f>
        <v/>
      </c>
      <c r="I145" s="1"/>
      <c r="J145" s="1"/>
      <c r="K145" s="1"/>
      <c r="L145" s="1"/>
      <c r="M145" s="1"/>
      <c r="N145" s="1"/>
    </row>
    <row r="146" spans="1:14" ht="29.25" customHeight="1">
      <c r="A146" s="8"/>
      <c r="B146" s="1"/>
      <c r="C146" s="1"/>
      <c r="D146" s="1"/>
      <c r="E146" s="1"/>
      <c r="F146" s="6"/>
      <c r="G146" s="6"/>
      <c r="H146" s="5" t="str">
        <f>IF(OR(D146="",E146="",C146=""),"",IF(COUNTIFS($D$10:D146,D146,$E$10:E146,E146,$C$10:C146,"Opening / ស្តុកដើមគ្រា")=0,"OPEN?",IF(COUNTIFS($D$10:D146,D146,$E$10:E146,E146,$C$10:C146,"Opening / ស្តុកដើមគ្រា")&gt;1,"CHECK OPEN",SUMIFS($F$10:F146,$D$10:D146,D146,$E$10:E146,E146)-SUMIFS($G$10:G146,$D$10:D146,D146,$E$10:E146,E146))))</f>
        <v/>
      </c>
      <c r="I146" s="1"/>
      <c r="J146" s="1"/>
      <c r="K146" s="1"/>
      <c r="L146" s="1"/>
      <c r="M146" s="1"/>
      <c r="N146" s="1"/>
    </row>
    <row r="147" spans="1:14" ht="29.25" customHeight="1">
      <c r="A147" s="8"/>
      <c r="B147" s="1"/>
      <c r="C147" s="1"/>
      <c r="D147" s="1"/>
      <c r="E147" s="1"/>
      <c r="F147" s="6"/>
      <c r="G147" s="6"/>
      <c r="H147" s="5" t="str">
        <f>IF(OR(D147="",E147="",C147=""),"",IF(COUNTIFS($D$10:D147,D147,$E$10:E147,E147,$C$10:C147,"Opening / ស្តុកដើមគ្រា")=0,"OPEN?",IF(COUNTIFS($D$10:D147,D147,$E$10:E147,E147,$C$10:C147,"Opening / ស្តុកដើមគ្រា")&gt;1,"CHECK OPEN",SUMIFS($F$10:F147,$D$10:D147,D147,$E$10:E147,E147)-SUMIFS($G$10:G147,$D$10:D147,D147,$E$10:E147,E147))))</f>
        <v/>
      </c>
      <c r="I147" s="1"/>
      <c r="J147" s="1"/>
      <c r="K147" s="1"/>
      <c r="L147" s="1"/>
      <c r="M147" s="1"/>
      <c r="N147" s="1"/>
    </row>
    <row r="148" spans="1:14" ht="29.25" customHeight="1">
      <c r="A148" s="8"/>
      <c r="B148" s="1"/>
      <c r="C148" s="1"/>
      <c r="D148" s="1"/>
      <c r="E148" s="1"/>
      <c r="F148" s="6"/>
      <c r="G148" s="6"/>
      <c r="H148" s="5" t="str">
        <f>IF(OR(D148="",E148="",C148=""),"",IF(COUNTIFS($D$10:D148,D148,$E$10:E148,E148,$C$10:C148,"Opening / ស្តុកដើមគ្រា")=0,"OPEN?",IF(COUNTIFS($D$10:D148,D148,$E$10:E148,E148,$C$10:C148,"Opening / ស្តុកដើមគ្រា")&gt;1,"CHECK OPEN",SUMIFS($F$10:F148,$D$10:D148,D148,$E$10:E148,E148)-SUMIFS($G$10:G148,$D$10:D148,D148,$E$10:E148,E148))))</f>
        <v/>
      </c>
      <c r="I148" s="1"/>
      <c r="J148" s="1"/>
      <c r="K148" s="1"/>
      <c r="L148" s="1"/>
      <c r="M148" s="1"/>
      <c r="N148" s="1"/>
    </row>
    <row r="149" spans="1:14" ht="29.25" customHeight="1">
      <c r="A149" s="8"/>
      <c r="B149" s="1"/>
      <c r="C149" s="1"/>
      <c r="D149" s="1"/>
      <c r="E149" s="1"/>
      <c r="F149" s="6"/>
      <c r="G149" s="6"/>
      <c r="H149" s="5" t="str">
        <f>IF(OR(D149="",E149="",C149=""),"",IF(COUNTIFS($D$10:D149,D149,$E$10:E149,E149,$C$10:C149,"Opening / ស្តុកដើមគ្រា")=0,"OPEN?",IF(COUNTIFS($D$10:D149,D149,$E$10:E149,E149,$C$10:C149,"Opening / ស្តុកដើមគ្រា")&gt;1,"CHECK OPEN",SUMIFS($F$10:F149,$D$10:D149,D149,$E$10:E149,E149)-SUMIFS($G$10:G149,$D$10:D149,D149,$E$10:E149,E149))))</f>
        <v/>
      </c>
      <c r="I149" s="1"/>
      <c r="J149" s="1"/>
      <c r="K149" s="1"/>
      <c r="L149" s="1"/>
      <c r="M149" s="1"/>
      <c r="N149" s="1"/>
    </row>
    <row r="150" spans="1:14" ht="29.25" customHeight="1">
      <c r="A150" s="8"/>
      <c r="B150" s="1"/>
      <c r="C150" s="1"/>
      <c r="D150" s="1"/>
      <c r="E150" s="1"/>
      <c r="F150" s="6"/>
      <c r="G150" s="6"/>
      <c r="H150" s="5" t="str">
        <f>IF(OR(D150="",E150="",C150=""),"",IF(COUNTIFS($D$10:D150,D150,$E$10:E150,E150,$C$10:C150,"Opening / ស្តុកដើមគ្រា")=0,"OPEN?",IF(COUNTIFS($D$10:D150,D150,$E$10:E150,E150,$C$10:C150,"Opening / ស្តុកដើមគ្រា")&gt;1,"CHECK OPEN",SUMIFS($F$10:F150,$D$10:D150,D150,$E$10:E150,E150)-SUMIFS($G$10:G150,$D$10:D150,D150,$E$10:E150,E150))))</f>
        <v/>
      </c>
      <c r="I150" s="1"/>
      <c r="J150" s="1"/>
      <c r="K150" s="1"/>
      <c r="L150" s="1"/>
      <c r="M150" s="1"/>
      <c r="N150" s="1"/>
    </row>
    <row r="151" spans="1:14" ht="29.25" customHeight="1">
      <c r="A151" s="8"/>
      <c r="B151" s="1"/>
      <c r="C151" s="1"/>
      <c r="D151" s="1"/>
      <c r="E151" s="1"/>
      <c r="F151" s="6"/>
      <c r="G151" s="6"/>
      <c r="H151" s="5" t="str">
        <f>IF(OR(D151="",E151="",C151=""),"",IF(COUNTIFS($D$10:D151,D151,$E$10:E151,E151,$C$10:C151,"Opening / ស្តុកដើមគ្រា")=0,"OPEN?",IF(COUNTIFS($D$10:D151,D151,$E$10:E151,E151,$C$10:C151,"Opening / ស្តុកដើមគ្រា")&gt;1,"CHECK OPEN",SUMIFS($F$10:F151,$D$10:D151,D151,$E$10:E151,E151)-SUMIFS($G$10:G151,$D$10:D151,D151,$E$10:E151,E151))))</f>
        <v/>
      </c>
      <c r="I151" s="1"/>
      <c r="J151" s="1"/>
      <c r="K151" s="1"/>
      <c r="L151" s="1"/>
      <c r="M151" s="1"/>
      <c r="N151" s="1"/>
    </row>
    <row r="152" spans="1:14" ht="29.25" customHeight="1">
      <c r="A152" s="8"/>
      <c r="B152" s="1"/>
      <c r="C152" s="1"/>
      <c r="D152" s="1"/>
      <c r="E152" s="1"/>
      <c r="F152" s="6"/>
      <c r="G152" s="6"/>
      <c r="H152" s="5" t="str">
        <f>IF(OR(D152="",E152="",C152=""),"",IF(COUNTIFS($D$10:D152,D152,$E$10:E152,E152,$C$10:C152,"Opening / ស្តុកដើមគ្រា")=0,"OPEN?",IF(COUNTIFS($D$10:D152,D152,$E$10:E152,E152,$C$10:C152,"Opening / ស្តុកដើមគ្រា")&gt;1,"CHECK OPEN",SUMIFS($F$10:F152,$D$10:D152,D152,$E$10:E152,E152)-SUMIFS($G$10:G152,$D$10:D152,D152,$E$10:E152,E152))))</f>
        <v/>
      </c>
      <c r="I152" s="1"/>
      <c r="J152" s="1"/>
      <c r="K152" s="1"/>
      <c r="L152" s="1"/>
      <c r="M152" s="1"/>
      <c r="N152" s="1"/>
    </row>
    <row r="153" spans="1:14" ht="29.25" customHeight="1">
      <c r="A153" s="8"/>
      <c r="B153" s="1"/>
      <c r="C153" s="1"/>
      <c r="D153" s="1"/>
      <c r="E153" s="1"/>
      <c r="F153" s="6"/>
      <c r="G153" s="6"/>
      <c r="H153" s="5" t="str">
        <f>IF(OR(D153="",E153="",C153=""),"",IF(COUNTIFS($D$10:D153,D153,$E$10:E153,E153,$C$10:C153,"Opening / ស្តុកដើមគ្រា")=0,"OPEN?",IF(COUNTIFS($D$10:D153,D153,$E$10:E153,E153,$C$10:C153,"Opening / ស្តុកដើមគ្រា")&gt;1,"CHECK OPEN",SUMIFS($F$10:F153,$D$10:D153,D153,$E$10:E153,E153)-SUMIFS($G$10:G153,$D$10:D153,D153,$E$10:E153,E153))))</f>
        <v/>
      </c>
      <c r="I153" s="1"/>
      <c r="J153" s="1"/>
      <c r="K153" s="1"/>
      <c r="L153" s="1"/>
      <c r="M153" s="1"/>
      <c r="N153" s="1"/>
    </row>
    <row r="154" spans="1:14" ht="29.25" customHeight="1">
      <c r="A154" s="8"/>
      <c r="B154" s="1"/>
      <c r="C154" s="1"/>
      <c r="D154" s="1"/>
      <c r="E154" s="1"/>
      <c r="F154" s="6"/>
      <c r="G154" s="6"/>
      <c r="H154" s="5" t="str">
        <f>IF(OR(D154="",E154="",C154=""),"",IF(COUNTIFS($D$10:D154,D154,$E$10:E154,E154,$C$10:C154,"Opening / ស្តុកដើមគ្រា")=0,"OPEN?",IF(COUNTIFS($D$10:D154,D154,$E$10:E154,E154,$C$10:C154,"Opening / ស្តុកដើមគ្រា")&gt;1,"CHECK OPEN",SUMIFS($F$10:F154,$D$10:D154,D154,$E$10:E154,E154)-SUMIFS($G$10:G154,$D$10:D154,D154,$E$10:E154,E154))))</f>
        <v/>
      </c>
      <c r="I154" s="1"/>
      <c r="J154" s="1"/>
      <c r="K154" s="1"/>
      <c r="L154" s="1"/>
      <c r="M154" s="1"/>
      <c r="N154" s="1"/>
    </row>
    <row r="155" spans="1:14" ht="29.25" customHeight="1">
      <c r="A155" s="8"/>
      <c r="B155" s="1"/>
      <c r="C155" s="1"/>
      <c r="D155" s="1"/>
      <c r="E155" s="1"/>
      <c r="F155" s="6"/>
      <c r="G155" s="6"/>
      <c r="H155" s="5" t="str">
        <f>IF(OR(D155="",E155="",C155=""),"",IF(COUNTIFS($D$10:D155,D155,$E$10:E155,E155,$C$10:C155,"Opening / ស្តុកដើមគ្រា")=0,"OPEN?",IF(COUNTIFS($D$10:D155,D155,$E$10:E155,E155,$C$10:C155,"Opening / ស្តុកដើមគ្រា")&gt;1,"CHECK OPEN",SUMIFS($F$10:F155,$D$10:D155,D155,$E$10:E155,E155)-SUMIFS($G$10:G155,$D$10:D155,D155,$E$10:E155,E155))))</f>
        <v/>
      </c>
      <c r="I155" s="1"/>
      <c r="J155" s="1"/>
      <c r="K155" s="1"/>
      <c r="L155" s="1"/>
      <c r="M155" s="1"/>
      <c r="N155" s="1"/>
    </row>
    <row r="156" spans="1:14" ht="29.25" customHeight="1">
      <c r="A156" s="8"/>
      <c r="B156" s="1"/>
      <c r="C156" s="1"/>
      <c r="D156" s="1"/>
      <c r="E156" s="1"/>
      <c r="F156" s="6"/>
      <c r="G156" s="6"/>
      <c r="H156" s="5" t="str">
        <f>IF(OR(D156="",E156="",C156=""),"",IF(COUNTIFS($D$10:D156,D156,$E$10:E156,E156,$C$10:C156,"Opening / ស្តុកដើមគ្រា")=0,"OPEN?",IF(COUNTIFS($D$10:D156,D156,$E$10:E156,E156,$C$10:C156,"Opening / ស្តុកដើមគ្រា")&gt;1,"CHECK OPEN",SUMIFS($F$10:F156,$D$10:D156,D156,$E$10:E156,E156)-SUMIFS($G$10:G156,$D$10:D156,D156,$E$10:E156,E156))))</f>
        <v/>
      </c>
      <c r="I156" s="1"/>
      <c r="J156" s="1"/>
      <c r="K156" s="1"/>
      <c r="L156" s="1"/>
      <c r="M156" s="1"/>
      <c r="N156" s="1"/>
    </row>
    <row r="157" spans="1:14" ht="29.25" customHeight="1">
      <c r="A157" s="8"/>
      <c r="B157" s="1"/>
      <c r="C157" s="1"/>
      <c r="D157" s="1"/>
      <c r="E157" s="1"/>
      <c r="F157" s="6"/>
      <c r="G157" s="6"/>
      <c r="H157" s="5" t="str">
        <f>IF(OR(D157="",E157="",C157=""),"",IF(COUNTIFS($D$10:D157,D157,$E$10:E157,E157,$C$10:C157,"Opening / ស្តុកដើមគ្រា")=0,"OPEN?",IF(COUNTIFS($D$10:D157,D157,$E$10:E157,E157,$C$10:C157,"Opening / ស្តុកដើមគ្រា")&gt;1,"CHECK OPEN",SUMIFS($F$10:F157,$D$10:D157,D157,$E$10:E157,E157)-SUMIFS($G$10:G157,$D$10:D157,D157,$E$10:E157,E157))))</f>
        <v/>
      </c>
      <c r="I157" s="1"/>
      <c r="J157" s="1"/>
      <c r="K157" s="1"/>
      <c r="L157" s="1"/>
      <c r="M157" s="1"/>
      <c r="N157" s="1"/>
    </row>
    <row r="158" spans="1:14" ht="29.25" customHeight="1">
      <c r="A158" s="8"/>
      <c r="B158" s="1"/>
      <c r="C158" s="1"/>
      <c r="D158" s="1"/>
      <c r="E158" s="1"/>
      <c r="F158" s="6"/>
      <c r="G158" s="6"/>
      <c r="H158" s="5" t="str">
        <f>IF(OR(D158="",E158="",C158=""),"",IF(COUNTIFS($D$10:D158,D158,$E$10:E158,E158,$C$10:C158,"Opening / ស្តុកដើមគ្រា")=0,"OPEN?",IF(COUNTIFS($D$10:D158,D158,$E$10:E158,E158,$C$10:C158,"Opening / ស្តុកដើមគ្រា")&gt;1,"CHECK OPEN",SUMIFS($F$10:F158,$D$10:D158,D158,$E$10:E158,E158)-SUMIFS($G$10:G158,$D$10:D158,D158,$E$10:E158,E158))))</f>
        <v/>
      </c>
      <c r="I158" s="1"/>
      <c r="J158" s="1"/>
      <c r="K158" s="1"/>
      <c r="L158" s="1"/>
      <c r="M158" s="1"/>
      <c r="N158" s="1"/>
    </row>
    <row r="159" spans="1:14" ht="29.25" customHeight="1">
      <c r="A159" s="8"/>
      <c r="B159" s="1"/>
      <c r="C159" s="1"/>
      <c r="D159" s="1"/>
      <c r="E159" s="1"/>
      <c r="F159" s="6"/>
      <c r="G159" s="6"/>
      <c r="H159" s="5" t="str">
        <f>IF(OR(D159="",E159="",C159=""),"",IF(COUNTIFS($D$10:D159,D159,$E$10:E159,E159,$C$10:C159,"Opening / ស្តុកដើមគ្រា")=0,"OPEN?",IF(COUNTIFS($D$10:D159,D159,$E$10:E159,E159,$C$10:C159,"Opening / ស្តុកដើមគ្រា")&gt;1,"CHECK OPEN",SUMIFS($F$10:F159,$D$10:D159,D159,$E$10:E159,E159)-SUMIFS($G$10:G159,$D$10:D159,D159,$E$10:E159,E159))))</f>
        <v/>
      </c>
      <c r="I159" s="1"/>
      <c r="J159" s="1"/>
      <c r="K159" s="1"/>
      <c r="L159" s="1"/>
      <c r="M159" s="1"/>
      <c r="N159" s="1"/>
    </row>
    <row r="160" spans="1:14" ht="29.25" customHeight="1">
      <c r="A160" s="8"/>
      <c r="B160" s="1"/>
      <c r="C160" s="1"/>
      <c r="D160" s="1"/>
      <c r="E160" s="1"/>
      <c r="F160" s="6"/>
      <c r="G160" s="6"/>
      <c r="H160" s="5" t="str">
        <f>IF(OR(D160="",E160="",C160=""),"",IF(COUNTIFS($D$10:D160,D160,$E$10:E160,E160,$C$10:C160,"Opening / ស្តុកដើមគ្រា")=0,"OPEN?",IF(COUNTIFS($D$10:D160,D160,$E$10:E160,E160,$C$10:C160,"Opening / ស្តុកដើមគ្រា")&gt;1,"CHECK OPEN",SUMIFS($F$10:F160,$D$10:D160,D160,$E$10:E160,E160)-SUMIFS($G$10:G160,$D$10:D160,D160,$E$10:E160,E160))))</f>
        <v/>
      </c>
      <c r="I160" s="1"/>
      <c r="J160" s="1"/>
      <c r="K160" s="1"/>
      <c r="L160" s="1"/>
      <c r="M160" s="1"/>
      <c r="N160" s="1"/>
    </row>
    <row r="161" spans="1:14" ht="29.25" customHeight="1">
      <c r="A161" s="8"/>
      <c r="B161" s="1"/>
      <c r="C161" s="1"/>
      <c r="D161" s="1"/>
      <c r="E161" s="1"/>
      <c r="F161" s="6"/>
      <c r="G161" s="6"/>
      <c r="H161" s="5" t="str">
        <f>IF(OR(D161="",E161="",C161=""),"",IF(COUNTIFS($D$10:D161,D161,$E$10:E161,E161,$C$10:C161,"Opening / ស្តុកដើមគ្រា")=0,"OPEN?",IF(COUNTIFS($D$10:D161,D161,$E$10:E161,E161,$C$10:C161,"Opening / ស្តុកដើមគ្រា")&gt;1,"CHECK OPEN",SUMIFS($F$10:F161,$D$10:D161,D161,$E$10:E161,E161)-SUMIFS($G$10:G161,$D$10:D161,D161,$E$10:E161,E161))))</f>
        <v/>
      </c>
      <c r="I161" s="1"/>
      <c r="J161" s="1"/>
      <c r="K161" s="1"/>
      <c r="L161" s="1"/>
      <c r="M161" s="1"/>
      <c r="N161" s="1"/>
    </row>
    <row r="162" spans="1:14" ht="29.25" customHeight="1">
      <c r="A162" s="8"/>
      <c r="B162" s="1"/>
      <c r="C162" s="1"/>
      <c r="D162" s="1"/>
      <c r="E162" s="1"/>
      <c r="F162" s="6"/>
      <c r="G162" s="6"/>
      <c r="H162" s="5" t="str">
        <f>IF(OR(D162="",E162="",C162=""),"",IF(COUNTIFS($D$10:D162,D162,$E$10:E162,E162,$C$10:C162,"Opening / ស្តុកដើមគ្រា")=0,"OPEN?",IF(COUNTIFS($D$10:D162,D162,$E$10:E162,E162,$C$10:C162,"Opening / ស្តុកដើមគ្រា")&gt;1,"CHECK OPEN",SUMIFS($F$10:F162,$D$10:D162,D162,$E$10:E162,E162)-SUMIFS($G$10:G162,$D$10:D162,D162,$E$10:E162,E162))))</f>
        <v/>
      </c>
      <c r="I162" s="1"/>
      <c r="J162" s="1"/>
      <c r="K162" s="1"/>
      <c r="L162" s="1"/>
      <c r="M162" s="1"/>
      <c r="N162" s="1"/>
    </row>
    <row r="163" spans="1:14" ht="29.25" customHeight="1">
      <c r="A163" s="8"/>
      <c r="B163" s="1"/>
      <c r="C163" s="1"/>
      <c r="D163" s="1"/>
      <c r="E163" s="1"/>
      <c r="F163" s="6"/>
      <c r="G163" s="6"/>
      <c r="H163" s="5" t="str">
        <f>IF(OR(D163="",E163="",C163=""),"",IF(COUNTIFS($D$10:D163,D163,$E$10:E163,E163,$C$10:C163,"Opening / ស្តុកដើមគ្រា")=0,"OPEN?",IF(COUNTIFS($D$10:D163,D163,$E$10:E163,E163,$C$10:C163,"Opening / ស្តុកដើមគ្រា")&gt;1,"CHECK OPEN",SUMIFS($F$10:F163,$D$10:D163,D163,$E$10:E163,E163)-SUMIFS($G$10:G163,$D$10:D163,D163,$E$10:E163,E163))))</f>
        <v/>
      </c>
      <c r="I163" s="1"/>
      <c r="J163" s="1"/>
      <c r="K163" s="1"/>
      <c r="L163" s="1"/>
      <c r="M163" s="1"/>
      <c r="N163" s="1"/>
    </row>
    <row r="164" spans="1:14" ht="29.25" customHeight="1">
      <c r="A164" s="8"/>
      <c r="B164" s="1"/>
      <c r="C164" s="1"/>
      <c r="D164" s="1"/>
      <c r="E164" s="1"/>
      <c r="F164" s="6"/>
      <c r="G164" s="6"/>
      <c r="H164" s="5" t="str">
        <f>IF(OR(D164="",E164="",C164=""),"",IF(COUNTIFS($D$10:D164,D164,$E$10:E164,E164,$C$10:C164,"Opening / ស្តុកដើមគ្រា")=0,"OPEN?",IF(COUNTIFS($D$10:D164,D164,$E$10:E164,E164,$C$10:C164,"Opening / ស្តុកដើមគ្រា")&gt;1,"CHECK OPEN",SUMIFS($F$10:F164,$D$10:D164,D164,$E$10:E164,E164)-SUMIFS($G$10:G164,$D$10:D164,D164,$E$10:E164,E164))))</f>
        <v/>
      </c>
      <c r="I164" s="1"/>
      <c r="J164" s="1"/>
      <c r="K164" s="1"/>
      <c r="L164" s="1"/>
      <c r="M164" s="1"/>
      <c r="N164" s="1"/>
    </row>
    <row r="165" spans="1:14" ht="29.25" customHeight="1">
      <c r="A165" s="8"/>
      <c r="B165" s="1"/>
      <c r="C165" s="1"/>
      <c r="D165" s="1"/>
      <c r="E165" s="1"/>
      <c r="F165" s="6"/>
      <c r="G165" s="6"/>
      <c r="H165" s="5" t="str">
        <f>IF(OR(D165="",E165="",C165=""),"",IF(COUNTIFS($D$10:D165,D165,$E$10:E165,E165,$C$10:C165,"Opening / ស្តុកដើមគ្រា")=0,"OPEN?",IF(COUNTIFS($D$10:D165,D165,$E$10:E165,E165,$C$10:C165,"Opening / ស្តុកដើមគ្រា")&gt;1,"CHECK OPEN",SUMIFS($F$10:F165,$D$10:D165,D165,$E$10:E165,E165)-SUMIFS($G$10:G165,$D$10:D165,D165,$E$10:E165,E165))))</f>
        <v/>
      </c>
      <c r="I165" s="1"/>
      <c r="J165" s="1"/>
      <c r="K165" s="1"/>
      <c r="L165" s="1"/>
      <c r="M165" s="1"/>
      <c r="N165" s="1"/>
    </row>
    <row r="166" spans="1:14" ht="29.25" customHeight="1">
      <c r="A166" s="8"/>
      <c r="B166" s="1"/>
      <c r="C166" s="1"/>
      <c r="D166" s="1"/>
      <c r="E166" s="1"/>
      <c r="F166" s="6"/>
      <c r="G166" s="6"/>
      <c r="H166" s="5" t="str">
        <f>IF(OR(D166="",E166="",C166=""),"",IF(COUNTIFS($D$10:D166,D166,$E$10:E166,E166,$C$10:C166,"Opening / ស្តុកដើមគ្រា")=0,"OPEN?",IF(COUNTIFS($D$10:D166,D166,$E$10:E166,E166,$C$10:C166,"Opening / ស្តុកដើមគ្រា")&gt;1,"CHECK OPEN",SUMIFS($F$10:F166,$D$10:D166,D166,$E$10:E166,E166)-SUMIFS($G$10:G166,$D$10:D166,D166,$E$10:E166,E166))))</f>
        <v/>
      </c>
      <c r="I166" s="1"/>
      <c r="J166" s="1"/>
      <c r="K166" s="1"/>
      <c r="L166" s="1"/>
      <c r="M166" s="1"/>
      <c r="N166" s="1"/>
    </row>
    <row r="167" spans="1:14" ht="29.25" customHeight="1">
      <c r="A167" s="8"/>
      <c r="B167" s="1"/>
      <c r="C167" s="1"/>
      <c r="D167" s="1"/>
      <c r="E167" s="1"/>
      <c r="F167" s="6"/>
      <c r="G167" s="6"/>
      <c r="H167" s="5" t="str">
        <f>IF(OR(D167="",E167="",C167=""),"",IF(COUNTIFS($D$10:D167,D167,$E$10:E167,E167,$C$10:C167,"Opening / ស្តុកដើមគ្រា")=0,"OPEN?",IF(COUNTIFS($D$10:D167,D167,$E$10:E167,E167,$C$10:C167,"Opening / ស្តុកដើមគ្រា")&gt;1,"CHECK OPEN",SUMIFS($F$10:F167,$D$10:D167,D167,$E$10:E167,E167)-SUMIFS($G$10:G167,$D$10:D167,D167,$E$10:E167,E167))))</f>
        <v/>
      </c>
      <c r="I167" s="1"/>
      <c r="J167" s="1"/>
      <c r="K167" s="1"/>
      <c r="L167" s="1"/>
      <c r="M167" s="1"/>
      <c r="N167" s="1"/>
    </row>
    <row r="168" spans="1:14" ht="29.25" customHeight="1">
      <c r="A168" s="8"/>
      <c r="B168" s="1"/>
      <c r="C168" s="1"/>
      <c r="D168" s="1"/>
      <c r="E168" s="1"/>
      <c r="F168" s="6"/>
      <c r="G168" s="6"/>
      <c r="H168" s="5" t="str">
        <f>IF(OR(D168="",E168="",C168=""),"",IF(COUNTIFS($D$10:D168,D168,$E$10:E168,E168,$C$10:C168,"Opening / ស្តុកដើមគ្រា")=0,"OPEN?",IF(COUNTIFS($D$10:D168,D168,$E$10:E168,E168,$C$10:C168,"Opening / ស្តុកដើមគ្រា")&gt;1,"CHECK OPEN",SUMIFS($F$10:F168,$D$10:D168,D168,$E$10:E168,E168)-SUMIFS($G$10:G168,$D$10:D168,D168,$E$10:E168,E168))))</f>
        <v/>
      </c>
      <c r="I168" s="1"/>
      <c r="J168" s="1"/>
      <c r="K168" s="1"/>
      <c r="L168" s="1"/>
      <c r="M168" s="1"/>
      <c r="N168" s="1"/>
    </row>
    <row r="169" spans="1:14" ht="29.25" customHeight="1">
      <c r="A169" s="8"/>
      <c r="B169" s="1"/>
      <c r="C169" s="1"/>
      <c r="D169" s="1"/>
      <c r="E169" s="1"/>
      <c r="F169" s="6"/>
      <c r="G169" s="6"/>
      <c r="H169" s="5" t="str">
        <f>IF(OR(D169="",E169="",C169=""),"",IF(COUNTIFS($D$10:D169,D169,$E$10:E169,E169,$C$10:C169,"Opening / ស្តុកដើមគ្រា")=0,"OPEN?",IF(COUNTIFS($D$10:D169,D169,$E$10:E169,E169,$C$10:C169,"Opening / ស្តុកដើមគ្រា")&gt;1,"CHECK OPEN",SUMIFS($F$10:F169,$D$10:D169,D169,$E$10:E169,E169)-SUMIFS($G$10:G169,$D$10:D169,D169,$E$10:E169,E169))))</f>
        <v/>
      </c>
      <c r="I169" s="1"/>
      <c r="J169" s="1"/>
      <c r="K169" s="1"/>
      <c r="L169" s="1"/>
      <c r="M169" s="1"/>
      <c r="N169" s="1"/>
    </row>
    <row r="170" spans="1:14" ht="29.25" customHeight="1">
      <c r="A170" s="8"/>
      <c r="B170" s="1"/>
      <c r="C170" s="1"/>
      <c r="D170" s="1"/>
      <c r="E170" s="1"/>
      <c r="F170" s="6"/>
      <c r="G170" s="6"/>
      <c r="H170" s="5" t="str">
        <f>IF(OR(D170="",E170="",C170=""),"",IF(COUNTIFS($D$10:D170,D170,$E$10:E170,E170,$C$10:C170,"Opening / ស្តុកដើមគ្រា")=0,"OPEN?",IF(COUNTIFS($D$10:D170,D170,$E$10:E170,E170,$C$10:C170,"Opening / ស្តុកដើមគ្រា")&gt;1,"CHECK OPEN",SUMIFS($F$10:F170,$D$10:D170,D170,$E$10:E170,E170)-SUMIFS($G$10:G170,$D$10:D170,D170,$E$10:E170,E170))))</f>
        <v/>
      </c>
      <c r="I170" s="1"/>
      <c r="J170" s="1"/>
      <c r="K170" s="1"/>
      <c r="L170" s="1"/>
      <c r="M170" s="1"/>
      <c r="N170" s="1"/>
    </row>
    <row r="171" spans="1:14" ht="29.25" customHeight="1">
      <c r="A171" s="8"/>
      <c r="B171" s="1"/>
      <c r="C171" s="1"/>
      <c r="D171" s="1"/>
      <c r="E171" s="1"/>
      <c r="F171" s="6"/>
      <c r="G171" s="6"/>
      <c r="H171" s="5" t="str">
        <f>IF(OR(D171="",E171="",C171=""),"",IF(COUNTIFS($D$10:D171,D171,$E$10:E171,E171,$C$10:C171,"Opening / ស្តុកដើមគ្រា")=0,"OPEN?",IF(COUNTIFS($D$10:D171,D171,$E$10:E171,E171,$C$10:C171,"Opening / ស្តុកដើមគ្រា")&gt;1,"CHECK OPEN",SUMIFS($F$10:F171,$D$10:D171,D171,$E$10:E171,E171)-SUMIFS($G$10:G171,$D$10:D171,D171,$E$10:E171,E171))))</f>
        <v/>
      </c>
      <c r="I171" s="1"/>
      <c r="J171" s="1"/>
      <c r="K171" s="1"/>
      <c r="L171" s="1"/>
      <c r="M171" s="1"/>
      <c r="N171" s="1"/>
    </row>
    <row r="172" spans="1:14" ht="29.25" customHeight="1">
      <c r="A172" s="8"/>
      <c r="B172" s="1"/>
      <c r="C172" s="1"/>
      <c r="D172" s="1"/>
      <c r="E172" s="1"/>
      <c r="F172" s="6"/>
      <c r="G172" s="6"/>
      <c r="H172" s="5" t="str">
        <f>IF(OR(D172="",E172="",C172=""),"",IF(COUNTIFS($D$10:D172,D172,$E$10:E172,E172,$C$10:C172,"Opening / ស្តុកដើមគ្រា")=0,"OPEN?",IF(COUNTIFS($D$10:D172,D172,$E$10:E172,E172,$C$10:C172,"Opening / ស្តុកដើមគ្រា")&gt;1,"CHECK OPEN",SUMIFS($F$10:F172,$D$10:D172,D172,$E$10:E172,E172)-SUMIFS($G$10:G172,$D$10:D172,D172,$E$10:E172,E172))))</f>
        <v/>
      </c>
      <c r="I172" s="1"/>
      <c r="J172" s="1"/>
      <c r="K172" s="1"/>
      <c r="L172" s="1"/>
      <c r="M172" s="1"/>
      <c r="N172" s="1"/>
    </row>
    <row r="173" spans="1:14" ht="29.25" customHeight="1">
      <c r="A173" s="8"/>
      <c r="B173" s="1"/>
      <c r="C173" s="1"/>
      <c r="D173" s="1"/>
      <c r="E173" s="1"/>
      <c r="F173" s="6"/>
      <c r="G173" s="6"/>
      <c r="H173" s="5" t="str">
        <f>IF(OR(D173="",E173="",C173=""),"",IF(COUNTIFS($D$10:D173,D173,$E$10:E173,E173,$C$10:C173,"Opening / ស្តុកដើមគ្រា")=0,"OPEN?",IF(COUNTIFS($D$10:D173,D173,$E$10:E173,E173,$C$10:C173,"Opening / ស្តុកដើមគ្រា")&gt;1,"CHECK OPEN",SUMIFS($F$10:F173,$D$10:D173,D173,$E$10:E173,E173)-SUMIFS($G$10:G173,$D$10:D173,D173,$E$10:E173,E173))))</f>
        <v/>
      </c>
      <c r="I173" s="1"/>
      <c r="J173" s="1"/>
      <c r="K173" s="1"/>
      <c r="L173" s="1"/>
      <c r="M173" s="1"/>
      <c r="N173" s="1"/>
    </row>
    <row r="174" spans="1:14" ht="29.25" customHeight="1">
      <c r="A174" s="8"/>
      <c r="B174" s="1"/>
      <c r="C174" s="1"/>
      <c r="D174" s="1"/>
      <c r="E174" s="1"/>
      <c r="F174" s="6"/>
      <c r="G174" s="6"/>
      <c r="H174" s="5" t="str">
        <f>IF(OR(D174="",E174="",C174=""),"",IF(COUNTIFS($D$10:D174,D174,$E$10:E174,E174,$C$10:C174,"Opening / ស្តុកដើមគ្រា")=0,"OPEN?",IF(COUNTIFS($D$10:D174,D174,$E$10:E174,E174,$C$10:C174,"Opening / ស្តុកដើមគ្រា")&gt;1,"CHECK OPEN",SUMIFS($F$10:F174,$D$10:D174,D174,$E$10:E174,E174)-SUMIFS($G$10:G174,$D$10:D174,D174,$E$10:E174,E174))))</f>
        <v/>
      </c>
      <c r="I174" s="1"/>
      <c r="J174" s="1"/>
      <c r="K174" s="1"/>
      <c r="L174" s="1"/>
      <c r="M174" s="1"/>
      <c r="N174" s="1"/>
    </row>
    <row r="175" spans="1:14" ht="29.25" customHeight="1">
      <c r="A175" s="8"/>
      <c r="B175" s="1"/>
      <c r="C175" s="1"/>
      <c r="D175" s="1"/>
      <c r="E175" s="1"/>
      <c r="F175" s="6"/>
      <c r="G175" s="6"/>
      <c r="H175" s="5" t="str">
        <f>IF(OR(D175="",E175="",C175=""),"",IF(COUNTIFS($D$10:D175,D175,$E$10:E175,E175,$C$10:C175,"Opening / ស្តុកដើមគ្រា")=0,"OPEN?",IF(COUNTIFS($D$10:D175,D175,$E$10:E175,E175,$C$10:C175,"Opening / ស្តុកដើមគ្រា")&gt;1,"CHECK OPEN",SUMIFS($F$10:F175,$D$10:D175,D175,$E$10:E175,E175)-SUMIFS($G$10:G175,$D$10:D175,D175,$E$10:E175,E175))))</f>
        <v/>
      </c>
      <c r="I175" s="1"/>
      <c r="J175" s="1"/>
      <c r="K175" s="1"/>
      <c r="L175" s="1"/>
      <c r="M175" s="1"/>
      <c r="N175" s="1"/>
    </row>
    <row r="176" spans="1:14" ht="29.25" customHeight="1">
      <c r="A176" s="8"/>
      <c r="B176" s="1"/>
      <c r="C176" s="1"/>
      <c r="D176" s="1"/>
      <c r="E176" s="1"/>
      <c r="F176" s="6"/>
      <c r="G176" s="6"/>
      <c r="H176" s="5" t="str">
        <f>IF(OR(D176="",E176="",C176=""),"",IF(COUNTIFS($D$10:D176,D176,$E$10:E176,E176,$C$10:C176,"Opening / ស្តុកដើមគ្រា")=0,"OPEN?",IF(COUNTIFS($D$10:D176,D176,$E$10:E176,E176,$C$10:C176,"Opening / ស្តុកដើមគ្រា")&gt;1,"CHECK OPEN",SUMIFS($F$10:F176,$D$10:D176,D176,$E$10:E176,E176)-SUMIFS($G$10:G176,$D$10:D176,D176,$E$10:E176,E176))))</f>
        <v/>
      </c>
      <c r="I176" s="1"/>
      <c r="J176" s="1"/>
      <c r="K176" s="1"/>
      <c r="L176" s="1"/>
      <c r="M176" s="1"/>
      <c r="N176" s="1"/>
    </row>
    <row r="177" spans="1:14" ht="29.25" customHeight="1">
      <c r="A177" s="8"/>
      <c r="B177" s="1"/>
      <c r="C177" s="1"/>
      <c r="D177" s="1"/>
      <c r="E177" s="1"/>
      <c r="F177" s="6"/>
      <c r="G177" s="6"/>
      <c r="H177" s="5" t="str">
        <f>IF(OR(D177="",E177="",C177=""),"",IF(COUNTIFS($D$10:D177,D177,$E$10:E177,E177,$C$10:C177,"Opening / ស្តុកដើមគ្រា")=0,"OPEN?",IF(COUNTIFS($D$10:D177,D177,$E$10:E177,E177,$C$10:C177,"Opening / ស្តុកដើមគ្រា")&gt;1,"CHECK OPEN",SUMIFS($F$10:F177,$D$10:D177,D177,$E$10:E177,E177)-SUMIFS($G$10:G177,$D$10:D177,D177,$E$10:E177,E177))))</f>
        <v/>
      </c>
      <c r="I177" s="1"/>
      <c r="J177" s="1"/>
      <c r="K177" s="1"/>
      <c r="L177" s="1"/>
      <c r="M177" s="1"/>
      <c r="N177" s="1"/>
    </row>
    <row r="178" spans="1:14" ht="29.25" customHeight="1">
      <c r="A178" s="8"/>
      <c r="B178" s="1"/>
      <c r="C178" s="1"/>
      <c r="D178" s="1"/>
      <c r="E178" s="1"/>
      <c r="F178" s="6"/>
      <c r="G178" s="6"/>
      <c r="H178" s="5" t="str">
        <f>IF(OR(D178="",E178="",C178=""),"",IF(COUNTIFS($D$10:D178,D178,$E$10:E178,E178,$C$10:C178,"Opening / ស្តុកដើមគ្រា")=0,"OPEN?",IF(COUNTIFS($D$10:D178,D178,$E$10:E178,E178,$C$10:C178,"Opening / ស្តុកដើមគ្រា")&gt;1,"CHECK OPEN",SUMIFS($F$10:F178,$D$10:D178,D178,$E$10:E178,E178)-SUMIFS($G$10:G178,$D$10:D178,D178,$E$10:E178,E178))))</f>
        <v/>
      </c>
      <c r="I178" s="1"/>
      <c r="J178" s="1"/>
      <c r="K178" s="1"/>
      <c r="L178" s="1"/>
      <c r="M178" s="1"/>
      <c r="N178" s="1"/>
    </row>
    <row r="179" spans="1:14" ht="29.25" customHeight="1">
      <c r="A179" s="8"/>
      <c r="B179" s="1"/>
      <c r="C179" s="1"/>
      <c r="D179" s="1"/>
      <c r="E179" s="1"/>
      <c r="F179" s="6"/>
      <c r="G179" s="6"/>
      <c r="H179" s="5" t="str">
        <f>IF(OR(D179="",E179="",C179=""),"",IF(COUNTIFS($D$10:D179,D179,$E$10:E179,E179,$C$10:C179,"Opening / ស្តុកដើមគ្រា")=0,"OPEN?",IF(COUNTIFS($D$10:D179,D179,$E$10:E179,E179,$C$10:C179,"Opening / ស្តុកដើមគ្រា")&gt;1,"CHECK OPEN",SUMIFS($F$10:F179,$D$10:D179,D179,$E$10:E179,E179)-SUMIFS($G$10:G179,$D$10:D179,D179,$E$10:E179,E179))))</f>
        <v/>
      </c>
      <c r="I179" s="1"/>
      <c r="J179" s="1"/>
      <c r="K179" s="1"/>
      <c r="L179" s="1"/>
      <c r="M179" s="1"/>
      <c r="N179" s="1"/>
    </row>
    <row r="180" spans="1:14" ht="29.25" customHeight="1">
      <c r="A180" s="8"/>
      <c r="B180" s="1"/>
      <c r="C180" s="1"/>
      <c r="D180" s="1"/>
      <c r="E180" s="1"/>
      <c r="F180" s="6"/>
      <c r="G180" s="6"/>
      <c r="H180" s="5" t="str">
        <f>IF(OR(D180="",E180="",C180=""),"",IF(COUNTIFS($D$10:D180,D180,$E$10:E180,E180,$C$10:C180,"Opening / ស្តុកដើមគ្រា")=0,"OPEN?",IF(COUNTIFS($D$10:D180,D180,$E$10:E180,E180,$C$10:C180,"Opening / ស្តុកដើមគ្រា")&gt;1,"CHECK OPEN",SUMIFS($F$10:F180,$D$10:D180,D180,$E$10:E180,E180)-SUMIFS($G$10:G180,$D$10:D180,D180,$E$10:E180,E180))))</f>
        <v/>
      </c>
      <c r="I180" s="1"/>
      <c r="J180" s="1"/>
      <c r="K180" s="1"/>
      <c r="L180" s="1"/>
      <c r="M180" s="1"/>
      <c r="N180" s="1"/>
    </row>
    <row r="181" spans="1:14" ht="29.25" customHeight="1">
      <c r="A181" s="8"/>
      <c r="B181" s="1"/>
      <c r="C181" s="1"/>
      <c r="D181" s="1"/>
      <c r="E181" s="1"/>
      <c r="F181" s="6"/>
      <c r="G181" s="6"/>
      <c r="H181" s="5" t="str">
        <f>IF(OR(D181="",E181="",C181=""),"",IF(COUNTIFS($D$10:D181,D181,$E$10:E181,E181,$C$10:C181,"Opening / ស្តុកដើមគ្រា")=0,"OPEN?",IF(COUNTIFS($D$10:D181,D181,$E$10:E181,E181,$C$10:C181,"Opening / ស្តុកដើមគ្រា")&gt;1,"CHECK OPEN",SUMIFS($F$10:F181,$D$10:D181,D181,$E$10:E181,E181)-SUMIFS($G$10:G181,$D$10:D181,D181,$E$10:E181,E181))))</f>
        <v/>
      </c>
      <c r="I181" s="1"/>
      <c r="J181" s="1"/>
      <c r="K181" s="1"/>
      <c r="L181" s="1"/>
      <c r="M181" s="1"/>
      <c r="N181" s="1"/>
    </row>
    <row r="182" spans="1:14" ht="29.25" customHeight="1">
      <c r="A182" s="8"/>
      <c r="B182" s="1"/>
      <c r="C182" s="1"/>
      <c r="D182" s="1"/>
      <c r="E182" s="1"/>
      <c r="F182" s="6"/>
      <c r="G182" s="6"/>
      <c r="H182" s="5" t="str">
        <f>IF(OR(D182="",E182="",C182=""),"",IF(COUNTIFS($D$10:D182,D182,$E$10:E182,E182,$C$10:C182,"Opening / ស្តុកដើមគ្រា")=0,"OPEN?",IF(COUNTIFS($D$10:D182,D182,$E$10:E182,E182,$C$10:C182,"Opening / ស្តុកដើមគ្រា")&gt;1,"CHECK OPEN",SUMIFS($F$10:F182,$D$10:D182,D182,$E$10:E182,E182)-SUMIFS($G$10:G182,$D$10:D182,D182,$E$10:E182,E182))))</f>
        <v/>
      </c>
      <c r="I182" s="1"/>
      <c r="J182" s="1"/>
      <c r="K182" s="1"/>
      <c r="L182" s="1"/>
      <c r="M182" s="1"/>
      <c r="N182" s="1"/>
    </row>
    <row r="183" spans="1:14" ht="29.25" customHeight="1">
      <c r="A183" s="8"/>
      <c r="B183" s="1"/>
      <c r="C183" s="1"/>
      <c r="D183" s="1"/>
      <c r="E183" s="1"/>
      <c r="F183" s="6"/>
      <c r="G183" s="6"/>
      <c r="H183" s="5" t="str">
        <f>IF(OR(D183="",E183="",C183=""),"",IF(COUNTIFS($D$10:D183,D183,$E$10:E183,E183,$C$10:C183,"Opening / ស្តុកដើមគ្រា")=0,"OPEN?",IF(COUNTIFS($D$10:D183,D183,$E$10:E183,E183,$C$10:C183,"Opening / ស្តុកដើមគ្រា")&gt;1,"CHECK OPEN",SUMIFS($F$10:F183,$D$10:D183,D183,$E$10:E183,E183)-SUMIFS($G$10:G183,$D$10:D183,D183,$E$10:E183,E183))))</f>
        <v/>
      </c>
      <c r="I183" s="1"/>
      <c r="J183" s="1"/>
      <c r="K183" s="1"/>
      <c r="L183" s="1"/>
      <c r="M183" s="1"/>
      <c r="N183" s="1"/>
    </row>
    <row r="184" spans="1:14" ht="29.25" customHeight="1">
      <c r="A184" s="8"/>
      <c r="B184" s="1"/>
      <c r="C184" s="1"/>
      <c r="D184" s="1"/>
      <c r="E184" s="1"/>
      <c r="F184" s="6"/>
      <c r="G184" s="6"/>
      <c r="H184" s="5" t="str">
        <f>IF(OR(D184="",E184="",C184=""),"",IF(COUNTIFS($D$10:D184,D184,$E$10:E184,E184,$C$10:C184,"Opening / ស្តុកដើមគ្រា")=0,"OPEN?",IF(COUNTIFS($D$10:D184,D184,$E$10:E184,E184,$C$10:C184,"Opening / ស្តុកដើមគ្រា")&gt;1,"CHECK OPEN",SUMIFS($F$10:F184,$D$10:D184,D184,$E$10:E184,E184)-SUMIFS($G$10:G184,$D$10:D184,D184,$E$10:E184,E184))))</f>
        <v/>
      </c>
      <c r="I184" s="1"/>
      <c r="J184" s="1"/>
      <c r="K184" s="1"/>
      <c r="L184" s="1"/>
      <c r="M184" s="1"/>
      <c r="N184" s="1"/>
    </row>
    <row r="185" spans="1:14" ht="29.25" customHeight="1">
      <c r="A185" s="8"/>
      <c r="B185" s="1"/>
      <c r="C185" s="1"/>
      <c r="D185" s="1"/>
      <c r="E185" s="1"/>
      <c r="F185" s="6"/>
      <c r="G185" s="6"/>
      <c r="H185" s="5" t="str">
        <f>IF(OR(D185="",E185="",C185=""),"",IF(COUNTIFS($D$10:D185,D185,$E$10:E185,E185,$C$10:C185,"Opening / ស្តុកដើមគ្រា")=0,"OPEN?",IF(COUNTIFS($D$10:D185,D185,$E$10:E185,E185,$C$10:C185,"Opening / ស្តុកដើមគ្រា")&gt;1,"CHECK OPEN",SUMIFS($F$10:F185,$D$10:D185,D185,$E$10:E185,E185)-SUMIFS($G$10:G185,$D$10:D185,D185,$E$10:E185,E185))))</f>
        <v/>
      </c>
      <c r="I185" s="1"/>
      <c r="J185" s="1"/>
      <c r="K185" s="1"/>
      <c r="L185" s="1"/>
      <c r="M185" s="1"/>
      <c r="N185" s="1"/>
    </row>
    <row r="186" spans="1:14" ht="29.25" customHeight="1">
      <c r="A186" s="8"/>
      <c r="B186" s="1"/>
      <c r="C186" s="1"/>
      <c r="D186" s="1"/>
      <c r="E186" s="1"/>
      <c r="F186" s="6"/>
      <c r="G186" s="6"/>
      <c r="H186" s="5" t="str">
        <f>IF(OR(D186="",E186="",C186=""),"",IF(COUNTIFS($D$10:D186,D186,$E$10:E186,E186,$C$10:C186,"Opening / ស្តុកដើមគ្រា")=0,"OPEN?",IF(COUNTIFS($D$10:D186,D186,$E$10:E186,E186,$C$10:C186,"Opening / ស្តុកដើមគ្រា")&gt;1,"CHECK OPEN",SUMIFS($F$10:F186,$D$10:D186,D186,$E$10:E186,E186)-SUMIFS($G$10:G186,$D$10:D186,D186,$E$10:E186,E186))))</f>
        <v/>
      </c>
      <c r="I186" s="1"/>
      <c r="J186" s="1"/>
      <c r="K186" s="1"/>
      <c r="L186" s="1"/>
      <c r="M186" s="1"/>
      <c r="N186" s="1"/>
    </row>
    <row r="187" spans="1:14" ht="29.25" customHeight="1">
      <c r="A187" s="8"/>
      <c r="B187" s="1"/>
      <c r="C187" s="1"/>
      <c r="D187" s="1"/>
      <c r="E187" s="1"/>
      <c r="F187" s="6"/>
      <c r="G187" s="6"/>
      <c r="H187" s="5" t="str">
        <f>IF(OR(D187="",E187="",C187=""),"",IF(COUNTIFS($D$10:D187,D187,$E$10:E187,E187,$C$10:C187,"Opening / ស្តុកដើមគ្រា")=0,"OPEN?",IF(COUNTIFS($D$10:D187,D187,$E$10:E187,E187,$C$10:C187,"Opening / ស្តុកដើមគ្រា")&gt;1,"CHECK OPEN",SUMIFS($F$10:F187,$D$10:D187,D187,$E$10:E187,E187)-SUMIFS($G$10:G187,$D$10:D187,D187,$E$10:E187,E187))))</f>
        <v/>
      </c>
      <c r="I187" s="1"/>
      <c r="J187" s="1"/>
      <c r="K187" s="1"/>
      <c r="L187" s="1"/>
      <c r="M187" s="1"/>
      <c r="N187" s="1"/>
    </row>
    <row r="188" spans="1:14" ht="29.25" customHeight="1">
      <c r="A188" s="8"/>
      <c r="B188" s="1"/>
      <c r="C188" s="1"/>
      <c r="D188" s="1"/>
      <c r="E188" s="1"/>
      <c r="F188" s="6"/>
      <c r="G188" s="6"/>
      <c r="H188" s="5" t="str">
        <f>IF(OR(D188="",E188="",C188=""),"",IF(COUNTIFS($D$10:D188,D188,$E$10:E188,E188,$C$10:C188,"Opening / ស្តុកដើមគ្រា")=0,"OPEN?",IF(COUNTIFS($D$10:D188,D188,$E$10:E188,E188,$C$10:C188,"Opening / ស្តុកដើមគ្រា")&gt;1,"CHECK OPEN",SUMIFS($F$10:F188,$D$10:D188,D188,$E$10:E188,E188)-SUMIFS($G$10:G188,$D$10:D188,D188,$E$10:E188,E188))))</f>
        <v/>
      </c>
      <c r="I188" s="1"/>
      <c r="J188" s="1"/>
      <c r="K188" s="1"/>
      <c r="L188" s="1"/>
      <c r="M188" s="1"/>
      <c r="N188" s="1"/>
    </row>
    <row r="189" spans="1:14" ht="29.25" customHeight="1">
      <c r="A189" s="8"/>
      <c r="B189" s="1"/>
      <c r="C189" s="1"/>
      <c r="D189" s="1"/>
      <c r="E189" s="1"/>
      <c r="F189" s="6"/>
      <c r="G189" s="6"/>
      <c r="H189" s="5" t="str">
        <f>IF(OR(D189="",E189="",C189=""),"",IF(COUNTIFS($D$10:D189,D189,$E$10:E189,E189,$C$10:C189,"Opening / ស្តុកដើមគ្រា")=0,"OPEN?",IF(COUNTIFS($D$10:D189,D189,$E$10:E189,E189,$C$10:C189,"Opening / ស្តុកដើមគ្រា")&gt;1,"CHECK OPEN",SUMIFS($F$10:F189,$D$10:D189,D189,$E$10:E189,E189)-SUMIFS($G$10:G189,$D$10:D189,D189,$E$10:E189,E189))))</f>
        <v/>
      </c>
      <c r="I189" s="1"/>
      <c r="J189" s="1"/>
      <c r="K189" s="1"/>
      <c r="L189" s="1"/>
      <c r="M189" s="1"/>
      <c r="N189" s="1"/>
    </row>
    <row r="190" spans="1:14" ht="29.25" customHeight="1">
      <c r="A190" s="8"/>
      <c r="B190" s="1"/>
      <c r="C190" s="1"/>
      <c r="D190" s="1"/>
      <c r="E190" s="1"/>
      <c r="F190" s="6"/>
      <c r="G190" s="6"/>
      <c r="H190" s="5" t="str">
        <f>IF(OR(D190="",E190="",C190=""),"",IF(COUNTIFS($D$10:D190,D190,$E$10:E190,E190,$C$10:C190,"Opening / ស្តុកដើមគ្រា")=0,"OPEN?",IF(COUNTIFS($D$10:D190,D190,$E$10:E190,E190,$C$10:C190,"Opening / ស្តុកដើមគ្រា")&gt;1,"CHECK OPEN",SUMIFS($F$10:F190,$D$10:D190,D190,$E$10:E190,E190)-SUMIFS($G$10:G190,$D$10:D190,D190,$E$10:E190,E190))))</f>
        <v/>
      </c>
      <c r="I190" s="1"/>
      <c r="J190" s="1"/>
      <c r="K190" s="1"/>
      <c r="L190" s="1"/>
      <c r="M190" s="1"/>
      <c r="N190" s="1"/>
    </row>
    <row r="191" spans="1:14" ht="29.25" customHeight="1">
      <c r="A191" s="8"/>
      <c r="B191" s="1"/>
      <c r="C191" s="1"/>
      <c r="D191" s="1"/>
      <c r="E191" s="1"/>
      <c r="F191" s="6"/>
      <c r="G191" s="6"/>
      <c r="H191" s="5" t="str">
        <f>IF(OR(D191="",E191="",C191=""),"",IF(COUNTIFS($D$10:D191,D191,$E$10:E191,E191,$C$10:C191,"Opening / ស្តុកដើមគ្រា")=0,"OPEN?",IF(COUNTIFS($D$10:D191,D191,$E$10:E191,E191,$C$10:C191,"Opening / ស្តុកដើមគ្រា")&gt;1,"CHECK OPEN",SUMIFS($F$10:F191,$D$10:D191,D191,$E$10:E191,E191)-SUMIFS($G$10:G191,$D$10:D191,D191,$E$10:E191,E191))))</f>
        <v/>
      </c>
      <c r="I191" s="1"/>
      <c r="J191" s="1"/>
      <c r="K191" s="1"/>
      <c r="L191" s="1"/>
      <c r="M191" s="1"/>
      <c r="N191" s="1"/>
    </row>
    <row r="192" spans="1:14" ht="29.25" customHeight="1">
      <c r="A192" s="8"/>
      <c r="B192" s="1"/>
      <c r="C192" s="1"/>
      <c r="D192" s="1"/>
      <c r="E192" s="1"/>
      <c r="F192" s="6"/>
      <c r="G192" s="6"/>
      <c r="H192" s="5" t="str">
        <f>IF(OR(D192="",E192="",C192=""),"",IF(COUNTIFS($D$10:D192,D192,$E$10:E192,E192,$C$10:C192,"Opening / ស្តុកដើមគ្រា")=0,"OPEN?",IF(COUNTIFS($D$10:D192,D192,$E$10:E192,E192,$C$10:C192,"Opening / ស្តុកដើមគ្រា")&gt;1,"CHECK OPEN",SUMIFS($F$10:F192,$D$10:D192,D192,$E$10:E192,E192)-SUMIFS($G$10:G192,$D$10:D192,D192,$E$10:E192,E192))))</f>
        <v/>
      </c>
      <c r="I192" s="1"/>
      <c r="J192" s="1"/>
      <c r="K192" s="1"/>
      <c r="L192" s="1"/>
      <c r="M192" s="1"/>
      <c r="N192" s="1"/>
    </row>
    <row r="193" spans="1:14" ht="29.25" customHeight="1">
      <c r="A193" s="8"/>
      <c r="B193" s="1"/>
      <c r="C193" s="1"/>
      <c r="D193" s="1"/>
      <c r="E193" s="1"/>
      <c r="F193" s="6"/>
      <c r="G193" s="6"/>
      <c r="H193" s="5" t="str">
        <f>IF(OR(D193="",E193="",C193=""),"",IF(COUNTIFS($D$10:D193,D193,$E$10:E193,E193,$C$10:C193,"Opening / ស្តុកដើមគ្រា")=0,"OPEN?",IF(COUNTIFS($D$10:D193,D193,$E$10:E193,E193,$C$10:C193,"Opening / ស្តុកដើមគ្រា")&gt;1,"CHECK OPEN",SUMIFS($F$10:F193,$D$10:D193,D193,$E$10:E193,E193)-SUMIFS($G$10:G193,$D$10:D193,D193,$E$10:E193,E193))))</f>
        <v/>
      </c>
      <c r="I193" s="1"/>
      <c r="J193" s="1"/>
      <c r="K193" s="1"/>
      <c r="L193" s="1"/>
      <c r="M193" s="1"/>
      <c r="N193" s="1"/>
    </row>
    <row r="194" spans="1:14" ht="29.25" customHeight="1">
      <c r="A194" s="8"/>
      <c r="B194" s="1"/>
      <c r="C194" s="1"/>
      <c r="D194" s="1"/>
      <c r="E194" s="1"/>
      <c r="F194" s="6"/>
      <c r="G194" s="6"/>
      <c r="H194" s="5" t="str">
        <f>IF(OR(D194="",E194="",C194=""),"",IF(COUNTIFS($D$10:D194,D194,$E$10:E194,E194,$C$10:C194,"Opening / ស្តុកដើមគ្រា")=0,"OPEN?",IF(COUNTIFS($D$10:D194,D194,$E$10:E194,E194,$C$10:C194,"Opening / ស្តុកដើមគ្រា")&gt;1,"CHECK OPEN",SUMIFS($F$10:F194,$D$10:D194,D194,$E$10:E194,E194)-SUMIFS($G$10:G194,$D$10:D194,D194,$E$10:E194,E194))))</f>
        <v/>
      </c>
      <c r="I194" s="1"/>
      <c r="J194" s="1"/>
      <c r="K194" s="1"/>
      <c r="L194" s="1"/>
      <c r="M194" s="1"/>
      <c r="N194" s="1"/>
    </row>
  </sheetData>
  <mergeCells count="7">
    <mergeCell ref="A6:N6"/>
    <mergeCell ref="A7:N7"/>
    <mergeCell ref="A1:N1"/>
    <mergeCell ref="A2:N2"/>
    <mergeCell ref="A3:N3"/>
    <mergeCell ref="A4:N4"/>
    <mergeCell ref="A5:N5"/>
  </mergeCells>
  <phoneticPr fontId="11" type="noConversion"/>
  <conditionalFormatting sqref="F10:G194">
    <cfRule type="expression" dxfId="2" priority="3">
      <formula>OR($F10&lt;0,$G10&lt;0,AND($F10&gt;0,$G10&gt;0))</formula>
    </cfRule>
  </conditionalFormatting>
  <conditionalFormatting sqref="H10:H194">
    <cfRule type="cellIs" dxfId="1" priority="1" operator="lessThan">
      <formula>0</formula>
    </cfRule>
    <cfRule type="expression" dxfId="0" priority="2">
      <formula>AND(H10&lt;&gt;"",ISTEXT(H10))</formula>
    </cfRule>
  </conditionalFormatting>
  <dataValidations count="1">
    <dataValidation type="list" sqref="C10:C194" xr:uid="{00000000-0002-0000-0000-000000000000}">
      <formula1>"Opening / ស្តុកដើមគ្រា,Receive / ទទួលចូល,Issue / ចេញក្រណាត់,Return in / ទទួលត្រឡប់,Return out / បញ្ជូនត្រឡប់,Scrap / កម្ទេចចោល,Adjust + / កែតម្រូវ (+),Adjust - / កែតម្រូវ (-)"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opLeftCell="A4" workbookViewId="0">
      <selection sqref="A1:L1"/>
    </sheetView>
  </sheetViews>
  <sheetFormatPr defaultRowHeight="14.25"/>
  <cols>
    <col min="1" max="1" width="8" customWidth="1"/>
    <col min="2" max="2" width="15" customWidth="1"/>
    <col min="3" max="3" width="24" customWidth="1"/>
    <col min="4" max="4" width="37" customWidth="1"/>
    <col min="5" max="5" width="22" customWidth="1"/>
    <col min="6" max="6" width="25" customWidth="1"/>
    <col min="7" max="7" width="24" customWidth="1"/>
    <col min="8" max="8" width="12" customWidth="1"/>
    <col min="9" max="9" width="10" customWidth="1"/>
    <col min="10" max="10" width="12" customWidth="1"/>
    <col min="11" max="11" width="18" customWidth="1"/>
    <col min="12" max="12" width="24" customWidth="1"/>
  </cols>
  <sheetData>
    <row r="1" spans="1:12" ht="24.6" customHeight="1">
      <c r="A1" s="24" t="s">
        <v>28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27" customHeight="1">
      <c r="A2" s="18" t="s">
        <v>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5.35" customHeight="1">
      <c r="A3" s="15" t="s">
        <v>30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32.25" customHeight="1">
      <c r="A4" s="15" t="s">
        <v>31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39.950000000000003" customHeight="1">
      <c r="A5" s="16" t="s">
        <v>32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2" ht="7.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55.35" customHeight="1">
      <c r="A7" s="3" t="s">
        <v>33</v>
      </c>
      <c r="B7" s="3" t="s">
        <v>10</v>
      </c>
      <c r="C7" s="3" t="s">
        <v>34</v>
      </c>
      <c r="D7" s="3" t="s">
        <v>35</v>
      </c>
      <c r="E7" s="3" t="s">
        <v>11</v>
      </c>
      <c r="F7" s="3" t="s">
        <v>36</v>
      </c>
      <c r="G7" s="3" t="s">
        <v>16</v>
      </c>
      <c r="H7" s="3" t="s">
        <v>37</v>
      </c>
      <c r="I7" s="3" t="s">
        <v>38</v>
      </c>
      <c r="J7" s="3" t="s">
        <v>39</v>
      </c>
      <c r="K7" s="3" t="s">
        <v>15</v>
      </c>
      <c r="L7" s="3" t="s">
        <v>40</v>
      </c>
    </row>
    <row r="8" spans="1:12" ht="59.85" customHeight="1">
      <c r="A8" s="9">
        <v>4</v>
      </c>
      <c r="B8" s="9" t="s">
        <v>22</v>
      </c>
      <c r="C8" s="9" t="s">
        <v>41</v>
      </c>
      <c r="D8" s="9" t="s">
        <v>42</v>
      </c>
      <c r="E8" s="9" t="s">
        <v>23</v>
      </c>
      <c r="F8" s="2" t="s">
        <v>43</v>
      </c>
      <c r="G8" s="2" t="s">
        <v>25</v>
      </c>
      <c r="H8" s="10">
        <v>134</v>
      </c>
      <c r="I8" s="9" t="s">
        <v>44</v>
      </c>
      <c r="J8" s="9" t="s">
        <v>45</v>
      </c>
      <c r="K8" s="9" t="s">
        <v>24</v>
      </c>
      <c r="L8" s="9"/>
    </row>
    <row r="9" spans="1:12" ht="59.85" customHeight="1">
      <c r="A9" s="9">
        <v>509</v>
      </c>
      <c r="B9" s="9" t="s">
        <v>46</v>
      </c>
      <c r="C9" s="9" t="s">
        <v>47</v>
      </c>
      <c r="D9" s="9" t="s">
        <v>48</v>
      </c>
      <c r="E9" s="9" t="s">
        <v>49</v>
      </c>
      <c r="F9" s="2" t="s">
        <v>43</v>
      </c>
      <c r="G9" s="2" t="s">
        <v>25</v>
      </c>
      <c r="H9" s="10">
        <v>12</v>
      </c>
      <c r="I9" s="9" t="s">
        <v>44</v>
      </c>
      <c r="J9" s="9" t="s">
        <v>45</v>
      </c>
      <c r="K9" s="9" t="s">
        <v>50</v>
      </c>
      <c r="L9" s="9"/>
    </row>
    <row r="10" spans="1:12" ht="59.85" customHeight="1">
      <c r="A10" s="9">
        <v>1</v>
      </c>
      <c r="B10" s="9" t="s">
        <v>22</v>
      </c>
      <c r="C10" s="9" t="s">
        <v>41</v>
      </c>
      <c r="D10" s="9" t="s">
        <v>42</v>
      </c>
      <c r="E10" s="9" t="s">
        <v>51</v>
      </c>
      <c r="F10" s="2" t="s">
        <v>43</v>
      </c>
      <c r="G10" s="2" t="s">
        <v>25</v>
      </c>
      <c r="H10" s="10">
        <v>18</v>
      </c>
      <c r="I10" s="9" t="s">
        <v>44</v>
      </c>
      <c r="J10" s="9" t="s">
        <v>45</v>
      </c>
      <c r="K10" s="9"/>
      <c r="L10" s="9"/>
    </row>
    <row r="11" spans="1:12" ht="27.6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6.1" customHeight="1">
      <c r="A12" s="20" t="s">
        <v>52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ht="29.25" customHeight="1">
      <c r="A13" s="20" t="s">
        <v>53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ht="27.6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6.1" customHeight="1">
      <c r="A15" s="23" t="s">
        <v>54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2" ht="27" customHeight="1">
      <c r="A16" s="22" t="s">
        <v>55</v>
      </c>
      <c r="B16" s="22"/>
      <c r="C16" s="22"/>
      <c r="D16" s="16" t="s">
        <v>56</v>
      </c>
      <c r="E16" s="16"/>
      <c r="F16" s="16"/>
      <c r="G16" s="16"/>
      <c r="H16" s="16"/>
      <c r="I16" s="16"/>
      <c r="J16" s="16"/>
      <c r="K16" s="16"/>
      <c r="L16" s="16"/>
    </row>
    <row r="17" spans="1:12" ht="27" customHeight="1">
      <c r="A17" s="22"/>
      <c r="B17" s="22"/>
      <c r="C17" s="22"/>
      <c r="D17" s="16"/>
      <c r="E17" s="16"/>
      <c r="F17" s="16"/>
      <c r="G17" s="16"/>
      <c r="H17" s="16"/>
      <c r="I17" s="16"/>
      <c r="J17" s="16"/>
      <c r="K17" s="16"/>
      <c r="L17" s="16"/>
    </row>
    <row r="18" spans="1:12" ht="27" customHeight="1">
      <c r="A18" s="22" t="s">
        <v>57</v>
      </c>
      <c r="B18" s="22"/>
      <c r="C18" s="22"/>
      <c r="D18" s="16" t="s">
        <v>58</v>
      </c>
      <c r="E18" s="16"/>
      <c r="F18" s="16"/>
      <c r="G18" s="16"/>
      <c r="H18" s="16"/>
      <c r="I18" s="16"/>
      <c r="J18" s="16"/>
      <c r="K18" s="16"/>
      <c r="L18" s="16"/>
    </row>
    <row r="19" spans="1:12" ht="27" customHeight="1">
      <c r="A19" s="22"/>
      <c r="B19" s="22"/>
      <c r="C19" s="22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27" customHeight="1">
      <c r="A20" s="22" t="s">
        <v>59</v>
      </c>
      <c r="B20" s="22"/>
      <c r="C20" s="22"/>
      <c r="D20" s="16" t="s">
        <v>60</v>
      </c>
      <c r="E20" s="16"/>
      <c r="F20" s="16"/>
      <c r="G20" s="16"/>
      <c r="H20" s="16"/>
      <c r="I20" s="16"/>
      <c r="J20" s="16"/>
      <c r="K20" s="16"/>
      <c r="L20" s="16"/>
    </row>
    <row r="21" spans="1:12" ht="27" customHeight="1">
      <c r="A21" s="22"/>
      <c r="B21" s="22"/>
      <c r="C21" s="22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27" customHeight="1">
      <c r="A22" s="22" t="s">
        <v>61</v>
      </c>
      <c r="B22" s="22"/>
      <c r="C22" s="22"/>
      <c r="D22" s="16" t="s">
        <v>62</v>
      </c>
      <c r="E22" s="16"/>
      <c r="F22" s="16"/>
      <c r="G22" s="16"/>
      <c r="H22" s="16"/>
      <c r="I22" s="16"/>
      <c r="J22" s="16"/>
      <c r="K22" s="16"/>
      <c r="L22" s="16"/>
    </row>
    <row r="23" spans="1:12" ht="27" customHeight="1">
      <c r="A23" s="22"/>
      <c r="B23" s="22"/>
      <c r="C23" s="22"/>
      <c r="D23" s="16"/>
      <c r="E23" s="16"/>
      <c r="F23" s="16"/>
      <c r="G23" s="16"/>
      <c r="H23" s="16"/>
      <c r="I23" s="16"/>
      <c r="J23" s="16"/>
      <c r="K23" s="16"/>
      <c r="L23" s="16"/>
    </row>
    <row r="24" spans="1:12" ht="27.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5.35" customHeight="1">
      <c r="A25" s="21" t="s">
        <v>63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ht="27" customHeight="1">
      <c r="A26" s="21" t="s">
        <v>64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ht="27.6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</sheetData>
  <mergeCells count="18">
    <mergeCell ref="A1:L1"/>
    <mergeCell ref="A2:L2"/>
    <mergeCell ref="A3:L3"/>
    <mergeCell ref="A4:L4"/>
    <mergeCell ref="A5:L5"/>
    <mergeCell ref="A12:L12"/>
    <mergeCell ref="A13:L13"/>
    <mergeCell ref="A15:L15"/>
    <mergeCell ref="A16:C17"/>
    <mergeCell ref="D16:L17"/>
    <mergeCell ref="A25:L25"/>
    <mergeCell ref="A26:L26"/>
    <mergeCell ref="A18:C19"/>
    <mergeCell ref="D18:L19"/>
    <mergeCell ref="A20:C21"/>
    <mergeCell ref="D20:L21"/>
    <mergeCell ref="A22:C23"/>
    <mergeCell ref="D22:L2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Record</vt:lpstr>
      <vt:lpstr>Stock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Srong Kimchea_1</dc:creator>
  <cp:lastModifiedBy>Srong Kimchea_1</cp:lastModifiedBy>
  <dcterms:created xsi:type="dcterms:W3CDTF">2026-09-17T06:45:06Z</dcterms:created>
  <dcterms:modified xsi:type="dcterms:W3CDTF">2026-09-23T06:22:09Z</dcterms:modified>
</cp:coreProperties>
</file>