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4.xml" ContentType="application/vnd.openxmlformats-officedocument.drawing+xml"/>
  <Override PartName="/xl/drawings/charts/chart7.xml" ContentType="application/vnd.openxmlformats-officedocument.drawingml.char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drawings/drawing5.xml" ContentType="application/vnd.openxmlformats-officedocument.drawing+xml"/>
  <Override PartName="/xl/drawings/charts/chart8.xml" ContentType="application/vnd.openxmlformats-officedocument.drawingml.chart+xml"/>
  <Override PartName="/xl/worksheets/sheet22.xml" ContentType="application/vnd.openxmlformats-officedocument.spreadsheetml.worksheet+xml"/>
  <Override PartName="/xl/drawings/drawing6.xml" ContentType="application/vnd.openxmlformats-officedocument.drawing+xml"/>
  <Override PartName="/xl/drawings/charts/chart9.xml" ContentType="application/vnd.openxmlformats-officedocument.drawingml.chart+xml"/>
  <Override PartName="/xl/worksheets/sheet23.xml" ContentType="application/vnd.openxmlformats-officedocument.spreadsheetml.worksheet+xml"/>
  <Override PartName="/xl/drawings/drawing7.xml" ContentType="application/vnd.openxmlformats-officedocument.drawing+xml"/>
  <Override PartName="/xl/drawings/charts/chart10.xml" ContentType="application/vnd.openxmlformats-officedocument.drawingml.char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drawings/drawing8.xml" ContentType="application/vnd.openxmlformats-officedocument.drawing+xml"/>
  <Override PartName="/xl/drawings/charts/chart11.xml" ContentType="application/vnd.openxmlformats-officedocument.drawingml.chart+xml"/>
  <Override PartName="/xl/worksheets/sheet2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2c35c0ca324c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action Detail" sheetId="1" r:id="Reb39e1ad7fcd47aa"/>
    <x:sheet xmlns:r="http://schemas.openxmlformats.org/officeDocument/2006/relationships" name="Price Master" sheetId="2" r:id="R40f75e527a014bb5"/>
    <x:sheet xmlns:r="http://schemas.openxmlformats.org/officeDocument/2006/relationships" name="Monthly Summary" sheetId="3" r:id="R3d2288029ab14187"/>
    <x:sheet xmlns:r="http://schemas.openxmlformats.org/officeDocument/2006/relationships" name="Price Comparison" sheetId="4" r:id="R0116fb0abe4c478c"/>
    <x:sheet xmlns:r="http://schemas.openxmlformats.org/officeDocument/2006/relationships" name="HTML Import" sheetId="5" r:id="R9bb01ef701e24121"/>
    <x:sheet xmlns:r="http://schemas.openxmlformats.org/officeDocument/2006/relationships" name="Review Needed" sheetId="6" r:id="R28ac4097076c48d9"/>
    <x:sheet xmlns:r="http://schemas.openxmlformats.org/officeDocument/2006/relationships" name="Rules" sheetId="7" r:id="Rd991237066ea4cee"/>
    <x:sheet xmlns:r="http://schemas.openxmlformats.org/officeDocument/2006/relationships" name="Dashboard" sheetId="8" r:id="Reae1788ddc0543b8"/>
    <x:sheet xmlns:r="http://schemas.openxmlformats.org/officeDocument/2006/relationships" name="月費用及機針占比" sheetId="9" r:id="Ra12fb66577364282"/>
    <x:sheet xmlns:r="http://schemas.openxmlformats.org/officeDocument/2006/relationships" name="Hist Dashboard" sheetId="10" r:id="R88668d7e3ffb46b5"/>
    <x:sheet xmlns:r="http://schemas.openxmlformats.org/officeDocument/2006/relationships" name="2024 Invoice Summary" sheetId="11" r:id="R236174a3a7ba4147"/>
    <x:sheet xmlns:r="http://schemas.openxmlformats.org/officeDocument/2006/relationships" name="2024 Price Detail" sheetId="12" r:id="Rb6e17654fae64ab9"/>
    <x:sheet xmlns:r="http://schemas.openxmlformats.org/officeDocument/2006/relationships" name="2025 Transaction Detail" sheetId="13" r:id="Rf5822c6745e44dbe"/>
    <x:sheet xmlns:r="http://schemas.openxmlformats.org/officeDocument/2006/relationships" name="Cross-Year Monthly" sheetId="14" r:id="R7921b8e8f1ba499d"/>
    <x:sheet xmlns:r="http://schemas.openxmlformats.org/officeDocument/2006/relationships" name="Quarterly Trend" sheetId="15" r:id="R37201aee71fd4f11"/>
    <x:sheet xmlns:r="http://schemas.openxmlformats.org/officeDocument/2006/relationships" name="Cross-Year Benchmark" sheetId="16" r:id="R7b5aa84dab0d4388"/>
    <x:sheet xmlns:r="http://schemas.openxmlformats.org/officeDocument/2006/relationships" name="Purchase Frequency" sheetId="17" r:id="Rfb72d2a4ee374700"/>
    <x:sheet xmlns:r="http://schemas.openxmlformats.org/officeDocument/2006/relationships" name="Historical Review" sheetId="18" r:id="R40e687a7ff1748ec"/>
    <x:sheet xmlns:r="http://schemas.openxmlformats.org/officeDocument/2006/relationships" name="RPT Executive" sheetId="19" r:id="Rfdb4e574f4e4463e"/>
    <x:sheet xmlns:r="http://schemas.openxmlformats.org/officeDocument/2006/relationships" name="RPT YoY Monthly" sheetId="20" r:id="R1615eb35cafd4467"/>
    <x:sheet xmlns:r="http://schemas.openxmlformats.org/officeDocument/2006/relationships" name="RPT Annual" sheetId="21" r:id="R447ee3ec7f024091"/>
    <x:sheet xmlns:r="http://schemas.openxmlformats.org/officeDocument/2006/relationships" name="RPT Needle" sheetId="22" r:id="R96a95c12f2cd417c"/>
    <x:sheet xmlns:r="http://schemas.openxmlformats.org/officeDocument/2006/relationships" name="RPT Spare Category" sheetId="23" r:id="Rdb69ed12fbda4af7"/>
    <x:sheet xmlns:r="http://schemas.openxmlformats.org/officeDocument/2006/relationships" name="RPT Frequencies" sheetId="24" r:id="Rcc3cd47841a54685"/>
    <x:sheet xmlns:r="http://schemas.openxmlformats.org/officeDocument/2006/relationships" name="RPT Price" sheetId="25" r:id="Rfb970be6a2f34bf6"/>
    <x:sheet xmlns:r="http://schemas.openxmlformats.org/officeDocument/2006/relationships" name="RPT Production Link" sheetId="26" r:id="R993fa364ca7a4284"/>
    <x:sheet xmlns:r="http://schemas.openxmlformats.org/officeDocument/2006/relationships" name="RPT Method" sheetId="27" r:id="Ref3a8de916c049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yyyy-mm-dd"/>
    <x:numFmt numFmtId="201" formatCode="$0.00"/>
    <x:numFmt numFmtId="202" formatCode="0.00"/>
    <x:numFmt numFmtId="203" formatCode="0.0%"/>
    <x:numFmt numFmtId="204" formatCode="0"/>
    <x:numFmt numFmtId="205" formatCode="$#,##0.00"/>
    <x:numFmt numFmtId="206" formatCode="#,##0"/>
    <x:numFmt numFmtId="207" formatCode="0.000"/>
  </x:numFmts>
  <x:fonts count="22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1"/>
      <x:color rgb="FF92400E"/>
      <x:name val="Carlito"/>
    </x:font>
    <x:font>
      <x:b/>
      <x:sz val="11"/>
      <x:color rgb="FF1E3A5F"/>
      <x:name val="Carlito"/>
    </x:font>
    <x:font>
      <x:b/>
      <x:sz val="20"/>
      <x:color rgb="FFFFFFFF"/>
      <x:name val="Carlito"/>
    </x:font>
    <x:font>
      <x:b/>
      <x:sz val="13"/>
      <x:color rgb="FF1E2640"/>
      <x:name val="Carlito"/>
    </x:font>
    <x:font>
      <x:b/>
      <x:sz val="11"/>
      <x:color rgb="FF92400E"/>
      <x:name val="Carlito"/>
    </x:font>
    <x:font>
      <x:b/>
      <x:sz val="11"/>
      <x:color rgb="FF065F46"/>
      <x:name val="Carlito"/>
    </x:font>
    <x:font>
      <x:b/>
      <x:sz val="17"/>
      <x:color rgb="FFFFFFFF"/>
      <x:name val="Carlito"/>
    </x:font>
    <x:font>
      <x:sz val="9"/>
      <x:color rgb="FF64748B"/>
      <x:name val="Carlito"/>
    </x:font>
    <x:font>
      <x:b/>
      <x:sz val="11"/>
      <x:color rgb="FF1F2937"/>
      <x:name val="Carlito"/>
    </x:font>
    <x:font>
      <x:b/>
      <x:sz val="11"/>
      <x:name val="Carlito"/>
    </x:font>
    <x:font>
      <x:i/>
      <x:sz val="11"/>
      <x:color rgb="FF6B7280"/>
      <x:name val="Carlito"/>
    </x:font>
    <x:font>
      <x:b/>
      <x:sz val="11"/>
      <x:color rgb="FF1F4E78"/>
      <x:name val="Carlito"/>
    </x:font>
    <x:font>
      <x:b/>
      <x:sz val="18"/>
      <x:color rgb="FF1F2937"/>
      <x:name val="Carlito"/>
    </x:font>
    <x:font>
      <x:sz val="9"/>
      <x:color rgb="FF6B7280"/>
      <x:name val="Carlito"/>
    </x:font>
    <x:font>
      <x:b/>
      <x:sz val="11"/>
      <x:color rgb="FF7A4E00"/>
      <x:name val="Carlito"/>
    </x:font>
    <x:font>
      <x:i/>
      <x:sz val="11"/>
      <x:color rgb="FF667085"/>
      <x:name val="Carlito"/>
    </x:font>
    <x:font>
      <x:b/>
      <x:sz val="9"/>
      <x:color rgb="FF17365D"/>
      <x:name val="Carlito"/>
    </x:font>
    <x:font>
      <x:b/>
      <x:sz val="16"/>
      <x:color rgb="FF1F4E78"/>
      <x:name val="Carlito"/>
    </x:font>
    <x:font>
      <x:b/>
      <x:sz val="11"/>
      <x:color rgb="FF17365D"/>
      <x:name val="Carlito"/>
    </x:font>
  </x:fonts>
  <x:fills count="22">
    <x:fill>
      <x:patternFill patternType="none"/>
    </x:fill>
    <x:fill>
      <x:patternFill patternType="gray125"/>
    </x:fill>
    <x:fill>
      <x:patternFill patternType="solid">
        <x:fgColor rgb="FF1E3A5F"/>
      </x:patternFill>
    </x:fill>
    <x:fill>
      <x:patternFill patternType="solid">
        <x:fgColor rgb="FFFFF7E6"/>
      </x:patternFill>
    </x:fill>
    <x:fill>
      <x:patternFill patternType="solid">
        <x:fgColor rgb="FFEAF3FA"/>
      </x:patternFill>
    </x:fill>
    <x:fill>
      <x:patternFill patternType="solid">
        <x:fgColor rgb="FFFFFFFF"/>
      </x:patternFill>
    </x:fill>
    <x:fill>
      <x:patternFill patternType="solid">
        <x:fgColor rgb="FF2D4D7A"/>
      </x:patternFill>
    </x:fill>
    <x:fill>
      <x:patternFill patternType="solid">
        <x:fgColor rgb="FFECFDF5"/>
      </x:patternFill>
    </x:fill>
    <x:fill>
      <x:patternFill patternType="solid">
        <x:fgColor rgb="FF1E3A5F"/>
      </x:patternFill>
    </x:fill>
    <x:fill>
      <x:patternFill patternType="solid">
        <x:fgColor rgb="FFFFF7E6"/>
      </x:patternFill>
    </x:fill>
    <x:fill>
      <x:patternFill patternType="solid">
        <x:fgColor rgb="FFEAF3FA"/>
      </x:patternFill>
    </x:fill>
    <x:fill>
      <x:patternFill patternType="solid">
        <x:fgColor rgb="FF2D4D7A"/>
      </x:patternFill>
    </x:fill>
    <x:fill>
      <x:patternFill patternType="solid">
        <x:fgColor rgb="FFECFDF5"/>
      </x:patternFill>
    </x:fill>
    <x:fill>
      <x:patternFill patternType="solid">
        <x:fgColor rgb="FFF8FAF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7FAFC"/>
      </x:patternFill>
    </x:fill>
    <x:fill>
      <x:patternFill patternType="solid">
        <x:fgColor rgb="FFFFF8E1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5FB"/>
      </x:patternFill>
    </x:fill>
  </x:fills>
  <x:borders count="62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49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201" fontId="4" fillId="4" borderId="0" xfId="0" applyNumberFormat="1" applyFont="1" applyFill="1" applyBorder="1"/>
    <x:xf numFmtId="201" fontId="4" fillId="4" borderId="1" xfId="0" applyNumberFormat="1" applyFont="1" applyFill="1" applyBorder="1"/>
    <x:xf numFmtId="203" fontId="4" fillId="4" borderId="0" xfId="0" applyNumberFormat="1" applyFont="1" applyFill="1" applyBorder="1"/>
    <x:xf numFmtId="203" fontId="4" fillId="4" borderId="1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201" fontId="4" fillId="4" borderId="0" xfId="0" applyNumberFormat="1" applyFont="1" applyFill="1" applyBorder="1" applyAlignment="1">
      <x:alignment wrapText="1"/>
    </x:xf>
    <x:xf numFmtId="203" fontId="4" fillId="4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201" fontId="4" fillId="4" borderId="1" xfId="0" applyNumberFormat="1" applyFont="1" applyFill="1" applyBorder="1" applyAlignment="1">
      <x:alignment wrapText="1"/>
    </x:xf>
    <x:xf numFmtId="203" fontId="4" fillId="4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left"/>
    </x:xf>
    <x:xf numFmtId="0" fontId="5" fillId="2" borderId="0" xfId="0" applyNumberFormat="1" applyFont="1" applyFill="1" applyBorder="1" applyAlignment="1">
      <x:alignment horizontal="left"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left"/>
    </x:xf>
    <x:xf numFmtId="0" fontId="5" fillId="2" borderId="1" xfId="0" applyNumberFormat="1" applyFont="1" applyFill="1" applyBorder="1" applyAlignment="1">
      <x:alignment horizontal="left" vertical="center"/>
    </x:xf>
    <x:xf numFmtId="0" fontId="4" fillId="4" borderId="0" xfId="0" applyNumberFormat="1" applyFont="1" applyFill="1" applyBorder="1" applyAlignment="1">
      <x:alignment horizontal="left"/>
    </x:xf>
    <x:xf numFmtId="0" fontId="4" fillId="4" borderId="1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2" xfId="0" applyNumberFormat="1" applyFont="1" applyFill="1" applyBorder="1"/>
    <x:xf numFmtId="0" fontId="6" fillId="5" borderId="3" xfId="0" applyNumberFormat="1" applyFont="1" applyFill="1" applyBorder="1"/>
    <x:xf numFmtId="0" fontId="6" fillId="5" borderId="4" xfId="0" applyNumberFormat="1" applyFont="1" applyFill="1" applyBorder="1"/>
    <x:xf numFmtId="0" fontId="6" fillId="5" borderId="5" xfId="0" applyNumberFormat="1" applyFont="1" applyFill="1" applyBorder="1"/>
    <x:xf numFmtId="0" fontId="6" fillId="5" borderId="6" xfId="0" applyNumberFormat="1" applyFont="1" applyFill="1" applyBorder="1"/>
    <x:xf numFmtId="0" fontId="6" fillId="5" borderId="7" xfId="0" applyNumberFormat="1" applyFont="1" applyFill="1" applyBorder="1"/>
    <x:xf numFmtId="0" fontId="6" fillId="5" borderId="8" xfId="0" applyNumberFormat="1" applyFont="1" applyFill="1" applyBorder="1"/>
    <x:xf numFmtId="0" fontId="6" fillId="5" borderId="9" xfId="0" applyNumberFormat="1" applyFont="1" applyFill="1" applyBorder="1"/>
    <x:xf numFmtId="0" fontId="6" fillId="5" borderId="2" xfId="0" applyNumberFormat="1" applyFont="1" applyFill="1" applyBorder="1" applyAlignment="1">
      <x:alignment wrapText="1"/>
    </x:xf>
    <x:xf numFmtId="0" fontId="6" fillId="5" borderId="3" xfId="0" applyNumberFormat="1" applyFont="1" applyFill="1" applyBorder="1" applyAlignment="1">
      <x:alignment wrapText="1"/>
    </x:xf>
    <x:xf numFmtId="0" fontId="6" fillId="5" borderId="4" xfId="0" applyNumberFormat="1" applyFont="1" applyFill="1" applyBorder="1" applyAlignment="1">
      <x:alignment wrapText="1"/>
    </x:xf>
    <x:xf numFmtId="0" fontId="6" fillId="5" borderId="5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wrapText="1"/>
    </x:xf>
    <x:xf numFmtId="0" fontId="6" fillId="5" borderId="6" xfId="0" applyNumberFormat="1" applyFont="1" applyFill="1" applyBorder="1" applyAlignment="1">
      <x:alignment wrapText="1"/>
    </x:xf>
    <x:xf numFmtId="0" fontId="6" fillId="5" borderId="7" xfId="0" applyNumberFormat="1" applyFont="1" applyFill="1" applyBorder="1" applyAlignment="1">
      <x:alignment wrapText="1"/>
    </x:xf>
    <x:xf numFmtId="0" fontId="6" fillId="5" borderId="8" xfId="0" applyNumberFormat="1" applyFont="1" applyFill="1" applyBorder="1" applyAlignment="1">
      <x:alignment wrapText="1"/>
    </x:xf>
    <x:xf numFmtId="0" fontId="6" fillId="5" borderId="9" xfId="0" applyNumberFormat="1" applyFont="1" applyFill="1" applyBorder="1" applyAlignment="1">
      <x:alignment wrapText="1"/>
    </x:xf>
    <x:xf numFmtId="0" fontId="6" fillId="5" borderId="2" xfId="0" applyNumberFormat="1" applyFont="1" applyFill="1" applyBorder="1" applyAlignment="1">
      <x:alignment horizontal="center" wrapText="1"/>
    </x:xf>
    <x:xf numFmtId="0" fontId="6" fillId="5" borderId="3" xfId="0" applyNumberFormat="1" applyFont="1" applyFill="1" applyBorder="1" applyAlignment="1">
      <x:alignment horizontal="center" wrapText="1"/>
    </x:xf>
    <x:xf numFmtId="0" fontId="6" fillId="5" borderId="4" xfId="0" applyNumberFormat="1" applyFont="1" applyFill="1" applyBorder="1" applyAlignment="1">
      <x:alignment horizontal="center" wrapText="1"/>
    </x:xf>
    <x:xf numFmtId="0" fontId="6" fillId="5" borderId="5" xfId="0" applyNumberFormat="1" applyFont="1" applyFill="1" applyBorder="1" applyAlignment="1">
      <x:alignment horizontal="center" wrapText="1"/>
    </x:xf>
    <x:xf numFmtId="0" fontId="6" fillId="5" borderId="0" xfId="0" applyNumberFormat="1" applyFont="1" applyFill="1" applyBorder="1" applyAlignment="1">
      <x:alignment horizontal="center" wrapText="1"/>
    </x:xf>
    <x:xf numFmtId="0" fontId="6" fillId="5" borderId="6" xfId="0" applyNumberFormat="1" applyFont="1" applyFill="1" applyBorder="1" applyAlignment="1">
      <x:alignment horizontal="center" wrapText="1"/>
    </x:xf>
    <x:xf numFmtId="0" fontId="6" fillId="5" borderId="7" xfId="0" applyNumberFormat="1" applyFont="1" applyFill="1" applyBorder="1" applyAlignment="1">
      <x:alignment horizontal="center" wrapText="1"/>
    </x:xf>
    <x:xf numFmtId="0" fontId="6" fillId="5" borderId="8" xfId="0" applyNumberFormat="1" applyFont="1" applyFill="1" applyBorder="1" applyAlignment="1">
      <x:alignment horizontal="center" wrapText="1"/>
    </x:xf>
    <x:xf numFmtId="0" fontId="6" fillId="5" borderId="9" xfId="0" applyNumberFormat="1" applyFont="1" applyFill="1" applyBorder="1" applyAlignment="1">
      <x:alignment horizontal="center" wrapText="1"/>
    </x:xf>
    <x:xf numFmtId="0" fontId="6" fillId="5" borderId="2" xfId="0" applyNumberFormat="1" applyFont="1" applyFill="1" applyBorder="1" applyAlignment="1">
      <x:alignment horizontal="center" vertical="center" wrapText="1"/>
    </x:xf>
    <x:xf numFmtId="0" fontId="6" fillId="5" borderId="3" xfId="0" applyNumberFormat="1" applyFont="1" applyFill="1" applyBorder="1" applyAlignment="1">
      <x:alignment horizontal="center" vertical="center" wrapText="1"/>
    </x:xf>
    <x:xf numFmtId="0" fontId="6" fillId="5" borderId="4" xfId="0" applyNumberFormat="1" applyFont="1" applyFill="1" applyBorder="1" applyAlignment="1">
      <x:alignment horizontal="center" vertical="center" wrapText="1"/>
    </x:xf>
    <x:xf numFmtId="0" fontId="6" fillId="5" borderId="5" xfId="0" applyNumberFormat="1" applyFont="1" applyFill="1" applyBorder="1" applyAlignment="1">
      <x:alignment horizontal="center" vertical="center" wrapText="1"/>
    </x:xf>
    <x:xf numFmtId="0" fontId="6" fillId="5" borderId="0" xfId="0" applyNumberFormat="1" applyFont="1" applyFill="1" applyBorder="1" applyAlignment="1">
      <x:alignment horizontal="center" vertical="center" wrapText="1"/>
    </x:xf>
    <x:xf numFmtId="0" fontId="6" fillId="5" borderId="6" xfId="0" applyNumberFormat="1" applyFont="1" applyFill="1" applyBorder="1" applyAlignment="1">
      <x:alignment horizontal="center" vertical="center" wrapText="1"/>
    </x:xf>
    <x:xf numFmtId="0" fontId="6" fillId="5" borderId="7" xfId="0" applyNumberFormat="1" applyFont="1" applyFill="1" applyBorder="1" applyAlignment="1">
      <x:alignment horizontal="center" vertical="center" wrapText="1"/>
    </x:xf>
    <x:xf numFmtId="0" fontId="6" fillId="5" borderId="8" xfId="0" applyNumberFormat="1" applyFont="1" applyFill="1" applyBorder="1" applyAlignment="1">
      <x:alignment horizontal="center" vertical="center" wrapText="1"/>
    </x:xf>
    <x:xf numFmtId="0" fontId="6" fillId="5" borderId="9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0" xfId="0" applyNumberFormat="1" applyFont="1" applyFill="1" applyBorder="1"/>
    <x:xf numFmtId="0" fontId="6" fillId="5" borderId="11" xfId="0" applyNumberFormat="1" applyFont="1" applyFill="1" applyBorder="1"/>
    <x:xf numFmtId="0" fontId="6" fillId="5" borderId="12" xfId="0" applyNumberFormat="1" applyFont="1" applyFill="1" applyBorder="1"/>
    <x:xf numFmtId="0" fontId="6" fillId="5" borderId="13" xfId="0" applyNumberFormat="1" applyFont="1" applyFill="1" applyBorder="1"/>
    <x:xf numFmtId="0" fontId="6" fillId="5" borderId="14" xfId="0" applyNumberFormat="1" applyFont="1" applyFill="1" applyBorder="1"/>
    <x:xf numFmtId="0" fontId="6" fillId="5" borderId="15" xfId="0" applyNumberFormat="1" applyFont="1" applyFill="1" applyBorder="1"/>
    <x:xf numFmtId="0" fontId="6" fillId="5" borderId="16" xfId="0" applyNumberFormat="1" applyFont="1" applyFill="1" applyBorder="1"/>
    <x:xf numFmtId="0" fontId="6" fillId="5" borderId="17" xfId="0" applyNumberFormat="1" applyFont="1" applyFill="1" applyBorder="1"/>
    <x:xf numFmtId="0" fontId="6" fillId="5" borderId="10" xfId="0" applyNumberFormat="1" applyFont="1" applyFill="1" applyBorder="1" applyAlignment="1">
      <x:alignment wrapText="1"/>
    </x:xf>
    <x:xf numFmtId="0" fontId="6" fillId="5" borderId="11" xfId="0" applyNumberFormat="1" applyFont="1" applyFill="1" applyBorder="1" applyAlignment="1">
      <x:alignment wrapText="1"/>
    </x:xf>
    <x:xf numFmtId="0" fontId="6" fillId="5" borderId="12" xfId="0" applyNumberFormat="1" applyFont="1" applyFill="1" applyBorder="1" applyAlignment="1">
      <x:alignment wrapText="1"/>
    </x:xf>
    <x:xf numFmtId="0" fontId="6" fillId="5" borderId="13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wrapText="1"/>
    </x:xf>
    <x:xf numFmtId="0" fontId="6" fillId="5" borderId="14" xfId="0" applyNumberFormat="1" applyFont="1" applyFill="1" applyBorder="1" applyAlignment="1">
      <x:alignment wrapText="1"/>
    </x:xf>
    <x:xf numFmtId="0" fontId="6" fillId="5" borderId="15" xfId="0" applyNumberFormat="1" applyFont="1" applyFill="1" applyBorder="1" applyAlignment="1">
      <x:alignment wrapText="1"/>
    </x:xf>
    <x:xf numFmtId="0" fontId="6" fillId="5" borderId="16" xfId="0" applyNumberFormat="1" applyFont="1" applyFill="1" applyBorder="1" applyAlignment="1">
      <x:alignment wrapText="1"/>
    </x:xf>
    <x:xf numFmtId="0" fontId="6" fillId="5" borderId="17" xfId="0" applyNumberFormat="1" applyFont="1" applyFill="1" applyBorder="1" applyAlignment="1">
      <x:alignment wrapText="1"/>
    </x:xf>
    <x:xf numFmtId="0" fontId="6" fillId="5" borderId="10" xfId="0" applyNumberFormat="1" applyFont="1" applyFill="1" applyBorder="1" applyAlignment="1">
      <x:alignment horizontal="center" wrapText="1"/>
    </x:xf>
    <x:xf numFmtId="0" fontId="6" fillId="5" borderId="11" xfId="0" applyNumberFormat="1" applyFont="1" applyFill="1" applyBorder="1" applyAlignment="1">
      <x:alignment horizontal="center" wrapText="1"/>
    </x:xf>
    <x:xf numFmtId="0" fontId="6" fillId="5" borderId="12" xfId="0" applyNumberFormat="1" applyFont="1" applyFill="1" applyBorder="1" applyAlignment="1">
      <x:alignment horizontal="center" wrapText="1"/>
    </x:xf>
    <x:xf numFmtId="0" fontId="6" fillId="5" borderId="13" xfId="0" applyNumberFormat="1" applyFont="1" applyFill="1" applyBorder="1" applyAlignment="1">
      <x:alignment horizontal="center" wrapText="1"/>
    </x:xf>
    <x:xf numFmtId="0" fontId="6" fillId="5" borderId="1" xfId="0" applyNumberFormat="1" applyFont="1" applyFill="1" applyBorder="1" applyAlignment="1">
      <x:alignment horizontal="center" wrapText="1"/>
    </x:xf>
    <x:xf numFmtId="0" fontId="6" fillId="5" borderId="14" xfId="0" applyNumberFormat="1" applyFont="1" applyFill="1" applyBorder="1" applyAlignment="1">
      <x:alignment horizontal="center" wrapText="1"/>
    </x:xf>
    <x:xf numFmtId="0" fontId="6" fillId="5" borderId="15" xfId="0" applyNumberFormat="1" applyFont="1" applyFill="1" applyBorder="1" applyAlignment="1">
      <x:alignment horizontal="center" wrapText="1"/>
    </x:xf>
    <x:xf numFmtId="0" fontId="6" fillId="5" borderId="16" xfId="0" applyNumberFormat="1" applyFont="1" applyFill="1" applyBorder="1" applyAlignment="1">
      <x:alignment horizontal="center" wrapText="1"/>
    </x:xf>
    <x:xf numFmtId="0" fontId="6" fillId="5" borderId="17" xfId="0" applyNumberFormat="1" applyFont="1" applyFill="1" applyBorder="1" applyAlignment="1">
      <x:alignment horizontal="center" wrapText="1"/>
    </x:xf>
    <x:xf numFmtId="0" fontId="6" fillId="5" borderId="10" xfId="0" applyNumberFormat="1" applyFont="1" applyFill="1" applyBorder="1" applyAlignment="1">
      <x:alignment horizontal="center" vertical="center" wrapText="1"/>
    </x:xf>
    <x:xf numFmtId="0" fontId="6" fillId="5" borderId="11" xfId="0" applyNumberFormat="1" applyFont="1" applyFill="1" applyBorder="1" applyAlignment="1">
      <x:alignment horizontal="center" vertical="center" wrapText="1"/>
    </x:xf>
    <x:xf numFmtId="0" fontId="6" fillId="5" borderId="12" xfId="0" applyNumberFormat="1" applyFont="1" applyFill="1" applyBorder="1" applyAlignment="1">
      <x:alignment horizontal="center" vertical="center" wrapText="1"/>
    </x:xf>
    <x:xf numFmtId="0" fontId="6" fillId="5" borderId="13" xfId="0" applyNumberFormat="1" applyFont="1" applyFill="1" applyBorder="1" applyAlignment="1">
      <x:alignment horizontal="center" vertical="center"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0" fontId="6" fillId="5" borderId="14" xfId="0" applyNumberFormat="1" applyFont="1" applyFill="1" applyBorder="1" applyAlignment="1">
      <x:alignment horizontal="center" vertical="center" wrapText="1"/>
    </x:xf>
    <x:xf numFmtId="0" fontId="6" fillId="5" borderId="15" xfId="0" applyNumberFormat="1" applyFont="1" applyFill="1" applyBorder="1" applyAlignment="1">
      <x:alignment horizontal="center" vertical="center" wrapText="1"/>
    </x:xf>
    <x:xf numFmtId="0" fontId="6" fillId="5" borderId="16" xfId="0" applyNumberFormat="1" applyFont="1" applyFill="1" applyBorder="1" applyAlignment="1">
      <x:alignment horizontal="center" vertical="center" wrapText="1"/>
    </x:xf>
    <x:xf numFmtId="0" fontId="6" fillId="5" borderId="17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left"/>
    </x:xf>
    <x:xf numFmtId="0" fontId="1" fillId="6" borderId="0" xfId="0" applyNumberFormat="1" applyFont="1" applyFill="1" applyBorder="1" applyAlignment="1">
      <x:alignment horizontal="left" vertical="center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horizontal="left"/>
    </x:xf>
    <x:xf numFmtId="0" fontId="1" fillId="6" borderId="1" xfId="0" applyNumberFormat="1" applyFont="1" applyFill="1" applyBorder="1" applyAlignment="1">
      <x:alignment horizontal="left" vertical="center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horizontal="center"/>
    </x:xf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horizontal="center"/>
    </x:xf>
    <x:xf numFmtId="0" fontId="7" fillId="3" borderId="18" xfId="0" applyNumberFormat="1" applyFont="1" applyFill="1" applyBorder="1" applyAlignment="1">
      <x:alignment horizontal="center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7" fillId="3" borderId="21" xfId="0" applyNumberFormat="1" applyFont="1" applyFill="1" applyBorder="1" applyAlignment="1">
      <x:alignment horizontal="center"/>
    </x:xf>
    <x:xf numFmtId="0" fontId="0" fillId="0" borderId="22" xfId="0" applyNumberFormat="1" applyFont="1" applyFill="1" applyBorder="1" applyAlignment="1">
      <x:alignment wrapText="1"/>
    </x:xf>
    <x:xf numFmtId="0" fontId="7" fillId="3" borderId="23" xfId="0" applyNumberFormat="1" applyFont="1" applyFill="1" applyBorder="1" applyAlignment="1">
      <x:alignment horizontal="center"/>
    </x:xf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7" fillId="3" borderId="26" xfId="0" applyNumberFormat="1" applyFont="1" applyFill="1" applyBorder="1" applyAlignment="1">
      <x:alignment horizontal="center"/>
    </x:xf>
    <x:xf numFmtId="0" fontId="0" fillId="0" borderId="27" xfId="0" applyNumberFormat="1" applyFont="1" applyFill="1" applyBorder="1" applyAlignment="1">
      <x:alignment wrapText="1"/>
    </x:xf>
    <x:xf numFmtId="0" fontId="0" fillId="0" borderId="28" xfId="0" applyNumberFormat="1" applyFont="1" applyFill="1" applyBorder="1" applyAlignment="1">
      <x:alignment wrapText="1"/>
    </x:xf>
    <x:xf numFmtId="0" fontId="7" fillId="3" borderId="29" xfId="0" applyNumberFormat="1" applyFont="1" applyFill="1" applyBorder="1" applyAlignment="1">
      <x:alignment horizontal="center"/>
    </x:xf>
    <x:xf numFmtId="0" fontId="0" fillId="0" borderId="30" xfId="0" applyNumberFormat="1" applyFont="1" applyFill="1" applyBorder="1" applyAlignment="1">
      <x:alignment wrapText="1"/>
    </x:xf>
    <x:xf numFmtId="0" fontId="7" fillId="3" borderId="31" xfId="0" applyNumberFormat="1" applyFont="1" applyFill="1" applyBorder="1" applyAlignment="1">
      <x:alignment horizontal="center"/>
    </x:xf>
    <x:xf numFmtId="0" fontId="0" fillId="0" borderId="32" xfId="0" applyNumberFormat="1" applyFont="1" applyFill="1" applyBorder="1" applyAlignment="1">
      <x:alignment wrapText="1"/>
    </x:xf>
    <x:xf numFmtId="0" fontId="0" fillId="0" borderId="33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34" xfId="0" applyNumberFormat="1" applyFont="1" applyFill="1" applyBorder="1"/>
    <x:xf numFmtId="0" fontId="8" fillId="7" borderId="35" xfId="0" applyNumberFormat="1" applyFont="1" applyFill="1" applyBorder="1"/>
    <x:xf numFmtId="0" fontId="8" fillId="7" borderId="36" xfId="0" applyNumberFormat="1" applyFont="1" applyFill="1" applyBorder="1"/>
    <x:xf numFmtId="0" fontId="8" fillId="7" borderId="37" xfId="0" applyNumberFormat="1" applyFont="1" applyFill="1" applyBorder="1"/>
    <x:xf numFmtId="0" fontId="8" fillId="7" borderId="38" xfId="0" applyNumberFormat="1" applyFont="1" applyFill="1" applyBorder="1"/>
    <x:xf numFmtId="0" fontId="8" fillId="7" borderId="39" xfId="0" applyNumberFormat="1" applyFont="1" applyFill="1" applyBorder="1"/>
    <x:xf numFmtId="0" fontId="8" fillId="7" borderId="34" xfId="0" applyNumberFormat="1" applyFont="1" applyFill="1" applyBorder="1" applyAlignment="1">
      <x:alignment wrapText="1"/>
    </x:xf>
    <x:xf numFmtId="0" fontId="8" fillId="7" borderId="35" xfId="0" applyNumberFormat="1" applyFont="1" applyFill="1" applyBorder="1" applyAlignment="1">
      <x:alignment wrapText="1"/>
    </x:xf>
    <x:xf numFmtId="0" fontId="8" fillId="7" borderId="36" xfId="0" applyNumberFormat="1" applyFont="1" applyFill="1" applyBorder="1" applyAlignment="1">
      <x:alignment wrapText="1"/>
    </x:xf>
    <x:xf numFmtId="0" fontId="8" fillId="7" borderId="37" xfId="0" applyNumberFormat="1" applyFont="1" applyFill="1" applyBorder="1" applyAlignment="1">
      <x:alignment wrapText="1"/>
    </x:xf>
    <x:xf numFmtId="0" fontId="8" fillId="7" borderId="38" xfId="0" applyNumberFormat="1" applyFont="1" applyFill="1" applyBorder="1" applyAlignment="1">
      <x:alignment wrapText="1"/>
    </x:xf>
    <x:xf numFmtId="0" fontId="8" fillId="7" borderId="39" xfId="0" applyNumberFormat="1" applyFont="1" applyFill="1" applyBorder="1" applyAlignment="1">
      <x:alignment wrapText="1"/>
    </x:xf>
    <x:xf numFmtId="0" fontId="8" fillId="7" borderId="34" xfId="0" applyNumberFormat="1" applyFont="1" applyFill="1" applyBorder="1" applyAlignment="1">
      <x:alignment horizontal="center" wrapText="1"/>
    </x:xf>
    <x:xf numFmtId="0" fontId="8" fillId="7" borderId="35" xfId="0" applyNumberFormat="1" applyFont="1" applyFill="1" applyBorder="1" applyAlignment="1">
      <x:alignment horizontal="center" wrapText="1"/>
    </x:xf>
    <x:xf numFmtId="0" fontId="8" fillId="7" borderId="36" xfId="0" applyNumberFormat="1" applyFont="1" applyFill="1" applyBorder="1" applyAlignment="1">
      <x:alignment horizontal="center" wrapText="1"/>
    </x:xf>
    <x:xf numFmtId="0" fontId="8" fillId="7" borderId="37" xfId="0" applyNumberFormat="1" applyFont="1" applyFill="1" applyBorder="1" applyAlignment="1">
      <x:alignment horizontal="center" wrapText="1"/>
    </x:xf>
    <x:xf numFmtId="0" fontId="8" fillId="7" borderId="38" xfId="0" applyNumberFormat="1" applyFont="1" applyFill="1" applyBorder="1" applyAlignment="1">
      <x:alignment horizontal="center" wrapText="1"/>
    </x:xf>
    <x:xf numFmtId="0" fontId="8" fillId="7" borderId="39" xfId="0" applyNumberFormat="1" applyFont="1" applyFill="1" applyBorder="1" applyAlignment="1">
      <x:alignment horizontal="center" wrapText="1"/>
    </x:xf>
    <x:xf numFmtId="0" fontId="8" fillId="7" borderId="34" xfId="0" applyNumberFormat="1" applyFont="1" applyFill="1" applyBorder="1" applyAlignment="1">
      <x:alignment horizontal="center" vertical="center" wrapText="1"/>
    </x:xf>
    <x:xf numFmtId="0" fontId="8" fillId="7" borderId="35" xfId="0" applyNumberFormat="1" applyFont="1" applyFill="1" applyBorder="1" applyAlignment="1">
      <x:alignment horizontal="center" vertical="center" wrapText="1"/>
    </x:xf>
    <x:xf numFmtId="0" fontId="8" fillId="7" borderId="36" xfId="0" applyNumberFormat="1" applyFont="1" applyFill="1" applyBorder="1" applyAlignment="1">
      <x:alignment horizontal="center" vertical="center" wrapText="1"/>
    </x:xf>
    <x:xf numFmtId="0" fontId="8" fillId="7" borderId="37" xfId="0" applyNumberFormat="1" applyFont="1" applyFill="1" applyBorder="1" applyAlignment="1">
      <x:alignment horizontal="center" vertical="center" wrapText="1"/>
    </x:xf>
    <x:xf numFmtId="0" fontId="8" fillId="7" borderId="38" xfId="0" applyNumberFormat="1" applyFont="1" applyFill="1" applyBorder="1" applyAlignment="1">
      <x:alignment horizontal="center" vertical="center" wrapText="1"/>
    </x:xf>
    <x:xf numFmtId="0" fontId="8" fillId="7" borderId="39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8" fillId="7" borderId="1" xfId="0" applyNumberFormat="1" applyFont="1" applyFill="1" applyBorder="1"/>
    <x:xf numFmtId="0" fontId="8" fillId="7" borderId="40" xfId="0" applyNumberFormat="1" applyFont="1" applyFill="1" applyBorder="1"/>
    <x:xf numFmtId="0" fontId="8" fillId="7" borderId="41" xfId="0" applyNumberFormat="1" applyFont="1" applyFill="1" applyBorder="1"/>
    <x:xf numFmtId="0" fontId="8" fillId="7" borderId="42" xfId="0" applyNumberFormat="1" applyFont="1" applyFill="1" applyBorder="1"/>
    <x:xf numFmtId="0" fontId="8" fillId="7" borderId="43" xfId="0" applyNumberFormat="1" applyFont="1" applyFill="1" applyBorder="1"/>
    <x:xf numFmtId="0" fontId="8" fillId="7" borderId="44" xfId="0" applyNumberFormat="1" applyFont="1" applyFill="1" applyBorder="1"/>
    <x:xf numFmtId="0" fontId="8" fillId="7" borderId="45" xfId="0" applyNumberFormat="1" applyFont="1" applyFill="1" applyBorder="1"/>
    <x:xf numFmtId="0" fontId="8" fillId="7" borderId="40" xfId="0" applyNumberFormat="1" applyFont="1" applyFill="1" applyBorder="1" applyAlignment="1">
      <x:alignment wrapText="1"/>
    </x:xf>
    <x:xf numFmtId="0" fontId="8" fillId="7" borderId="41" xfId="0" applyNumberFormat="1" applyFont="1" applyFill="1" applyBorder="1" applyAlignment="1">
      <x:alignment wrapText="1"/>
    </x:xf>
    <x:xf numFmtId="0" fontId="8" fillId="7" borderId="42" xfId="0" applyNumberFormat="1" applyFont="1" applyFill="1" applyBorder="1" applyAlignment="1">
      <x:alignment wrapText="1"/>
    </x:xf>
    <x:xf numFmtId="0" fontId="8" fillId="7" borderId="43" xfId="0" applyNumberFormat="1" applyFont="1" applyFill="1" applyBorder="1" applyAlignment="1">
      <x:alignment wrapText="1"/>
    </x:xf>
    <x:xf numFmtId="0" fontId="8" fillId="7" borderId="44" xfId="0" applyNumberFormat="1" applyFont="1" applyFill="1" applyBorder="1" applyAlignment="1">
      <x:alignment wrapText="1"/>
    </x:xf>
    <x:xf numFmtId="0" fontId="8" fillId="7" borderId="45" xfId="0" applyNumberFormat="1" applyFont="1" applyFill="1" applyBorder="1" applyAlignment="1">
      <x:alignment wrapText="1"/>
    </x:xf>
    <x:xf numFmtId="0" fontId="8" fillId="7" borderId="40" xfId="0" applyNumberFormat="1" applyFont="1" applyFill="1" applyBorder="1" applyAlignment="1">
      <x:alignment horizontal="center" wrapText="1"/>
    </x:xf>
    <x:xf numFmtId="0" fontId="8" fillId="7" borderId="41" xfId="0" applyNumberFormat="1" applyFont="1" applyFill="1" applyBorder="1" applyAlignment="1">
      <x:alignment horizontal="center" wrapText="1"/>
    </x:xf>
    <x:xf numFmtId="0" fontId="8" fillId="7" borderId="42" xfId="0" applyNumberFormat="1" applyFont="1" applyFill="1" applyBorder="1" applyAlignment="1">
      <x:alignment horizontal="center" wrapText="1"/>
    </x:xf>
    <x:xf numFmtId="0" fontId="8" fillId="7" borderId="43" xfId="0" applyNumberFormat="1" applyFont="1" applyFill="1" applyBorder="1" applyAlignment="1">
      <x:alignment horizontal="center" wrapText="1"/>
    </x:xf>
    <x:xf numFmtId="0" fontId="8" fillId="7" borderId="44" xfId="0" applyNumberFormat="1" applyFont="1" applyFill="1" applyBorder="1" applyAlignment="1">
      <x:alignment horizontal="center" wrapText="1"/>
    </x:xf>
    <x:xf numFmtId="0" fontId="8" fillId="7" borderId="45" xfId="0" applyNumberFormat="1" applyFont="1" applyFill="1" applyBorder="1" applyAlignment="1">
      <x:alignment horizontal="center" wrapText="1"/>
    </x:xf>
    <x:xf numFmtId="0" fontId="8" fillId="7" borderId="40" xfId="0" applyNumberFormat="1" applyFont="1" applyFill="1" applyBorder="1" applyAlignment="1">
      <x:alignment horizontal="center" vertical="center" wrapText="1"/>
    </x:xf>
    <x:xf numFmtId="0" fontId="8" fillId="7" borderId="41" xfId="0" applyNumberFormat="1" applyFont="1" applyFill="1" applyBorder="1" applyAlignment="1">
      <x:alignment horizontal="center" vertical="center" wrapText="1"/>
    </x:xf>
    <x:xf numFmtId="0" fontId="8" fillId="7" borderId="42" xfId="0" applyNumberFormat="1" applyFont="1" applyFill="1" applyBorder="1" applyAlignment="1">
      <x:alignment horizontal="center" vertical="center" wrapText="1"/>
    </x:xf>
    <x:xf numFmtId="0" fontId="8" fillId="7" borderId="43" xfId="0" applyNumberFormat="1" applyFont="1" applyFill="1" applyBorder="1" applyAlignment="1">
      <x:alignment horizontal="center" vertical="center" wrapText="1"/>
    </x:xf>
    <x:xf numFmtId="0" fontId="8" fillId="7" borderId="44" xfId="0" applyNumberFormat="1" applyFont="1" applyFill="1" applyBorder="1" applyAlignment="1">
      <x:alignment horizontal="center" vertical="center" wrapText="1"/>
    </x:xf>
    <x:xf numFmtId="0" fontId="8" fillId="7" borderId="45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 applyAlignment="1">
      <x:alignment horizontal="left" vertical="center" wrapText="1"/>
    </x:xf>
    <x:xf numFmtId="0" fontId="4" fillId="4" borderId="0" xfId="0" applyNumberFormat="1" applyFont="1" applyFill="1" applyBorder="1" applyAlignment="1">
      <x:alignment horizontal="left" wrapText="1"/>
    </x:xf>
    <x:xf numFmtId="0" fontId="1" fillId="6" borderId="0" xfId="0" applyNumberFormat="1" applyFont="1" applyFill="1" applyBorder="1" applyAlignment="1">
      <x:alignment horizontal="left" vertical="center" wrapText="1"/>
    </x:xf>
    <x:xf numFmtId="0" fontId="7" fillId="3" borderId="18" xfId="0" applyNumberFormat="1" applyFont="1" applyFill="1" applyBorder="1" applyAlignment="1">
      <x:alignment horizontal="center" wrapText="1"/>
    </x:xf>
    <x:xf numFmtId="0" fontId="7" fillId="3" borderId="21" xfId="0" applyNumberFormat="1" applyFont="1" applyFill="1" applyBorder="1" applyAlignment="1">
      <x:alignment horizontal="center" wrapText="1"/>
    </x:xf>
    <x:xf numFmtId="0" fontId="7" fillId="3" borderId="23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horizontal="center" wrapText="1"/>
    </x:xf>
    <x:xf numFmtId="0" fontId="8" fillId="7" borderId="0" xfId="0" applyNumberFormat="1" applyFont="1" applyFill="1" applyBorder="1" applyAlignment="1">
      <x:alignment horizontal="center" vertical="center" wrapText="1"/>
    </x:xf>
    <x:xf numFmtId="0" fontId="7" fillId="3" borderId="0" xfId="0" applyNumberFormat="1" applyFont="1" applyFill="1" applyBorder="1" applyAlignment="1">
      <x:alignment horizontal="center" wrapText="1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horizontal="left"/>
    </x:xf>
    <x:xf numFmtId="0" fontId="9" fillId="8" borderId="0" xfId="0" applyNumberFormat="1" applyFont="1" applyFill="1" applyBorder="1" applyAlignment="1">
      <x:alignment horizontal="left" vertical="center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201" fontId="4" fillId="10" borderId="0" xfId="0" applyNumberFormat="1" applyFont="1" applyFill="1" applyBorder="1"/>
    <x:xf numFmtId="203" fontId="4" fillId="10" borderId="0" xfId="0" applyNumberFormat="1" applyFont="1" applyFill="1" applyBorder="1"/>
    <x:xf numFmtId="204" fontId="0" fillId="0" borderId="0" xfId="0" applyNumberFormat="1" applyFont="1" applyFill="1" applyBorder="1"/>
    <x:xf numFmtId="204" fontId="4" fillId="10" borderId="0" xfId="0" applyNumberFormat="1" applyFont="1" applyFill="1" applyBorder="1"/>
    <x:xf numFmtId="204" fontId="0" fillId="0" borderId="0" xfId="0" applyNumberFormat="1" applyFont="1" applyFill="1" applyBorder="1" applyAlignment="1">
      <x:alignment wrapText="1"/>
    </x:xf>
    <x:xf numFmtId="0" fontId="4" fillId="10" borderId="0" xfId="0" applyNumberFormat="1" applyFont="1" applyFill="1" applyBorder="1" applyAlignment="1">
      <x:alignment wrapText="1"/>
    </x:xf>
    <x:xf numFmtId="201" fontId="4" fillId="10" borderId="0" xfId="0" applyNumberFormat="1" applyFont="1" applyFill="1" applyBorder="1" applyAlignment="1">
      <x:alignment wrapText="1"/>
    </x:xf>
    <x:xf numFmtId="203" fontId="4" fillId="10" borderId="0" xfId="0" applyNumberFormat="1" applyFont="1" applyFill="1" applyBorder="1" applyAlignment="1">
      <x:alignment wrapText="1"/>
    </x:xf>
    <x:xf numFmtId="204" fontId="4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horizontal="left"/>
    </x:xf>
    <x:xf numFmtId="0" fontId="9" fillId="8" borderId="0" xfId="0" applyNumberFormat="1" applyFont="1" applyFill="1" applyBorder="1" applyAlignment="1">
      <x:alignment horizontal="left" vertical="center" wrapText="1"/>
    </x:xf>
    <x:xf numFmtId="0" fontId="1" fillId="11" borderId="0" xfId="0" applyNumberFormat="1" applyFont="1" applyFill="1" applyBorder="1" applyAlignment="1">
      <x:alignment horizontal="left" wrapText="1"/>
    </x:xf>
    <x:xf numFmtId="0" fontId="1" fillId="12" borderId="0" xfId="0" applyNumberFormat="1" applyFont="1" applyFill="1" applyBorder="1" applyAlignment="1">
      <x:alignment horizontal="center" vertical="center" wrapText="1"/>
    </x:xf>
    <x:xf numFmtId="201" fontId="0" fillId="12" borderId="0" xfId="0" applyNumberFormat="1" applyFont="1" applyFill="1" applyBorder="1" applyAlignment="1">
      <x:alignment wrapText="1"/>
    </x:xf>
    <x:xf numFmtId="203" fontId="0" fillId="12" borderId="0" xfId="0" applyNumberFormat="1" applyFont="1" applyFill="1" applyBorder="1" applyAlignment="1">
      <x:alignment wrapText="1"/>
    </x:xf>
    <x:xf numFmtId="201" fontId="4" fillId="12" borderId="0" xfId="0" applyNumberFormat="1" applyFont="1" applyFill="1" applyBorder="1" applyAlignment="1">
      <x:alignment wrapText="1"/>
    </x:xf>
    <x:xf numFmtId="203" fontId="4" fillId="12" borderId="0" xfId="0" applyNumberFormat="1" applyFont="1" applyFill="1" applyBorder="1" applyAlignment="1">
      <x:alignment wrapText="1"/>
    </x:xf>
    <x:xf numFmtId="0" fontId="8" fillId="12" borderId="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201" fontId="0" fillId="13" borderId="0" xfId="0" applyNumberFormat="1" applyFont="1" applyFill="1" applyBorder="1"/>
    <x:xf numFmtId="0" fontId="10" fillId="13" borderId="0" xfId="0" applyNumberFormat="1" applyFont="1" applyFill="1" applyBorder="1"/>
    <x:xf numFmtId="201" fontId="10" fillId="13" borderId="0" xfId="0" applyNumberFormat="1" applyFont="1" applyFill="1" applyBorder="1"/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horizontal="left"/>
    </x:xf>
    <x:xf numFmtId="0" fontId="9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vertical="center" wrapText="1"/>
    </x:xf>
    <x:xf numFmtId="204" fontId="4" fillId="4" borderId="0" xfId="0" applyNumberFormat="1" applyFont="1" applyFill="1" applyBorder="1"/>
    <x:xf numFmtId="204" fontId="4" fillId="4" borderId="0" xfId="0" applyNumberFormat="1" applyFont="1" applyFill="1" applyBorder="1" applyAlignment="1">
      <x:alignment wrapText="1"/>
    </x:xf>
    <x:xf numFmtId="0" fontId="9" fillId="2" borderId="0" xfId="0" applyNumberFormat="1" applyFont="1" applyFill="1" applyBorder="1" applyAlignment="1">
      <x:alignment horizontal="left" vertical="center" wrapText="1"/>
    </x:xf>
    <x:xf numFmtId="0" fontId="1" fillId="6" borderId="0" xfId="0" applyNumberFormat="1" applyFont="1" applyFill="1" applyBorder="1" applyAlignment="1">
      <x:alignment horizontal="left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201" fontId="0" fillId="7" borderId="0" xfId="0" applyNumberFormat="1" applyFont="1" applyFill="1" applyBorder="1" applyAlignment="1">
      <x:alignment wrapText="1"/>
    </x:xf>
    <x:xf numFmtId="203" fontId="0" fillId="7" borderId="0" xfId="0" applyNumberFormat="1" applyFont="1" applyFill="1" applyBorder="1" applyAlignment="1">
      <x:alignment wrapText="1"/>
    </x:xf>
    <x:xf numFmtId="201" fontId="4" fillId="7" borderId="0" xfId="0" applyNumberFormat="1" applyFont="1" applyFill="1" applyBorder="1" applyAlignment="1">
      <x:alignment wrapText="1"/>
    </x:xf>
    <x:xf numFmtId="203" fontId="4" fillId="7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2" fillId="14" borderId="0" xfId="0" applyNumberFormat="1" applyFont="1" applyFill="1" applyBorder="1"/>
    <x:xf numFmtId="0" fontId="2" fillId="14" borderId="0" xfId="0" applyNumberFormat="1" applyFont="1" applyFill="1" applyBorder="1" applyAlignment="1">
      <x:alignment horizontal="left"/>
    </x:xf>
    <x:xf numFmtId="0" fontId="2" fillId="14" borderId="0" xfId="0" applyNumberFormat="1" applyFont="1" applyFill="1" applyBorder="1" applyAlignment="1">
      <x:alignment horizontal="left" vertical="center"/>
    </x:xf>
    <x:xf numFmtId="0" fontId="0" fillId="15" borderId="0" xfId="0" applyNumberFormat="1" applyFont="1" applyFill="1" applyBorder="1"/>
    <x:xf numFmtId="0" fontId="11" fillId="15" borderId="0" xfId="0" applyNumberFormat="1" applyFont="1" applyFill="1" applyBorder="1"/>
    <x:xf numFmtId="0" fontId="11" fillId="15" borderId="0" xfId="0" applyNumberFormat="1" applyFont="1" applyFill="1" applyBorder="1" applyAlignment="1">
      <x:alignment horizontal="center"/>
    </x:xf>
    <x:xf numFmtId="0" fontId="11" fillId="15" borderId="0" xfId="0" applyNumberFormat="1" applyFont="1" applyFill="1" applyBorder="1" applyAlignment="1">
      <x:alignment horizontal="center" vertical="center"/>
    </x:xf>
    <x:xf numFmtId="0" fontId="11" fillId="15" borderId="0" xfId="0" applyNumberFormat="1" applyFont="1" applyFill="1" applyBorder="1" applyAlignment="1">
      <x:alignment horizontal="center" vertical="center" wrapText="1"/>
    </x:xf>
    <x:xf numFmtId="205" fontId="0" fillId="0" borderId="0" xfId="0" applyNumberFormat="1" applyFont="1" applyFill="1" applyBorder="1"/>
    <x:xf numFmtId="205" fontId="0" fillId="0" borderId="0" xfId="0" applyNumberFormat="1" applyFont="1" applyFill="1" applyBorder="1" applyAlignment="1">
      <x:alignment wrapText="1"/>
    </x:xf>
    <x:xf numFmtId="0" fontId="11" fillId="15" borderId="46" xfId="0" applyNumberFormat="1" applyFont="1" applyFill="1" applyBorder="1" applyAlignment="1">
      <x:alignment horizontal="center" vertical="center" wrapText="1"/>
    </x:xf>
    <x:xf numFmtId="0" fontId="11" fillId="15" borderId="47" xfId="0" applyNumberFormat="1" applyFont="1" applyFill="1" applyBorder="1" applyAlignment="1">
      <x:alignment horizontal="center" vertical="center" wrapText="1"/>
    </x:xf>
    <x:xf numFmtId="0" fontId="11" fillId="15" borderId="48" xfId="0" applyNumberFormat="1" applyFont="1" applyFill="1" applyBorder="1" applyAlignment="1">
      <x:alignment horizontal="center" vertical="center" wrapText="1"/>
    </x:xf>
    <x:xf numFmtId="200" fontId="0" fillId="0" borderId="49" xfId="0" applyNumberFormat="1" applyFont="1" applyFill="1" applyBorder="1" applyAlignment="1">
      <x:alignment wrapText="1"/>
    </x:xf>
    <x:xf numFmtId="0" fontId="0" fillId="0" xfId="0" applyNumberFormat="1" applyFont="1" applyFill="1" applyBorder="0" applyAlignment="1">
      <x:alignment wrapText="1"/>
    </x:xf>
    <x:xf numFmtId="205" fontId="0" fillId="0" xfId="0" applyNumberFormat="1" applyFont="1" applyFill="1" applyBorder="0" applyAlignment="1">
      <x:alignment wrapText="1"/>
    </x:xf>
    <x:xf numFmtId="0" fontId="0" fillId="0" borderId="50" xfId="0" applyNumberFormat="1" applyFont="1" applyFill="1" applyBorder="1" applyAlignment="1">
      <x:alignment wrapText="1"/>
    </x:xf>
    <x:xf numFmtId="200" fontId="0" fillId="0" borderId="51" xfId="0" applyNumberFormat="1" applyFont="1" applyFill="1" applyBorder="1" applyAlignment="1">
      <x:alignment wrapText="1"/>
    </x:xf>
    <x:xf numFmtId="0" fontId="0" fillId="0" borderId="52" xfId="0" applyNumberFormat="1" applyFont="1" applyFill="1" applyBorder="1" applyAlignment="1">
      <x:alignment wrapText="1"/>
    </x:xf>
    <x:xf numFmtId="205" fontId="0" fillId="0" borderId="52" xfId="0" applyNumberFormat="1" applyFont="1" applyFill="1" applyBorder="1" applyAlignment="1">
      <x:alignment wrapText="1"/>
    </x:xf>
    <x:xf numFmtId="0" fontId="0" fillId="0" borderId="53" xfId="0" applyNumberFormat="1" applyFont="1" applyFill="1" applyBorder="1" applyAlignment="1">
      <x:alignment wrapText="1"/>
    </x:xf>
    <x:xf numFmtId="200" fontId="0" fillId="0" borderId="49" xfId="0" applyNumberFormat="1" applyFont="1" applyFill="1" applyBorder="1"/>
    <x:xf numFmtId="0" fontId="0" fillId="0" xfId="0" applyNumberFormat="1" applyFont="1" applyFill="1" applyBorder="0"/>
    <x:xf numFmtId="205" fontId="0" fillId="0" xfId="0" applyNumberFormat="1" applyFont="1" applyFill="1" applyBorder="0"/>
    <x:xf numFmtId="0" fontId="0" fillId="0" borderId="50" xfId="0" applyNumberFormat="1" applyFont="1" applyFill="1" applyBorder="1"/>
    <x:xf numFmtId="200" fontId="0" fillId="0" borderId="51" xfId="0" applyNumberFormat="1" applyFont="1" applyFill="1" applyBorder="1"/>
    <x:xf numFmtId="0" fontId="0" fillId="0" borderId="52" xfId="0" applyNumberFormat="1" applyFont="1" applyFill="1" applyBorder="1"/>
    <x:xf numFmtId="205" fontId="0" fillId="0" borderId="52" xfId="0" applyNumberFormat="1" applyFont="1" applyFill="1" applyBorder="1"/>
    <x:xf numFmtId="0" fontId="0" fillId="0" borderId="53" xfId="0" applyNumberFormat="1" applyFont="1" applyFill="1" applyBorder="1"/>
    <x:xf numFmtId="0" fontId="0" fillId="0" borderId="49" xfId="0" applyNumberFormat="1" applyFont="1" applyFill="1" applyBorder="1"/>
    <x:xf numFmtId="200" fontId="0" fillId="0" xfId="0" applyNumberFormat="1" applyFont="1" applyFill="1" applyBorder="0"/>
    <x:xf numFmtId="0" fontId="0" fillId="0" borderId="51" xfId="0" applyNumberFormat="1" applyFont="1" applyFill="1" applyBorder="1"/>
    <x:xf numFmtId="200" fontId="0" fillId="0" borderId="52" xfId="0" applyNumberFormat="1" applyFont="1" applyFill="1" applyBorder="1"/>
    <x:xf numFmtId="0" fontId="0" fillId="0" borderId="49" xfId="0" applyNumberFormat="1" applyFont="1" applyFill="1" applyBorder="1" applyAlignment="1">
      <x:alignment wrapText="1"/>
    </x:xf>
    <x:xf numFmtId="200" fontId="0" fillId="0" xfId="0" applyNumberFormat="1" applyFont="1" applyFill="1" applyBorder="0" applyAlignment="1">
      <x:alignment wrapText="1"/>
    </x:xf>
    <x:xf numFmtId="0" fontId="0" fillId="0" borderId="51" xfId="0" applyNumberFormat="1" applyFont="1" applyFill="1" applyBorder="1" applyAlignment="1">
      <x:alignment wrapText="1"/>
    </x:xf>
    <x:xf numFmtId="200" fontId="0" fillId="0" borderId="52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205" fontId="0" fillId="16" borderId="0" xfId="0" applyNumberFormat="1" applyFont="1" applyFill="1" applyBorder="1"/>
    <x:xf numFmtId="203" fontId="0" fillId="16" borderId="0" xfId="0" applyNumberFormat="1" applyFont="1" applyFill="1" applyBorder="1"/>
    <x:xf numFmtId="0" fontId="12" fillId="16" borderId="0" xfId="0" applyNumberFormat="1" applyFont="1" applyFill="1" applyBorder="1"/>
    <x:xf numFmtId="205" fontId="12" fillId="16" borderId="0" xfId="0" applyNumberFormat="1" applyFont="1" applyFill="1" applyBorder="1"/>
    <x:xf numFmtId="203" fontId="12" fillId="16" borderId="0" xfId="0" applyNumberFormat="1" applyFont="1" applyFill="1" applyBorder="1"/>
    <x:xf numFmtId="203" fontId="0" fillId="0" xfId="0" applyNumberFormat="1" applyFont="1" applyFill="1" applyBorder="0"/>
    <x:xf numFmtId="0" fontId="12" fillId="16" borderId="51" xfId="0" applyNumberFormat="1" applyFont="1" applyFill="1" applyBorder="1"/>
    <x:xf numFmtId="0" fontId="12" fillId="16" borderId="52" xfId="0" applyNumberFormat="1" applyFont="1" applyFill="1" applyBorder="1"/>
    <x:xf numFmtId="205" fontId="12" fillId="16" borderId="52" xfId="0" applyNumberFormat="1" applyFont="1" applyFill="1" applyBorder="1"/>
    <x:xf numFmtId="203" fontId="12" fillId="16" borderId="52" xfId="0" applyNumberFormat="1" applyFont="1" applyFill="1" applyBorder="1"/>
    <x:xf numFmtId="0" fontId="12" fillId="16" borderId="53" xfId="0" applyNumberFormat="1" applyFont="1" applyFill="1" applyBorder="1"/>
    <x:xf numFmtId="203" fontId="0" fillId="0" xfId="0" applyNumberFormat="1" applyFont="1" applyFill="1" applyBorder="0" applyAlignment="1">
      <x:alignment wrapText="1"/>
    </x:xf>
    <x:xf numFmtId="0" fontId="12" fillId="16" borderId="51" xfId="0" applyNumberFormat="1" applyFont="1" applyFill="1" applyBorder="1" applyAlignment="1">
      <x:alignment wrapText="1"/>
    </x:xf>
    <x:xf numFmtId="0" fontId="12" fillId="16" borderId="52" xfId="0" applyNumberFormat="1" applyFont="1" applyFill="1" applyBorder="1" applyAlignment="1">
      <x:alignment wrapText="1"/>
    </x:xf>
    <x:xf numFmtId="205" fontId="12" fillId="16" borderId="52" xfId="0" applyNumberFormat="1" applyFont="1" applyFill="1" applyBorder="1" applyAlignment="1">
      <x:alignment wrapText="1"/>
    </x:xf>
    <x:xf numFmtId="203" fontId="12" fillId="16" borderId="52" xfId="0" applyNumberFormat="1" applyFont="1" applyFill="1" applyBorder="1" applyAlignment="1">
      <x:alignment wrapText="1"/>
    </x:xf>
    <x:xf numFmtId="0" fontId="12" fillId="16" borderId="53" xfId="0" applyNumberFormat="1" applyFont="1" applyFill="1" applyBorder="1" applyAlignment="1">
      <x:alignment wrapText="1"/>
    </x:xf>
    <x:xf numFmtId="0" fontId="12" fillId="16" borderId="49" xfId="0" applyNumberFormat="1" applyFont="1" applyFill="1" applyBorder="1"/>
    <x:xf numFmtId="205" fontId="12" fillId="16" xfId="0" applyNumberFormat="1" applyFont="1" applyFill="1" applyBorder="0"/>
    <x:xf numFmtId="203" fontId="12" fillId="16" xfId="0" applyNumberFormat="1" applyFont="1" applyFill="1" applyBorder="0"/>
    <x:xf numFmtId="0" fontId="12" fillId="16" borderId="50" xfId="0" applyNumberFormat="1" applyFont="1" applyFill="1" applyBorder="1"/>
    <x:xf numFmtId="0" fontId="12" fillId="16" borderId="49" xfId="0" applyNumberFormat="1" applyFont="1" applyFill="1" applyBorder="1" applyAlignment="1">
      <x:alignment wrapText="1"/>
    </x:xf>
    <x:xf numFmtId="205" fontId="12" fillId="16" xfId="0" applyNumberFormat="1" applyFont="1" applyFill="1" applyBorder="0" applyAlignment="1">
      <x:alignment wrapText="1"/>
    </x:xf>
    <x:xf numFmtId="203" fontId="12" fillId="16" xfId="0" applyNumberFormat="1" applyFont="1" applyFill="1" applyBorder="0" applyAlignment="1">
      <x:alignment wrapText="1"/>
    </x:xf>
    <x:xf numFmtId="0" fontId="12" fillId="16" borderId="50" xfId="0" applyNumberFormat="1" applyFont="1" applyFill="1" applyBorder="1" applyAlignment="1">
      <x:alignment wrapText="1"/>
    </x:xf>
    <x:xf numFmtId="201" fontId="0" fillId="0" xfId="0" applyNumberFormat="1" applyFont="1" applyFill="1" applyBorder="0"/>
    <x:xf numFmtId="201" fontId="0" fillId="0" borderId="52" xfId="0" applyNumberFormat="1" applyFont="1" applyFill="1" applyBorder="1"/>
    <x:xf numFmtId="203" fontId="0" fillId="0" borderId="52" xfId="0" applyNumberFormat="1" applyFont="1" applyFill="1" applyBorder="1"/>
    <x:xf numFmtId="201" fontId="0" fillId="0" xfId="0" applyNumberFormat="1" applyFont="1" applyFill="1" applyBorder="0" applyAlignment="1">
      <x:alignment wrapText="1"/>
    </x:xf>
    <x:xf numFmtId="201" fontId="0" fillId="0" borderId="52" xfId="0" applyNumberFormat="1" applyFont="1" applyFill="1" applyBorder="1" applyAlignment="1">
      <x:alignment wrapText="1"/>
    </x:xf>
    <x:xf numFmtId="203" fontId="0" fillId="0" borderId="52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0" fillId="17" borderId="0" xfId="0" applyNumberFormat="1" applyFont="1" applyFill="1" applyBorder="1" applyAlignment="1">
      <x:alignment wrapText="1"/>
    </x:xf>
    <x:xf numFmtId="0" fontId="13" fillId="17" borderId="0" xfId="0" applyNumberFormat="1" applyFont="1" applyFill="1" applyBorder="1" applyAlignment="1">
      <x:alignment wrapText="1"/>
    </x:xf>
    <x:xf numFmtId="0" fontId="13" fillId="17" borderId="0" xfId="0" applyNumberFormat="1" applyFont="1" applyFill="1" applyBorder="1"/>
    <x:xf numFmtId="0" fontId="0" fillId="17" borderId="46" xfId="0" applyNumberFormat="1" applyFont="1" applyFill="1" applyBorder="1"/>
    <x:xf numFmtId="0" fontId="0" fillId="17" borderId="48" xfId="0" applyNumberFormat="1" applyFont="1" applyFill="1" applyBorder="1"/>
    <x:xf numFmtId="0" fontId="0" fillId="17" borderId="49" xfId="0" applyNumberFormat="1" applyFont="1" applyFill="1" applyBorder="1"/>
    <x:xf numFmtId="0" fontId="0" fillId="17" borderId="50" xfId="0" applyNumberFormat="1" applyFont="1" applyFill="1" applyBorder="1"/>
    <x:xf numFmtId="0" fontId="0" fillId="17" borderId="51" xfId="0" applyNumberFormat="1" applyFont="1" applyFill="1" applyBorder="1"/>
    <x:xf numFmtId="0" fontId="0" fillId="17" borderId="53" xfId="0" applyNumberFormat="1" applyFont="1" applyFill="1" applyBorder="1"/>
    <x:xf numFmtId="0" fontId="14" fillId="17" borderId="46" xfId="0" applyNumberFormat="1" applyFont="1" applyFill="1" applyBorder="1"/>
    <x:xf numFmtId="0" fontId="14" fillId="17" borderId="48" xfId="0" applyNumberFormat="1" applyFont="1" applyFill="1" applyBorder="1"/>
    <x:xf numFmtId="0" fontId="14" fillId="17" borderId="46" xfId="0" applyNumberFormat="1" applyFont="1" applyFill="1" applyBorder="1" applyAlignment="1">
      <x:alignment horizontal="center"/>
    </x:xf>
    <x:xf numFmtId="0" fontId="14" fillId="17" borderId="48" xfId="0" applyNumberFormat="1" applyFont="1" applyFill="1" applyBorder="1" applyAlignment="1">
      <x:alignment horizontal="center"/>
    </x:xf>
    <x:xf numFmtId="0" fontId="15" fillId="17" borderId="49" xfId="0" applyNumberFormat="1" applyFont="1" applyFill="1" applyBorder="1"/>
    <x:xf numFmtId="0" fontId="15" fillId="17" borderId="50" xfId="0" applyNumberFormat="1" applyFont="1" applyFill="1" applyBorder="1"/>
    <x:xf numFmtId="0" fontId="15" fillId="17" borderId="49" xfId="0" applyNumberFormat="1" applyFont="1" applyFill="1" applyBorder="1" applyAlignment="1">
      <x:alignment horizontal="center"/>
    </x:xf>
    <x:xf numFmtId="0" fontId="15" fillId="17" borderId="50" xfId="0" applyNumberFormat="1" applyFont="1" applyFill="1" applyBorder="1" applyAlignment="1">
      <x:alignment horizontal="center"/>
    </x:xf>
    <x:xf numFmtId="0" fontId="16" fillId="17" borderId="51" xfId="0" applyNumberFormat="1" applyFont="1" applyFill="1" applyBorder="1"/>
    <x:xf numFmtId="0" fontId="16" fillId="17" borderId="53" xfId="0" applyNumberFormat="1" applyFont="1" applyFill="1" applyBorder="1"/>
    <x:xf numFmtId="0" fontId="16" fillId="17" borderId="51" xfId="0" applyNumberFormat="1" applyFont="1" applyFill="1" applyBorder="1" applyAlignment="1">
      <x:alignment horizontal="center"/>
    </x:xf>
    <x:xf numFmtId="0" fontId="16" fillId="17" borderId="53" xfId="0" applyNumberFormat="1" applyFont="1" applyFill="1" applyBorder="1" applyAlignment="1">
      <x:alignment horizontal="center"/>
    </x:xf>
    <x:xf numFmtId="205" fontId="15" fillId="17" borderId="49" xfId="0" applyNumberFormat="1" applyFont="1" applyFill="1" applyBorder="1" applyAlignment="1">
      <x:alignment horizontal="center"/>
    </x:xf>
    <x:xf numFmtId="205" fontId="15" fillId="17" borderId="50" xfId="0" applyNumberFormat="1" applyFont="1" applyFill="1" applyBorder="1" applyAlignment="1">
      <x:alignment horizontal="center"/>
    </x:xf>
    <x:xf numFmtId="203" fontId="15" fillId="17" borderId="49" xfId="0" applyNumberFormat="1" applyFont="1" applyFill="1" applyBorder="1" applyAlignment="1">
      <x:alignment horizontal="center"/>
    </x:xf>
    <x:xf numFmtId="203" fontId="15" fillId="17" borderId="50" xfId="0" applyNumberFormat="1" applyFont="1" applyFill="1" applyBorder="1" applyAlignment="1">
      <x:alignment horizontal="center"/>
    </x:xf>
    <x:xf numFmtId="0" fontId="0" fillId="18" borderId="0" xfId="0" applyNumberFormat="1" applyFont="1" applyFill="1" applyBorder="1"/>
    <x:xf numFmtId="0" fontId="0" fillId="18" borderId="0" xfId="0" applyNumberFormat="1" applyFont="1" applyFill="1" applyBorder="1" applyAlignment="1">
      <x:alignment wrapText="1"/>
    </x:xf>
    <x:xf numFmtId="0" fontId="17" fillId="18" borderId="0" xfId="0" applyNumberFormat="1" applyFont="1" applyFill="1" applyBorder="1" applyAlignment="1">
      <x:alignment wrapText="1"/>
    </x:xf>
    <x:xf numFmtId="0" fontId="17" fillId="18" borderId="46" xfId="0" applyNumberFormat="1" applyFont="1" applyFill="1" applyBorder="1" applyAlignment="1">
      <x:alignment wrapText="1"/>
    </x:xf>
    <x:xf numFmtId="0" fontId="17" fillId="18" borderId="47" xfId="0" applyNumberFormat="1" applyFont="1" applyFill="1" applyBorder="1" applyAlignment="1">
      <x:alignment wrapText="1"/>
    </x:xf>
    <x:xf numFmtId="0" fontId="17" fillId="18" borderId="48" xfId="0" applyNumberFormat="1" applyFont="1" applyFill="1" applyBorder="1" applyAlignment="1">
      <x:alignment wrapText="1"/>
    </x:xf>
    <x:xf numFmtId="0" fontId="17" fillId="18" borderId="49" xfId="0" applyNumberFormat="1" applyFont="1" applyFill="1" applyBorder="1" applyAlignment="1">
      <x:alignment wrapText="1"/>
    </x:xf>
    <x:xf numFmtId="0" fontId="17" fillId="18" xfId="0" applyNumberFormat="1" applyFont="1" applyFill="1" applyBorder="0" applyAlignment="1">
      <x:alignment wrapText="1"/>
    </x:xf>
    <x:xf numFmtId="0" fontId="17" fillId="18" borderId="50" xfId="0" applyNumberFormat="1" applyFont="1" applyFill="1" applyBorder="1" applyAlignment="1">
      <x:alignment wrapText="1"/>
    </x:xf>
    <x:xf numFmtId="0" fontId="17" fillId="18" borderId="51" xfId="0" applyNumberFormat="1" applyFont="1" applyFill="1" applyBorder="1" applyAlignment="1">
      <x:alignment wrapText="1"/>
    </x:xf>
    <x:xf numFmtId="0" fontId="17" fillId="18" borderId="52" xfId="0" applyNumberFormat="1" applyFont="1" applyFill="1" applyBorder="1" applyAlignment="1">
      <x:alignment wrapText="1"/>
    </x:xf>
    <x:xf numFmtId="0" fontId="17" fillId="18" borderId="53" xfId="0" applyNumberFormat="1" applyFont="1" applyFill="1" applyBorder="1" applyAlignment="1">
      <x:alignment wrapText="1"/>
    </x:xf>
    <x:xf numFmtId="205" fontId="0" fillId="0" borderId="50" xfId="0" applyNumberFormat="1" applyFont="1" applyFill="1" applyBorder="1"/>
    <x:xf numFmtId="205" fontId="0" fillId="0" borderId="53" xfId="0" applyNumberFormat="1" applyFont="1" applyFill="1" applyBorder="1"/>
    <x:xf numFmtId="0" fontId="1" fillId="14" borderId="0" xfId="0" applyNumberFormat="1" applyFont="1" applyFill="1" applyBorder="1"/>
    <x:xf numFmtId="201" fontId="0" fillId="0" borderId="50" xfId="0" applyNumberFormat="1" applyFont="1" applyFill="1" applyBorder="1"/>
    <x:xf numFmtId="201" fontId="0" fillId="0" borderId="53" xfId="0" applyNumberFormat="1" applyFont="1" applyFill="1" applyBorder="1"/>
    <x:xf numFmtId="0" fontId="12" fillId="16" borderId="0" xfId="0" applyNumberFormat="1" applyFont="1" applyFill="1" applyBorder="1" applyAlignment="1">
      <x:alignment wrapText="1"/>
    </x:xf>
    <x:xf numFmtId="205" fontId="12" fillId="16" borderId="0" xfId="0" applyNumberFormat="1" applyFont="1" applyFill="1" applyBorder="1" applyAlignment="1">
      <x:alignment wrapText="1"/>
    </x:xf>
    <x:xf numFmtId="203" fontId="12" fillId="16" borderId="0" xfId="0" applyNumberFormat="1" applyFont="1" applyFill="1" applyBorder="1" applyAlignment="1">
      <x:alignment wrapText="1"/>
    </x:xf>
    <x:xf numFmtId="0" fontId="14" fillId="17" borderId="0" xfId="0" applyNumberFormat="1" applyFont="1" applyFill="1" applyBorder="1"/>
    <x:xf numFmtId="0" fontId="14" fillId="17" borderId="0" xfId="0" applyNumberFormat="1" applyFont="1" applyFill="1" applyBorder="1" applyAlignment="1">
      <x:alignment horizontal="center"/>
    </x:xf>
    <x:xf numFmtId="0" fontId="15" fillId="17" borderId="0" xfId="0" applyNumberFormat="1" applyFont="1" applyFill="1" applyBorder="1"/>
    <x:xf numFmtId="0" fontId="15" fillId="17" borderId="0" xfId="0" applyNumberFormat="1" applyFont="1" applyFill="1" applyBorder="1" applyAlignment="1">
      <x:alignment horizontal="center"/>
    </x:xf>
    <x:xf numFmtId="0" fontId="16" fillId="17" borderId="0" xfId="0" applyNumberFormat="1" applyFont="1" applyFill="1" applyBorder="1"/>
    <x:xf numFmtId="0" fontId="16" fillId="17" borderId="0" xfId="0" applyNumberFormat="1" applyFont="1" applyFill="1" applyBorder="1" applyAlignment="1">
      <x:alignment horizontal="center"/>
    </x:xf>
    <x:xf numFmtId="205" fontId="15" fillId="17" borderId="0" xfId="0" applyNumberFormat="1" applyFont="1" applyFill="1" applyBorder="1" applyAlignment="1">
      <x:alignment horizontal="center"/>
    </x:xf>
    <x:xf numFmtId="203" fontId="15" fillId="17" borderId="0" xfId="0" applyNumberFormat="1" applyFont="1" applyFill="1" applyBorder="1" applyAlignment="1">
      <x:alignment horizontal="center"/>
    </x:xf>
    <x:xf numFmtId="0" fontId="0" fillId="19" borderId="0" xfId="0" applyNumberFormat="1" applyFont="1" applyFill="1" applyBorder="1"/>
    <x:xf numFmtId="0" fontId="2" fillId="19" borderId="0" xfId="0" applyNumberFormat="1" applyFont="1" applyFill="1" applyBorder="1"/>
    <x:xf numFmtId="0" fontId="2" fillId="19" borderId="0" xfId="0" applyNumberFormat="1" applyFont="1" applyFill="1" applyBorder="1" applyAlignment="1">
      <x:alignment horizontal="left"/>
    </x:xf>
    <x:xf numFmtId="0" fontId="2" fillId="19" borderId="0" xfId="0" applyNumberFormat="1" applyFont="1" applyFill="1" applyBorder="1" applyAlignment="1">
      <x:alignment horizontal="left" vertical="center"/>
    </x:xf>
    <x:xf numFmtId="0" fontId="18" fillId="0" borderId="0" xfId="0" applyNumberFormat="1" applyFont="1" applyFill="1" applyBorder="1"/>
    <x:xf numFmtId="0" fontId="0" fillId="20" borderId="0" xfId="0" applyNumberFormat="1" applyFont="1" applyFill="1" applyBorder="1"/>
    <x:xf numFmtId="0" fontId="19" fillId="20" borderId="0" xfId="0" applyNumberFormat="1" applyFont="1" applyFill="1" applyBorder="1"/>
    <x:xf numFmtId="0" fontId="19" fillId="20" borderId="0" xfId="0" applyNumberFormat="1" applyFont="1" applyFill="1" applyBorder="1" applyAlignment="1">
      <x:alignment horizontal="center"/>
    </x:xf>
    <x:xf numFmtId="0" fontId="19" fillId="20" borderId="0" xfId="0" applyNumberFormat="1" applyFont="1" applyFill="1" applyBorder="1" applyAlignment="1">
      <x:alignment horizontal="center" vertical="center"/>
    </x:xf>
    <x:xf numFmtId="0" fontId="20" fillId="0" borderId="0" xfId="0" applyNumberFormat="1" applyFont="1" applyFill="1" applyBorder="1"/>
    <x:xf numFmtId="0" fontId="20" fillId="0" borderId="0" xfId="0" applyNumberFormat="1" applyFont="1" applyFill="1" applyBorder="1" applyAlignment="1">
      <x:alignment horizontal="center"/>
    </x:xf>
    <x:xf numFmtId="0" fontId="20" fillId="0" borderId="0" xfId="0" applyNumberFormat="1" applyFont="1" applyFill="1" applyBorder="1" applyAlignment="1">
      <x:alignment horizontal="center" vertical="center"/>
    </x:xf>
    <x:xf numFmtId="205" fontId="20" fillId="0" borderId="0" xfId="0" applyNumberFormat="1" applyFont="1" applyFill="1" applyBorder="1" applyAlignment="1">
      <x:alignment horizontal="center" vertical="center"/>
    </x:xf>
    <x:xf numFmtId="203" fontId="20" fillId="0" borderId="0" xfId="0" applyNumberFormat="1" applyFont="1" applyFill="1" applyBorder="1" applyAlignment="1">
      <x:alignment horizontal="center" vertical="center"/>
    </x:xf>
    <x:xf numFmtId="0" fontId="0" fillId="21" borderId="0" xfId="0" applyNumberFormat="1" applyFont="1" applyFill="1" applyBorder="1"/>
    <x:xf numFmtId="0" fontId="21" fillId="21" borderId="0" xfId="0" applyNumberFormat="1" applyFont="1" applyFill="1" applyBorder="1"/>
    <x:xf numFmtId="0" fontId="1" fillId="19" borderId="0" xfId="0" applyNumberFormat="1" applyFont="1" applyFill="1" applyBorder="1"/>
    <x:xf numFmtId="0" fontId="1" fillId="19" borderId="0" xfId="0" applyNumberFormat="1" applyFont="1" applyFill="1" applyBorder="1" applyAlignment="1">
      <x:alignment wrapText="1"/>
    </x:xf>
    <x:xf numFmtId="0" fontId="1" fillId="19" borderId="0" xfId="0" applyNumberFormat="1" applyFont="1" applyFill="1" applyBorder="1" applyAlignment="1">
      <x:alignment horizontal="center" wrapText="1"/>
    </x:xf>
    <x:xf numFmtId="0" fontId="1" fillId="19" borderId="0" xfId="0" applyNumberFormat="1" applyFont="1" applyFill="1" applyBorder="1" applyAlignment="1">
      <x:alignment horizontal="center" vertical="center" wrapText="1"/>
    </x:xf>
    <x:xf numFmtId="0" fontId="0" fillId="0" borderId="54" xfId="0" applyNumberFormat="1" applyFont="1" applyFill="1" applyBorder="1"/>
    <x:xf numFmtId="0" fontId="0" fillId="0" borderId="55" xfId="0" applyNumberFormat="1" applyFont="1" applyFill="1" applyBorder="1"/>
    <x:xf numFmtId="0" fontId="0" fillId="0" borderId="56" xfId="0" applyNumberFormat="1" applyFont="1" applyFill="1" applyBorder="1"/>
    <x:xf numFmtId="0" fontId="0" fillId="0" borderId="57" xfId="0" applyNumberFormat="1" applyFont="1" applyFill="1" applyBorder="1"/>
    <x:xf numFmtId="0" fontId="0" fillId="0" borderId="58" xfId="0" applyNumberFormat="1" applyFont="1" applyFill="1" applyBorder="1"/>
    <x:xf numFmtId="0" fontId="0" fillId="0" borderId="59" xfId="0" applyNumberFormat="1" applyFont="1" applyFill="1" applyBorder="1"/>
    <x:xf numFmtId="0" fontId="0" fillId="0" borderId="60" xfId="0" applyNumberFormat="1" applyFont="1" applyFill="1" applyBorder="1"/>
    <x:xf numFmtId="0" fontId="0" fillId="0" borderId="61" xfId="0" applyNumberFormat="1" applyFont="1" applyFill="1" applyBorder="1"/>
    <x:xf numFmtId="0" fontId="0" fillId="0" borderId="54" xfId="0" applyNumberFormat="1" applyFont="1" applyFill="1" applyBorder="1" applyAlignment="1">
      <x:alignment vertical="center"/>
    </x:xf>
    <x:xf numFmtId="0" fontId="0" fillId="0" borderId="55" xfId="0" applyNumberFormat="1" applyFont="1" applyFill="1" applyBorder="1" applyAlignment="1">
      <x:alignment vertical="center"/>
    </x:xf>
    <x:xf numFmtId="0" fontId="0" fillId="0" borderId="56" xfId="0" applyNumberFormat="1" applyFont="1" applyFill="1" applyBorder="1" applyAlignment="1">
      <x:alignment vertical="center"/>
    </x:xf>
    <x:xf numFmtId="0" fontId="0" fillId="0" borderId="57" xfId="0" applyNumberFormat="1" applyFont="1" applyFill="1" applyBorder="1" applyAlignment="1">
      <x:alignment vertical="center"/>
    </x:xf>
    <x:xf numFmtId="0" fontId="0" fillId="0" xfId="0" applyNumberFormat="1" applyFont="1" applyFill="1" applyBorder="0" applyAlignment="1">
      <x:alignment vertical="center"/>
    </x:xf>
    <x:xf numFmtId="0" fontId="0" fillId="0" borderId="58" xfId="0" applyNumberFormat="1" applyFont="1" applyFill="1" applyBorder="1" applyAlignment="1">
      <x:alignment vertical="center"/>
    </x:xf>
    <x:xf numFmtId="0" fontId="0" fillId="0" borderId="59" xfId="0" applyNumberFormat="1" applyFont="1" applyFill="1" applyBorder="1" applyAlignment="1">
      <x:alignment vertical="center"/>
    </x:xf>
    <x:xf numFmtId="0" fontId="0" fillId="0" borderId="60" xfId="0" applyNumberFormat="1" applyFont="1" applyFill="1" applyBorder="1" applyAlignment="1">
      <x:alignment vertical="center"/>
    </x:xf>
    <x:xf numFmtId="0" fontId="0" fillId="0" borderId="61" xfId="0" applyNumberFormat="1" applyFont="1" applyFill="1" applyBorder="1" applyAlignment="1">
      <x:alignment vertical="center"/>
    </x:xf>
    <x:xf numFmtId="205" fontId="0" fillId="0" borderId="55" xfId="0" applyNumberFormat="1" applyFont="1" applyFill="1" applyBorder="1" applyAlignment="1">
      <x:alignment vertical="center"/>
    </x:xf>
    <x:xf numFmtId="205" fontId="0" fillId="0" xfId="0" applyNumberFormat="1" applyFont="1" applyFill="1" applyBorder="0" applyAlignment="1">
      <x:alignment vertical="center"/>
    </x:xf>
    <x:xf numFmtId="205" fontId="0" fillId="0" borderId="60" xfId="0" applyNumberFormat="1" applyFont="1" applyFill="1" applyBorder="1" applyAlignment="1">
      <x:alignment vertical="center"/>
    </x:xf>
    <x:xf numFmtId="203" fontId="0" fillId="0" borderId="55" xfId="0" applyNumberFormat="1" applyFont="1" applyFill="1" applyBorder="1" applyAlignment="1">
      <x:alignment vertical="center"/>
    </x:xf>
    <x:xf numFmtId="203" fontId="0" fillId="0" xfId="0" applyNumberFormat="1" applyFont="1" applyFill="1" applyBorder="0" applyAlignment="1">
      <x:alignment vertical="center"/>
    </x:xf>
    <x:xf numFmtId="203" fontId="0" fillId="0" borderId="60" xfId="0" applyNumberFormat="1" applyFont="1" applyFill="1" applyBorder="1" applyAlignment="1">
      <x:alignment vertical="center"/>
    </x:xf>
    <x:xf numFmtId="0" fontId="14" fillId="0" borderId="0" xfId="0" applyNumberFormat="1" applyFont="1" applyFill="1" applyBorder="1"/>
    <x:xf numFmtId="0" fontId="0" fillId="0" borderId="55" xfId="0" applyNumberFormat="1" applyFont="1" applyFill="1" applyBorder="1" applyAlignment="1">
      <x:alignment vertical="center" wrapText="1"/>
    </x:xf>
    <x:xf numFmtId="0" fontId="0" fillId="0" borderId="56" xfId="0" applyNumberFormat="1" applyFont="1" applyFill="1" applyBorder="1" applyAlignment="1">
      <x:alignment vertical="center" wrapText="1"/>
    </x:xf>
    <x:xf numFmtId="0" fontId="0" fillId="0" xfId="0" applyNumberFormat="1" applyFont="1" applyFill="1" applyBorder="0" applyAlignment="1">
      <x:alignment vertical="center" wrapText="1"/>
    </x:xf>
    <x:xf numFmtId="0" fontId="0" fillId="0" borderId="58" xfId="0" applyNumberFormat="1" applyFont="1" applyFill="1" applyBorder="1" applyAlignment="1">
      <x:alignment vertical="center" wrapText="1"/>
    </x:xf>
    <x:xf numFmtId="0" fontId="0" fillId="0" borderId="60" xfId="0" applyNumberFormat="1" applyFont="1" applyFill="1" applyBorder="1" applyAlignment="1">
      <x:alignment vertical="center" wrapText="1"/>
    </x:xf>
    <x:xf numFmtId="0" fontId="0" fillId="0" borderId="61" xfId="0" applyNumberFormat="1" applyFont="1" applyFill="1" applyBorder="1" applyAlignment="1">
      <x:alignment vertical="center" wrapText="1"/>
    </x:xf>
    <x:xf numFmtId="203" fontId="0" fillId="0" borderId="56" xfId="0" applyNumberFormat="1" applyFont="1" applyFill="1" applyBorder="1" applyAlignment="1">
      <x:alignment vertical="center"/>
    </x:xf>
    <x:xf numFmtId="203" fontId="0" fillId="0" borderId="58" xfId="0" applyNumberFormat="1" applyFont="1" applyFill="1" applyBorder="1" applyAlignment="1">
      <x:alignment vertical="center"/>
    </x:xf>
    <x:xf numFmtId="203" fontId="0" fillId="0" borderId="61" xfId="0" applyNumberFormat="1" applyFont="1" applyFill="1" applyBorder="1" applyAlignment="1">
      <x:alignment vertical="center"/>
    </x:xf>
    <x:xf numFmtId="0" fontId="14" fillId="0" borderId="59" xfId="0" applyNumberFormat="1" applyFont="1" applyFill="1" applyBorder="1" applyAlignment="1">
      <x:alignment vertical="center"/>
    </x:xf>
    <x:xf numFmtId="203" fontId="0" fillId="0" borderId="61" xfId="0" applyNumberFormat="1" applyFont="1" applyFill="1" applyBorder="1" applyAlignment="1">
      <x:alignment vertical="center" wrapText="1"/>
    </x:xf>
    <x:xf numFmtId="201" fontId="0" fillId="0" borderId="55" xfId="0" applyNumberFormat="1" applyFont="1" applyFill="1" applyBorder="1" applyAlignment="1">
      <x:alignment vertical="center"/>
    </x:xf>
    <x:xf numFmtId="201" fontId="0" fillId="0" xfId="0" applyNumberFormat="1" applyFont="1" applyFill="1" applyBorder="0" applyAlignment="1">
      <x:alignment vertical="center"/>
    </x:xf>
    <x:xf numFmtId="201" fontId="0" fillId="0" borderId="60" xfId="0" applyNumberFormat="1" applyFont="1" applyFill="1" applyBorder="1" applyAlignment="1">
      <x:alignment vertical="center"/>
    </x:xf>
    <x:xf numFmtId="206" fontId="0" fillId="0" borderId="55" xfId="0" applyNumberFormat="1" applyFont="1" applyFill="1" applyBorder="1" applyAlignment="1">
      <x:alignment vertical="center"/>
    </x:xf>
    <x:xf numFmtId="206" fontId="0" fillId="0" xfId="0" applyNumberFormat="1" applyFont="1" applyFill="1" applyBorder="0" applyAlignment="1">
      <x:alignment vertical="center"/>
    </x:xf>
    <x:xf numFmtId="206" fontId="0" fillId="0" borderId="60" xfId="0" applyNumberFormat="1" applyFont="1" applyFill="1" applyBorder="1" applyAlignment="1">
      <x:alignment vertical="center"/>
    </x:xf>
    <x:xf numFmtId="207" fontId="0" fillId="0" borderId="55" xfId="0" applyNumberFormat="1" applyFont="1" applyFill="1" applyBorder="1" applyAlignment="1">
      <x:alignment vertical="center"/>
    </x:xf>
    <x:xf numFmtId="207" fontId="0" fillId="0" xfId="0" applyNumberFormat="1" applyFont="1" applyFill="1" applyBorder="0" applyAlignment="1">
      <x:alignment vertical="center"/>
    </x:xf>
    <x:xf numFmtId="207" fontId="0" fillId="0" borderId="60" xfId="0" applyNumberFormat="1" applyFont="1" applyFill="1" applyBorder="1" applyAlignment="1">
      <x:alignment vertical="center"/>
    </x:xf>
    <x:xf numFmtId="0" fontId="0" fillId="0" borderId="54" xfId="0" applyNumberFormat="1" applyFont="1" applyFill="1" applyBorder="1" applyAlignment="1">
      <x:alignment vertical="center" wrapText="1"/>
    </x:xf>
    <x:xf numFmtId="0" fontId="0" fillId="0" borderId="57" xfId="0" applyNumberFormat="1" applyFont="1" applyFill="1" applyBorder="1" applyAlignment="1">
      <x:alignment vertical="center" wrapText="1"/>
    </x:xf>
    <x:xf numFmtId="0" fontId="0" fillId="0" borderId="59" xfId="0" applyNumberFormat="1" applyFont="1" applyFill="1" applyBorder="1" applyAlignment="1">
      <x:alignment vertical="center" wrapText="1"/>
    </x:xf>
    <x:xf numFmtId="0" fontId="19" fillId="15" borderId="0" xfId="0" applyNumberFormat="1" applyFont="1" applyFill="1" applyBorder="1"/>
    <x:xf numFmtId="0" fontId="19" fillId="15" borderId="0" xfId="0" applyNumberFormat="1" applyFont="1" applyFill="1" applyBorder="1" applyAlignment="1">
      <x:alignment horizontal="center"/>
    </x:xf>
    <x:xf numFmtId="0" fontId="19" fillId="15" borderId="0" xfId="0" applyNumberFormat="1" applyFont="1" applyFill="1" applyBorder="1" applyAlignment="1">
      <x:alignment horizontal="center" vertical="center"/>
    </x:xf>
    <x:xf numFmtId="0" fontId="1" fillId="14" borderId="0" xfId="0" applyNumberFormat="1" applyFont="1" applyFill="1" applyBorder="1" applyAlignment="1">
      <x:alignment wrapText="1"/>
    </x:xf>
    <x:xf numFmtId="0" fontId="1" fillId="14" borderId="0" xfId="0" applyNumberFormat="1" applyFont="1" applyFill="1" applyBorder="1" applyAlignment="1">
      <x:alignment horizontal="center" wrapText="1"/>
    </x:xf>
    <x:xf numFmtId="0" fontId="1" fillId="1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205" fontId="0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14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/>
    </x:xf>
    <x:xf numFmtId="206" fontId="0" fillId="0" borderId="0" xfId="0" applyNumberFormat="1" applyFont="1" applyFill="1" applyBorder="1" applyAlignment="1">
      <x:alignment vertical="center"/>
    </x:xf>
    <x:xf numFmtId="207" fontId="0" fillId="0" borderId="0" xfId="0" applyNumberFormat="1" applyFont="1" applyFill="1" applyBorder="1" applyAlignment="1">
      <x:alignment vertical="center"/>
    </x:xf>
    <x:xf numFmtId="207" fontId="0" fillId="0" borderId="55" xfId="0" applyNumberFormat="1" applyFont="1" applyFill="1" applyBorder="1" applyAlignment="1">
      <x:alignment vertical="center" wrapText="1"/>
    </x:xf>
    <x:xf numFmtId="207" fontId="0" fillId="0" xfId="0" applyNumberFormat="1" applyFont="1" applyFill="1" applyBorder="0" applyAlignment="1">
      <x:alignment vertical="center" wrapText="1"/>
    </x:xf>
    <x:xf numFmtId="207" fontId="0" fillId="0" borderId="60" xfId="0" applyNumberFormat="1" applyFont="1" applyFill="1" applyBorder="1" applyAlignment="1">
      <x:alignment vertical="center" wrapText="1"/>
    </x:xf>
    <x:xf numFmtId="207" fontId="0" fillId="0" borderId="0" xfId="0" applyNumberFormat="1" applyFont="1" applyFill="1" applyBorder="1" applyAlignment="1">
      <x:alignment vertical="center" wrapText="1"/>
    </x:xf>
    <x:xf numFmtId="203" fontId="0" fillId="0" borderId="55" xfId="0" applyNumberFormat="1" applyFont="1" applyFill="1" applyBorder="1" applyAlignment="1">
      <x:alignment vertical="center" wrapText="1"/>
    </x:xf>
    <x:xf numFmtId="203" fontId="0" fillId="0" xfId="0" applyNumberFormat="1" applyFont="1" applyFill="1" applyBorder="0" applyAlignment="1">
      <x:alignment vertical="center" wrapText="1"/>
    </x:xf>
    <x:xf numFmtId="0" fontId="14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3">
    <x:dxf>
      <x:font>
        <x:b/>
        <x:color rgb="FFDC2626"/>
      </x:font>
      <x:fill>
        <x:patternFill>
          <x:bgColor rgb="FFFEF2F2"/>
        </x:patternFill>
      </x:fill>
    </x:dxf>
    <x:dxf>
      <x:font>
        <x:color rgb="FF92400E"/>
      </x:font>
      <x:fill>
        <x:patternFill>
          <x:bgColor rgb="FFFFF7E6"/>
        </x:patternFill>
      </x:fill>
    </x:dxf>
    <x:dxf>
      <x:font>
        <x:b/>
        <x:color rgb="FFDC2626"/>
      </x:font>
      <x:fill>
        <x:patternFill>
          <x:bgColor rgb="FFFEF2F2"/>
        </x:patternFill>
      </x:fill>
    </x:dxf>
    <x:dxf>
      <x:font>
        <x:b/>
        <x:color rgb="FF059669"/>
      </x:font>
      <x:fill>
        <x:patternFill>
          <x:bgColor rgb="FFECFDF5"/>
        </x:patternFill>
      </x:fill>
    </x:dxf>
    <x:dxf>
      <x:font>
        <x:b/>
        <x:color rgb="FFDC2626"/>
      </x:font>
      <x:fill>
        <x:patternFill>
          <x:bgColor rgb="FFFEF2F2"/>
        </x:patternFill>
      </x:fill>
    </x:dxf>
    <x:dxf>
      <x:font>
        <x:b/>
        <x:color rgb="FFDC2626"/>
      </x:font>
      <x:fill>
        <x:patternFill>
          <x:bgColor rgb="FFFEF2F2"/>
        </x:patternFill>
      </x:fill>
    </x:dxf>
    <x:dxf>
      <x:font>
        <x:color rgb="FF059669"/>
      </x:font>
      <x:fill>
        <x:patternFill>
          <x:bgColor rgb="FFECFDF5"/>
        </x:patternFill>
      </x:fill>
    </x:dxf>
    <x:dxf>
      <x:font>
        <x:color rgb="FF92400E"/>
      </x:font>
      <x:fill>
        <x:patternFill>
          <x:bgColor rgb="FFFFF7E6"/>
        </x:patternFill>
      </x:fill>
    </x:dxf>
    <x:dxf>
      <x:font>
        <x:color rgb="FF9C0006"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</x:font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DDEBF7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aaba98f5814b90" /><Relationship Type="http://schemas.openxmlformats.org/officeDocument/2006/relationships/theme" Target="/xl/theme/theme1.xml" Id="R2b136d62d462475e" /><Relationship Type="http://schemas.openxmlformats.org/officeDocument/2006/relationships/sharedStrings" Target="/xl/sharedStrings.xml" Id="R058ca02aec6a4bc8" /><Relationship Type="http://schemas.openxmlformats.org/officeDocument/2006/relationships/worksheet" Target="/xl/worksheets/sheet1.xml" Id="Reb39e1ad7fcd47aa" /><Relationship Type="http://schemas.openxmlformats.org/officeDocument/2006/relationships/worksheet" Target="/xl/worksheets/sheet2.xml" Id="R40f75e527a014bb5" /><Relationship Type="http://schemas.openxmlformats.org/officeDocument/2006/relationships/worksheet" Target="/xl/worksheets/sheet3.xml" Id="R3d2288029ab14187" /><Relationship Type="http://schemas.openxmlformats.org/officeDocument/2006/relationships/worksheet" Target="/xl/worksheets/sheet4.xml" Id="R0116fb0abe4c478c" /><Relationship Type="http://schemas.openxmlformats.org/officeDocument/2006/relationships/worksheet" Target="/xl/worksheets/sheet5.xml" Id="R9bb01ef701e24121" /><Relationship Type="http://schemas.openxmlformats.org/officeDocument/2006/relationships/worksheet" Target="/xl/worksheets/sheet6.xml" Id="R28ac4097076c48d9" /><Relationship Type="http://schemas.openxmlformats.org/officeDocument/2006/relationships/worksheet" Target="/xl/worksheets/sheet7.xml" Id="Rd991237066ea4cee" /><Relationship Type="http://schemas.openxmlformats.org/officeDocument/2006/relationships/worksheet" Target="/xl/worksheets/sheet8.xml" Id="Reae1788ddc0543b8" /><Relationship Type="http://schemas.openxmlformats.org/officeDocument/2006/relationships/worksheet" Target="/xl/worksheets/sheet9.xml" Id="Ra12fb66577364282" /><Relationship Type="http://schemas.openxmlformats.org/officeDocument/2006/relationships/worksheet" Target="/xl/worksheets/sheet10.xml" Id="R88668d7e3ffb46b5" /><Relationship Type="http://schemas.openxmlformats.org/officeDocument/2006/relationships/worksheet" Target="/xl/worksheets/sheet11.xml" Id="R236174a3a7ba4147" /><Relationship Type="http://schemas.openxmlformats.org/officeDocument/2006/relationships/worksheet" Target="/xl/worksheets/sheet12.xml" Id="Rb6e17654fae64ab9" /><Relationship Type="http://schemas.openxmlformats.org/officeDocument/2006/relationships/worksheet" Target="/xl/worksheets/sheet13.xml" Id="Rf5822c6745e44dbe" /><Relationship Type="http://schemas.openxmlformats.org/officeDocument/2006/relationships/worksheet" Target="/xl/worksheets/sheet14.xml" Id="R7921b8e8f1ba499d" /><Relationship Type="http://schemas.openxmlformats.org/officeDocument/2006/relationships/worksheet" Target="/xl/worksheets/sheet15.xml" Id="R37201aee71fd4f11" /><Relationship Type="http://schemas.openxmlformats.org/officeDocument/2006/relationships/worksheet" Target="/xl/worksheets/sheet16.xml" Id="R7b5aa84dab0d4388" /><Relationship Type="http://schemas.openxmlformats.org/officeDocument/2006/relationships/worksheet" Target="/xl/worksheets/sheet17.xml" Id="Rfb72d2a4ee374700" /><Relationship Type="http://schemas.openxmlformats.org/officeDocument/2006/relationships/worksheet" Target="/xl/worksheets/sheet18.xml" Id="R40e687a7ff1748ec" /><Relationship Type="http://schemas.openxmlformats.org/officeDocument/2006/relationships/worksheet" Target="/xl/worksheets/sheet19.xml" Id="Rfdb4e574f4e4463e" /><Relationship Type="http://schemas.openxmlformats.org/officeDocument/2006/relationships/worksheet" Target="/xl/worksheets/sheet20.xml" Id="R1615eb35cafd4467" /><Relationship Type="http://schemas.openxmlformats.org/officeDocument/2006/relationships/worksheet" Target="/xl/worksheets/sheet21.xml" Id="R447ee3ec7f024091" /><Relationship Type="http://schemas.openxmlformats.org/officeDocument/2006/relationships/worksheet" Target="/xl/worksheets/sheet22.xml" Id="R96a95c12f2cd417c" /><Relationship Type="http://schemas.openxmlformats.org/officeDocument/2006/relationships/worksheet" Target="/xl/worksheets/sheet23.xml" Id="Rdb69ed12fbda4af7" /><Relationship Type="http://schemas.openxmlformats.org/officeDocument/2006/relationships/worksheet" Target="/xl/worksheets/sheet24.xml" Id="Rcc3cd47841a54685" /><Relationship Type="http://schemas.openxmlformats.org/officeDocument/2006/relationships/worksheet" Target="/xl/worksheets/sheet25.xml" Id="Rfb970be6a2f34bf6" /><Relationship Type="http://schemas.openxmlformats.org/officeDocument/2006/relationships/worksheet" Target="/xl/worksheets/sheet26.xml" Id="R993fa364ca7a4284" /><Relationship Type="http://schemas.openxmlformats.org/officeDocument/2006/relationships/worksheet" Target="/xl/worksheets/sheet27.xml" Id="Ref3a8de916c049b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de833a7b8024366" /><Relationship Type="http://schemas.openxmlformats.org/officeDocument/2006/relationships/chart" Target="/xl/drawings/charts/chart2.xml" Id="R99c88aff9d5d4c7d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c10fbfcc0c3b488f" /><Relationship Type="http://schemas.openxmlformats.org/officeDocument/2006/relationships/chart" Target="/xl/drawings/charts/chart4.xml" Id="R69d14f43d2a94c84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d3816aa0cf8f4db6" /><Relationship Type="http://schemas.openxmlformats.org/officeDocument/2006/relationships/chart" Target="/xl/drawings/charts/chart6.xml" Id="R203779d431fc4c7b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7.xml" Id="Rdc7fa2587dec4899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8.xml" Id="Rf8627eeeb7cb46b8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9.xml" Id="R3e0d30582f314cd2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chart" Target="/xl/drawings/charts/chart10.xml" Id="R9d2215cf10a3485e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chart" Target="/xl/drawings/charts/chart11.xml" Id="Rea2b2a31fc81448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Purchase Amount</a:t>
            </a:r>
          </a:p>
        </c:rich>
      </c:tx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Subtotal</c:v>
          </c:tx>
          <c:cat>
            <c:strRef>
              <c:f>'Dashboard'!$A$22:$A$27</c:f>
              <c:strCache>
                <c:ptCount val="0"/>
              </c:strCache>
            </c:strRef>
          </c:cat>
          <c:val>
            <c:numRef>
              <c:f>'Dashboard'!$B$22:$B$27</c:f>
              <c:numCache>
                <c:formatCode>$0.00</c:formatCode>
                <c:ptCount val="0"/>
              </c:numCache>
            </c:numRef>
          </c:val>
        </c:ser>
        <c:ser>
          <c:idx val="1"/>
          <c:order val="1"/>
          <c:tx>
            <c:v>Grand Total</c:v>
          </c:tx>
          <c:cat>
            <c:strRef>
              <c:f>'Dashboard'!$A$22:$A$27</c:f>
              <c:strCache>
                <c:ptCount val="0"/>
              </c:strCache>
            </c:strRef>
          </c:cat>
          <c:val>
            <c:numRef>
              <c:f>'Dashboard'!$C$22:$C$27</c:f>
              <c:numCache>
                <c:formatCode>$0.00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Spend by Category</a:t>
            </a:r>
          </a:p>
        </c:rich>
      </c:tx>
    </c:title>
    <c:autoTitleDeleted val="0"/>
    <c:plotArea>
      <c:barChart>
        <c:barDir val="col"/>
        <c:varyColors val="0"/>
        <c:ser>
          <c:idx val="0"/>
          <c:order val="0"/>
          <c:tx>
            <c:v>Spend</c:v>
          </c:tx>
          <c:cat>
            <c:strRef>
              <c:f>'Dashboard'!$E$22:$E$29</c:f>
              <c:strCache>
                <c:ptCount val="0"/>
              </c:strCache>
            </c:strRef>
          </c:cat>
          <c:val>
            <c:numRef>
              <c:f>'Dashboard'!$F$22:$F$29</c:f>
              <c:numCache>
                <c:formatCode>$0.00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每月未稅費用：機針與非機針</a:t>
            </a:r>
          </a:p>
        </c:rich>
      </c:tx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未稅費用</c:v>
          </c:tx>
          <c:cat>
            <c:strRef>
              <c:f>'月費用及機針占比'!$Q$3:$Q$8</c:f>
              <c:strCache>
                <c:ptCount val="0"/>
              </c:strCache>
            </c:strRef>
          </c:cat>
          <c:val>
            <c:numRef>
              <c:f>'月費用及機針占比'!$R$3:$R$8</c:f>
              <c:numCache>
                <c:formatCode>$0.00</c:formatCode>
                <c:ptCount val="0"/>
              </c:numCache>
            </c:numRef>
          </c:val>
        </c:ser>
        <c:ser>
          <c:idx val="1"/>
          <c:order val="1"/>
          <c:tx>
            <c:v>機針費用</c:v>
          </c:tx>
          <c:cat>
            <c:strRef>
              <c:f>'月費用及機針占比'!$Q$3:$Q$8</c:f>
              <c:strCache>
                <c:ptCount val="0"/>
              </c:strCache>
            </c:strRef>
          </c:cat>
          <c:val>
            <c:numRef>
              <c:f>'月費用及機針占比'!$S$3:$S$8</c:f>
              <c:numCache>
                <c:formatCode>$0.00</c:formatCode>
                <c:ptCount val="0"/>
              </c:numCache>
            </c:numRef>
          </c:val>
        </c:ser>
        <c:ser>
          <c:idx val="2"/>
          <c:order val="2"/>
          <c:tx>
            <c:v>非機針費用</c:v>
          </c:tx>
          <c:cat>
            <c:strRef>
              <c:f>'月費用及機針占比'!$Q$3:$Q$8</c:f>
              <c:strCache>
                <c:ptCount val="0"/>
              </c:strCache>
            </c:strRef>
          </c:cat>
          <c:val>
            <c:numRef>
              <c:f>'月費用及機針占比'!$T$3:$T$8</c:f>
              <c:numCache>
                <c:formatCode>$0.00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每月機針費用占比</a:t>
            </a:r>
          </a:p>
        </c:rich>
      </c:tx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機針占比</c:v>
          </c:tx>
          <c:cat>
            <c:strRef>
              <c:f>'月費用及機針占比'!$Q$18:$Q$23</c:f>
              <c:strCache>
                <c:ptCount val="0"/>
              </c:strCache>
            </c:strRef>
          </c:cat>
          <c:val>
            <c:numRef>
              <c:f>'月費用及機針占比'!$R$18:$R$23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2024</c:v>
          </c:tx>
          <c:marker>
            <c:symbol val="none"/>
          </c:marker>
          <c:cat>
            <c:strRef>
              <c:f>'Hist Dashboard'!$A$12:$A$17</c:f>
              <c:strCache>
                <c:ptCount val="0"/>
              </c:strCache>
            </c:strRef>
          </c:cat>
          <c:val>
            <c:numRef>
              <c:f>'Hist Dashboard'!$B$12:$B$17</c:f>
              <c:numCache>
                <c:formatCode>$#,##0</c:formatCode>
                <c:ptCount val="0"/>
              </c:numCache>
            </c:numRef>
          </c:val>
        </c:ser>
        <c:ser>
          <c:idx val="1"/>
          <c:order val="1"/>
          <c:tx>
            <c:v>2025</c:v>
          </c:tx>
          <c:marker>
            <c:symbol val="none"/>
          </c:marker>
          <c:cat>
            <c:strRef>
              <c:f>'Hist Dashboard'!$A$12:$A$17</c:f>
              <c:strCache>
                <c:ptCount val="0"/>
              </c:strCache>
            </c:strRef>
          </c:cat>
          <c:val>
            <c:numRef>
              <c:f>'Hist Dashboard'!$C$12:$C$17</c:f>
              <c:numCache>
                <c:formatCode>$#,##0</c:formatCode>
                <c:ptCount val="0"/>
              </c:numCache>
            </c:numRef>
          </c:val>
        </c:ser>
        <c:ser>
          <c:idx val="2"/>
          <c:order val="2"/>
          <c:tx>
            <c:v>2026 H1</c:v>
          </c:tx>
          <c:marker>
            <c:symbol val="none"/>
          </c:marker>
          <c:cat>
            <c:strRef>
              <c:f>'Hist Dashboard'!$A$12:$A$17</c:f>
              <c:strCache>
                <c:ptCount val="0"/>
              </c:strCache>
            </c:strRef>
          </c:cat>
          <c:val>
            <c:numRef>
              <c:f>'Hist Dashboard'!$D$12:$D$17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2024</c:v>
          </c:tx>
          <c:cat>
            <c:strRef>
              <c:f>'Hist Dashboard'!$A$28:$A$31</c:f>
              <c:strCache>
                <c:ptCount val="0"/>
              </c:strCache>
            </c:strRef>
          </c:cat>
          <c:val>
            <c:numRef>
              <c:f>'Hist Dashboard'!$B$28:$B$31</c:f>
              <c:numCache>
                <c:formatCode>$#,##0</c:formatCode>
                <c:ptCount val="0"/>
              </c:numCache>
            </c:numRef>
          </c:val>
        </c:ser>
        <c:ser>
          <c:idx val="1"/>
          <c:order val="1"/>
          <c:tx>
            <c:v>2025</c:v>
          </c:tx>
          <c:cat>
            <c:strRef>
              <c:f>'Hist Dashboard'!$A$28:$A$31</c:f>
              <c:strCache>
                <c:ptCount val="0"/>
              </c:strCache>
            </c:strRef>
          </c:cat>
          <c:val>
            <c:numRef>
              <c:f>'Hist Dashboard'!$C$28:$C$31</c:f>
              <c:numCache>
                <c:formatCode>$#,##0</c:formatCode>
                <c:ptCount val="0"/>
              </c:numCache>
            </c:numRef>
          </c:val>
        </c:ser>
        <c:ser>
          <c:idx val="2"/>
          <c:order val="2"/>
          <c:tx>
            <c:v>2026</c:v>
          </c:tx>
          <c:cat>
            <c:strRef>
              <c:f>'Hist Dashboard'!$A$28:$A$29</c:f>
              <c:strCache>
                <c:ptCount val="0"/>
              </c:strCache>
            </c:strRef>
          </c:cat>
          <c:val>
            <c:numRef>
              <c:f>'Hist Dashboard'!$D$28:$D$29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Procurement Spend 2024–2026 H1</a:t>
            </a:r>
          </a:p>
        </c:rich>
      </c:tx>
    </c:title>
    <c:plotArea>
      <c:lineChart>
        <c:grouping val="standard"/>
        <c:ser>
          <c:idx val="0"/>
          <c:order val="0"/>
          <c:tx>
            <c:v>FY2024</c:v>
          </c:tx>
          <c:marker>
            <c:symbol val="none"/>
          </c:marker>
          <c:cat>
            <c:strRef>
              <c:f>'RPT Executive'!$A$15:$A$26</c:f>
              <c:strCache>
                <c:ptCount val="0"/>
              </c:strCache>
            </c:strRef>
          </c:cat>
          <c:val>
            <c:numRef>
              <c:f>'RPT Executive'!$B$15:$B$26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FY2025</c:v>
          </c:tx>
          <c:marker>
            <c:symbol val="none"/>
          </c:marker>
          <c:cat>
            <c:strRef>
              <c:f>'RPT Executive'!$A$15:$A$26</c:f>
              <c:strCache>
                <c:ptCount val="0"/>
              </c:strCache>
            </c:strRef>
          </c:cat>
          <c:val>
            <c:numRef>
              <c:f>'RPT Executive'!$C$15:$C$26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2026 H1</c:v>
          </c:tx>
          <c:marker>
            <c:symbol val="none"/>
          </c:marker>
          <c:cat>
            <c:strRef>
              <c:f>'RPT Executive'!$A$15:$A$26</c:f>
              <c:strCache>
                <c:ptCount val="0"/>
              </c:strCache>
            </c:strRef>
          </c:cat>
          <c:val>
            <c:numRef>
              <c:f>'RPT Executive'!$D$15:$D$26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H1 Spend Mix 2025 vs 2026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Total</c:v>
          </c:tx>
          <c:cat>
            <c:strRef>
              <c:f>'RPT Annual'!$I$6:$I$7</c:f>
              <c:strCache>
                <c:ptCount val="0"/>
              </c:strCache>
            </c:strRef>
          </c:cat>
          <c:val>
            <c:numRef>
              <c:f>'RPT Annual'!$J$6:$J$7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Needle</c:v>
          </c:tx>
          <c:cat>
            <c:strRef>
              <c:f>'RPT Annual'!$I$6:$I$7</c:f>
              <c:strCache>
                <c:ptCount val="0"/>
              </c:strCache>
            </c:strRef>
          </c:cat>
          <c:val>
            <c:numRef>
              <c:f>'RPT Annual'!$K$6:$K$7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Non-Needle</c:v>
          </c:tx>
          <c:cat>
            <c:strRef>
              <c:f>'RPT Annual'!$I$6:$I$7</c:f>
              <c:strCache>
                <c:ptCount val="0"/>
              </c:strCache>
            </c:strRef>
          </c:cat>
          <c:val>
            <c:numRef>
              <c:f>'RPT Annual'!$L$6:$L$7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2025 Monthly Needle Spend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2025 Total</c:v>
          </c:tx>
          <c:marker>
            <c:symbol val="none"/>
          </c:marker>
          <c:cat>
            <c:strRef>
              <c:f>'RPT Needle'!$A$5:$A$16</c:f>
              <c:strCache>
                <c:ptCount val="0"/>
              </c:strCache>
            </c:strRef>
          </c:cat>
          <c:val>
            <c:numRef>
              <c:f>'RPT Needle'!$B$5:$B$16</c:f>
              <c:numCache>
                <c:formatCode>$#,##0.00</c:formatCode>
                <c:ptCount val="0"/>
              </c:numCache>
            </c:numRef>
          </c:val>
        </c:ser>
        <c:ser>
          <c:idx val="1"/>
          <c:order val="1"/>
          <c:tx>
            <c:v>2025 Needle</c:v>
          </c:tx>
          <c:marker>
            <c:symbol val="none"/>
          </c:marker>
          <c:cat>
            <c:strRef>
              <c:f>'RPT Needle'!$A$5:$A$16</c:f>
              <c:strCache>
                <c:ptCount val="0"/>
              </c:strCache>
            </c:strRef>
          </c:cat>
          <c:val>
            <c:numRef>
              <c:f>'RPT Needle'!$C$5:$C$16</c:f>
              <c:numCache>
                <c:formatCode>$#,##0.00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Top Non-Needle Categories H1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2025 H1</c:v>
          </c:tx>
          <c:cat>
            <c:strRef>
              <c:f>'RPT Spare Category'!$J$5:$J$12</c:f>
              <c:strCache>
                <c:ptCount val="0"/>
              </c:strCache>
            </c:strRef>
          </c:cat>
          <c:val>
            <c:numRef>
              <c:f>'RPT Spare Category'!$K$5:$K$12</c:f>
              <c:numCache>
                <c:formatCode>$#,##0.00</c:formatCode>
                <c:ptCount val="0"/>
              </c:numCache>
            </c:numRef>
          </c:val>
        </c:ser>
        <c:ser>
          <c:idx val="1"/>
          <c:order val="1"/>
          <c:tx>
            <c:v>2026 H1</c:v>
          </c:tx>
          <c:cat>
            <c:strRef>
              <c:f>'RPT Spare Category'!$J$5:$J$12</c:f>
              <c:strCache>
                <c:ptCount val="0"/>
              </c:strCache>
            </c:strRef>
          </c:cat>
          <c:val>
            <c:numRef>
              <c:f>'RPT Spare Category'!$L$5:$L$12</c:f>
              <c:numCache>
                <c:formatCode>$#,##0.00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Procurement Intensity per 1,000 PCS (Jan–May 2026)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Total $/1k</c:v>
          </c:tx>
          <c:marker>
            <c:symbol val="none"/>
          </c:marker>
          <c:cat>
            <c:strRef>
              <c:f>'RPT Production Link'!$A$21:$A$25</c:f>
              <c:strCache>
                <c:ptCount val="0"/>
              </c:strCache>
            </c:strRef>
          </c:cat>
          <c:val>
            <c:numRef>
              <c:f>'RPT Production Link'!$B$21:$B$25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Needle $/1k</c:v>
          </c:tx>
          <c:marker>
            <c:symbol val="none"/>
          </c:marker>
          <c:cat>
            <c:strRef>
              <c:f>'RPT Production Link'!$A$21:$A$25</c:f>
              <c:strCache>
                <c:ptCount val="0"/>
              </c:strCache>
            </c:strRef>
          </c:cat>
          <c:val>
            <c:numRef>
              <c:f>'RPT Production Link'!$C$21:$C$25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Spare $/1k</c:v>
          </c:tx>
          <c:marker>
            <c:symbol val="none"/>
          </c:marker>
          <c:cat>
            <c:strRef>
              <c:f>'RPT Production Link'!$A$21:$A$25</c:f>
              <c:strCache>
                <c:ptCount val="0"/>
              </c:strCache>
            </c:strRef>
          </c:cat>
          <c:val>
            <c:numRef>
              <c:f>'RPT Production Link'!$D$21:$D$25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12</xdr:row>
      <xdr:rowOff>0</xdr:rowOff>
    </xdr:from>
    <xdr:to>
      <xdr:col>12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de833a7b8024366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6</xdr:col>
      <xdr:colOff>0</xdr:colOff>
      <xdr:row>45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9c88aff9d5d4c7d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11</xdr:col>
      <xdr:colOff>0</xdr:colOff>
      <xdr:row>1</xdr:row>
      <xdr:rowOff>0</xdr:rowOff>
    </xdr:from>
    <xdr:to>
      <xdr:col>19</xdr:col>
      <xdr:colOff>0</xdr:colOff>
      <xdr:row>14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10fbfcc0c3b488f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19</xdr:col>
      <xdr:colOff>0</xdr:colOff>
      <xdr:row>29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9d14f43d2a94c8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5</xdr:col>
      <xdr:colOff>0</xdr:colOff>
      <xdr:row>10</xdr:row>
      <xdr:rowOff>0</xdr:rowOff>
    </xdr:from>
    <xdr:to>
      <xdr:col>12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3816aa0cf8f4db6"/>
        </a:graphicData>
      </a:graphic>
    </xdr:graphicFrame>
    <xdr:clientData/>
  </xdr:twoCellAnchor>
  <xdr:twoCellAnchor>
    <xdr:from>
      <xdr:col>5</xdr:col>
      <xdr:colOff>0</xdr:colOff>
      <xdr:row>26</xdr:row>
      <xdr:rowOff>0</xdr:rowOff>
    </xdr:from>
    <xdr:to>
      <xdr:col>12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03779d431fc4c7b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9</xdr:col>
      <xdr:colOff>0</xdr:colOff>
      <xdr:row>12</xdr:row>
      <xdr:rowOff>0</xdr:rowOff>
    </xdr:from>
    <xdr:to>
      <xdr:col>18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c7fa2587dec4899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8</xdr:col>
      <xdr:colOff>0</xdr:colOff>
      <xdr:row>8</xdr:row>
      <xdr:rowOff>0</xdr:rowOff>
    </xdr:from>
    <xdr:to>
      <xdr:col>17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8627eeeb7cb46b8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12</xdr:col>
      <xdr:colOff>0</xdr:colOff>
      <xdr:row>3</xdr:row>
      <xdr:rowOff>0</xdr:rowOff>
    </xdr:from>
    <xdr:to>
      <xdr:col>20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e0d30582f314c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>
  <xdr:twoCellAnchor>
    <xdr:from>
      <xdr:col>9</xdr:col>
      <xdr:colOff>0</xdr:colOff>
      <xdr:row>13</xdr:row>
      <xdr:rowOff>0</xdr:rowOff>
    </xdr:from>
    <xdr:to>
      <xdr:col>18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d2215cf10a3485e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>
  <xdr:twoCellAnchor>
    <xdr:from>
      <xdr:col>5</xdr:col>
      <xdr:colOff>0</xdr:colOff>
      <xdr:row>19</xdr:row>
      <xdr:rowOff>0</xdr:rowOff>
    </xdr:from>
    <xdr:to>
      <xdr:col>14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a2b2a31fc81448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ransactionDetailTable" displayName="TransactionDetailTable" ref="A1:W153" headerRowCount="1">
  <x:tableColumns count="23">
    <x:tableColumn id="1" name="Statement Month"/>
    <x:tableColumn id="2" name="Date"/>
    <x:tableColumn id="3" name="Invoice No"/>
    <x:tableColumn id="4" name="Supplier"/>
    <x:tableColumn id="5" name="Raw Item Name"/>
    <x:tableColumn id="6" name="Part No"/>
    <x:tableColumn id="7" name="Standard Name"/>
    <x:tableColumn id="8" name="Spec"/>
    <x:tableColumn id="9" name="Category"/>
    <x:tableColumn id="10" name="Item Type"/>
    <x:tableColumn id="11" name="Brand"/>
    <x:tableColumn id="12" name="Machine / Use"/>
    <x:tableColumn id="13" name="Qty"/>
    <x:tableColumn id="14" name="Unit"/>
    <x:tableColumn id="15" name="Unit Price (USD)"/>
    <x:tableColumn id="16" name="Calculated Amount"/>
    <x:tableColumn id="17" name="Source Amount"/>
    <x:tableColumn id="18" name="Difference"/>
    <x:tableColumn id="19" name="Include in Master"/>
    <x:tableColumn id="20" name="Confidence"/>
    <x:tableColumn id="21" name="Source File"/>
    <x:tableColumn id="22" name="Page"/>
    <x:tableColumn id="23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PriceMasterTable" displayName="PriceMasterTable" ref="A4:W90" headerRowCount="1">
  <x:tableColumns count="23">
    <x:tableColumn id="1" name="Part No"/>
    <x:tableColumn id="2" name="Standard Name"/>
    <x:tableColumn id="3" name="Spec"/>
    <x:tableColumn id="4" name="Category"/>
    <x:tableColumn id="5" name="Item Type"/>
    <x:tableColumn id="6" name="Brand"/>
    <x:tableColumn id="7" name="Machine / Use"/>
    <x:tableColumn id="8" name="Unit"/>
    <x:tableColumn id="9" name="First Date"/>
    <x:tableColumn id="10" name="Latest Date"/>
    <x:tableColumn id="11" name="Purchase Count"/>
    <x:tableColumn id="12" name="Total Qty"/>
    <x:tableColumn id="13" name="Total Spend"/>
    <x:tableColumn id="14" name="Min Price"/>
    <x:tableColumn id="15" name="Max Price"/>
    <x:tableColumn id="16" name="Avg Price"/>
    <x:tableColumn id="17" name="First Price"/>
    <x:tableColumn id="18" name="Last Price"/>
    <x:tableColumn id="19" name="Price Spread %"/>
    <x:tableColumn id="20" name="Suggested Upper Limit"/>
    <x:tableColumn id="21" name="Reliability"/>
    <x:tableColumn id="22" name="Price Status"/>
    <x:tableColumn id="23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MonthlySummaryTable" displayName="MonthlySummaryTable" ref="A3:K9" headerRowCount="1">
  <x:tableColumns count="11">
    <x:tableColumn id="1" name="Month"/>
    <x:tableColumn id="2" name="Subtotal"/>
    <x:tableColumn id="3" name="VAT 10%"/>
    <x:tableColumn id="4" name="Grand Total"/>
    <x:tableColumn id="5" name="Line Items"/>
    <x:tableColumn id="6" name="Unique Part Nos"/>
    <x:tableColumn id="7" name="Needle Spend"/>
    <x:tableColumn id="8" name="Needle %"/>
    <x:tableColumn id="9" name="Repair Service"/>
    <x:tableColumn id="10" name="Consumable Spend"/>
    <x:tableColumn id="11" name="Spare Part Spend"/>
  </x:tableColumns>
  <x:tableStyleInfo name="TableStyleMedium2" showRowStripes="1"/>
</x:table>
</file>

<file path=xl/tables/table4.xml><?xml version="1.0" encoding="utf-8"?>
<x:table xmlns:x="http://schemas.openxmlformats.org/spreadsheetml/2006/main" id="4" name="PriceComparisonTable" displayName="PriceComparisonTable" ref="A3:Q32" headerRowCount="1">
  <x:tableColumns count="17">
    <x:tableColumn id="1" name="Part No"/>
    <x:tableColumn id="2" name="Standard Name"/>
    <x:tableColumn id="3" name="Unit"/>
    <x:tableColumn id="4" name="Purchases"/>
    <x:tableColumn id="5" name="Jan"/>
    <x:tableColumn id="6" name="Feb"/>
    <x:tableColumn id="7" name="Mar"/>
    <x:tableColumn id="8" name="Apr"/>
    <x:tableColumn id="9" name="May"/>
    <x:tableColumn id="10" name="Jun"/>
    <x:tableColumn id="11" name="Min"/>
    <x:tableColumn id="12" name="Max"/>
    <x:tableColumn id="13" name="First"/>
    <x:tableColumn id="14" name="Last"/>
    <x:tableColumn id="15" name="Change %"/>
    <x:tableColumn id="16" name="Upper Trigger"/>
    <x:tableColumn id="17" name="Status"/>
  </x:tableColumns>
  <x:tableStyleInfo name="TableStyleMedium2" showRowStripes="1"/>
</x:table>
</file>

<file path=xl/tables/table5.xml><?xml version="1.0" encoding="utf-8"?>
<x:table xmlns:x="http://schemas.openxmlformats.org/spreadsheetml/2006/main" id="5" name="HTMLImportTable" displayName="HTMLImportTable" ref="A4:L90" headerRowCount="1">
  <x:tableColumns count="12">
    <x:tableColumn id="1" name="PART NO"/>
    <x:tableColumn id="2" name="NAME"/>
    <x:tableColumn id="3" name="QTY"/>
    <x:tableColumn id="4" name="PRICE"/>
    <x:tableColumn id="5" name="SPEC"/>
    <x:tableColumn id="6" name="CATEGORY"/>
    <x:tableColumn id="7" name="BRAND"/>
    <x:tableColumn id="8" name="MACHINE TYPE"/>
    <x:tableColumn id="9" name="UNIT"/>
    <x:tableColumn id="10" name="MIN STOCK"/>
    <x:tableColumn id="11" name="MAX STOCK"/>
    <x:tableColumn id="12" name="REMARK"/>
  </x:tableColumns>
  <x:tableStyleInfo name="TableStyleMedium2" showRowStripes="1"/>
</x:table>
</file>

<file path=xl/tables/table6.xml><?xml version="1.0" encoding="utf-8"?>
<x:table xmlns:x="http://schemas.openxmlformats.org/spreadsheetml/2006/main" id="6" name="ReviewNeededTable" displayName="ReviewNeededTable" ref="A3:J9" headerRowCount="1">
  <x:tableColumns count="10">
    <x:tableColumn id="1" name="Date"/>
    <x:tableColumn id="2" name="Invoice No"/>
    <x:tableColumn id="3" name="Raw Item Name"/>
    <x:tableColumn id="4" name="Standard Part No"/>
    <x:tableColumn id="5" name="Standard Name"/>
    <x:tableColumn id="6" name="Qty"/>
    <x:tableColumn id="7" name="Unit Price"/>
    <x:tableColumn id="8" name="Confidence"/>
    <x:tableColumn id="9" name="Reason / Note"/>
    <x:tableColumn id="10" name="Source File"/>
  </x:tableColumns>
  <x:tableStyleInfo name="TableStyleMedium2" showRowStripes="1"/>
</x:table>
</file>

<file path=xl/tables/table7.xml><?xml version="1.0" encoding="utf-8"?>
<x:table xmlns:x="http://schemas.openxmlformats.org/spreadsheetml/2006/main" id="7" name="ComparisonRulesTable" displayName="ComparisonRulesTable" ref="A3:F9" headerRowCount="1">
  <x:tableColumns count="6">
    <x:tableColumn id="1" name="Rule"/>
    <x:tableColumn id="2" name="Definition"/>
    <x:tableColumn id="3" name="Action"/>
    <x:tableColumn id="4" name="Example"/>
    <x:tableColumn id="5" name="Why"/>
    <x:tableColumn id="6" name="System Use"/>
  </x:tableColumns>
  <x:tableStyleInfo name="TableStyleMedium2" showRowStripes="1"/>
</x:table>
</file>

<file path=xl/tables/table8.xml><?xml version="1.0" encoding="utf-8"?>
<x:table xmlns:x="http://schemas.openxmlformats.org/spreadsheetml/2006/main" id="8" name="PartNumberRulesTable" displayName="PartNumberRulesTable" ref="A12:F24" headerRowCount="1">
  <x:tableColumns count="6">
    <x:tableColumn id="1" name="Code Prefix"/>
    <x:tableColumn id="2" name="Category"/>
    <x:tableColumn id="3" name="Meaning"/>
    <x:tableColumn id="4" name="Example Part No"/>
    <x:tableColumn id="5" name="Example Name"/>
    <x:tableColumn id="6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MonthlyCostNeedleTable" displayName="MonthlyCostNeedleTable" ref="A4:J10" headerRowCount="1">
  <x:tableColumns count="10">
    <x:tableColumn id="1" name="月份"/>
    <x:tableColumn id="2" name="未稅費用"/>
    <x:tableColumn id="3" name="VAT 10%"/>
    <x:tableColumn id="4" name="含稅總費用"/>
    <x:tableColumn id="5" name="機針費用"/>
    <x:tableColumn id="6" name="機針占未稅費用"/>
    <x:tableColumn id="7" name="非機針費用"/>
    <x:tableColumn id="8" name="非機針占比"/>
    <x:tableColumn id="9" name="機針採購數量"/>
    <x:tableColumn id="10" name="機針交易筆數"/>
  </x:tableColumns>
  <x:tableStyleInfo name="TableStyleMedium2" showRowStripes="1"/>
</x:table>
</file>

<file path=xl/tables/table10.xml><?xml version="1.0" encoding="utf-8"?>
<x:table xmlns:x="http://schemas.openxmlformats.org/spreadsheetml/2006/main" id="10" name="NeedleMonthlyDetailTable" displayName="NeedleMonthlyDetailTable" ref="A15:O32" headerRowCount="1">
  <x:tableColumns count="15">
    <x:tableColumn id="1" name="PART NO"/>
    <x:tableColumn id="2" name="機針名稱"/>
    <x:tableColumn id="3" name="規格"/>
    <x:tableColumn id="4" name="單位"/>
    <x:tableColumn id="5" name="最近單價"/>
    <x:tableColumn id="6" name="1月費用"/>
    <x:tableColumn id="7" name="2月費用"/>
    <x:tableColumn id="8" name="3月費用"/>
    <x:tableColumn id="9" name="4月費用"/>
    <x:tableColumn id="10" name="5月費用"/>
    <x:tableColumn id="11" name="6月費用"/>
    <x:tableColumn id="12" name="累計費用"/>
    <x:tableColumn id="13" name="累計數量"/>
    <x:tableColumn id="14" name="占全部機針費用"/>
    <x:tableColumn id="15" name="採購筆數"/>
  </x:tableColumns>
  <x:tableStyleInfo name="TableStyleMedium2" showRowStripes="1"/>
</x:table>
</file>

<file path=xl/tables/table11.xml><?xml version="1.0" encoding="utf-8"?>
<x:table xmlns:x="http://schemas.openxmlformats.org/spreadsheetml/2006/main" id="11" name="Hist2024InvoiceTable" displayName="Hist2024InvoiceTable" ref="A2:H53" headerRowCount="1" totalsRowCount="0" totalsRowShown="0">
  <x:tableColumns count="8">
    <x:tableColumn id="1" name="Date"/>
    <x:tableColumn id="2" name="Month"/>
    <x:tableColumn id="3" name="Quarter"/>
    <x:tableColumn id="4" name="Invoice No."/>
    <x:tableColumn id="5" name="Supplier"/>
    <x:tableColumn id="6" name="Subtotal (USD)"/>
    <x:tableColumn id="7" name="PDF Page"/>
    <x:tableColumn id="8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Hist2024PriceDetailTable" displayName="Hist2024PriceDetailTable" ref="A2:O24" headerRowCount="1" totalsRowCount="0" totalsRowShown="0">
  <x:tableColumns count="15">
    <x:tableColumn id="1" name="Date"/>
    <x:tableColumn id="2" name="Invoice No."/>
    <x:tableColumn id="3" name="Supplier"/>
    <x:tableColumn id="4" name="Part No."/>
    <x:tableColumn id="5" name="Standard Name"/>
    <x:tableColumn id="6" name="Spec"/>
    <x:tableColumn id="7" name="Category"/>
    <x:tableColumn id="8" name="Brand"/>
    <x:tableColumn id="9" name="Qty"/>
    <x:tableColumn id="10" name="Unit"/>
    <x:tableColumn id="11" name="Unit Price (USD)"/>
    <x:tableColumn id="12" name="Amount (USD)"/>
    <x:tableColumn id="13" name="Confidence"/>
    <x:tableColumn id="14" name="PDF Page"/>
    <x:tableColumn id="15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Hist2025TransactionTable" displayName="Hist2025TransactionTable" ref="A2:W220" headerRowCount="1" totalsRowCount="0" totalsRowShown="0">
  <x:tableColumns count="23">
    <x:tableColumn id="1" name="Statement Month"/>
    <x:tableColumn id="2" name="Date"/>
    <x:tableColumn id="3" name="Invoice No"/>
    <x:tableColumn id="4" name="Supplier"/>
    <x:tableColumn id="5" name="Raw Item Name"/>
    <x:tableColumn id="6" name="Part No"/>
    <x:tableColumn id="7" name="Standard Name"/>
    <x:tableColumn id="8" name="Spec"/>
    <x:tableColumn id="9" name="Category"/>
    <x:tableColumn id="10" name="Item Type"/>
    <x:tableColumn id="11" name="Brand"/>
    <x:tableColumn id="12" name="Machine / Use"/>
    <x:tableColumn id="13" name="Qty"/>
    <x:tableColumn id="14" name="Unit"/>
    <x:tableColumn id="15" name="Unit Price (USD)"/>
    <x:tableColumn id="16" name="Calculated Amount"/>
    <x:tableColumn id="17" name="Source Amount"/>
    <x:tableColumn id="18" name="Difference"/>
    <x:tableColumn id="19" name="Include in Master"/>
    <x:tableColumn id="20" name="Confidence"/>
    <x:tableColumn id="21" name="Source File"/>
    <x:tableColumn id="22" name="Page"/>
    <x:tableColumn id="23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ce979ccf61a403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96f9070dc1447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17de6a93e4e4ed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d8ab544e26948c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2a2f419e48f42a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220526400ba424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feeb0630f294cff" /><Relationship Type="http://schemas.openxmlformats.org/officeDocument/2006/relationships/table" Target="/xl/tables/table8.xml" Id="R6e6fd042d85742a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5c9685a2c3ab4b4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2.xml" Id="Rf3f1a427819c47de" /><Relationship Type="http://schemas.openxmlformats.org/officeDocument/2006/relationships/table" Target="/xl/tables/table9.xml" Id="R7bbcf45d4b824b72" /><Relationship Type="http://schemas.openxmlformats.org/officeDocument/2006/relationships/table" Target="/xl/tables/table10.xml" Id="Rb3a0984ec0c249d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3.xml" Id="R4844be0d30fd4f3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e730711dcd2747c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4ec5d9919c5544f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2890b96fb18049ad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drawing" Target="/xl/drawings/drawing4.xml" Id="R3822d2558ac04d6b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drawing" Target="/xl/drawings/drawing5.xml" Id="R5c685a121b6d4ce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6.xml" Id="R7d41d29948a24568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drawing" Target="/xl/drawings/drawing7.xml" Id="R7f5650c134324dd5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drawing" Target="/xl/drawings/drawing8.xml" Id="R9055c2f89e8349f5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6" hidden="0" customWidth="1"/>
    <x:col min="4" max="4" width="28" hidden="0" customWidth="1"/>
    <x:col min="5" max="5" width="34" hidden="0" customWidth="1"/>
    <x:col min="6" max="6" width="24" hidden="0" customWidth="1"/>
    <x:col min="7" max="7" width="31" hidden="0" customWidth="1"/>
    <x:col min="8" max="8" width="22" hidden="0" customWidth="1"/>
    <x:col min="9" max="9" width="22" hidden="0" customWidth="1"/>
    <x:col min="10" max="10" width="17" hidden="0" customWidth="1"/>
    <x:col min="11" max="11" width="15" hidden="0" customWidth="1"/>
    <x:col min="12" max="12" width="24" hidden="0" customWidth="1"/>
    <x:col min="13" max="13" width="10" hidden="0" customWidth="1"/>
    <x:col min="14" max="14" width="9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5" hidden="0" customWidth="1"/>
    <x:col min="20" max="20" width="12" hidden="0" customWidth="1"/>
    <x:col min="21" max="21" width="31" hidden="0" customWidth="1"/>
    <x:col min="22" max="22" width="8" hidden="0" customWidth="1"/>
    <x:col min="23" max="23" width="40" hidden="0" customWidth="1"/>
  </x:cols>
  <x:sheetData>
    <x:row r="1" ht="34" customHeight="1">
      <x:c r="A1" s="6" t="str">
        <x:v>Statement Month</x:v>
      </x:c>
      <x:c r="B1" s="6" t="str">
        <x:v>Date</x:v>
      </x:c>
      <x:c r="C1" s="6" t="str">
        <x:v>Invoice No</x:v>
      </x:c>
      <x:c r="D1" s="6" t="str">
        <x:v>Supplier</x:v>
      </x:c>
      <x:c r="E1" s="6" t="str">
        <x:v>Raw Item Name</x:v>
      </x:c>
      <x:c r="F1" s="6" t="str">
        <x:v>Part No</x:v>
      </x:c>
      <x:c r="G1" s="6" t="str">
        <x:v>Standard Name</x:v>
      </x:c>
      <x:c r="H1" s="6" t="str">
        <x:v>Spec</x:v>
      </x:c>
      <x:c r="I1" s="6" t="str">
        <x:v>Category</x:v>
      </x:c>
      <x:c r="J1" s="6" t="str">
        <x:v>Item Type</x:v>
      </x:c>
      <x:c r="K1" s="6" t="str">
        <x:v>Brand</x:v>
      </x:c>
      <x:c r="L1" s="6" t="str">
        <x:v>Machine / Use</x:v>
      </x:c>
      <x:c r="M1" s="6" t="str">
        <x:v>Qty</x:v>
      </x:c>
      <x:c r="N1" s="6" t="str">
        <x:v>Unit</x:v>
      </x:c>
      <x:c r="O1" s="6" t="str">
        <x:v>Unit Price (USD)</x:v>
      </x:c>
      <x:c r="P1" s="6" t="str">
        <x:v>Calculated Amount</x:v>
      </x:c>
      <x:c r="Q1" s="6" t="str">
        <x:v>Source Amount</x:v>
      </x:c>
      <x:c r="R1" s="6" t="str">
        <x:v>Difference</x:v>
      </x:c>
      <x:c r="S1" s="6" t="str">
        <x:v>Include in Master</x:v>
      </x:c>
      <x:c r="T1" s="6" t="str">
        <x:v>Confidence</x:v>
      </x:c>
      <x:c r="U1" s="6" t="str">
        <x:v>Source File</x:v>
      </x:c>
      <x:c r="V1" s="6" t="str">
        <x:v>Page</x:v>
      </x:c>
      <x:c r="W1" s="6" t="str">
        <x:v>Notes</x:v>
      </x:c>
    </x:row>
    <x:row r="2">
      <x:c r="A2" s="18" t="str">
        <x:v>2026-01</x:v>
      </x:c>
      <x:c r="B2" s="19" t="n">
        <x:v>46006</x:v>
      </x:c>
      <x:c r="C2" s="18" t="str">
        <x:v>YI-000091</x:v>
      </x:c>
      <x:c r="D2" s="18" t="str">
        <x:v>YI NEW SEWING MACHINE CO., LTD</x:v>
      </x:c>
      <x:c r="E2" s="18" t="str">
        <x:v>維修:600燙襯機</x:v>
      </x:c>
      <x:c r="F2" s="18" t="str">
        <x:v>SV-TSM600-REPAIR</x:v>
      </x:c>
      <x:c r="G2" s="18" t="str">
        <x:v>600燙襯機維修服務</x:v>
      </x:c>
      <x:c r="H2" s="18" t="str">
        <x:v>TSM-600</x:v>
      </x:c>
      <x:c r="I2" s="18" t="str">
        <x:v>Repair Service</x:v>
      </x:c>
      <x:c r="J2" s="18" t="str">
        <x:v>Repair Service</x:v>
      </x:c>
      <x:c r="K2" s="18" t="str"/>
      <x:c r="L2" s="18" t="str">
        <x:v>TSM-600 Fusing Machine</x:v>
      </x:c>
      <x:c r="M2" s="20" t="n">
        <x:v>1</x:v>
      </x:c>
      <x:c r="N2" s="18" t="str">
        <x:v>台</x:v>
      </x:c>
      <x:c r="O2" s="21" t="n">
        <x:v>0</x:v>
      </x:c>
      <x:c r="P2" s="21" t="n">
        <x:f>M2*O2</x:f>
        <x:v>0</x:v>
      </x:c>
      <x:c r="Q2" s="21" t="n">
        <x:v>0</x:v>
      </x:c>
      <x:c r="R2" s="21" t="n">
        <x:f>P2-Q2</x:f>
        <x:v>0</x:v>
      </x:c>
      <x:c r="S2" s="18" t="str">
        <x:v>No</x:v>
      </x:c>
      <x:c r="T2" s="18" t="str">
        <x:v>High</x:v>
      </x:c>
      <x:c r="U2" s="18" t="str">
        <x:v>Yi New Sewing Machine_Jan.'26.pdf</x:v>
      </x:c>
      <x:c r="V2" s="18" t="n">
        <x:v>1</x:v>
      </x:c>
      <x:c r="W2" s="18" t="str">
        <x:v>發票列示金額為空白／零</x:v>
      </x:c>
    </x:row>
    <x:row r="3">
      <x:c r="A3" s="18" t="str">
        <x:v>2026-01</x:v>
      </x:c>
      <x:c r="B3" s="19" t="n">
        <x:v>46006</x:v>
      </x:c>
      <x:c r="C3" s="18" t="str">
        <x:v>YI-000091</x:v>
      </x:c>
      <x:c r="D3" s="18" t="str">
        <x:v>YI NEW SEWING MACHINE CO., LTD</x:v>
      </x:c>
      <x:c r="E3" s="18" t="str">
        <x:v>600型燙襯機電塊（好）</x:v>
      </x:c>
      <x:c r="F3" s="18" t="str">
        <x:v>EL-TSM600-HEATER-BLOCK</x:v>
      </x:c>
      <x:c r="G3" s="18" t="str">
        <x:v>600型燙襯機電塊</x:v>
      </x:c>
      <x:c r="H3" s="18" t="str">
        <x:v>TSM-600</x:v>
      </x:c>
      <x:c r="I3" s="18" t="str">
        <x:v>Electrical/Control</x:v>
      </x:c>
      <x:c r="J3" s="18" t="str">
        <x:v>Spare Part</x:v>
      </x:c>
      <x:c r="K3" s="18" t="str"/>
      <x:c r="L3" s="18" t="str">
        <x:v>TSM-600 Fusing Machine</x:v>
      </x:c>
      <x:c r="M3" s="20" t="n">
        <x:v>1</x:v>
      </x:c>
      <x:c r="N3" s="18" t="str">
        <x:v>個</x:v>
      </x:c>
      <x:c r="O3" s="21" t="n">
        <x:v>25</x:v>
      </x:c>
      <x:c r="P3" s="21" t="n">
        <x:f>M3*O3</x:f>
        <x:v>25</x:v>
      </x:c>
      <x:c r="Q3" s="21" t="n">
        <x:v>25</x:v>
      </x:c>
      <x:c r="R3" s="21" t="n">
        <x:f>P3-Q3</x:f>
        <x:v>0</x:v>
      </x:c>
      <x:c r="S3" s="18" t="str">
        <x:v>Yes</x:v>
      </x:c>
      <x:c r="T3" s="18" t="str">
        <x:v>High</x:v>
      </x:c>
      <x:c r="U3" s="18" t="str">
        <x:v>Yi New Sewing Machine_Jan.'26.pdf</x:v>
      </x:c>
      <x:c r="V3" s="18" t="n">
        <x:v>1</x:v>
      </x:c>
      <x:c r="W3" s="18" t="str"/>
    </x:row>
    <x:row r="4">
      <x:c r="A4" s="18" t="str">
        <x:v>2026-01</x:v>
      </x:c>
      <x:c r="B4" s="19" t="n">
        <x:v>46006</x:v>
      </x:c>
      <x:c r="C4" s="18" t="str">
        <x:v>YI-000091</x:v>
      </x:c>
      <x:c r="D4" s="18" t="str">
        <x:v>YI NEW SEWING MACHINE CO., LTD</x:v>
      </x:c>
      <x:c r="E4" s="18" t="str">
        <x:v>600型燙襯機調電器（好）</x:v>
      </x:c>
      <x:c r="F4" s="18" t="str">
        <x:v>EL-TSM600-REGULATOR</x:v>
      </x:c>
      <x:c r="G4" s="18" t="str">
        <x:v>600型燙襯機調電器</x:v>
      </x:c>
      <x:c r="H4" s="18" t="str">
        <x:v>TSM-600</x:v>
      </x:c>
      <x:c r="I4" s="18" t="str">
        <x:v>Electrical/Control</x:v>
      </x:c>
      <x:c r="J4" s="18" t="str">
        <x:v>Spare Part</x:v>
      </x:c>
      <x:c r="K4" s="18" t="str"/>
      <x:c r="L4" s="18" t="str">
        <x:v>TSM-600 Fusing Machine</x:v>
      </x:c>
      <x:c r="M4" s="20" t="n">
        <x:v>1</x:v>
      </x:c>
      <x:c r="N4" s="18" t="str">
        <x:v>個</x:v>
      </x:c>
      <x:c r="O4" s="21" t="n">
        <x:v>12</x:v>
      </x:c>
      <x:c r="P4" s="21" t="n">
        <x:f>M4*O4</x:f>
        <x:v>12</x:v>
      </x:c>
      <x:c r="Q4" s="21" t="n">
        <x:v>12</x:v>
      </x:c>
      <x:c r="R4" s="21" t="n">
        <x:f>P4-Q4</x:f>
        <x:v>0</x:v>
      </x:c>
      <x:c r="S4" s="18" t="str">
        <x:v>Yes</x:v>
      </x:c>
      <x:c r="T4" s="18" t="str">
        <x:v>High</x:v>
      </x:c>
      <x:c r="U4" s="18" t="str">
        <x:v>Yi New Sewing Machine_Jan.'26.pdf</x:v>
      </x:c>
      <x:c r="V4" s="18" t="n">
        <x:v>1</x:v>
      </x:c>
      <x:c r="W4" s="18" t="str"/>
    </x:row>
    <x:row r="5">
      <x:c r="A5" s="18" t="str">
        <x:v>2026-01</x:v>
      </x:c>
      <x:c r="B5" s="19" t="n">
        <x:v>46006</x:v>
      </x:c>
      <x:c r="C5" s="18" t="str">
        <x:v>YI-000091</x:v>
      </x:c>
      <x:c r="D5" s="18" t="str">
        <x:v>YI NEW SEWING MACHINE CO., LTD</x:v>
      </x:c>
      <x:c r="E5" s="18" t="str">
        <x:v>600型燙襯機大溫電機</x:v>
      </x:c>
      <x:c r="F5" s="18" t="str">
        <x:v>EL-TSM600-HIGH-TEMP-MOTOR</x:v>
      </x:c>
      <x:c r="G5" s="18" t="str">
        <x:v>600型燙襯機大溫電機</x:v>
      </x:c>
      <x:c r="H5" s="18" t="str">
        <x:v>TSM-600</x:v>
      </x:c>
      <x:c r="I5" s="18" t="str">
        <x:v>Electrical/Control</x:v>
      </x:c>
      <x:c r="J5" s="18" t="str">
        <x:v>Spare Part</x:v>
      </x:c>
      <x:c r="K5" s="18" t="str"/>
      <x:c r="L5" s="18" t="str">
        <x:v>TSM-600 Fusing Machine</x:v>
      </x:c>
      <x:c r="M5" s="20" t="n">
        <x:v>1</x:v>
      </x:c>
      <x:c r="N5" s="18" t="str">
        <x:v>個</x:v>
      </x:c>
      <x:c r="O5" s="21" t="n">
        <x:v>18</x:v>
      </x:c>
      <x:c r="P5" s="21" t="n">
        <x:f>M5*O5</x:f>
        <x:v>18</x:v>
      </x:c>
      <x:c r="Q5" s="21" t="n">
        <x:v>18</x:v>
      </x:c>
      <x:c r="R5" s="21" t="n">
        <x:f>P5-Q5</x:f>
        <x:v>0</x:v>
      </x:c>
      <x:c r="S5" s="18" t="str">
        <x:v>Yes</x:v>
      </x:c>
      <x:c r="T5" s="18" t="str">
        <x:v>Medium</x:v>
      </x:c>
      <x:c r="U5" s="18" t="str">
        <x:v>Yi New Sewing Machine_Jan.'26.pdf</x:v>
      </x:c>
      <x:c r="V5" s="18" t="n">
        <x:v>1</x:v>
      </x:c>
      <x:c r="W5" s="18" t="str">
        <x:v>原始品名較不常見，建議以實物或供應商料號確認</x:v>
      </x:c>
    </x:row>
    <x:row r="6">
      <x:c r="A6" s="18" t="str">
        <x:v>2026-01</x:v>
      </x:c>
      <x:c r="B6" s="19" t="n">
        <x:v>46006</x:v>
      </x:c>
      <x:c r="C6" s="18" t="str">
        <x:v>YI-000091</x:v>
      </x:c>
      <x:c r="D6" s="18" t="str">
        <x:v>YI NEW SEWING MACHINE CO., LTD</x:v>
      </x:c>
      <x:c r="E6" s="18" t="str">
        <x:v>600型燙襯機接電座</x:v>
      </x:c>
      <x:c r="F6" s="18" t="str">
        <x:v>EL-TSM600-SOCKET</x:v>
      </x:c>
      <x:c r="G6" s="18" t="str">
        <x:v>600型燙襯機接電座</x:v>
      </x:c>
      <x:c r="H6" s="18" t="str">
        <x:v>TSM-600</x:v>
      </x:c>
      <x:c r="I6" s="18" t="str">
        <x:v>Electrical/Control</x:v>
      </x:c>
      <x:c r="J6" s="18" t="str">
        <x:v>Spare Part</x:v>
      </x:c>
      <x:c r="K6" s="18" t="str"/>
      <x:c r="L6" s="18" t="str">
        <x:v>TSM-600 Fusing Machine</x:v>
      </x:c>
      <x:c r="M6" s="20" t="n">
        <x:v>1</x:v>
      </x:c>
      <x:c r="N6" s="18" t="str">
        <x:v>個</x:v>
      </x:c>
      <x:c r="O6" s="21" t="n">
        <x:v>5</x:v>
      </x:c>
      <x:c r="P6" s="21" t="n">
        <x:f>M6*O6</x:f>
        <x:v>5</x:v>
      </x:c>
      <x:c r="Q6" s="21" t="n">
        <x:v>5</x:v>
      </x:c>
      <x:c r="R6" s="21" t="n">
        <x:f>P6-Q6</x:f>
        <x:v>0</x:v>
      </x:c>
      <x:c r="S6" s="18" t="str">
        <x:v>Yes</x:v>
      </x:c>
      <x:c r="T6" s="18" t="str">
        <x:v>High</x:v>
      </x:c>
      <x:c r="U6" s="18" t="str">
        <x:v>Yi New Sewing Machine_Jan.'26.pdf</x:v>
      </x:c>
      <x:c r="V6" s="18" t="n">
        <x:v>1</x:v>
      </x:c>
      <x:c r="W6" s="18" t="str"/>
    </x:row>
    <x:row r="7">
      <x:c r="A7" s="18" t="str">
        <x:v>2026-01</x:v>
      </x:c>
      <x:c r="B7" s="19" t="n">
        <x:v>46006</x:v>
      </x:c>
      <x:c r="C7" s="18" t="str">
        <x:v>YI-000091</x:v>
      </x:c>
      <x:c r="D7" s="18" t="str">
        <x:v>YI NEW SEWING MACHINE CO., LTD</x:v>
      </x:c>
      <x:c r="E7" s="18" t="str">
        <x:v>TSM-600型燙襯機溫控器</x:v>
      </x:c>
      <x:c r="F7" s="18" t="str">
        <x:v>EL-TSM600-TEMP-CONTROLLER</x:v>
      </x:c>
      <x:c r="G7" s="18" t="str">
        <x:v>TSM-600燙襯機溫控器</x:v>
      </x:c>
      <x:c r="H7" s="18" t="str">
        <x:v>TSM-600</x:v>
      </x:c>
      <x:c r="I7" s="18" t="str">
        <x:v>Electrical/Control</x:v>
      </x:c>
      <x:c r="J7" s="18" t="str">
        <x:v>Spare Part</x:v>
      </x:c>
      <x:c r="K7" s="18" t="str"/>
      <x:c r="L7" s="18" t="str">
        <x:v>TSM-600 Fusing Machine</x:v>
      </x:c>
      <x:c r="M7" s="20" t="n">
        <x:v>1</x:v>
      </x:c>
      <x:c r="N7" s="18" t="str">
        <x:v>個</x:v>
      </x:c>
      <x:c r="O7" s="21" t="n">
        <x:v>69</x:v>
      </x:c>
      <x:c r="P7" s="21" t="n">
        <x:f>M7*O7</x:f>
        <x:v>69</x:v>
      </x:c>
      <x:c r="Q7" s="21" t="n">
        <x:v>69</x:v>
      </x:c>
      <x:c r="R7" s="21" t="n">
        <x:f>P7-Q7</x:f>
        <x:v>0</x:v>
      </x:c>
      <x:c r="S7" s="18" t="str">
        <x:v>Yes</x:v>
      </x:c>
      <x:c r="T7" s="18" t="str">
        <x:v>High</x:v>
      </x:c>
      <x:c r="U7" s="18" t="str">
        <x:v>Yi New Sewing Machine_Jan.'26.pdf</x:v>
      </x:c>
      <x:c r="V7" s="18" t="n">
        <x:v>1</x:v>
      </x:c>
      <x:c r="W7" s="18" t="str"/>
    </x:row>
    <x:row r="8">
      <x:c r="A8" s="18" t="str">
        <x:v>2026-01</x:v>
      </x:c>
      <x:c r="B8" s="19" t="n">
        <x:v>46006</x:v>
      </x:c>
      <x:c r="C8" s="18" t="str">
        <x:v>YI-000091</x:v>
      </x:c>
      <x:c r="D8" s="18" t="str">
        <x:v>YI NEW SEWING MACHINE CO., LTD</x:v>
      </x:c>
      <x:c r="E8" s="18" t="str">
        <x:v>TSM-600型燙襯機邊開關</x:v>
      </x:c>
      <x:c r="F8" s="18" t="str">
        <x:v>EL-TSM600-SIDE-SWITCH</x:v>
      </x:c>
      <x:c r="G8" s="18" t="str">
        <x:v>TSM-600燙襯機邊開關</x:v>
      </x:c>
      <x:c r="H8" s="18" t="str">
        <x:v>TSM-600</x:v>
      </x:c>
      <x:c r="I8" s="18" t="str">
        <x:v>Electrical/Control</x:v>
      </x:c>
      <x:c r="J8" s="18" t="str">
        <x:v>Spare Part</x:v>
      </x:c>
      <x:c r="K8" s="18" t="str"/>
      <x:c r="L8" s="18" t="str">
        <x:v>TSM-600 Fusing Machine</x:v>
      </x:c>
      <x:c r="M8" s="20" t="n">
        <x:v>4</x:v>
      </x:c>
      <x:c r="N8" s="18" t="str">
        <x:v>個</x:v>
      </x:c>
      <x:c r="O8" s="21" t="n">
        <x:v>2.5</x:v>
      </x:c>
      <x:c r="P8" s="21" t="n">
        <x:f>M8*O8</x:f>
        <x:v>10</x:v>
      </x:c>
      <x:c r="Q8" s="21" t="n">
        <x:v>10</x:v>
      </x:c>
      <x:c r="R8" s="21" t="n">
        <x:f>P8-Q8</x:f>
        <x:v>0</x:v>
      </x:c>
      <x:c r="S8" s="18" t="str">
        <x:v>Yes</x:v>
      </x:c>
      <x:c r="T8" s="18" t="str">
        <x:v>High</x:v>
      </x:c>
      <x:c r="U8" s="18" t="str">
        <x:v>Yi New Sewing Machine_Jan.'26.pdf</x:v>
      </x:c>
      <x:c r="V8" s="18" t="n">
        <x:v>1</x:v>
      </x:c>
      <x:c r="W8" s="18" t="str"/>
    </x:row>
    <x:row r="9">
      <x:c r="A9" s="18" t="str">
        <x:v>2026-01</x:v>
      </x:c>
      <x:c r="B9" s="19" t="n">
        <x:v>46024</x:v>
      </x:c>
      <x:c r="C9" s="18" t="str">
        <x:v>YI-000096</x:v>
      </x:c>
      <x:c r="D9" s="18" t="str">
        <x:v>YI NEW SEWING MACHINE CO., LTD</x:v>
      </x:c>
      <x:c r="E9" s="18" t="str">
        <x:v>ORGAN: DCx27#12</x:v>
      </x:c>
      <x:c r="F9" s="18" t="str">
        <x:v>ND-DCX27-12</x:v>
      </x:c>
      <x:c r="G9" s="18" t="str">
        <x:v>風琴機針 DCx27 #12</x:v>
      </x:c>
      <x:c r="H9" s="18" t="str">
        <x:v>DCx27 #12</x:v>
      </x:c>
      <x:c r="I9" s="18" t="str">
        <x:v>Needle</x:v>
      </x:c>
      <x:c r="J9" s="18" t="str">
        <x:v>Consumable</x:v>
      </x:c>
      <x:c r="K9" s="18" t="str">
        <x:v>ORGAN/風琴</x:v>
      </x:c>
      <x:c r="L9" s="18" t="str">
        <x:v>Overlock</x:v>
      </x:c>
      <x:c r="M9" s="20" t="n">
        <x:v>100</x:v>
      </x:c>
      <x:c r="N9" s="18" t="str">
        <x:v>包</x:v>
      </x:c>
      <x:c r="O9" s="21" t="n">
        <x:v>1.3</x:v>
      </x:c>
      <x:c r="P9" s="21" t="n">
        <x:f>M9*O9</x:f>
        <x:v>130</x:v>
      </x:c>
      <x:c r="Q9" s="21" t="n">
        <x:v>130</x:v>
      </x:c>
      <x:c r="R9" s="21" t="n">
        <x:f>P9-Q9</x:f>
        <x:v>0</x:v>
      </x:c>
      <x:c r="S9" s="18" t="str">
        <x:v>Yes</x:v>
      </x:c>
      <x:c r="T9" s="18" t="str">
        <x:v>High</x:v>
      </x:c>
      <x:c r="U9" s="18" t="str">
        <x:v>Yi New Sewing Machine_Jan.'26.pdf</x:v>
      </x:c>
      <x:c r="V9" s="18" t="n">
        <x:v>1</x:v>
      </x:c>
      <x:c r="W9" s="18" t="str"/>
    </x:row>
    <x:row r="10">
      <x:c r="A10" s="18" t="str">
        <x:v>2026-01</x:v>
      </x:c>
      <x:c r="B10" s="19" t="n">
        <x:v>46024</x:v>
      </x:c>
      <x:c r="C10" s="18" t="str">
        <x:v>YI-000096</x:v>
      </x:c>
      <x:c r="D10" s="18" t="str">
        <x:v>YI NEW SEWING MACHINE CO., LTD</x:v>
      </x:c>
      <x:c r="E10" s="18" t="str">
        <x:v>ORGAN: UYx128 #11</x:v>
      </x:c>
      <x:c r="F10" s="18" t="str">
        <x:v>ND-UYX128-11</x:v>
      </x:c>
      <x:c r="G10" s="18" t="str">
        <x:v>風琴機針 UYx128 #11</x:v>
      </x:c>
      <x:c r="H10" s="18" t="str">
        <x:v>UYx128 #11</x:v>
      </x:c>
      <x:c r="I10" s="18" t="str">
        <x:v>Needle</x:v>
      </x:c>
      <x:c r="J10" s="18" t="str">
        <x:v>Consumable</x:v>
      </x:c>
      <x:c r="K10" s="18" t="str">
        <x:v>ORGAN/風琴</x:v>
      </x:c>
      <x:c r="L10" s="18" t="str">
        <x:v>Multi-needle / Chainstitch</x:v>
      </x:c>
      <x:c r="M10" s="20" t="n">
        <x:v>100</x:v>
      </x:c>
      <x:c r="N10" s="18" t="str">
        <x:v>包</x:v>
      </x:c>
      <x:c r="O10" s="21" t="n">
        <x:v>1.78</x:v>
      </x:c>
      <x:c r="P10" s="21" t="n">
        <x:f>M10*O10</x:f>
        <x:v>178</x:v>
      </x:c>
      <x:c r="Q10" s="21" t="n">
        <x:v>178</x:v>
      </x:c>
      <x:c r="R10" s="21" t="n">
        <x:f>P10-Q10</x:f>
        <x:v>0</x:v>
      </x:c>
      <x:c r="S10" s="18" t="str">
        <x:v>Yes</x:v>
      </x:c>
      <x:c r="T10" s="18" t="str">
        <x:v>High</x:v>
      </x:c>
      <x:c r="U10" s="18" t="str">
        <x:v>Yi New Sewing Machine_Jan.'26.pdf</x:v>
      </x:c>
      <x:c r="V10" s="18" t="n">
        <x:v>1</x:v>
      </x:c>
      <x:c r="W10" s="18" t="str"/>
    </x:row>
    <x:row r="11">
      <x:c r="A11" s="18" t="str">
        <x:v>2026-01</x:v>
      </x:c>
      <x:c r="B11" s="19" t="n">
        <x:v>46024</x:v>
      </x:c>
      <x:c r="C11" s="18" t="str">
        <x:v>YI-000096</x:v>
      </x:c>
      <x:c r="D11" s="18" t="str">
        <x:v>YI NEW SEWING MACHINE CO., LTD</x:v>
      </x:c>
      <x:c r="E11" s="18" t="str">
        <x:v>ORGAN: UOx113#14</x:v>
      </x:c>
      <x:c r="F11" s="18" t="str">
        <x:v>ND-UOX113-14</x:v>
      </x:c>
      <x:c r="G11" s="18" t="str">
        <x:v>風琴機針 UOx113 #14</x:v>
      </x:c>
      <x:c r="H11" s="18" t="str">
        <x:v>UOx113 #14</x:v>
      </x:c>
      <x:c r="I11" s="18" t="str">
        <x:v>Needle</x:v>
      </x:c>
      <x:c r="J11" s="18" t="str">
        <x:v>Consumable</x:v>
      </x:c>
      <x:c r="K11" s="18" t="str">
        <x:v>ORGAN/風琴</x:v>
      </x:c>
      <x:c r="L11" s="18" t="str">
        <x:v>Multi-needle</x:v>
      </x:c>
      <x:c r="M11" s="20" t="n">
        <x:v>100</x:v>
      </x:c>
      <x:c r="N11" s="18" t="str">
        <x:v>包</x:v>
      </x:c>
      <x:c r="O11" s="21" t="n">
        <x:v>3</x:v>
      </x:c>
      <x:c r="P11" s="21" t="n">
        <x:f>M11*O11</x:f>
        <x:v>300</x:v>
      </x:c>
      <x:c r="Q11" s="21" t="n">
        <x:v>300</x:v>
      </x:c>
      <x:c r="R11" s="21" t="n">
        <x:f>P11-Q11</x:f>
        <x:v>0</x:v>
      </x:c>
      <x:c r="S11" s="18" t="str">
        <x:v>Yes</x:v>
      </x:c>
      <x:c r="T11" s="18" t="str">
        <x:v>High</x:v>
      </x:c>
      <x:c r="U11" s="18" t="str">
        <x:v>Yi New Sewing Machine_Jan.'26.pdf</x:v>
      </x:c>
      <x:c r="V11" s="18" t="n">
        <x:v>1</x:v>
      </x:c>
      <x:c r="W11" s="18" t="str"/>
    </x:row>
    <x:row r="12">
      <x:c r="A12" s="18" t="str">
        <x:v>2026-01</x:v>
      </x:c>
      <x:c r="B12" s="19" t="n">
        <x:v>46024</x:v>
      </x:c>
      <x:c r="C12" s="18" t="str">
        <x:v>YI-000096</x:v>
      </x:c>
      <x:c r="D12" s="18" t="str">
        <x:v>YI NEW SEWING MACHINE CO., LTD</x:v>
      </x:c>
      <x:c r="E12" s="18" t="str">
        <x:v>京木一字螺絲刀</x:v>
      </x:c>
      <x:c r="F12" s="18" t="str">
        <x:v>TL-SCREWDRIVER-FLAT-JINGMU</x:v>
      </x:c>
      <x:c r="G12" s="18" t="str">
        <x:v>京木一字螺絲刀</x:v>
      </x:c>
      <x:c r="H12" s="18" t="str">
        <x:v>Flat</x:v>
      </x:c>
      <x:c r="I12" s="18" t="str">
        <x:v>Tools</x:v>
      </x:c>
      <x:c r="J12" s="18" t="str">
        <x:v>Tool</x:v>
      </x:c>
      <x:c r="K12" s="18" t="str">
        <x:v>京木</x:v>
      </x:c>
      <x:c r="L12" s="18" t="str">
        <x:v>Maintenance</x:v>
      </x:c>
      <x:c r="M12" s="20" t="n">
        <x:v>1</x:v>
      </x:c>
      <x:c r="N12" s="18" t="str">
        <x:v>個</x:v>
      </x:c>
      <x:c r="O12" s="21" t="n">
        <x:v>7</x:v>
      </x:c>
      <x:c r="P12" s="21" t="n">
        <x:f>M12*O12</x:f>
        <x:v>7</x:v>
      </x:c>
      <x:c r="Q12" s="21" t="n">
        <x:v>7</x:v>
      </x:c>
      <x:c r="R12" s="21" t="n">
        <x:f>P12-Q12</x:f>
        <x:v>0</x:v>
      </x:c>
      <x:c r="S12" s="18" t="str">
        <x:v>Yes</x:v>
      </x:c>
      <x:c r="T12" s="18" t="str">
        <x:v>High</x:v>
      </x:c>
      <x:c r="U12" s="18" t="str">
        <x:v>Yi New Sewing Machine_Jan.'26.pdf</x:v>
      </x:c>
      <x:c r="V12" s="18" t="n">
        <x:v>1</x:v>
      </x:c>
      <x:c r="W12" s="18" t="str"/>
    </x:row>
    <x:row r="13">
      <x:c r="A13" s="18" t="str">
        <x:v>2026-01</x:v>
      </x:c>
      <x:c r="B13" s="19" t="n">
        <x:v>46024</x:v>
      </x:c>
      <x:c r="C13" s="18" t="str">
        <x:v>YI-000096</x:v>
      </x:c>
      <x:c r="D13" s="18" t="str">
        <x:v>YI NEW SEWING MACHINE CO., LTD</x:v>
      </x:c>
      <x:c r="E13" s="18" t="str">
        <x:v>京木扳手六角</x:v>
      </x:c>
      <x:c r="F13" s="18" t="str">
        <x:v>TL-HEX-WRENCH-JINGMU</x:v>
      </x:c>
      <x:c r="G13" s="18" t="str">
        <x:v>京木六角扳手</x:v>
      </x:c>
      <x:c r="H13" s="18" t="str">
        <x:v>Set</x:v>
      </x:c>
      <x:c r="I13" s="18" t="str">
        <x:v>Tools</x:v>
      </x:c>
      <x:c r="J13" s="18" t="str">
        <x:v>Tool</x:v>
      </x:c>
      <x:c r="K13" s="18" t="str">
        <x:v>京木</x:v>
      </x:c>
      <x:c r="L13" s="18" t="str">
        <x:v>Maintenance</x:v>
      </x:c>
      <x:c r="M13" s="20" t="n">
        <x:v>1</x:v>
      </x:c>
      <x:c r="N13" s="18" t="str">
        <x:v>套</x:v>
      </x:c>
      <x:c r="O13" s="21" t="n">
        <x:v>20</x:v>
      </x:c>
      <x:c r="P13" s="21" t="n">
        <x:f>M13*O13</x:f>
        <x:v>20</x:v>
      </x:c>
      <x:c r="Q13" s="21" t="n">
        <x:v>20</x:v>
      </x:c>
      <x:c r="R13" s="21" t="n">
        <x:f>P13-Q13</x:f>
        <x:v>0</x:v>
      </x:c>
      <x:c r="S13" s="18" t="str">
        <x:v>Yes</x:v>
      </x:c>
      <x:c r="T13" s="18" t="str">
        <x:v>High</x:v>
      </x:c>
      <x:c r="U13" s="18" t="str">
        <x:v>Yi New Sewing Machine_Jan.'26.pdf</x:v>
      </x:c>
      <x:c r="V13" s="18" t="n">
        <x:v>1</x:v>
      </x:c>
      <x:c r="W13" s="18" t="str"/>
    </x:row>
    <x:row r="14">
      <x:c r="A14" s="18" t="str">
        <x:v>2026-01</x:v>
      </x:c>
      <x:c r="B14" s="19" t="n">
        <x:v>46027</x:v>
      </x:c>
      <x:c r="C14" s="18" t="str">
        <x:v>YI-000097</x:v>
      </x:c>
      <x:c r="D14" s="18" t="str">
        <x:v>YI NEW SEWING MACHINE CO., LTD</x:v>
      </x:c>
      <x:c r="E14" s="18" t="str">
        <x:v>熨斗鞋 ES-94(A)</x:v>
      </x:c>
      <x:c r="F14" s="18" t="str">
        <x:v>IR-ES94A-SHOE</x:v>
      </x:c>
      <x:c r="G14" s="18" t="str">
        <x:v>熨斗鞋 ES-94(A)</x:v>
      </x:c>
      <x:c r="H14" s="18" t="str">
        <x:v>ES-94(A)</x:v>
      </x:c>
      <x:c r="I14" s="18" t="str">
        <x:v>Ironing/Heat Transfer</x:v>
      </x:c>
      <x:c r="J14" s="18" t="str">
        <x:v>Consumable</x:v>
      </x:c>
      <x:c r="K14" s="18" t="str"/>
      <x:c r="L14" s="18" t="str">
        <x:v>Iron</x:v>
      </x:c>
      <x:c r="M14" s="20" t="n">
        <x:v>50</x:v>
      </x:c>
      <x:c r="N14" s="18" t="str">
        <x:v>個</x:v>
      </x:c>
      <x:c r="O14" s="21" t="n">
        <x:v>1.8</x:v>
      </x:c>
      <x:c r="P14" s="21" t="n">
        <x:f>M14*O14</x:f>
        <x:v>90</x:v>
      </x:c>
      <x:c r="Q14" s="21" t="n">
        <x:v>90</x:v>
      </x:c>
      <x:c r="R14" s="21" t="n">
        <x:f>P14-Q14</x:f>
        <x:v>0</x:v>
      </x:c>
      <x:c r="S14" s="18" t="str">
        <x:v>Yes</x:v>
      </x:c>
      <x:c r="T14" s="18" t="str">
        <x:v>High</x:v>
      </x:c>
      <x:c r="U14" s="18" t="str">
        <x:v>Yi New Sewing Machine_Jan.'26.pdf</x:v>
      </x:c>
      <x:c r="V14" s="18" t="n">
        <x:v>1</x:v>
      </x:c>
      <x:c r="W14" s="18" t="str"/>
    </x:row>
    <x:row r="15">
      <x:c r="A15" s="18" t="str">
        <x:v>2026-01</x:v>
      </x:c>
      <x:c r="B15" s="19" t="n">
        <x:v>46027</x:v>
      </x:c>
      <x:c r="C15" s="18" t="str">
        <x:v>YI-000097</x:v>
      </x:c>
      <x:c r="D15" s="18" t="str">
        <x:v>YI NEW SEWING MACHINE CO., LTD</x:v>
      </x:c>
      <x:c r="E15" s="18" t="str">
        <x:v>JJW-830</x:v>
      </x:c>
      <x:c r="F15" s="18" t="str">
        <x:v>CH-JJW830</x:v>
      </x:c>
      <x:c r="G15" s="18" t="str">
        <x:v>JJW-830</x:v>
      </x:c>
      <x:c r="H15" s="18" t="str">
        <x:v>JJW-830</x:v>
      </x:c>
      <x:c r="I15" s="18" t="str">
        <x:v>Consumable/Chemical</x:v>
      </x:c>
      <x:c r="J15" s="18" t="str">
        <x:v>Consumable</x:v>
      </x:c>
      <x:c r="K15" s="18" t="str"/>
      <x:c r="L15" s="18" t="str">
        <x:v>Maintenance</x:v>
      </x:c>
      <x:c r="M15" s="20" t="n">
        <x:v>20</x:v>
      </x:c>
      <x:c r="N15" s="18" t="str">
        <x:v>瓶</x:v>
      </x:c>
      <x:c r="O15" s="21" t="n">
        <x:v>2.8</x:v>
      </x:c>
      <x:c r="P15" s="21" t="n">
        <x:f>M15*O15</x:f>
        <x:v>56</x:v>
      </x:c>
      <x:c r="Q15" s="21" t="n">
        <x:v>56</x:v>
      </x:c>
      <x:c r="R15" s="21" t="n">
        <x:f>P15-Q15</x:f>
        <x:v>0</x:v>
      </x:c>
      <x:c r="S15" s="18" t="str">
        <x:v>Yes</x:v>
      </x:c>
      <x:c r="T15" s="18" t="str">
        <x:v>High</x:v>
      </x:c>
      <x:c r="U15" s="18" t="str">
        <x:v>Yi New Sewing Machine_Jan.'26.pdf</x:v>
      </x:c>
      <x:c r="V15" s="18" t="n">
        <x:v>1</x:v>
      </x:c>
      <x:c r="W15" s="18" t="str"/>
    </x:row>
    <x:row r="16">
      <x:c r="A16" s="18" t="str">
        <x:v>2026-01</x:v>
      </x:c>
      <x:c r="B16" s="19" t="n">
        <x:v>46027</x:v>
      </x:c>
      <x:c r="C16" s="18" t="str">
        <x:v>YI-000097</x:v>
      </x:c>
      <x:c r="D16" s="18" t="str">
        <x:v>YI NEW SEWING MACHINE CO., LTD</x:v>
      </x:c>
      <x:c r="E16" s="18" t="str">
        <x:v>正宗韓國吊瓶熨斗組</x:v>
      </x:c>
      <x:c r="F16" s="18" t="str">
        <x:v>IR-HANGING-BOTTLE-SET-KR</x:v>
      </x:c>
      <x:c r="G16" s="18" t="str">
        <x:v>韓國吊瓶熨斗組</x:v>
      </x:c>
      <x:c r="H16" s="18" t="str">
        <x:v>Complete Set</x:v>
      </x:c>
      <x:c r="I16" s="18" t="str">
        <x:v>Ironing/Heat Transfer</x:v>
      </x:c>
      <x:c r="J16" s="18" t="str">
        <x:v>Equipment</x:v>
      </x:c>
      <x:c r="K16" s="18" t="str">
        <x:v>Korea</x:v>
      </x:c>
      <x:c r="L16" s="18" t="str">
        <x:v>Iron</x:v>
      </x:c>
      <x:c r="M16" s="20" t="n">
        <x:v>4</x:v>
      </x:c>
      <x:c r="N16" s="18" t="str">
        <x:v>把</x:v>
      </x:c>
      <x:c r="O16" s="21" t="n">
        <x:v>29</x:v>
      </x:c>
      <x:c r="P16" s="21" t="n">
        <x:f>M16*O16</x:f>
        <x:v>116</x:v>
      </x:c>
      <x:c r="Q16" s="21" t="n">
        <x:v>116</x:v>
      </x:c>
      <x:c r="R16" s="21" t="n">
        <x:f>P16-Q16</x:f>
        <x:v>0</x:v>
      </x:c>
      <x:c r="S16" s="18" t="str">
        <x:v>Yes</x:v>
      </x:c>
      <x:c r="T16" s="18" t="str">
        <x:v>High</x:v>
      </x:c>
      <x:c r="U16" s="18" t="str">
        <x:v>Yi New Sewing Machine_Jan.'26.pdf</x:v>
      </x:c>
      <x:c r="V16" s="18" t="n">
        <x:v>1</x:v>
      </x:c>
      <x:c r="W16" s="18" t="str"/>
    </x:row>
    <x:row r="17">
      <x:c r="A17" s="18" t="str">
        <x:v>2026-01</x:v>
      </x:c>
      <x:c r="B17" s="19" t="n">
        <x:v>46027</x:v>
      </x:c>
      <x:c r="C17" s="18" t="str">
        <x:v>YI-000097</x:v>
      </x:c>
      <x:c r="D17" s="18" t="str">
        <x:v>YI NEW SEWING MACHINE CO., LTD</x:v>
      </x:c>
      <x:c r="E17" s="18" t="str">
        <x:v>ORGAN: UYx128 #11</x:v>
      </x:c>
      <x:c r="F17" s="18" t="str">
        <x:v>ND-UYX128-11</x:v>
      </x:c>
      <x:c r="G17" s="18" t="str">
        <x:v>風琴機針 UYx128 #11</x:v>
      </x:c>
      <x:c r="H17" s="18" t="str">
        <x:v>UYx128 #11</x:v>
      </x:c>
      <x:c r="I17" s="18" t="str">
        <x:v>Needle</x:v>
      </x:c>
      <x:c r="J17" s="18" t="str">
        <x:v>Consumable</x:v>
      </x:c>
      <x:c r="K17" s="18" t="str">
        <x:v>ORGAN/風琴</x:v>
      </x:c>
      <x:c r="L17" s="18" t="str">
        <x:v>Multi-needle / Chainstitch</x:v>
      </x:c>
      <x:c r="M17" s="20" t="n">
        <x:v>100</x:v>
      </x:c>
      <x:c r="N17" s="18" t="str">
        <x:v>包</x:v>
      </x:c>
      <x:c r="O17" s="21" t="n">
        <x:v>1.78</x:v>
      </x:c>
      <x:c r="P17" s="21" t="n">
        <x:f>M17*O17</x:f>
        <x:v>178</x:v>
      </x:c>
      <x:c r="Q17" s="21" t="n">
        <x:v>178</x:v>
      </x:c>
      <x:c r="R17" s="21" t="n">
        <x:f>P17-Q17</x:f>
        <x:v>0</x:v>
      </x:c>
      <x:c r="S17" s="18" t="str">
        <x:v>Yes</x:v>
      </x:c>
      <x:c r="T17" s="18" t="str">
        <x:v>High</x:v>
      </x:c>
      <x:c r="U17" s="18" t="str">
        <x:v>Yi New Sewing Machine_Jan.'26.pdf</x:v>
      </x:c>
      <x:c r="V17" s="18" t="n">
        <x:v>1</x:v>
      </x:c>
      <x:c r="W17" s="18" t="str"/>
    </x:row>
    <x:row r="18">
      <x:c r="A18" s="18" t="str">
        <x:v>2026-01</x:v>
      </x:c>
      <x:c r="B18" s="19" t="n">
        <x:v>46027</x:v>
      </x:c>
      <x:c r="C18" s="18" t="str">
        <x:v>YI-000097</x:v>
      </x:c>
      <x:c r="D18" s="18" t="str">
        <x:v>YI NEW SEWING MACHINE CO., LTD</x:v>
      </x:c>
      <x:c r="E18" s="18" t="str">
        <x:v>ORGAN: UOx113#14</x:v>
      </x:c>
      <x:c r="F18" s="18" t="str">
        <x:v>ND-UOX113-14</x:v>
      </x:c>
      <x:c r="G18" s="18" t="str">
        <x:v>風琴機針 UOx113 #14</x:v>
      </x:c>
      <x:c r="H18" s="18" t="str">
        <x:v>UOx113 #14</x:v>
      </x:c>
      <x:c r="I18" s="18" t="str">
        <x:v>Needle</x:v>
      </x:c>
      <x:c r="J18" s="18" t="str">
        <x:v>Consumable</x:v>
      </x:c>
      <x:c r="K18" s="18" t="str">
        <x:v>ORGAN/風琴</x:v>
      </x:c>
      <x:c r="L18" s="18" t="str">
        <x:v>Multi-needle</x:v>
      </x:c>
      <x:c r="M18" s="20" t="n">
        <x:v>100</x:v>
      </x:c>
      <x:c r="N18" s="18" t="str">
        <x:v>包</x:v>
      </x:c>
      <x:c r="O18" s="21" t="n">
        <x:v>3</x:v>
      </x:c>
      <x:c r="P18" s="21" t="n">
        <x:f>M18*O18</x:f>
        <x:v>300</x:v>
      </x:c>
      <x:c r="Q18" s="21" t="n">
        <x:v>300</x:v>
      </x:c>
      <x:c r="R18" s="21" t="n">
        <x:f>P18-Q18</x:f>
        <x:v>0</x:v>
      </x:c>
      <x:c r="S18" s="18" t="str">
        <x:v>Yes</x:v>
      </x:c>
      <x:c r="T18" s="18" t="str">
        <x:v>High</x:v>
      </x:c>
      <x:c r="U18" s="18" t="str">
        <x:v>Yi New Sewing Machine_Jan.'26.pdf</x:v>
      </x:c>
      <x:c r="V18" s="18" t="n">
        <x:v>1</x:v>
      </x:c>
      <x:c r="W18" s="18" t="str"/>
    </x:row>
    <x:row r="19">
      <x:c r="A19" s="18" t="str">
        <x:v>2026-01</x:v>
      </x:c>
      <x:c r="B19" s="19" t="n">
        <x:v>46036</x:v>
      </x:c>
      <x:c r="C19" s="18" t="str">
        <x:v>YI-000098</x:v>
      </x:c>
      <x:c r="D19" s="18" t="str">
        <x:v>YI NEW SEWING MACHINE CO., LTD</x:v>
      </x:c>
      <x:c r="E19" s="18" t="str">
        <x:v>3指鐵手套(M碼)</x:v>
      </x:c>
      <x:c r="F19" s="18" t="str">
        <x:v>SAF-METAL-GLOVE-3F-M</x:v>
      </x:c>
      <x:c r="G19" s="18" t="str">
        <x:v>三指鐵手套 M碼</x:v>
      </x:c>
      <x:c r="H19" s="18" t="str">
        <x:v>3-finger, M</x:v>
      </x:c>
      <x:c r="I19" s="18" t="str">
        <x:v>Cutting</x:v>
      </x:c>
      <x:c r="J19" s="18" t="str">
        <x:v>Tool</x:v>
      </x:c>
      <x:c r="K19" s="18" t="str"/>
      <x:c r="L19" s="18" t="str">
        <x:v>Cutting Safety</x:v>
      </x:c>
      <x:c r="M19" s="20" t="n">
        <x:v>10</x:v>
      </x:c>
      <x:c r="N19" s="18" t="str">
        <x:v>支</x:v>
      </x:c>
      <x:c r="O19" s="21" t="n">
        <x:v>33</x:v>
      </x:c>
      <x:c r="P19" s="21" t="n">
        <x:f>M19*O19</x:f>
        <x:v>330</x:v>
      </x:c>
      <x:c r="Q19" s="21" t="n">
        <x:v>330</x:v>
      </x:c>
      <x:c r="R19" s="21" t="n">
        <x:f>P19-Q19</x:f>
        <x:v>0</x:v>
      </x:c>
      <x:c r="S19" s="18" t="str">
        <x:v>Yes</x:v>
      </x:c>
      <x:c r="T19" s="18" t="str">
        <x:v>High</x:v>
      </x:c>
      <x:c r="U19" s="18" t="str">
        <x:v>Yi New Sewing Machine_Jan.'26.pdf</x:v>
      </x:c>
      <x:c r="V19" s="18" t="n">
        <x:v>1</x:v>
      </x:c>
      <x:c r="W19" s="18" t="str"/>
    </x:row>
    <x:row r="20">
      <x:c r="A20" s="18" t="str">
        <x:v>2026-01</x:v>
      </x:c>
      <x:c r="B20" s="19" t="n">
        <x:v>46038</x:v>
      </x:c>
      <x:c r="C20" s="18" t="str">
        <x:v>YI-000099</x:v>
      </x:c>
      <x:c r="D20" s="18" t="str">
        <x:v>YI NEW SEWING MACHINE CO., LTD</x:v>
      </x:c>
      <x:c r="E20" s="18" t="str">
        <x:v>日本12.D強力去污靈</x:v>
      </x:c>
      <x:c r="F20" s="18" t="str">
        <x:v>CH-12D-STAIN-REMOVER-JP</x:v>
      </x:c>
      <x:c r="G20" s="18" t="str">
        <x:v>日本12.D強力去污靈</x:v>
      </x:c>
      <x:c r="H20" s="18" t="str">
        <x:v>12.D</x:v>
      </x:c>
      <x:c r="I20" s="18" t="str">
        <x:v>Consumable/Chemical</x:v>
      </x:c>
      <x:c r="J20" s="18" t="str">
        <x:v>Consumable</x:v>
      </x:c>
      <x:c r="K20" s="18" t="str">
        <x:v>Japan</x:v>
      </x:c>
      <x:c r="L20" s="18" t="str">
        <x:v>Cleaning</x:v>
      </x:c>
      <x:c r="M20" s="20" t="n">
        <x:v>2</x:v>
      </x:c>
      <x:c r="N20" s="18" t="str">
        <x:v>瓶</x:v>
      </x:c>
      <x:c r="O20" s="21" t="n">
        <x:v>9</x:v>
      </x:c>
      <x:c r="P20" s="21" t="n">
        <x:f>M20*O20</x:f>
        <x:v>18</x:v>
      </x:c>
      <x:c r="Q20" s="21" t="n">
        <x:v>18</x:v>
      </x:c>
      <x:c r="R20" s="21" t="n">
        <x:f>P20-Q20</x:f>
        <x:v>0</x:v>
      </x:c>
      <x:c r="S20" s="18" t="str">
        <x:v>Yes</x:v>
      </x:c>
      <x:c r="T20" s="18" t="str">
        <x:v>High</x:v>
      </x:c>
      <x:c r="U20" s="18" t="str">
        <x:v>Yi New Sewing Machine_Jan.'26.pdf</x:v>
      </x:c>
      <x:c r="V20" s="18" t="n">
        <x:v>1</x:v>
      </x:c>
      <x:c r="W20" s="18" t="str"/>
    </x:row>
    <x:row r="21">
      <x:c r="A21" s="18" t="str">
        <x:v>2026-01</x:v>
      </x:c>
      <x:c r="B21" s="19" t="n">
        <x:v>46042</x:v>
      </x:c>
      <x:c r="C21" s="18" t="str">
        <x:v>YI-000100</x:v>
      </x:c>
      <x:c r="D21" s="18" t="str">
        <x:v>YI NEW SEWING MACHINE CO., LTD</x:v>
      </x:c>
      <x:c r="E21" s="18" t="str">
        <x:v>Organ : UYx128#11</x:v>
      </x:c>
      <x:c r="F21" s="18" t="str">
        <x:v>ND-UYX128-11</x:v>
      </x:c>
      <x:c r="G21" s="18" t="str">
        <x:v>風琴機針 UYx128 #11</x:v>
      </x:c>
      <x:c r="H21" s="18" t="str">
        <x:v>UYx128 #11</x:v>
      </x:c>
      <x:c r="I21" s="18" t="str">
        <x:v>Needle</x:v>
      </x:c>
      <x:c r="J21" s="18" t="str">
        <x:v>Consumable</x:v>
      </x:c>
      <x:c r="K21" s="18" t="str">
        <x:v>ORGAN/風琴</x:v>
      </x:c>
      <x:c r="L21" s="18" t="str">
        <x:v>Multi-needle / Chainstitch</x:v>
      </x:c>
      <x:c r="M21" s="20" t="n">
        <x:v>100</x:v>
      </x:c>
      <x:c r="N21" s="18" t="str">
        <x:v>包</x:v>
      </x:c>
      <x:c r="O21" s="21" t="n">
        <x:v>1.78</x:v>
      </x:c>
      <x:c r="P21" s="21" t="n">
        <x:f>M21*O21</x:f>
        <x:v>178</x:v>
      </x:c>
      <x:c r="Q21" s="21" t="n">
        <x:v>178</x:v>
      </x:c>
      <x:c r="R21" s="21" t="n">
        <x:f>P21-Q21</x:f>
        <x:v>0</x:v>
      </x:c>
      <x:c r="S21" s="18" t="str">
        <x:v>Yes</x:v>
      </x:c>
      <x:c r="T21" s="18" t="str">
        <x:v>High</x:v>
      </x:c>
      <x:c r="U21" s="18" t="str">
        <x:v>Yi New Sewing Machine_Jan.'26.pdf</x:v>
      </x:c>
      <x:c r="V21" s="18" t="n">
        <x:v>1</x:v>
      </x:c>
      <x:c r="W21" s="18" t="str"/>
    </x:row>
    <x:row r="22">
      <x:c r="A22" s="18" t="str">
        <x:v>2026-01</x:v>
      </x:c>
      <x:c r="B22" s="19" t="n">
        <x:v>46042</x:v>
      </x:c>
      <x:c r="C22" s="18" t="str">
        <x:v>YI-000100</x:v>
      </x:c>
      <x:c r="D22" s="18" t="str">
        <x:v>YI NEW SEWING MACHINE CO., LTD</x:v>
      </x:c>
      <x:c r="E22" s="18" t="str">
        <x:v>Organ : DCx27#12</x:v>
      </x:c>
      <x:c r="F22" s="18" t="str">
        <x:v>ND-DCX27-12</x:v>
      </x:c>
      <x:c r="G22" s="18" t="str">
        <x:v>風琴機針 DCx27 #12</x:v>
      </x:c>
      <x:c r="H22" s="18" t="str">
        <x:v>DCx27 #12</x:v>
      </x:c>
      <x:c r="I22" s="18" t="str">
        <x:v>Needle</x:v>
      </x:c>
      <x:c r="J22" s="18" t="str">
        <x:v>Consumable</x:v>
      </x:c>
      <x:c r="K22" s="18" t="str">
        <x:v>ORGAN/風琴</x:v>
      </x:c>
      <x:c r="L22" s="18" t="str">
        <x:v>Overlock</x:v>
      </x:c>
      <x:c r="M22" s="20" t="n">
        <x:v>100</x:v>
      </x:c>
      <x:c r="N22" s="18" t="str">
        <x:v>包</x:v>
      </x:c>
      <x:c r="O22" s="21" t="n">
        <x:v>1.3</x:v>
      </x:c>
      <x:c r="P22" s="21" t="n">
        <x:f>M22*O22</x:f>
        <x:v>130</x:v>
      </x:c>
      <x:c r="Q22" s="21" t="n">
        <x:v>130</x:v>
      </x:c>
      <x:c r="R22" s="21" t="n">
        <x:f>P22-Q22</x:f>
        <x:v>0</x:v>
      </x:c>
      <x:c r="S22" s="18" t="str">
        <x:v>Yes</x:v>
      </x:c>
      <x:c r="T22" s="18" t="str">
        <x:v>High</x:v>
      </x:c>
      <x:c r="U22" s="18" t="str">
        <x:v>Yi New Sewing Machine_Jan.'26.pdf</x:v>
      </x:c>
      <x:c r="V22" s="18" t="n">
        <x:v>1</x:v>
      </x:c>
      <x:c r="W22" s="18" t="str"/>
    </x:row>
    <x:row r="23">
      <x:c r="A23" s="18" t="str">
        <x:v>2026-01</x:v>
      </x:c>
      <x:c r="B23" s="19" t="n">
        <x:v>46042</x:v>
      </x:c>
      <x:c r="C23" s="18" t="str">
        <x:v>YI-000100</x:v>
      </x:c>
      <x:c r="D23" s="18" t="str">
        <x:v>YI NEW SEWING MACHINE CO., LTD</x:v>
      </x:c>
      <x:c r="E23" s="18" t="str">
        <x:v>505c3-224組-10in</x:v>
      </x:c>
      <x:c r="F23" s="18" t="str">
        <x:v>CT-505C3-224-10IN</x:v>
      </x:c>
      <x:c r="G23" s="18" t="str">
        <x:v>505C3-224組 10吋</x:v>
      </x:c>
      <x:c r="H23" s="18" t="str">
        <x:v>505C3-224, 10in</x:v>
      </x:c>
      <x:c r="I23" s="18" t="str">
        <x:v>Cutting</x:v>
      </x:c>
      <x:c r="J23" s="18" t="str">
        <x:v>Spare Part</x:v>
      </x:c>
      <x:c r="K23" s="18" t="str"/>
      <x:c r="L23" s="18" t="str">
        <x:v>Cutting Machine</x:v>
      </x:c>
      <x:c r="M23" s="20" t="n">
        <x:v>2</x:v>
      </x:c>
      <x:c r="N23" s="18" t="str">
        <x:v>個</x:v>
      </x:c>
      <x:c r="O23" s="21" t="n">
        <x:v>50</x:v>
      </x:c>
      <x:c r="P23" s="21" t="n">
        <x:f>M23*O23</x:f>
        <x:v>100</x:v>
      </x:c>
      <x:c r="Q23" s="21" t="n">
        <x:v>100</x:v>
      </x:c>
      <x:c r="R23" s="21" t="n">
        <x:f>P23-Q23</x:f>
        <x:v>0</x:v>
      </x:c>
      <x:c r="S23" s="18" t="str">
        <x:v>Yes</x:v>
      </x:c>
      <x:c r="T23" s="18" t="str">
        <x:v>Medium</x:v>
      </x:c>
      <x:c r="U23" s="18" t="str">
        <x:v>Yi New Sewing Machine_Jan.'26.pdf</x:v>
      </x:c>
      <x:c r="V23" s="18" t="n">
        <x:v>1</x:v>
      </x:c>
      <x:c r="W23" s="18" t="str">
        <x:v>原始品名保留；建議補機型與實物照片</x:v>
      </x:c>
    </x:row>
    <x:row r="24">
      <x:c r="A24" s="18" t="str">
        <x:v>2026-01</x:v>
      </x:c>
      <x:c r="B24" s="19" t="n">
        <x:v>46043</x:v>
      </x:c>
      <x:c r="C24" s="18" t="str">
        <x:v>YI-000101</x:v>
      </x:c>
      <x:c r="D24" s="18" t="str">
        <x:v>YI NEW SEWING MACHINE CO., LTD</x:v>
      </x:c>
      <x:c r="E24" s="18" t="str">
        <x:v>噴頭型530全能水</x:v>
      </x:c>
      <x:c r="F24" s="18" t="str">
        <x:v>CH-530-CLEANER-SPRAY</x:v>
      </x:c>
      <x:c r="G24" s="18" t="str">
        <x:v>530噴頭型全能水</x:v>
      </x:c>
      <x:c r="H24" s="18" t="str">
        <x:v>530</x:v>
      </x:c>
      <x:c r="I24" s="18" t="str">
        <x:v>Consumable/Chemical</x:v>
      </x:c>
      <x:c r="J24" s="18" t="str">
        <x:v>Consumable</x:v>
      </x:c>
      <x:c r="K24" s="18" t="str"/>
      <x:c r="L24" s="18" t="str">
        <x:v>Cleaning</x:v>
      </x:c>
      <x:c r="M24" s="20" t="n">
        <x:v>2</x:v>
      </x:c>
      <x:c r="N24" s="18" t="str">
        <x:v>瓶</x:v>
      </x:c>
      <x:c r="O24" s="21" t="n">
        <x:v>3.5</x:v>
      </x:c>
      <x:c r="P24" s="21" t="n">
        <x:f>M24*O24</x:f>
        <x:v>7</x:v>
      </x:c>
      <x:c r="Q24" s="21" t="n">
        <x:v>7</x:v>
      </x:c>
      <x:c r="R24" s="21" t="n">
        <x:f>P24-Q24</x:f>
        <x:v>0</x:v>
      </x:c>
      <x:c r="S24" s="18" t="str">
        <x:v>Yes</x:v>
      </x:c>
      <x:c r="T24" s="18" t="str">
        <x:v>High</x:v>
      </x:c>
      <x:c r="U24" s="18" t="str">
        <x:v>Yi New Sewing Machine_Jan.'26.pdf</x:v>
      </x:c>
      <x:c r="V24" s="18" t="n">
        <x:v>1</x:v>
      </x:c>
      <x:c r="W24" s="18" t="str"/>
    </x:row>
    <x:row r="25">
      <x:c r="A25" s="18" t="str">
        <x:v>2026-01</x:v>
      </x:c>
      <x:c r="B25" s="19" t="n">
        <x:v>46045</x:v>
      </x:c>
      <x:c r="C25" s="18" t="str">
        <x:v>YI-000102</x:v>
      </x:c>
      <x:c r="D25" s="18" t="str">
        <x:v>YI NEW SEWING MACHINE CO., LTD</x:v>
      </x:c>
      <x:c r="E25" s="18" t="str">
        <x:v>裁床不鏽鋼齒型花邊大剪刀9寸</x:v>
      </x:c>
      <x:c r="F25" s="18" t="str">
        <x:v>CT-SCISSOR-ZIGZAG-9IN</x:v>
      </x:c>
      <x:c r="G25" s="18" t="str">
        <x:v>裁床不鏽鋼齒型花邊大剪刀</x:v>
      </x:c>
      <x:c r="H25" s="18" t="str">
        <x:v>9 inch</x:v>
      </x:c>
      <x:c r="I25" s="18" t="str">
        <x:v>Cutting</x:v>
      </x:c>
      <x:c r="J25" s="18" t="str">
        <x:v>Tool</x:v>
      </x:c>
      <x:c r="K25" s="18" t="str"/>
      <x:c r="L25" s="18" t="str">
        <x:v>Cutting</x:v>
      </x:c>
      <x:c r="M25" s="20" t="n">
        <x:v>1</x:v>
      </x:c>
      <x:c r="N25" s="18" t="str">
        <x:v>把</x:v>
      </x:c>
      <x:c r="O25" s="21" t="n">
        <x:v>25</x:v>
      </x:c>
      <x:c r="P25" s="21" t="n">
        <x:f>M25*O25</x:f>
        <x:v>25</x:v>
      </x:c>
      <x:c r="Q25" s="21" t="n">
        <x:v>25</x:v>
      </x:c>
      <x:c r="R25" s="21" t="n">
        <x:f>P25-Q25</x:f>
        <x:v>0</x:v>
      </x:c>
      <x:c r="S25" s="18" t="str">
        <x:v>Yes</x:v>
      </x:c>
      <x:c r="T25" s="18" t="str">
        <x:v>High</x:v>
      </x:c>
      <x:c r="U25" s="18" t="str">
        <x:v>Yi New Sewing Machine_Jan.'26.pdf</x:v>
      </x:c>
      <x:c r="V25" s="18" t="n">
        <x:v>1</x:v>
      </x:c>
      <x:c r="W25" s="18" t="str"/>
    </x:row>
    <x:row r="26">
      <x:c r="A26" s="18" t="str">
        <x:v>2026-01</x:v>
      </x:c>
      <x:c r="B26" s="19" t="n">
        <x:v>46051</x:v>
      </x:c>
      <x:c r="C26" s="18" t="str">
        <x:v>YI-000103</x:v>
      </x:c>
      <x:c r="D26" s="18" t="str">
        <x:v>YI NEW SEWING MACHINE CO., LTD</x:v>
      </x:c>
      <x:c r="E26" s="18" t="str">
        <x:v>ORGAN: UYx128 #11</x:v>
      </x:c>
      <x:c r="F26" s="18" t="str">
        <x:v>ND-UYX128-11</x:v>
      </x:c>
      <x:c r="G26" s="18" t="str">
        <x:v>風琴機針 UYx128 #11</x:v>
      </x:c>
      <x:c r="H26" s="18" t="str">
        <x:v>UYx128 #11</x:v>
      </x:c>
      <x:c r="I26" s="18" t="str">
        <x:v>Needle</x:v>
      </x:c>
      <x:c r="J26" s="18" t="str">
        <x:v>Consumable</x:v>
      </x:c>
      <x:c r="K26" s="18" t="str">
        <x:v>ORGAN/風琴</x:v>
      </x:c>
      <x:c r="L26" s="18" t="str">
        <x:v>Multi-needle / Chainstitch</x:v>
      </x:c>
      <x:c r="M26" s="20" t="n">
        <x:v>100</x:v>
      </x:c>
      <x:c r="N26" s="18" t="str">
        <x:v>包</x:v>
      </x:c>
      <x:c r="O26" s="21" t="n">
        <x:v>1.78</x:v>
      </x:c>
      <x:c r="P26" s="21" t="n">
        <x:f>M26*O26</x:f>
        <x:v>178</x:v>
      </x:c>
      <x:c r="Q26" s="21" t="n">
        <x:v>178</x:v>
      </x:c>
      <x:c r="R26" s="21" t="n">
        <x:f>P26-Q26</x:f>
        <x:v>0</x:v>
      </x:c>
      <x:c r="S26" s="18" t="str">
        <x:v>Yes</x:v>
      </x:c>
      <x:c r="T26" s="18" t="str">
        <x:v>High</x:v>
      </x:c>
      <x:c r="U26" s="18" t="str">
        <x:v>Yi New Sewing Machine_Jan.'26.pdf</x:v>
      </x:c>
      <x:c r="V26" s="18" t="n">
        <x:v>1</x:v>
      </x:c>
      <x:c r="W26" s="18" t="str"/>
    </x:row>
    <x:row r="27">
      <x:c r="A27" s="18" t="str">
        <x:v>2026-01</x:v>
      </x:c>
      <x:c r="B27" s="19" t="n">
        <x:v>46051</x:v>
      </x:c>
      <x:c r="C27" s="18" t="str">
        <x:v>YI-000103</x:v>
      </x:c>
      <x:c r="D27" s="18" t="str">
        <x:v>YI NEW SEWING MACHINE CO., LTD</x:v>
      </x:c>
      <x:c r="E27" s="18" t="str">
        <x:v>ORGAN DCx27 #12</x:v>
      </x:c>
      <x:c r="F27" s="18" t="str">
        <x:v>ND-DCX27-12</x:v>
      </x:c>
      <x:c r="G27" s="18" t="str">
        <x:v>風琴機針 DCx27 #12</x:v>
      </x:c>
      <x:c r="H27" s="18" t="str">
        <x:v>DCx27 #12</x:v>
      </x:c>
      <x:c r="I27" s="18" t="str">
        <x:v>Needle</x:v>
      </x:c>
      <x:c r="J27" s="18" t="str">
        <x:v>Consumable</x:v>
      </x:c>
      <x:c r="K27" s="18" t="str">
        <x:v>ORGAN/風琴</x:v>
      </x:c>
      <x:c r="L27" s="18" t="str">
        <x:v>Overlock</x:v>
      </x:c>
      <x:c r="M27" s="20" t="n">
        <x:v>100</x:v>
      </x:c>
      <x:c r="N27" s="18" t="str">
        <x:v>包</x:v>
      </x:c>
      <x:c r="O27" s="21" t="n">
        <x:v>1.3</x:v>
      </x:c>
      <x:c r="P27" s="21" t="n">
        <x:f>M27*O27</x:f>
        <x:v>130</x:v>
      </x:c>
      <x:c r="Q27" s="21" t="n">
        <x:v>130</x:v>
      </x:c>
      <x:c r="R27" s="21" t="n">
        <x:f>P27-Q27</x:f>
        <x:v>0</x:v>
      </x:c>
      <x:c r="S27" s="18" t="str">
        <x:v>Yes</x:v>
      </x:c>
      <x:c r="T27" s="18" t="str">
        <x:v>High</x:v>
      </x:c>
      <x:c r="U27" s="18" t="str">
        <x:v>Yi New Sewing Machine_Jan.'26.pdf</x:v>
      </x:c>
      <x:c r="V27" s="18" t="n">
        <x:v>1</x:v>
      </x:c>
      <x:c r="W27" s="18" t="str"/>
    </x:row>
    <x:row r="28">
      <x:c r="A28" s="18" t="str">
        <x:v>2026-02</x:v>
      </x:c>
      <x:c r="B28" s="19" t="n">
        <x:v>46055</x:v>
      </x:c>
      <x:c r="C28" s="18" t="str">
        <x:v>YI-000105</x:v>
      </x:c>
      <x:c r="D28" s="18" t="str">
        <x:v>YI NEW SEWING MACHINE CO., LTD</x:v>
      </x:c>
      <x:c r="E28" s="18" t="str">
        <x:v>鐵氟龍條-1.0/mm</x:v>
      </x:c>
      <x:c r="F28" s="18" t="str">
        <x:v>CN-TEFLON-STRIP-1MM</x:v>
      </x:c>
      <x:c r="G28" s="18" t="str">
        <x:v>鐵氟龍條</x:v>
      </x:c>
      <x:c r="H28" s="18" t="str">
        <x:v>1.0 mm</x:v>
      </x:c>
      <x:c r="I28" s="18" t="str">
        <x:v>Consumable/Chemical</x:v>
      </x:c>
      <x:c r="J28" s="18" t="str">
        <x:v>Consumable</x:v>
      </x:c>
      <x:c r="K28" s="18" t="str">
        <x:v>Teflon</x:v>
      </x:c>
      <x:c r="L28" s="18" t="str">
        <x:v>Ironing/Sealing</x:v>
      </x:c>
      <x:c r="M28" s="20" t="n">
        <x:v>20</x:v>
      </x:c>
      <x:c r="N28" s="18" t="str">
        <x:v>條</x:v>
      </x:c>
      <x:c r="O28" s="21" t="n">
        <x:v>1.8</x:v>
      </x:c>
      <x:c r="P28" s="21" t="n">
        <x:f>M28*O28</x:f>
        <x:v>36</x:v>
      </x:c>
      <x:c r="Q28" s="21" t="n">
        <x:v>36</x:v>
      </x:c>
      <x:c r="R28" s="21" t="n">
        <x:f>P28-Q28</x:f>
        <x:v>0</x:v>
      </x:c>
      <x:c r="S28" s="18" t="str">
        <x:v>Yes</x:v>
      </x:c>
      <x:c r="T28" s="18" t="str">
        <x:v>High</x:v>
      </x:c>
      <x:c r="U28" s="18" t="str">
        <x:v>Yi New Sewing Machine_Feb.'26.pdf</x:v>
      </x:c>
      <x:c r="V28" s="18" t="n">
        <x:v>1</x:v>
      </x:c>
      <x:c r="W28" s="18" t="str"/>
    </x:row>
    <x:row r="29">
      <x:c r="A29" s="18" t="str">
        <x:v>2026-02</x:v>
      </x:c>
      <x:c r="B29" s="19" t="n">
        <x:v>46055</x:v>
      </x:c>
      <x:c r="C29" s="18" t="str">
        <x:v>YI-000105</x:v>
      </x:c>
      <x:c r="D29" s="18" t="str">
        <x:v>YI NEW SEWING MACHINE CO., LTD</x:v>
      </x:c>
      <x:c r="E29" s="18" t="str">
        <x:v>電工膠布</x:v>
      </x:c>
      <x:c r="F29" s="18" t="str">
        <x:v>EL-INSULATION-TAPE</x:v>
      </x:c>
      <x:c r="G29" s="18" t="str">
        <x:v>電工膠布</x:v>
      </x:c>
      <x:c r="H29" s="18" t="str">
        <x:v>Electrical Tape</x:v>
      </x:c>
      <x:c r="I29" s="18" t="str">
        <x:v>Electrical/Control</x:v>
      </x:c>
      <x:c r="J29" s="18" t="str">
        <x:v>Consumable</x:v>
      </x:c>
      <x:c r="K29" s="18" t="str"/>
      <x:c r="L29" s="18" t="str">
        <x:v>Electrical</x:v>
      </x:c>
      <x:c r="M29" s="20" t="n">
        <x:v>10</x:v>
      </x:c>
      <x:c r="N29" s="18" t="str">
        <x:v>卷</x:v>
      </x:c>
      <x:c r="O29" s="21" t="n">
        <x:v>5</x:v>
      </x:c>
      <x:c r="P29" s="21" t="n">
        <x:f>M29*O29</x:f>
        <x:v>50</x:v>
      </x:c>
      <x:c r="Q29" s="21" t="n">
        <x:v>50</x:v>
      </x:c>
      <x:c r="R29" s="21" t="n">
        <x:f>P29-Q29</x:f>
        <x:v>0</x:v>
      </x:c>
      <x:c r="S29" s="18" t="str">
        <x:v>Yes</x:v>
      </x:c>
      <x:c r="T29" s="18" t="str">
        <x:v>High</x:v>
      </x:c>
      <x:c r="U29" s="18" t="str">
        <x:v>Yi New Sewing Machine_Feb.'26.pdf</x:v>
      </x:c>
      <x:c r="V29" s="18" t="n">
        <x:v>1</x:v>
      </x:c>
      <x:c r="W29" s="18" t="str"/>
    </x:row>
    <x:row r="30">
      <x:c r="A30" s="18" t="str">
        <x:v>2026-02</x:v>
      </x:c>
      <x:c r="B30" s="19" t="n">
        <x:v>46055</x:v>
      </x:c>
      <x:c r="C30" s="18" t="str">
        <x:v>YI-000105</x:v>
      </x:c>
      <x:c r="D30" s="18" t="str">
        <x:v>YI NEW SEWING MACHINE CO., LTD</x:v>
      </x:c>
      <x:c r="E30" s="18" t="str">
        <x:v>維修:1790電子鎖眼IC主板</x:v>
      </x:c>
      <x:c r="F30" s="18" t="str">
        <x:v>EL-JUKI1790-IC-BOARD</x:v>
      </x:c>
      <x:c r="G30" s="18" t="str">
        <x:v>1790電子鎖眼機 IC 主板</x:v>
      </x:c>
      <x:c r="H30" s="18" t="str">
        <x:v>JUKI 1790</x:v>
      </x:c>
      <x:c r="I30" s="18" t="str">
        <x:v>Electrical/Control</x:v>
      </x:c>
      <x:c r="J30" s="18" t="str">
        <x:v>Spare Part</x:v>
      </x:c>
      <x:c r="K30" s="18" t="str">
        <x:v>JUKI</x:v>
      </x:c>
      <x:c r="L30" s="18" t="str">
        <x:v>Buttonhole</x:v>
      </x:c>
      <x:c r="M30" s="20" t="n">
        <x:v>1</x:v>
      </x:c>
      <x:c r="N30" s="18" t="str">
        <x:v>板</x:v>
      </x:c>
      <x:c r="O30" s="21" t="n">
        <x:v>120</x:v>
      </x:c>
      <x:c r="P30" s="21" t="n">
        <x:f>M30*O30</x:f>
        <x:v>120</x:v>
      </x:c>
      <x:c r="Q30" s="21" t="n">
        <x:v>120</x:v>
      </x:c>
      <x:c r="R30" s="21" t="n">
        <x:f>P30-Q30</x:f>
        <x:v>0</x:v>
      </x:c>
      <x:c r="S30" s="18" t="str">
        <x:v>Yes</x:v>
      </x:c>
      <x:c r="T30" s="18" t="str">
        <x:v>High</x:v>
      </x:c>
      <x:c r="U30" s="18" t="str">
        <x:v>Yi New Sewing Machine_Feb.'26.pdf</x:v>
      </x:c>
      <x:c r="V30" s="18" t="n">
        <x:v>1</x:v>
      </x:c>
      <x:c r="W30" s="18" t="str"/>
    </x:row>
    <x:row r="31">
      <x:c r="A31" s="18" t="str">
        <x:v>2026-02</x:v>
      </x:c>
      <x:c r="B31" s="19" t="n">
        <x:v>46057</x:v>
      </x:c>
      <x:c r="C31" s="18" t="str">
        <x:v>YI-000106</x:v>
      </x:c>
      <x:c r="D31" s="18" t="str">
        <x:v>YI NEW SEWING MACHINE CO., LTD</x:v>
      </x:c>
      <x:c r="E31" s="18" t="str">
        <x:v>風琴: UOx113 #14</x:v>
      </x:c>
      <x:c r="F31" s="18" t="str">
        <x:v>ND-UOX113-14</x:v>
      </x:c>
      <x:c r="G31" s="18" t="str">
        <x:v>風琴機針 UOx113 #14</x:v>
      </x:c>
      <x:c r="H31" s="18" t="str">
        <x:v>UOx113 #14</x:v>
      </x:c>
      <x:c r="I31" s="18" t="str">
        <x:v>Needle</x:v>
      </x:c>
      <x:c r="J31" s="18" t="str">
        <x:v>Consumable</x:v>
      </x:c>
      <x:c r="K31" s="18" t="str">
        <x:v>ORGAN/風琴</x:v>
      </x:c>
      <x:c r="L31" s="18" t="str">
        <x:v>Multi-needle</x:v>
      </x:c>
      <x:c r="M31" s="20" t="n">
        <x:v>50</x:v>
      </x:c>
      <x:c r="N31" s="18" t="str">
        <x:v>包</x:v>
      </x:c>
      <x:c r="O31" s="21" t="n">
        <x:v>3</x:v>
      </x:c>
      <x:c r="P31" s="21" t="n">
        <x:f>M31*O31</x:f>
        <x:v>150</x:v>
      </x:c>
      <x:c r="Q31" s="21" t="n">
        <x:v>150</x:v>
      </x:c>
      <x:c r="R31" s="21" t="n">
        <x:f>P31-Q31</x:f>
        <x:v>0</x:v>
      </x:c>
      <x:c r="S31" s="18" t="str">
        <x:v>Yes</x:v>
      </x:c>
      <x:c r="T31" s="18" t="str">
        <x:v>High</x:v>
      </x:c>
      <x:c r="U31" s="18" t="str">
        <x:v>Yi New Sewing Machine_Feb.'26.pdf</x:v>
      </x:c>
      <x:c r="V31" s="18" t="n">
        <x:v>1</x:v>
      </x:c>
      <x:c r="W31" s="18" t="str"/>
    </x:row>
    <x:row r="32">
      <x:c r="A32" s="18" t="str">
        <x:v>2026-02</x:v>
      </x:c>
      <x:c r="B32" s="19" t="n">
        <x:v>46060</x:v>
      </x:c>
      <x:c r="C32" s="18" t="str">
        <x:v>YI-000107</x:v>
      </x:c>
      <x:c r="D32" s="18" t="str">
        <x:v>YI NEW SEWING MACHINE CO., LTD</x:v>
      </x:c>
      <x:c r="E32" s="18" t="str">
        <x:v>JJW-830</x:v>
      </x:c>
      <x:c r="F32" s="18" t="str">
        <x:v>CH-JJW830</x:v>
      </x:c>
      <x:c r="G32" s="18" t="str">
        <x:v>JJW-830</x:v>
      </x:c>
      <x:c r="H32" s="18" t="str">
        <x:v>JJW-830</x:v>
      </x:c>
      <x:c r="I32" s="18" t="str">
        <x:v>Consumable/Chemical</x:v>
      </x:c>
      <x:c r="J32" s="18" t="str">
        <x:v>Consumable</x:v>
      </x:c>
      <x:c r="K32" s="18" t="str"/>
      <x:c r="L32" s="18" t="str">
        <x:v>Maintenance</x:v>
      </x:c>
      <x:c r="M32" s="20" t="n">
        <x:v>48</x:v>
      </x:c>
      <x:c r="N32" s="18" t="str">
        <x:v>瓶</x:v>
      </x:c>
      <x:c r="O32" s="21" t="n">
        <x:v>2.8</x:v>
      </x:c>
      <x:c r="P32" s="21" t="n">
        <x:f>M32*O32</x:f>
        <x:v>134.39999999999998</x:v>
      </x:c>
      <x:c r="Q32" s="21" t="n">
        <x:v>134.4</x:v>
      </x:c>
      <x:c r="R32" s="21" t="n">
        <x:f>P32-Q32</x:f>
        <x:v>-2.842170943040401e-14</x:v>
      </x:c>
      <x:c r="S32" s="18" t="str">
        <x:v>Yes</x:v>
      </x:c>
      <x:c r="T32" s="18" t="str">
        <x:v>High</x:v>
      </x:c>
      <x:c r="U32" s="18" t="str">
        <x:v>Yi New Sewing Machine_Feb.'26.pdf</x:v>
      </x:c>
      <x:c r="V32" s="18" t="n">
        <x:v>1</x:v>
      </x:c>
      <x:c r="W32" s="18" t="str"/>
    </x:row>
    <x:row r="33">
      <x:c r="A33" s="18" t="str">
        <x:v>2026-02</x:v>
      </x:c>
      <x:c r="B33" s="19" t="n">
        <x:v>46060</x:v>
      </x:c>
      <x:c r="C33" s="18" t="str">
        <x:v>YI-000107</x:v>
      </x:c>
      <x:c r="D33" s="18" t="str">
        <x:v>YI NEW SEWING MACHINE CO., LTD</x:v>
      </x:c>
      <x:c r="E33" s="18" t="str">
        <x:v>環球沙剪</x:v>
      </x:c>
      <x:c r="F33" s="18" t="str">
        <x:v>TL-THREAD-SNIP-GLOBE</x:v>
      </x:c>
      <x:c r="G33" s="18" t="str">
        <x:v>環球沙剪</x:v>
      </x:c>
      <x:c r="H33" s="18" t="str">
        <x:v>Thread Snip</x:v>
      </x:c>
      <x:c r="I33" s="18" t="str">
        <x:v>Tools</x:v>
      </x:c>
      <x:c r="J33" s="18" t="str">
        <x:v>Tool</x:v>
      </x:c>
      <x:c r="K33" s="18" t="str">
        <x:v>環球</x:v>
      </x:c>
      <x:c r="L33" s="18" t="str">
        <x:v>Sewing</x:v>
      </x:c>
      <x:c r="M33" s="20" t="n">
        <x:v>10</x:v>
      </x:c>
      <x:c r="N33" s="18" t="str">
        <x:v>打</x:v>
      </x:c>
      <x:c r="O33" s="21" t="n">
        <x:v>2.3</x:v>
      </x:c>
      <x:c r="P33" s="21" t="n">
        <x:f>M33*O33</x:f>
        <x:v>23</x:v>
      </x:c>
      <x:c r="Q33" s="21" t="n">
        <x:v>23</x:v>
      </x:c>
      <x:c r="R33" s="21" t="n">
        <x:f>P33-Q33</x:f>
        <x:v>0</x:v>
      </x:c>
      <x:c r="S33" s="18" t="str">
        <x:v>Yes</x:v>
      </x:c>
      <x:c r="T33" s="18" t="str">
        <x:v>High</x:v>
      </x:c>
      <x:c r="U33" s="18" t="str">
        <x:v>Yi New Sewing Machine_Feb.'26.pdf</x:v>
      </x:c>
      <x:c r="V33" s="18" t="n">
        <x:v>1</x:v>
      </x:c>
      <x:c r="W33" s="18" t="str"/>
    </x:row>
    <x:row r="34">
      <x:c r="A34" s="18" t="str">
        <x:v>2026-02</x:v>
      </x:c>
      <x:c r="B34" s="19" t="n">
        <x:v>46062</x:v>
      </x:c>
      <x:c r="C34" s="18" t="str">
        <x:v>YI-000108</x:v>
      </x:c>
      <x:c r="D34" s="18" t="str">
        <x:v>YI NEW SEWING MACHINE CO., LTD</x:v>
      </x:c>
      <x:c r="E34" s="18" t="str">
        <x:v>風琴: UOx113 #14</x:v>
      </x:c>
      <x:c r="F34" s="18" t="str">
        <x:v>ND-UOX113-14</x:v>
      </x:c>
      <x:c r="G34" s="18" t="str">
        <x:v>風琴機針 UOx113 #14</x:v>
      </x:c>
      <x:c r="H34" s="18" t="str">
        <x:v>UOx113 #14</x:v>
      </x:c>
      <x:c r="I34" s="18" t="str">
        <x:v>Needle</x:v>
      </x:c>
      <x:c r="J34" s="18" t="str">
        <x:v>Consumable</x:v>
      </x:c>
      <x:c r="K34" s="18" t="str">
        <x:v>ORGAN/風琴</x:v>
      </x:c>
      <x:c r="L34" s="18" t="str">
        <x:v>Multi-needle</x:v>
      </x:c>
      <x:c r="M34" s="20" t="n">
        <x:v>150</x:v>
      </x:c>
      <x:c r="N34" s="18" t="str">
        <x:v>包</x:v>
      </x:c>
      <x:c r="O34" s="21" t="n">
        <x:v>3</x:v>
      </x:c>
      <x:c r="P34" s="21" t="n">
        <x:f>M34*O34</x:f>
        <x:v>450</x:v>
      </x:c>
      <x:c r="Q34" s="21" t="n">
        <x:v>450</x:v>
      </x:c>
      <x:c r="R34" s="21" t="n">
        <x:f>P34-Q34</x:f>
        <x:v>0</x:v>
      </x:c>
      <x:c r="S34" s="18" t="str">
        <x:v>Yes</x:v>
      </x:c>
      <x:c r="T34" s="18" t="str">
        <x:v>High</x:v>
      </x:c>
      <x:c r="U34" s="18" t="str">
        <x:v>Yi New Sewing Machine_Feb.'26.pdf</x:v>
      </x:c>
      <x:c r="V34" s="18" t="n">
        <x:v>1</x:v>
      </x:c>
      <x:c r="W34" s="18" t="str"/>
    </x:row>
    <x:row r="35">
      <x:c r="A35" s="18" t="str">
        <x:v>2026-02</x:v>
      </x:c>
      <x:c r="B35" s="19" t="n">
        <x:v>46065</x:v>
      </x:c>
      <x:c r="C35" s="18" t="str">
        <x:v>YI-000109</x:v>
      </x:c>
      <x:c r="D35" s="18" t="str">
        <x:v>YI NEW SEWING MACHINE CO., LTD</x:v>
      </x:c>
      <x:c r="E35" s="18" t="str">
        <x:v>ORGAN: DBx1 #14</x:v>
      </x:c>
      <x:c r="F35" s="18" t="str">
        <x:v>ND-DBX1-14</x:v>
      </x:c>
      <x:c r="G35" s="18" t="str">
        <x:v>風琴機針 DBx1 #14</x:v>
      </x:c>
      <x:c r="H35" s="18" t="str">
        <x:v>DBx1 #14</x:v>
      </x:c>
      <x:c r="I35" s="18" t="str">
        <x:v>Needle</x:v>
      </x:c>
      <x:c r="J35" s="18" t="str">
        <x:v>Consumable</x:v>
      </x:c>
      <x:c r="K35" s="18" t="str">
        <x:v>ORGAN/風琴</x:v>
      </x:c>
      <x:c r="L35" s="18" t="str">
        <x:v>Single Needle</x:v>
      </x:c>
      <x:c r="M35" s="20" t="n">
        <x:v>100</x:v>
      </x:c>
      <x:c r="N35" s="18" t="str">
        <x:v>包</x:v>
      </x:c>
      <x:c r="O35" s="21" t="n">
        <x:v>0.78</x:v>
      </x:c>
      <x:c r="P35" s="21" t="n">
        <x:f>M35*O35</x:f>
        <x:v>78</x:v>
      </x:c>
      <x:c r="Q35" s="21" t="n">
        <x:v>78</x:v>
      </x:c>
      <x:c r="R35" s="21" t="n">
        <x:f>P35-Q35</x:f>
        <x:v>0</x:v>
      </x:c>
      <x:c r="S35" s="18" t="str">
        <x:v>Yes</x:v>
      </x:c>
      <x:c r="T35" s="18" t="str">
        <x:v>High</x:v>
      </x:c>
      <x:c r="U35" s="18" t="str">
        <x:v>Yi New Sewing Machine_Feb.'26.pdf</x:v>
      </x:c>
      <x:c r="V35" s="18" t="n">
        <x:v>1</x:v>
      </x:c>
      <x:c r="W35" s="18" t="str"/>
    </x:row>
    <x:row r="36">
      <x:c r="A36" s="18" t="str">
        <x:v>2026-02</x:v>
      </x:c>
      <x:c r="B36" s="19" t="n">
        <x:v>46065</x:v>
      </x:c>
      <x:c r="C36" s="18" t="str">
        <x:v>YI-000109</x:v>
      </x:c>
      <x:c r="D36" s="18" t="str">
        <x:v>YI NEW SEWING MACHINE CO., LTD</x:v>
      </x:c>
      <x:c r="E36" s="18" t="str">
        <x:v>ORGAN: DBx1 #16</x:v>
      </x:c>
      <x:c r="F36" s="18" t="str">
        <x:v>ND-DBX1-16</x:v>
      </x:c>
      <x:c r="G36" s="18" t="str">
        <x:v>風琴機針 DBx1 #16</x:v>
      </x:c>
      <x:c r="H36" s="18" t="str">
        <x:v>DBx1 #16</x:v>
      </x:c>
      <x:c r="I36" s="18" t="str">
        <x:v>Needle</x:v>
      </x:c>
      <x:c r="J36" s="18" t="str">
        <x:v>Consumable</x:v>
      </x:c>
      <x:c r="K36" s="18" t="str">
        <x:v>ORGAN/風琴</x:v>
      </x:c>
      <x:c r="L36" s="18" t="str">
        <x:v>Single Needle</x:v>
      </x:c>
      <x:c r="M36" s="20" t="n">
        <x:v>100</x:v>
      </x:c>
      <x:c r="N36" s="18" t="str">
        <x:v>包</x:v>
      </x:c>
      <x:c r="O36" s="21" t="n">
        <x:v>0.78</x:v>
      </x:c>
      <x:c r="P36" s="21" t="n">
        <x:f>M36*O36</x:f>
        <x:v>78</x:v>
      </x:c>
      <x:c r="Q36" s="21" t="n">
        <x:v>78</x:v>
      </x:c>
      <x:c r="R36" s="21" t="n">
        <x:f>P36-Q36</x:f>
        <x:v>0</x:v>
      </x:c>
      <x:c r="S36" s="18" t="str">
        <x:v>Yes</x:v>
      </x:c>
      <x:c r="T36" s="18" t="str">
        <x:v>High</x:v>
      </x:c>
      <x:c r="U36" s="18" t="str">
        <x:v>Yi New Sewing Machine_Feb.'26.pdf</x:v>
      </x:c>
      <x:c r="V36" s="18" t="n">
        <x:v>1</x:v>
      </x:c>
      <x:c r="W36" s="18" t="str"/>
    </x:row>
    <x:row r="37">
      <x:c r="A37" s="18" t="str">
        <x:v>2026-02</x:v>
      </x:c>
      <x:c r="B37" s="19" t="n">
        <x:v>46065</x:v>
      </x:c>
      <x:c r="C37" s="18" t="str">
        <x:v>YI-000109</x:v>
      </x:c>
      <x:c r="D37" s="18" t="str">
        <x:v>YI NEW SEWING MACHINE CO., LTD</x:v>
      </x:c>
      <x:c r="E37" s="18" t="str">
        <x:v>Organ : DCx27 #14</x:v>
      </x:c>
      <x:c r="F37" s="18" t="str">
        <x:v>ND-DCX27-14</x:v>
      </x:c>
      <x:c r="G37" s="18" t="str">
        <x:v>風琴機針 DCx27 #14</x:v>
      </x:c>
      <x:c r="H37" s="18" t="str">
        <x:v>DCx27 #14</x:v>
      </x:c>
      <x:c r="I37" s="18" t="str">
        <x:v>Needle</x:v>
      </x:c>
      <x:c r="J37" s="18" t="str">
        <x:v>Consumable</x:v>
      </x:c>
      <x:c r="K37" s="18" t="str">
        <x:v>ORGAN/風琴</x:v>
      </x:c>
      <x:c r="L37" s="18" t="str">
        <x:v>Overlock</x:v>
      </x:c>
      <x:c r="M37" s="20" t="n">
        <x:v>100</x:v>
      </x:c>
      <x:c r="N37" s="18" t="str">
        <x:v>包</x:v>
      </x:c>
      <x:c r="O37" s="21" t="n">
        <x:v>1.3</x:v>
      </x:c>
      <x:c r="P37" s="21" t="n">
        <x:f>M37*O37</x:f>
        <x:v>130</x:v>
      </x:c>
      <x:c r="Q37" s="21" t="n">
        <x:v>130</x:v>
      </x:c>
      <x:c r="R37" s="21" t="n">
        <x:f>P37-Q37</x:f>
        <x:v>0</x:v>
      </x:c>
      <x:c r="S37" s="18" t="str">
        <x:v>Yes</x:v>
      </x:c>
      <x:c r="T37" s="18" t="str">
        <x:v>High</x:v>
      </x:c>
      <x:c r="U37" s="18" t="str">
        <x:v>Yi New Sewing Machine_Feb.'26.pdf</x:v>
      </x:c>
      <x:c r="V37" s="18" t="n">
        <x:v>1</x:v>
      </x:c>
      <x:c r="W37" s="18" t="str"/>
    </x:row>
    <x:row r="38">
      <x:c r="A38" s="18" t="str">
        <x:v>2026-02</x:v>
      </x:c>
      <x:c r="B38" s="19" t="n">
        <x:v>46065</x:v>
      </x:c>
      <x:c r="C38" s="18" t="str">
        <x:v>YI-000109</x:v>
      </x:c>
      <x:c r="D38" s="18" t="str">
        <x:v>YI NEW SEWING MACHINE CO., LTD</x:v>
      </x:c>
      <x:c r="E38" s="18" t="str">
        <x:v>Organ : DCx27 #16</x:v>
      </x:c>
      <x:c r="F38" s="18" t="str">
        <x:v>ND-DCX27-16</x:v>
      </x:c>
      <x:c r="G38" s="18" t="str">
        <x:v>風琴機針 DCx27 #16</x:v>
      </x:c>
      <x:c r="H38" s="18" t="str">
        <x:v>DCx27 #16</x:v>
      </x:c>
      <x:c r="I38" s="18" t="str">
        <x:v>Needle</x:v>
      </x:c>
      <x:c r="J38" s="18" t="str">
        <x:v>Consumable</x:v>
      </x:c>
      <x:c r="K38" s="18" t="str">
        <x:v>ORGAN/風琴</x:v>
      </x:c>
      <x:c r="L38" s="18" t="str">
        <x:v>Overlock</x:v>
      </x:c>
      <x:c r="M38" s="20" t="n">
        <x:v>100</x:v>
      </x:c>
      <x:c r="N38" s="18" t="str">
        <x:v>包</x:v>
      </x:c>
      <x:c r="O38" s="21" t="n">
        <x:v>1.3</x:v>
      </x:c>
      <x:c r="P38" s="21" t="n">
        <x:f>M38*O38</x:f>
        <x:v>130</x:v>
      </x:c>
      <x:c r="Q38" s="21" t="n">
        <x:v>130</x:v>
      </x:c>
      <x:c r="R38" s="21" t="n">
        <x:f>P38-Q38</x:f>
        <x:v>0</x:v>
      </x:c>
      <x:c r="S38" s="18" t="str">
        <x:v>Yes</x:v>
      </x:c>
      <x:c r="T38" s="18" t="str">
        <x:v>High</x:v>
      </x:c>
      <x:c r="U38" s="18" t="str">
        <x:v>Yi New Sewing Machine_Feb.'26.pdf</x:v>
      </x:c>
      <x:c r="V38" s="18" t="n">
        <x:v>1</x:v>
      </x:c>
      <x:c r="W38" s="18" t="str"/>
    </x:row>
    <x:row r="39">
      <x:c r="A39" s="18" t="str">
        <x:v>2026-02</x:v>
      </x:c>
      <x:c r="B39" s="19" t="n">
        <x:v>46065</x:v>
      </x:c>
      <x:c r="C39" s="18" t="str">
        <x:v>YI-000109</x:v>
      </x:c>
      <x:c r="D39" s="18" t="str">
        <x:v>YI NEW SEWING MACHINE CO., LTD</x:v>
      </x:c>
      <x:c r="E39" s="18" t="str">
        <x:v>Organ : DPx5 #14</x:v>
      </x:c>
      <x:c r="F39" s="18" t="str">
        <x:v>ND-DPX5-14</x:v>
      </x:c>
      <x:c r="G39" s="18" t="str">
        <x:v>風琴機針 DPx5 #14</x:v>
      </x:c>
      <x:c r="H39" s="18" t="str">
        <x:v>DPx5 #14</x:v>
      </x:c>
      <x:c r="I39" s="18" t="str">
        <x:v>Needle</x:v>
      </x:c>
      <x:c r="J39" s="18" t="str">
        <x:v>Consumable</x:v>
      </x:c>
      <x:c r="K39" s="18" t="str">
        <x:v>ORGAN/風琴</x:v>
      </x:c>
      <x:c r="L39" s="18" t="str">
        <x:v>Lockstitch</x:v>
      </x:c>
      <x:c r="M39" s="20" t="n">
        <x:v>100</x:v>
      </x:c>
      <x:c r="N39" s="18" t="str">
        <x:v>包</x:v>
      </x:c>
      <x:c r="O39" s="21" t="n">
        <x:v>0.78</x:v>
      </x:c>
      <x:c r="P39" s="21" t="n">
        <x:f>M39*O39</x:f>
        <x:v>78</x:v>
      </x:c>
      <x:c r="Q39" s="21" t="n">
        <x:v>78</x:v>
      </x:c>
      <x:c r="R39" s="21" t="n">
        <x:f>P39-Q39</x:f>
        <x:v>0</x:v>
      </x:c>
      <x:c r="S39" s="18" t="str">
        <x:v>Yes</x:v>
      </x:c>
      <x:c r="T39" s="18" t="str">
        <x:v>High</x:v>
      </x:c>
      <x:c r="U39" s="18" t="str">
        <x:v>Yi New Sewing Machine_Feb.'26.pdf</x:v>
      </x:c>
      <x:c r="V39" s="18" t="n">
        <x:v>1</x:v>
      </x:c>
      <x:c r="W39" s="18" t="str"/>
    </x:row>
    <x:row r="40">
      <x:c r="A40" s="18" t="str">
        <x:v>2026-02</x:v>
      </x:c>
      <x:c r="B40" s="19" t="n">
        <x:v>46065</x:v>
      </x:c>
      <x:c r="C40" s="18" t="str">
        <x:v>YI-000109</x:v>
      </x:c>
      <x:c r="D40" s="18" t="str">
        <x:v>YI NEW SEWING MACHINE CO., LTD</x:v>
      </x:c>
      <x:c r="E40" s="18" t="str">
        <x:v>Organ : DPx5 #16</x:v>
      </x:c>
      <x:c r="F40" s="18" t="str">
        <x:v>ND-DPX5-16</x:v>
      </x:c>
      <x:c r="G40" s="18" t="str">
        <x:v>風琴機針 DPx5 #16</x:v>
      </x:c>
      <x:c r="H40" s="18" t="str">
        <x:v>DPx5 #16</x:v>
      </x:c>
      <x:c r="I40" s="18" t="str">
        <x:v>Needle</x:v>
      </x:c>
      <x:c r="J40" s="18" t="str">
        <x:v>Consumable</x:v>
      </x:c>
      <x:c r="K40" s="18" t="str">
        <x:v>ORGAN/風琴</x:v>
      </x:c>
      <x:c r="L40" s="18" t="str">
        <x:v>Lockstitch</x:v>
      </x:c>
      <x:c r="M40" s="20" t="n">
        <x:v>100</x:v>
      </x:c>
      <x:c r="N40" s="18" t="str">
        <x:v>包</x:v>
      </x:c>
      <x:c r="O40" s="21" t="n">
        <x:v>0.78</x:v>
      </x:c>
      <x:c r="P40" s="21" t="n">
        <x:f>M40*O40</x:f>
        <x:v>78</x:v>
      </x:c>
      <x:c r="Q40" s="21" t="n">
        <x:v>78</x:v>
      </x:c>
      <x:c r="R40" s="21" t="n">
        <x:f>P40-Q40</x:f>
        <x:v>0</x:v>
      </x:c>
      <x:c r="S40" s="18" t="str">
        <x:v>Yes</x:v>
      </x:c>
      <x:c r="T40" s="18" t="str">
        <x:v>High</x:v>
      </x:c>
      <x:c r="U40" s="18" t="str">
        <x:v>Yi New Sewing Machine_Feb.'26.pdf</x:v>
      </x:c>
      <x:c r="V40" s="18" t="n">
        <x:v>1</x:v>
      </x:c>
      <x:c r="W40" s="18" t="str"/>
    </x:row>
    <x:row r="41">
      <x:c r="A41" s="18" t="str">
        <x:v>2026-02</x:v>
      </x:c>
      <x:c r="B41" s="19" t="n">
        <x:v>46067</x:v>
      </x:c>
      <x:c r="C41" s="18" t="str">
        <x:v>YI-000110</x:v>
      </x:c>
      <x:c r="D41" s="18" t="str">
        <x:v>YI NEW SEWING MACHINE CO., LTD</x:v>
      </x:c>
      <x:c r="E41" s="18" t="str">
        <x:v>SIRUBA-747KD馬達聯軸器</x:v>
      </x:c>
      <x:c r="F41" s="18" t="str">
        <x:v>MT-SIRUBA747KD-COUPLER</x:v>
      </x:c>
      <x:c r="G41" s="18" t="str">
        <x:v>SIRUBA-747KD 馬達聯軸器</x:v>
      </x:c>
      <x:c r="H41" s="18" t="str">
        <x:v>747KD</x:v>
      </x:c>
      <x:c r="I41" s="18" t="str">
        <x:v>Motor/Drive</x:v>
      </x:c>
      <x:c r="J41" s="18" t="str">
        <x:v>Spare Part</x:v>
      </x:c>
      <x:c r="K41" s="18" t="str">
        <x:v>SIRUBA</x:v>
      </x:c>
      <x:c r="L41" s="18" t="str">
        <x:v>Overlock</x:v>
      </x:c>
      <x:c r="M41" s="20" t="n">
        <x:v>20</x:v>
      </x:c>
      <x:c r="N41" s="18" t="str">
        <x:v>個</x:v>
      </x:c>
      <x:c r="O41" s="21" t="n">
        <x:v>9.5</x:v>
      </x:c>
      <x:c r="P41" s="21" t="n">
        <x:f>M41*O41</x:f>
        <x:v>190</x:v>
      </x:c>
      <x:c r="Q41" s="21" t="n">
        <x:v>190</x:v>
      </x:c>
      <x:c r="R41" s="21" t="n">
        <x:f>P41-Q41</x:f>
        <x:v>0</x:v>
      </x:c>
      <x:c r="S41" s="18" t="str">
        <x:v>Yes</x:v>
      </x:c>
      <x:c r="T41" s="18" t="str">
        <x:v>High</x:v>
      </x:c>
      <x:c r="U41" s="18" t="str">
        <x:v>Yi New Sewing Machine_Feb.'26.pdf</x:v>
      </x:c>
      <x:c r="V41" s="18" t="n">
        <x:v>1</x:v>
      </x:c>
      <x:c r="W41" s="18" t="str"/>
    </x:row>
    <x:row r="42">
      <x:c r="A42" s="18" t="str">
        <x:v>2026-02</x:v>
      </x:c>
      <x:c r="B42" s="19" t="n">
        <x:v>46067</x:v>
      </x:c>
      <x:c r="C42" s="18" t="str">
        <x:v>YI-000110</x:v>
      </x:c>
      <x:c r="D42" s="18" t="str">
        <x:v>YI NEW SEWING MACHINE CO., LTD</x:v>
      </x:c>
      <x:c r="E42" s="18" t="str">
        <x:v>E22 針板</x:v>
      </x:c>
      <x:c r="F42" s="18" t="str">
        <x:v>NP-E22</x:v>
      </x:c>
      <x:c r="G42" s="18" t="str">
        <x:v>E22 針板</x:v>
      </x:c>
      <x:c r="H42" s="18" t="str">
        <x:v>E22</x:v>
      </x:c>
      <x:c r="I42" s="18" t="str">
        <x:v>Needle Plate/Feed Dog</x:v>
      </x:c>
      <x:c r="J42" s="18" t="str">
        <x:v>Spare Part</x:v>
      </x:c>
      <x:c r="K42" s="18" t="str"/>
      <x:c r="L42" s="18" t="str">
        <x:v>Single Needle</x:v>
      </x:c>
      <x:c r="M42" s="20" t="n">
        <x:v>30</x:v>
      </x:c>
      <x:c r="N42" s="18" t="str">
        <x:v>個</x:v>
      </x:c>
      <x:c r="O42" s="21" t="n">
        <x:v>0.35</x:v>
      </x:c>
      <x:c r="P42" s="21" t="n">
        <x:f>M42*O42</x:f>
        <x:v>10.5</x:v>
      </x:c>
      <x:c r="Q42" s="21" t="n">
        <x:v>10.5</x:v>
      </x:c>
      <x:c r="R42" s="21" t="n">
        <x:f>P42-Q42</x:f>
        <x:v>0</x:v>
      </x:c>
      <x:c r="S42" s="18" t="str">
        <x:v>Yes</x:v>
      </x:c>
      <x:c r="T42" s="18" t="str">
        <x:v>High</x:v>
      </x:c>
      <x:c r="U42" s="18" t="str">
        <x:v>Yi New Sewing Machine_Feb.'26.pdf</x:v>
      </x:c>
      <x:c r="V42" s="18" t="n">
        <x:v>1</x:v>
      </x:c>
      <x:c r="W42" s="18" t="str"/>
    </x:row>
    <x:row r="43">
      <x:c r="A43" s="18" t="str">
        <x:v>2026-02</x:v>
      </x:c>
      <x:c r="B43" s="19" t="n">
        <x:v>46067</x:v>
      </x:c>
      <x:c r="C43" s="18" t="str">
        <x:v>YI-000110</x:v>
      </x:c>
      <x:c r="D43" s="18" t="str">
        <x:v>YI NEW SEWING MACHINE CO., LTD</x:v>
      </x:c>
      <x:c r="E43" s="18" t="str">
        <x:v>SIRUBA-747K牙齒組</x:v>
      </x:c>
      <x:c r="F43" s="18" t="str">
        <x:v>FD-SIRUBA747K-SET</x:v>
      </x:c>
      <x:c r="G43" s="18" t="str">
        <x:v>SIRUBA-747K 牙齒組</x:v>
      </x:c>
      <x:c r="H43" s="18" t="str">
        <x:v>747K</x:v>
      </x:c>
      <x:c r="I43" s="18" t="str">
        <x:v>Needle Plate/Feed Dog</x:v>
      </x:c>
      <x:c r="J43" s="18" t="str">
        <x:v>Spare Part</x:v>
      </x:c>
      <x:c r="K43" s="18" t="str">
        <x:v>SIRUBA</x:v>
      </x:c>
      <x:c r="L43" s="18" t="str">
        <x:v>Overlock</x:v>
      </x:c>
      <x:c r="M43" s="20" t="n">
        <x:v>10</x:v>
      </x:c>
      <x:c r="N43" s="18" t="str">
        <x:v>套</x:v>
      </x:c>
      <x:c r="O43" s="21" t="n">
        <x:v>6.5</x:v>
      </x:c>
      <x:c r="P43" s="21" t="n">
        <x:f>M43*O43</x:f>
        <x:v>65</x:v>
      </x:c>
      <x:c r="Q43" s="21" t="n">
        <x:v>65</x:v>
      </x:c>
      <x:c r="R43" s="21" t="n">
        <x:f>P43-Q43</x:f>
        <x:v>0</x:v>
      </x:c>
      <x:c r="S43" s="18" t="str">
        <x:v>Yes</x:v>
      </x:c>
      <x:c r="T43" s="18" t="str">
        <x:v>High</x:v>
      </x:c>
      <x:c r="U43" s="18" t="str">
        <x:v>Yi New Sewing Machine_Feb.'26.pdf</x:v>
      </x:c>
      <x:c r="V43" s="18" t="n">
        <x:v>1</x:v>
      </x:c>
      <x:c r="W43" s="18" t="str"/>
    </x:row>
    <x:row r="44">
      <x:c r="A44" s="18" t="str">
        <x:v>2026-02</x:v>
      </x:c>
      <x:c r="B44" s="19" t="n">
        <x:v>46067</x:v>
      </x:c>
      <x:c r="C44" s="18" t="str">
        <x:v>YI-000110</x:v>
      </x:c>
      <x:c r="D44" s="18" t="str">
        <x:v>YI NEW SEWING MACHINE CO., LTD</x:v>
      </x:c>
      <x:c r="E44" s="18" t="str">
        <x:v>SIRUBA-747K針板</x:v>
      </x:c>
      <x:c r="F44" s="18" t="str">
        <x:v>NP-SIRUBA747K</x:v>
      </x:c>
      <x:c r="G44" s="18" t="str">
        <x:v>SIRUBA-747K 針板</x:v>
      </x:c>
      <x:c r="H44" s="18" t="str">
        <x:v>747K</x:v>
      </x:c>
      <x:c r="I44" s="18" t="str">
        <x:v>Needle Plate/Feed Dog</x:v>
      </x:c>
      <x:c r="J44" s="18" t="str">
        <x:v>Spare Part</x:v>
      </x:c>
      <x:c r="K44" s="18" t="str">
        <x:v>SIRUBA</x:v>
      </x:c>
      <x:c r="L44" s="18" t="str">
        <x:v>Overlock</x:v>
      </x:c>
      <x:c r="M44" s="20" t="n">
        <x:v>20</x:v>
      </x:c>
      <x:c r="N44" s="18" t="str">
        <x:v>個</x:v>
      </x:c>
      <x:c r="O44" s="21" t="n">
        <x:v>2.5</x:v>
      </x:c>
      <x:c r="P44" s="21" t="n">
        <x:f>M44*O44</x:f>
        <x:v>50</x:v>
      </x:c>
      <x:c r="Q44" s="21" t="n">
        <x:v>50</x:v>
      </x:c>
      <x:c r="R44" s="21" t="n">
        <x:f>P44-Q44</x:f>
        <x:v>0</x:v>
      </x:c>
      <x:c r="S44" s="18" t="str">
        <x:v>Yes</x:v>
      </x:c>
      <x:c r="T44" s="18" t="str">
        <x:v>High</x:v>
      </x:c>
      <x:c r="U44" s="18" t="str">
        <x:v>Yi New Sewing Machine_Feb.'26.pdf</x:v>
      </x:c>
      <x:c r="V44" s="18" t="n">
        <x:v>1</x:v>
      </x:c>
      <x:c r="W44" s="18" t="str"/>
    </x:row>
    <x:row r="45">
      <x:c r="A45" s="18" t="str">
        <x:v>2026-03</x:v>
      </x:c>
      <x:c r="B45" s="19" t="n">
        <x:v>46085</x:v>
      </x:c>
      <x:c r="C45" s="18" t="str">
        <x:v>YI-000111</x:v>
      </x:c>
      <x:c r="D45" s="18" t="str">
        <x:v>YI NEW SEWING MACHINE CO., LTD</x:v>
      </x:c>
      <x:c r="E45" s="18" t="str">
        <x:v>維修：元一自動拉布機</x:v>
      </x:c>
      <x:c r="F45" s="18" t="str">
        <x:v>SV-YUANYI-SPREADER-REPAIR</x:v>
      </x:c>
      <x:c r="G45" s="18" t="str">
        <x:v>元一自動拉布機維修</x:v>
      </x:c>
      <x:c r="H45" s="18" t="str">
        <x:v>Automatic Spreader</x:v>
      </x:c>
      <x:c r="I45" s="18" t="str">
        <x:v>Repair Service</x:v>
      </x:c>
      <x:c r="J45" s="18" t="str">
        <x:v>Repair Service</x:v>
      </x:c>
      <x:c r="K45" s="18" t="str">
        <x:v>元一</x:v>
      </x:c>
      <x:c r="L45" s="18" t="str">
        <x:v>Cutting</x:v>
      </x:c>
      <x:c r="M45" s="20" t="n">
        <x:v>2</x:v>
      </x:c>
      <x:c r="N45" s="18" t="str">
        <x:v>台</x:v>
      </x:c>
      <x:c r="O45" s="21" t="n">
        <x:v>180</x:v>
      </x:c>
      <x:c r="P45" s="21" t="n">
        <x:f>M45*O45</x:f>
        <x:v>360</x:v>
      </x:c>
      <x:c r="Q45" s="21" t="n">
        <x:v>360</x:v>
      </x:c>
      <x:c r="R45" s="21" t="n">
        <x:f>P45-Q45</x:f>
        <x:v>0</x:v>
      </x:c>
      <x:c r="S45" s="18" t="str">
        <x:v>No</x:v>
      </x:c>
      <x:c r="T45" s="18" t="str">
        <x:v>High</x:v>
      </x:c>
      <x:c r="U45" s="18" t="str">
        <x:v>Yi New Sewing Machine_Mar.'26.pdf</x:v>
      </x:c>
      <x:c r="V45" s="18" t="n">
        <x:v>1</x:v>
      </x:c>
      <x:c r="W45" s="18" t="str"/>
    </x:row>
    <x:row r="46">
      <x:c r="A46" s="18" t="str">
        <x:v>2026-03</x:v>
      </x:c>
      <x:c r="B46" s="19" t="n">
        <x:v>46085</x:v>
      </x:c>
      <x:c r="C46" s="18" t="str">
        <x:v>YI-000111</x:v>
      </x:c>
      <x:c r="D46" s="18" t="str">
        <x:v>YI NEW SEWING MACHINE CO., LTD</x:v>
      </x:c>
      <x:c r="E46" s="18" t="str">
        <x:v>維修：元一自動拉布機鏈條=2條$45</x:v>
      </x:c>
      <x:c r="F46" s="18" t="str">
        <x:v>CT-YUANYI-SPREADER-CHAIN</x:v>
      </x:c>
      <x:c r="G46" s="18" t="str">
        <x:v>元一自動拉布機鏈條</x:v>
      </x:c>
      <x:c r="H46" s="18" t="str">
        <x:v>Automatic Spreader</x:v>
      </x:c>
      <x:c r="I46" s="18" t="str">
        <x:v>Cutting</x:v>
      </x:c>
      <x:c r="J46" s="18" t="str">
        <x:v>Spare Part</x:v>
      </x:c>
      <x:c r="K46" s="18" t="str">
        <x:v>元一</x:v>
      </x:c>
      <x:c r="L46" s="18" t="str">
        <x:v>Cutting</x:v>
      </x:c>
      <x:c r="M46" s="20" t="n">
        <x:v>2</x:v>
      </x:c>
      <x:c r="N46" s="18" t="str">
        <x:v>條</x:v>
      </x:c>
      <x:c r="O46" s="21" t="n">
        <x:v>45</x:v>
      </x:c>
      <x:c r="P46" s="21" t="n">
        <x:f>M46*O46</x:f>
        <x:v>90</x:v>
      </x:c>
      <x:c r="Q46" s="21" t="n">
        <x:v>90</x:v>
      </x:c>
      <x:c r="R46" s="21" t="n">
        <x:f>P46-Q46</x:f>
        <x:v>0</x:v>
      </x:c>
      <x:c r="S46" s="18" t="str">
        <x:v>Yes</x:v>
      </x:c>
      <x:c r="T46" s="18" t="str">
        <x:v>High</x:v>
      </x:c>
      <x:c r="U46" s="18" t="str">
        <x:v>Yi New Sewing Machine_Mar.'26.pdf</x:v>
      </x:c>
      <x:c r="V46" s="18" t="n">
        <x:v>1</x:v>
      </x:c>
      <x:c r="W46" s="18" t="str"/>
    </x:row>
    <x:row r="47">
      <x:c r="A47" s="18" t="str">
        <x:v>2026-03</x:v>
      </x:c>
      <x:c r="B47" s="19" t="n">
        <x:v>46085</x:v>
      </x:c>
      <x:c r="C47" s="18" t="str">
        <x:v>YI-000111</x:v>
      </x:c>
      <x:c r="D47" s="18" t="str">
        <x:v>YI NEW SEWING MACHINE CO., LTD</x:v>
      </x:c>
      <x:c r="E47" s="18" t="str">
        <x:v>維修：元一自動拉布機電滑軌</x:v>
      </x:c>
      <x:c r="F47" s="18" t="str">
        <x:v>EL-YUANYI-SPREADER-RAIL</x:v>
      </x:c>
      <x:c r="G47" s="18" t="str">
        <x:v>元一自動拉布機電滑軌</x:v>
      </x:c>
      <x:c r="H47" s="18" t="str">
        <x:v>Automatic Spreader</x:v>
      </x:c>
      <x:c r="I47" s="18" t="str">
        <x:v>Electrical/Control</x:v>
      </x:c>
      <x:c r="J47" s="18" t="str">
        <x:v>Spare Part</x:v>
      </x:c>
      <x:c r="K47" s="18" t="str">
        <x:v>元一</x:v>
      </x:c>
      <x:c r="L47" s="18" t="str">
        <x:v>Cutting</x:v>
      </x:c>
      <x:c r="M47" s="20" t="n">
        <x:v>2</x:v>
      </x:c>
      <x:c r="N47" s="18" t="str">
        <x:v>台</x:v>
      </x:c>
      <x:c r="O47" s="21" t="n">
        <x:v>95</x:v>
      </x:c>
      <x:c r="P47" s="21" t="n">
        <x:f>M47*O47</x:f>
        <x:v>190</x:v>
      </x:c>
      <x:c r="Q47" s="21" t="n">
        <x:v>190</x:v>
      </x:c>
      <x:c r="R47" s="21" t="n">
        <x:f>P47-Q47</x:f>
        <x:v>0</x:v>
      </x:c>
      <x:c r="S47" s="18" t="str">
        <x:v>Yes</x:v>
      </x:c>
      <x:c r="T47" s="18" t="str">
        <x:v>High</x:v>
      </x:c>
      <x:c r="U47" s="18" t="str">
        <x:v>Yi New Sewing Machine_Mar.'26.pdf</x:v>
      </x:c>
      <x:c r="V47" s="18" t="n">
        <x:v>1</x:v>
      </x:c>
      <x:c r="W47" s="18" t="str"/>
    </x:row>
    <x:row r="48">
      <x:c r="A48" s="18" t="str">
        <x:v>2026-03</x:v>
      </x:c>
      <x:c r="B48" s="19" t="n">
        <x:v>46085</x:v>
      </x:c>
      <x:c r="C48" s="18" t="str">
        <x:v>YI-000111</x:v>
      </x:c>
      <x:c r="D48" s="18" t="str">
        <x:v>YI NEW SEWING MACHINE CO., LTD</x:v>
      </x:c>
      <x:c r="E48" s="18" t="str">
        <x:v>維修：元一自動拉布機信號線</x:v>
      </x:c>
      <x:c r="F48" s="18" t="str">
        <x:v>EL-YUANYI-SPREADER-SIGNAL-CABLE</x:v>
      </x:c>
      <x:c r="G48" s="18" t="str">
        <x:v>元一自動拉布機信號線</x:v>
      </x:c>
      <x:c r="H48" s="18" t="str">
        <x:v>Automatic Spreader</x:v>
      </x:c>
      <x:c r="I48" s="18" t="str">
        <x:v>Electrical/Control</x:v>
      </x:c>
      <x:c r="J48" s="18" t="str">
        <x:v>Spare Part</x:v>
      </x:c>
      <x:c r="K48" s="18" t="str">
        <x:v>元一</x:v>
      </x:c>
      <x:c r="L48" s="18" t="str">
        <x:v>Cutting</x:v>
      </x:c>
      <x:c r="M48" s="20" t="n">
        <x:v>2</x:v>
      </x:c>
      <x:c r="N48" s="18" t="str">
        <x:v>條</x:v>
      </x:c>
      <x:c r="O48" s="21" t="n">
        <x:v>45</x:v>
      </x:c>
      <x:c r="P48" s="21" t="n">
        <x:f>M48*O48</x:f>
        <x:v>90</x:v>
      </x:c>
      <x:c r="Q48" s="21" t="n">
        <x:v>90</x:v>
      </x:c>
      <x:c r="R48" s="21" t="n">
        <x:f>P48-Q48</x:f>
        <x:v>0</x:v>
      </x:c>
      <x:c r="S48" s="18" t="str">
        <x:v>Yes</x:v>
      </x:c>
      <x:c r="T48" s="18" t="str">
        <x:v>High</x:v>
      </x:c>
      <x:c r="U48" s="18" t="str">
        <x:v>Yi New Sewing Machine_Mar.'26.pdf</x:v>
      </x:c>
      <x:c r="V48" s="18" t="n">
        <x:v>1</x:v>
      </x:c>
      <x:c r="W48" s="18" t="str"/>
    </x:row>
    <x:row r="49">
      <x:c r="A49" s="18" t="str">
        <x:v>2026-03</x:v>
      </x:c>
      <x:c r="B49" s="19" t="n">
        <x:v>46085</x:v>
      </x:c>
      <x:c r="C49" s="18" t="str">
        <x:v>YI-000111</x:v>
      </x:c>
      <x:c r="D49" s="18" t="str">
        <x:v>YI NEW SEWING MACHINE CO., LTD</x:v>
      </x:c>
      <x:c r="E49" s="18" t="str">
        <x:v>維修：元一自動拉布機行程電磁延長信號線</x:v>
      </x:c>
      <x:c r="F49" s="18" t="str">
        <x:v>EL-YUANYI-SPREADER-EXT-CABLE</x:v>
      </x:c>
      <x:c r="G49" s="18" t="str">
        <x:v>元一自動拉布機行程電磁延長信號線</x:v>
      </x:c>
      <x:c r="H49" s="18" t="str">
        <x:v>Automatic Spreader</x:v>
      </x:c>
      <x:c r="I49" s="18" t="str">
        <x:v>Electrical/Control</x:v>
      </x:c>
      <x:c r="J49" s="18" t="str">
        <x:v>Spare Part</x:v>
      </x:c>
      <x:c r="K49" s="18" t="str">
        <x:v>元一</x:v>
      </x:c>
      <x:c r="L49" s="18" t="str">
        <x:v>Cutting</x:v>
      </x:c>
      <x:c r="M49" s="20" t="n">
        <x:v>1</x:v>
      </x:c>
      <x:c r="N49" s="18" t="str">
        <x:v>條</x:v>
      </x:c>
      <x:c r="O49" s="21" t="n">
        <x:v>65</x:v>
      </x:c>
      <x:c r="P49" s="21" t="n">
        <x:f>M49*O49</x:f>
        <x:v>65</x:v>
      </x:c>
      <x:c r="Q49" s="21" t="n">
        <x:v>65</x:v>
      </x:c>
      <x:c r="R49" s="21" t="n">
        <x:f>P49-Q49</x:f>
        <x:v>0</x:v>
      </x:c>
      <x:c r="S49" s="18" t="str">
        <x:v>Yes</x:v>
      </x:c>
      <x:c r="T49" s="18" t="str">
        <x:v>High</x:v>
      </x:c>
      <x:c r="U49" s="18" t="str">
        <x:v>Yi New Sewing Machine_Mar.'26.pdf</x:v>
      </x:c>
      <x:c r="V49" s="18" t="n">
        <x:v>1</x:v>
      </x:c>
      <x:c r="W49" s="18" t="str"/>
    </x:row>
    <x:row r="50">
      <x:c r="A50" s="18" t="str">
        <x:v>2026-03</x:v>
      </x:c>
      <x:c r="B50" s="19" t="n">
        <x:v>46085</x:v>
      </x:c>
      <x:c r="C50" s="18" t="str">
        <x:v>YI-000112</x:v>
      </x:c>
      <x:c r="D50" s="18" t="str">
        <x:v>YI NEW SEWING MACHINE CO., LTD</x:v>
      </x:c>
      <x:c r="E50" s="18" t="str">
        <x:v>ORGAN: UYx128 #14</x:v>
      </x:c>
      <x:c r="F50" s="18" t="str">
        <x:v>ND-UYX128-14</x:v>
      </x:c>
      <x:c r="G50" s="18" t="str">
        <x:v>風琴機針 UYx128 #14</x:v>
      </x:c>
      <x:c r="H50" s="18" t="str">
        <x:v>UYx128 #14</x:v>
      </x:c>
      <x:c r="I50" s="18" t="str">
        <x:v>Needle</x:v>
      </x:c>
      <x:c r="J50" s="18" t="str">
        <x:v>Consumable</x:v>
      </x:c>
      <x:c r="K50" s="18" t="str">
        <x:v>ORGAN/風琴</x:v>
      </x:c>
      <x:c r="L50" s="18" t="str">
        <x:v>Multi-needle / Chainstitch</x:v>
      </x:c>
      <x:c r="M50" s="20" t="n">
        <x:v>150</x:v>
      </x:c>
      <x:c r="N50" s="18" t="str">
        <x:v>包</x:v>
      </x:c>
      <x:c r="O50" s="21" t="n">
        <x:v>1.78</x:v>
      </x:c>
      <x:c r="P50" s="21" t="n">
        <x:f>M50*O50</x:f>
        <x:v>267</x:v>
      </x:c>
      <x:c r="Q50" s="21" t="n">
        <x:v>267</x:v>
      </x:c>
      <x:c r="R50" s="21" t="n">
        <x:f>P50-Q50</x:f>
        <x:v>0</x:v>
      </x:c>
      <x:c r="S50" s="18" t="str">
        <x:v>Yes</x:v>
      </x:c>
      <x:c r="T50" s="18" t="str">
        <x:v>High</x:v>
      </x:c>
      <x:c r="U50" s="18" t="str">
        <x:v>Yi New Sewing Machine_Mar.'26.pdf</x:v>
      </x:c>
      <x:c r="V50" s="18" t="n">
        <x:v>1</x:v>
      </x:c>
      <x:c r="W50" s="18" t="str"/>
    </x:row>
    <x:row r="51">
      <x:c r="A51" s="18" t="str">
        <x:v>2026-03</x:v>
      </x:c>
      <x:c r="B51" s="19" t="n">
        <x:v>46085</x:v>
      </x:c>
      <x:c r="C51" s="18" t="str">
        <x:v>YI-000112</x:v>
      </x:c>
      <x:c r="D51" s="18" t="str">
        <x:v>YI NEW SEWING MACHINE CO., LTD</x:v>
      </x:c>
      <x:c r="E51" s="18" t="str">
        <x:v>ORGAN: UOx113#14</x:v>
      </x:c>
      <x:c r="F51" s="18" t="str">
        <x:v>ND-UOX113-14</x:v>
      </x:c>
      <x:c r="G51" s="18" t="str">
        <x:v>風琴機針 UOx113 #14</x:v>
      </x:c>
      <x:c r="H51" s="18" t="str">
        <x:v>UOx113 #14</x:v>
      </x:c>
      <x:c r="I51" s="18" t="str">
        <x:v>Needle</x:v>
      </x:c>
      <x:c r="J51" s="18" t="str">
        <x:v>Consumable</x:v>
      </x:c>
      <x:c r="K51" s="18" t="str">
        <x:v>ORGAN/風琴</x:v>
      </x:c>
      <x:c r="L51" s="18" t="str">
        <x:v>Multi-needle</x:v>
      </x:c>
      <x:c r="M51" s="20" t="n">
        <x:v>50</x:v>
      </x:c>
      <x:c r="N51" s="18" t="str">
        <x:v>包</x:v>
      </x:c>
      <x:c r="O51" s="21" t="n">
        <x:v>3</x:v>
      </x:c>
      <x:c r="P51" s="21" t="n">
        <x:f>M51*O51</x:f>
        <x:v>150</x:v>
      </x:c>
      <x:c r="Q51" s="21" t="n">
        <x:v>150</x:v>
      </x:c>
      <x:c r="R51" s="21" t="n">
        <x:f>P51-Q51</x:f>
        <x:v>0</x:v>
      </x:c>
      <x:c r="S51" s="18" t="str">
        <x:v>Yes</x:v>
      </x:c>
      <x:c r="T51" s="18" t="str">
        <x:v>High</x:v>
      </x:c>
      <x:c r="U51" s="18" t="str">
        <x:v>Yi New Sewing Machine_Mar.'26.pdf</x:v>
      </x:c>
      <x:c r="V51" s="18" t="n">
        <x:v>1</x:v>
      </x:c>
      <x:c r="W51" s="18" t="str"/>
    </x:row>
    <x:row r="52">
      <x:c r="A52" s="18" t="str">
        <x:v>2026-03</x:v>
      </x:c>
      <x:c r="B52" s="19" t="n">
        <x:v>46086</x:v>
      </x:c>
      <x:c r="C52" s="18" t="str">
        <x:v>YI-000113</x:v>
      </x:c>
      <x:c r="D52" s="18" t="str">
        <x:v>YI NEW SEWING MACHINE CO., LTD</x:v>
      </x:c>
      <x:c r="E52" s="18" t="str">
        <x:v>拷克上勾針 -LP226</x:v>
      </x:c>
      <x:c r="F52" s="18" t="str">
        <x:v>LP-LP226-UPPER</x:v>
      </x:c>
      <x:c r="G52" s="18" t="str">
        <x:v>拷克上勾針 LP226</x:v>
      </x:c>
      <x:c r="H52" s="18" t="str">
        <x:v>LP226</x:v>
      </x:c>
      <x:c r="I52" s="18" t="str">
        <x:v>Knife/Looper</x:v>
      </x:c>
      <x:c r="J52" s="18" t="str">
        <x:v>Spare Part</x:v>
      </x:c>
      <x:c r="K52" s="18" t="str"/>
      <x:c r="L52" s="18" t="str">
        <x:v>Overlock</x:v>
      </x:c>
      <x:c r="M52" s="20" t="n">
        <x:v>20</x:v>
      </x:c>
      <x:c r="N52" s="18" t="str">
        <x:v>個</x:v>
      </x:c>
      <x:c r="O52" s="21" t="n">
        <x:v>1.5</x:v>
      </x:c>
      <x:c r="P52" s="21" t="n">
        <x:f>M52*O52</x:f>
        <x:v>30</x:v>
      </x:c>
      <x:c r="Q52" s="21" t="n">
        <x:v>30</x:v>
      </x:c>
      <x:c r="R52" s="21" t="n">
        <x:f>P52-Q52</x:f>
        <x:v>0</x:v>
      </x:c>
      <x:c r="S52" s="18" t="str">
        <x:v>Yes</x:v>
      </x:c>
      <x:c r="T52" s="18" t="str">
        <x:v>High</x:v>
      </x:c>
      <x:c r="U52" s="18" t="str">
        <x:v>Yi New Sewing Machine_Mar.'26.pdf</x:v>
      </x:c>
      <x:c r="V52" s="18" t="n">
        <x:v>1</x:v>
      </x:c>
      <x:c r="W52" s="18" t="str"/>
    </x:row>
    <x:row r="53">
      <x:c r="A53" s="18" t="str">
        <x:v>2026-03</x:v>
      </x:c>
      <x:c r="B53" s="19" t="n">
        <x:v>46086</x:v>
      </x:c>
      <x:c r="C53" s="18" t="str">
        <x:v>YI-000113</x:v>
      </x:c>
      <x:c r="D53" s="18" t="str">
        <x:v>YI NEW SEWING MACHINE CO., LTD</x:v>
      </x:c>
      <x:c r="E53" s="18" t="str">
        <x:v>拷克上刀 -KR23</x:v>
      </x:c>
      <x:c r="F53" s="18" t="str">
        <x:v>KN-KR23-UPPER</x:v>
      </x:c>
      <x:c r="G53" s="18" t="str">
        <x:v>拷克上刀 KR23</x:v>
      </x:c>
      <x:c r="H53" s="18" t="str">
        <x:v>KR23</x:v>
      </x:c>
      <x:c r="I53" s="18" t="str">
        <x:v>Knife/Looper</x:v>
      </x:c>
      <x:c r="J53" s="18" t="str">
        <x:v>Spare Part</x:v>
      </x:c>
      <x:c r="K53" s="18" t="str"/>
      <x:c r="L53" s="18" t="str">
        <x:v>Overlock</x:v>
      </x:c>
      <x:c r="M53" s="20" t="n">
        <x:v>10</x:v>
      </x:c>
      <x:c r="N53" s="18" t="str">
        <x:v>支</x:v>
      </x:c>
      <x:c r="O53" s="21" t="n">
        <x:v>0.6</x:v>
      </x:c>
      <x:c r="P53" s="21" t="n">
        <x:f>M53*O53</x:f>
        <x:v>6</x:v>
      </x:c>
      <x:c r="Q53" s="21" t="n">
        <x:v>6</x:v>
      </x:c>
      <x:c r="R53" s="21" t="n">
        <x:f>P53-Q53</x:f>
        <x:v>0</x:v>
      </x:c>
      <x:c r="S53" s="18" t="str">
        <x:v>Yes</x:v>
      </x:c>
      <x:c r="T53" s="18" t="str">
        <x:v>High</x:v>
      </x:c>
      <x:c r="U53" s="18" t="str">
        <x:v>Yi New Sewing Machine_Mar.'26.pdf</x:v>
      </x:c>
      <x:c r="V53" s="18" t="n">
        <x:v>1</x:v>
      </x:c>
      <x:c r="W53" s="18" t="str"/>
    </x:row>
    <x:row r="54">
      <x:c r="A54" s="18" t="str">
        <x:v>2026-03</x:v>
      </x:c>
      <x:c r="B54" s="19" t="n">
        <x:v>46086</x:v>
      </x:c>
      <x:c r="C54" s="18" t="str">
        <x:v>YI-000113</x:v>
      </x:c>
      <x:c r="D54" s="18" t="str">
        <x:v>YI NEW SEWING MACHINE CO., LTD</x:v>
      </x:c>
      <x:c r="E54" s="18" t="str">
        <x:v>平車電子梭芯（鋁）</x:v>
      </x:c>
      <x:c r="F54" s="18" t="str">
        <x:v>BB-SN-ALUMINUM</x:v>
      </x:c>
      <x:c r="G54" s="18" t="str">
        <x:v>平車電子梭芯（鋁）</x:v>
      </x:c>
      <x:c r="H54" s="18" t="str">
        <x:v>Aluminum</x:v>
      </x:c>
      <x:c r="I54" s="18" t="str">
        <x:v>Bobbin/Shuttle</x:v>
      </x:c>
      <x:c r="J54" s="18" t="str">
        <x:v>Spare Part</x:v>
      </x:c>
      <x:c r="K54" s="18" t="str"/>
      <x:c r="L54" s="18" t="str">
        <x:v>Single Needle</x:v>
      </x:c>
      <x:c r="M54" s="20" t="n">
        <x:v>100</x:v>
      </x:c>
      <x:c r="N54" s="18" t="str">
        <x:v>個</x:v>
      </x:c>
      <x:c r="O54" s="21" t="n">
        <x:v>0.1</x:v>
      </x:c>
      <x:c r="P54" s="21" t="n">
        <x:f>M54*O54</x:f>
        <x:v>10</x:v>
      </x:c>
      <x:c r="Q54" s="21" t="n">
        <x:v>10</x:v>
      </x:c>
      <x:c r="R54" s="21" t="n">
        <x:f>P54-Q54</x:f>
        <x:v>0</x:v>
      </x:c>
      <x:c r="S54" s="18" t="str">
        <x:v>Yes</x:v>
      </x:c>
      <x:c r="T54" s="18" t="str">
        <x:v>High</x:v>
      </x:c>
      <x:c r="U54" s="18" t="str">
        <x:v>Yi New Sewing Machine_Mar.'26.pdf</x:v>
      </x:c>
      <x:c r="V54" s="18" t="n">
        <x:v>1</x:v>
      </x:c>
      <x:c r="W54" s="18" t="str"/>
    </x:row>
    <x:row r="55">
      <x:c r="A55" s="18" t="str">
        <x:v>2026-03</x:v>
      </x:c>
      <x:c r="B55" s="19" t="n">
        <x:v>46086</x:v>
      </x:c>
      <x:c r="C55" s="18" t="str">
        <x:v>YI-000113</x:v>
      </x:c>
      <x:c r="D55" s="18" t="str">
        <x:v>YI NEW SEWING MACHINE CO., LTD</x:v>
      </x:c>
      <x:c r="E55" s="18" t="str">
        <x:v>CL1/16N 壓腳</x:v>
      </x:c>
      <x:c r="F55" s="18" t="str">
        <x:v>PF-CL1-16N</x:v>
      </x:c>
      <x:c r="G55" s="18" t="str">
        <x:v>CL1/16N 壓腳</x:v>
      </x:c>
      <x:c r="H55" s="18" t="str">
        <x:v>CL1/16N</x:v>
      </x:c>
      <x:c r="I55" s="18" t="str">
        <x:v>Presser Foot</x:v>
      </x:c>
      <x:c r="J55" s="18" t="str">
        <x:v>Spare Part</x:v>
      </x:c>
      <x:c r="K55" s="18" t="str"/>
      <x:c r="L55" s="18" t="str">
        <x:v>Single Needle</x:v>
      </x:c>
      <x:c r="M55" s="20" t="n">
        <x:v>20</x:v>
      </x:c>
      <x:c r="N55" s="18" t="str">
        <x:v>個</x:v>
      </x:c>
      <x:c r="O55" s="21" t="n">
        <x:v>0.6</x:v>
      </x:c>
      <x:c r="P55" s="21" t="n">
        <x:f>M55*O55</x:f>
        <x:v>12</x:v>
      </x:c>
      <x:c r="Q55" s="21" t="n">
        <x:v>12</x:v>
      </x:c>
      <x:c r="R55" s="21" t="n">
        <x:f>P55-Q55</x:f>
        <x:v>0</x:v>
      </x:c>
      <x:c r="S55" s="18" t="str">
        <x:v>Yes</x:v>
      </x:c>
      <x:c r="T55" s="18" t="str">
        <x:v>High</x:v>
      </x:c>
      <x:c r="U55" s="18" t="str">
        <x:v>Yi New Sewing Machine_Mar.'26.pdf</x:v>
      </x:c>
      <x:c r="V55" s="18" t="n">
        <x:v>1</x:v>
      </x:c>
      <x:c r="W55" s="18" t="str"/>
    </x:row>
    <x:row r="56">
      <x:c r="A56" s="18" t="str">
        <x:v>2026-03</x:v>
      </x:c>
      <x:c r="B56" s="19" t="n">
        <x:v>46086</x:v>
      </x:c>
      <x:c r="C56" s="18" t="str">
        <x:v>YI-000113</x:v>
      </x:c>
      <x:c r="D56" s="18" t="str">
        <x:v>YI NEW SEWING MACHINE CO., LTD</x:v>
      </x:c>
      <x:c r="E56" s="18" t="str">
        <x:v>CR1/16N 壓腳</x:v>
      </x:c>
      <x:c r="F56" s="18" t="str">
        <x:v>PF-CR1-16N</x:v>
      </x:c>
      <x:c r="G56" s="18" t="str">
        <x:v>CR1/16N 壓腳</x:v>
      </x:c>
      <x:c r="H56" s="18" t="str">
        <x:v>CR1/16N</x:v>
      </x:c>
      <x:c r="I56" s="18" t="str">
        <x:v>Presser Foot</x:v>
      </x:c>
      <x:c r="J56" s="18" t="str">
        <x:v>Spare Part</x:v>
      </x:c>
      <x:c r="K56" s="18" t="str"/>
      <x:c r="L56" s="18" t="str">
        <x:v>Single Needle</x:v>
      </x:c>
      <x:c r="M56" s="20" t="n">
        <x:v>20</x:v>
      </x:c>
      <x:c r="N56" s="18" t="str">
        <x:v>個</x:v>
      </x:c>
      <x:c r="O56" s="21" t="n">
        <x:v>0.6</x:v>
      </x:c>
      <x:c r="P56" s="21" t="n">
        <x:f>M56*O56</x:f>
        <x:v>12</x:v>
      </x:c>
      <x:c r="Q56" s="21" t="n">
        <x:v>12</x:v>
      </x:c>
      <x:c r="R56" s="21" t="n">
        <x:f>P56-Q56</x:f>
        <x:v>0</x:v>
      </x:c>
      <x:c r="S56" s="18" t="str">
        <x:v>Yes</x:v>
      </x:c>
      <x:c r="T56" s="18" t="str">
        <x:v>High</x:v>
      </x:c>
      <x:c r="U56" s="18" t="str">
        <x:v>Yi New Sewing Machine_Mar.'26.pdf</x:v>
      </x:c>
      <x:c r="V56" s="18" t="n">
        <x:v>1</x:v>
      </x:c>
      <x:c r="W56" s="18" t="str"/>
    </x:row>
    <x:row r="57">
      <x:c r="A57" s="18" t="str">
        <x:v>2026-03</x:v>
      </x:c>
      <x:c r="B57" s="19" t="n">
        <x:v>46086</x:v>
      </x:c>
      <x:c r="C57" s="18" t="str">
        <x:v>YI-000113</x:v>
      </x:c>
      <x:c r="D57" s="18" t="str">
        <x:v>YI NEW SEWING MACHINE CO., LTD</x:v>
      </x:c>
      <x:c r="E57" s="18" t="str">
        <x:v>平車電子梭殼</x:v>
      </x:c>
      <x:c r="F57" s="18" t="str">
        <x:v>BC-SN-ELECTRONIC</x:v>
      </x:c>
      <x:c r="G57" s="18" t="str">
        <x:v>平車電子梭殼</x:v>
      </x:c>
      <x:c r="H57" s="18" t="str">
        <x:v>Electronic Type</x:v>
      </x:c>
      <x:c r="I57" s="18" t="str">
        <x:v>Bobbin/Shuttle</x:v>
      </x:c>
      <x:c r="J57" s="18" t="str">
        <x:v>Spare Part</x:v>
      </x:c>
      <x:c r="K57" s="18" t="str"/>
      <x:c r="L57" s="18" t="str">
        <x:v>Single Needle</x:v>
      </x:c>
      <x:c r="M57" s="20" t="n">
        <x:v>50</x:v>
      </x:c>
      <x:c r="N57" s="18" t="str">
        <x:v>個</x:v>
      </x:c>
      <x:c r="O57" s="21" t="n">
        <x:v>0.45</x:v>
      </x:c>
      <x:c r="P57" s="21" t="n">
        <x:f>M57*O57</x:f>
        <x:v>22.5</x:v>
      </x:c>
      <x:c r="Q57" s="21" t="n">
        <x:v>22.5</x:v>
      </x:c>
      <x:c r="R57" s="21" t="n">
        <x:f>P57-Q57</x:f>
        <x:v>0</x:v>
      </x:c>
      <x:c r="S57" s="18" t="str">
        <x:v>Yes</x:v>
      </x:c>
      <x:c r="T57" s="18" t="str">
        <x:v>High</x:v>
      </x:c>
      <x:c r="U57" s="18" t="str">
        <x:v>Yi New Sewing Machine_Mar.'26.pdf</x:v>
      </x:c>
      <x:c r="V57" s="18" t="n">
        <x:v>1</x:v>
      </x:c>
      <x:c r="W57" s="18" t="str"/>
    </x:row>
    <x:row r="58">
      <x:c r="A58" s="18" t="str">
        <x:v>2026-03</x:v>
      </x:c>
      <x:c r="B58" s="19" t="n">
        <x:v>46090</x:v>
      </x:c>
      <x:c r="C58" s="18" t="str">
        <x:v>YI-000114</x:v>
      </x:c>
      <x:c r="D58" s="18" t="str">
        <x:v>YI NEW SEWING MACHINE CO., LTD</x:v>
      </x:c>
      <x:c r="E58" s="18" t="str">
        <x:v>ORGAN UYx128 #12</x:v>
      </x:c>
      <x:c r="F58" s="18" t="str">
        <x:v>ND-UYX128-12</x:v>
      </x:c>
      <x:c r="G58" s="18" t="str">
        <x:v>風琴機針 UYx128 #12</x:v>
      </x:c>
      <x:c r="H58" s="18" t="str">
        <x:v>UYx128 #12</x:v>
      </x:c>
      <x:c r="I58" s="18" t="str">
        <x:v>Needle</x:v>
      </x:c>
      <x:c r="J58" s="18" t="str">
        <x:v>Consumable</x:v>
      </x:c>
      <x:c r="K58" s="18" t="str">
        <x:v>ORGAN/風琴</x:v>
      </x:c>
      <x:c r="L58" s="18" t="str">
        <x:v>Multi-needle / Chainstitch</x:v>
      </x:c>
      <x:c r="M58" s="20" t="n">
        <x:v>150</x:v>
      </x:c>
      <x:c r="N58" s="18" t="str">
        <x:v>包</x:v>
      </x:c>
      <x:c r="O58" s="21" t="n">
        <x:v>1.78</x:v>
      </x:c>
      <x:c r="P58" s="21" t="n">
        <x:f>M58*O58</x:f>
        <x:v>267</x:v>
      </x:c>
      <x:c r="Q58" s="21" t="n">
        <x:v>267</x:v>
      </x:c>
      <x:c r="R58" s="21" t="n">
        <x:f>P58-Q58</x:f>
        <x:v>0</x:v>
      </x:c>
      <x:c r="S58" s="18" t="str">
        <x:v>Yes</x:v>
      </x:c>
      <x:c r="T58" s="18" t="str">
        <x:v>High</x:v>
      </x:c>
      <x:c r="U58" s="18" t="str">
        <x:v>Yi New Sewing Machine_Mar.'26.pdf</x:v>
      </x:c>
      <x:c r="V58" s="18" t="n">
        <x:v>1</x:v>
      </x:c>
      <x:c r="W58" s="18" t="str"/>
    </x:row>
    <x:row r="59">
      <x:c r="A59" s="18" t="str">
        <x:v>2026-03</x:v>
      </x:c>
      <x:c r="B59" s="19" t="n">
        <x:v>46090</x:v>
      </x:c>
      <x:c r="C59" s="18" t="str">
        <x:v>YI-000114</x:v>
      </x:c>
      <x:c r="D59" s="18" t="str">
        <x:v>YI NEW SEWING MACHINE CO., LTD</x:v>
      </x:c>
      <x:c r="E59" s="18" t="str">
        <x:v>ORGAN DCx27 #12</x:v>
      </x:c>
      <x:c r="F59" s="18" t="str">
        <x:v>ND-DCX27-12</x:v>
      </x:c>
      <x:c r="G59" s="18" t="str">
        <x:v>風琴機針 DCx27 #12</x:v>
      </x:c>
      <x:c r="H59" s="18" t="str">
        <x:v>DCx27 #12</x:v>
      </x:c>
      <x:c r="I59" s="18" t="str">
        <x:v>Needle</x:v>
      </x:c>
      <x:c r="J59" s="18" t="str">
        <x:v>Consumable</x:v>
      </x:c>
      <x:c r="K59" s="18" t="str">
        <x:v>ORGAN/風琴</x:v>
      </x:c>
      <x:c r="L59" s="18" t="str">
        <x:v>Overlock</x:v>
      </x:c>
      <x:c r="M59" s="20" t="n">
        <x:v>150</x:v>
      </x:c>
      <x:c r="N59" s="18" t="str">
        <x:v>包</x:v>
      </x:c>
      <x:c r="O59" s="21" t="n">
        <x:v>1.3</x:v>
      </x:c>
      <x:c r="P59" s="21" t="n">
        <x:f>M59*O59</x:f>
        <x:v>195</x:v>
      </x:c>
      <x:c r="Q59" s="21" t="n">
        <x:v>195</x:v>
      </x:c>
      <x:c r="R59" s="21" t="n">
        <x:f>P59-Q59</x:f>
        <x:v>0</x:v>
      </x:c>
      <x:c r="S59" s="18" t="str">
        <x:v>Yes</x:v>
      </x:c>
      <x:c r="T59" s="18" t="str">
        <x:v>High</x:v>
      </x:c>
      <x:c r="U59" s="18" t="str">
        <x:v>Yi New Sewing Machine_Mar.'26.pdf</x:v>
      </x:c>
      <x:c r="V59" s="18" t="n">
        <x:v>1</x:v>
      </x:c>
      <x:c r="W59" s="18" t="str"/>
    </x:row>
    <x:row r="60">
      <x:c r="A60" s="18" t="str">
        <x:v>2026-03</x:v>
      </x:c>
      <x:c r="B60" s="19" t="n">
        <x:v>46090</x:v>
      </x:c>
      <x:c r="C60" s="18" t="str">
        <x:v>YI-000114</x:v>
      </x:c>
      <x:c r="D60" s="18" t="str">
        <x:v>YI NEW SEWING MACHINE CO., LTD</x:v>
      </x:c>
      <x:c r="E60" s="18" t="str">
        <x:v>編號紙#5 Number</x:v>
      </x:c>
      <x:c r="F60" s="18" t="str">
        <x:v>CN-NUMBER-PAPER-5</x:v>
      </x:c>
      <x:c r="G60" s="18" t="str">
        <x:v>編號紙 #5</x:v>
      </x:c>
      <x:c r="H60" s="18" t="str">
        <x:v>No.5</x:v>
      </x:c>
      <x:c r="I60" s="18" t="str">
        <x:v>Consumable/Chemical</x:v>
      </x:c>
      <x:c r="J60" s="18" t="str">
        <x:v>Consumable</x:v>
      </x:c>
      <x:c r="K60" s="18" t="str"/>
      <x:c r="L60" s="18" t="str">
        <x:v>Cutting/Bundle</x:v>
      </x:c>
      <x:c r="M60" s="20" t="n">
        <x:v>2</x:v>
      </x:c>
      <x:c r="N60" s="18" t="str">
        <x:v>箱</x:v>
      </x:c>
      <x:c r="O60" s="21" t="n">
        <x:v>110</x:v>
      </x:c>
      <x:c r="P60" s="21" t="n">
        <x:f>M60*O60</x:f>
        <x:v>220</x:v>
      </x:c>
      <x:c r="Q60" s="21" t="n">
        <x:v>220</x:v>
      </x:c>
      <x:c r="R60" s="21" t="n">
        <x:f>P60-Q60</x:f>
        <x:v>0</x:v>
      </x:c>
      <x:c r="S60" s="18" t="str">
        <x:v>Yes</x:v>
      </x:c>
      <x:c r="T60" s="18" t="str">
        <x:v>High</x:v>
      </x:c>
      <x:c r="U60" s="18" t="str">
        <x:v>Yi New Sewing Machine_Mar.'26.pdf</x:v>
      </x:c>
      <x:c r="V60" s="18" t="n">
        <x:v>1</x:v>
      </x:c>
      <x:c r="W60" s="18" t="str"/>
    </x:row>
    <x:row r="61">
      <x:c r="A61" s="18" t="str">
        <x:v>2026-03</x:v>
      </x:c>
      <x:c r="B61" s="19" t="n">
        <x:v>46090</x:v>
      </x:c>
      <x:c r="C61" s="18" t="str">
        <x:v>YI-000114</x:v>
      </x:c>
      <x:c r="D61" s="18" t="str">
        <x:v>YI NEW SEWING MACHINE CO., LTD</x:v>
      </x:c>
      <x:c r="E61" s="18" t="str">
        <x:v>沙剪刀</x:v>
      </x:c>
      <x:c r="F61" s="18" t="str">
        <x:v>TL-THREAD-SNIP-GLOBE</x:v>
      </x:c>
      <x:c r="G61" s="18" t="str">
        <x:v>環球沙剪</x:v>
      </x:c>
      <x:c r="H61" s="18" t="str">
        <x:v>Thread Snip</x:v>
      </x:c>
      <x:c r="I61" s="18" t="str">
        <x:v>Tools</x:v>
      </x:c>
      <x:c r="J61" s="18" t="str">
        <x:v>Tool</x:v>
      </x:c>
      <x:c r="K61" s="18" t="str">
        <x:v>環球</x:v>
      </x:c>
      <x:c r="L61" s="18" t="str">
        <x:v>Sewing</x:v>
      </x:c>
      <x:c r="M61" s="20" t="n">
        <x:v>5</x:v>
      </x:c>
      <x:c r="N61" s="18" t="str">
        <x:v>打</x:v>
      </x:c>
      <x:c r="O61" s="21" t="n">
        <x:v>2.3</x:v>
      </x:c>
      <x:c r="P61" s="21" t="n">
        <x:f>M61*O61</x:f>
        <x:v>11.5</x:v>
      </x:c>
      <x:c r="Q61" s="21" t="n">
        <x:v>11.5</x:v>
      </x:c>
      <x:c r="R61" s="21" t="n">
        <x:f>P61-Q61</x:f>
        <x:v>0</x:v>
      </x:c>
      <x:c r="S61" s="18" t="str">
        <x:v>Yes</x:v>
      </x:c>
      <x:c r="T61" s="18" t="str">
        <x:v>Medium</x:v>
      </x:c>
      <x:c r="U61" s="18" t="str">
        <x:v>Yi New Sewing Machine_Mar.'26.pdf</x:v>
      </x:c>
      <x:c r="V61" s="18" t="n">
        <x:v>1</x:v>
      </x:c>
      <x:c r="W61" s="18" t="str">
        <x:v>原始發票寫「沙剪刀」，依同價同品項合併至環球沙剪</x:v>
      </x:c>
    </x:row>
    <x:row r="62">
      <x:c r="A62" s="18" t="str">
        <x:v>2026-03</x:v>
      </x:c>
      <x:c r="B62" s="19" t="n">
        <x:v>46090</x:v>
      </x:c>
      <x:c r="C62" s="18" t="str">
        <x:v>YI-000115</x:v>
      </x:c>
      <x:c r="D62" s="18" t="str">
        <x:v>YI NEW SEWING MACHINE CO., LTD</x:v>
      </x:c>
      <x:c r="E62" s="18" t="str">
        <x:v>焊錫膏</x:v>
      </x:c>
      <x:c r="F62" s="18" t="str">
        <x:v>EL-SOLDER-PASTE</x:v>
      </x:c>
      <x:c r="G62" s="18" t="str">
        <x:v>焊錫膏</x:v>
      </x:c>
      <x:c r="H62" s="18" t="str">
        <x:v>Solder Paste</x:v>
      </x:c>
      <x:c r="I62" s="18" t="str">
        <x:v>Electrical/Control</x:v>
      </x:c>
      <x:c r="J62" s="18" t="str">
        <x:v>Consumable</x:v>
      </x:c>
      <x:c r="K62" s="18" t="str"/>
      <x:c r="L62" s="18" t="str">
        <x:v>Electrical</x:v>
      </x:c>
      <x:c r="M62" s="20" t="n">
        <x:v>1</x:v>
      </x:c>
      <x:c r="N62" s="18" t="str">
        <x:v>罐</x:v>
      </x:c>
      <x:c r="O62" s="21" t="n">
        <x:v>8</x:v>
      </x:c>
      <x:c r="P62" s="21" t="n">
        <x:f>M62*O62</x:f>
        <x:v>8</x:v>
      </x:c>
      <x:c r="Q62" s="21" t="n">
        <x:v>8</x:v>
      </x:c>
      <x:c r="R62" s="21" t="n">
        <x:f>P62-Q62</x:f>
        <x:v>0</x:v>
      </x:c>
      <x:c r="S62" s="18" t="str">
        <x:v>Yes</x:v>
      </x:c>
      <x:c r="T62" s="18" t="str">
        <x:v>High</x:v>
      </x:c>
      <x:c r="U62" s="18" t="str">
        <x:v>Yi New Sewing Machine_Mar.'26.pdf</x:v>
      </x:c>
      <x:c r="V62" s="18" t="n">
        <x:v>1</x:v>
      </x:c>
      <x:c r="W62" s="18" t="str"/>
    </x:row>
    <x:row r="63">
      <x:c r="A63" s="18" t="str">
        <x:v>2026-03</x:v>
      </x:c>
      <x:c r="B63" s="19" t="n">
        <x:v>46090</x:v>
      </x:c>
      <x:c r="C63" s="18" t="str">
        <x:v>YI-000115</x:v>
      </x:c>
      <x:c r="D63" s="18" t="str">
        <x:v>YI NEW SEWING MACHINE CO., LTD</x:v>
      </x:c>
      <x:c r="E63" s="18" t="str">
        <x:v>焊錫條 -0.65kg 63%</x:v>
      </x:c>
      <x:c r="F63" s="18" t="str">
        <x:v>EL-SOLDER-BAR-065KG-63</x:v>
      </x:c>
      <x:c r="G63" s="18" t="str">
        <x:v>焊錫條 0.65kg 63%</x:v>
      </x:c>
      <x:c r="H63" s="18" t="str">
        <x:v>0.65kg, 63%</x:v>
      </x:c>
      <x:c r="I63" s="18" t="str">
        <x:v>Electrical/Control</x:v>
      </x:c>
      <x:c r="J63" s="18" t="str">
        <x:v>Consumable</x:v>
      </x:c>
      <x:c r="K63" s="18" t="str"/>
      <x:c r="L63" s="18" t="str">
        <x:v>Electrical</x:v>
      </x:c>
      <x:c r="M63" s="20" t="n">
        <x:v>1</x:v>
      </x:c>
      <x:c r="N63" s="18" t="str">
        <x:v>個</x:v>
      </x:c>
      <x:c r="O63" s="21" t="n">
        <x:v>15</x:v>
      </x:c>
      <x:c r="P63" s="21" t="n">
        <x:f>M63*O63</x:f>
        <x:v>15</x:v>
      </x:c>
      <x:c r="Q63" s="21" t="n">
        <x:v>15</x:v>
      </x:c>
      <x:c r="R63" s="21" t="n">
        <x:f>P63-Q63</x:f>
        <x:v>0</x:v>
      </x:c>
      <x:c r="S63" s="18" t="str">
        <x:v>Yes</x:v>
      </x:c>
      <x:c r="T63" s="18" t="str">
        <x:v>High</x:v>
      </x:c>
      <x:c r="U63" s="18" t="str">
        <x:v>Yi New Sewing Machine_Mar.'26.pdf</x:v>
      </x:c>
      <x:c r="V63" s="18" t="n">
        <x:v>1</x:v>
      </x:c>
      <x:c r="W63" s="18" t="str"/>
    </x:row>
    <x:row r="64">
      <x:c r="A64" s="18" t="str">
        <x:v>2026-03</x:v>
      </x:c>
      <x:c r="B64" s="19" t="n">
        <x:v>46091</x:v>
      </x:c>
      <x:c r="C64" s="18" t="str">
        <x:v>YI-000116</x:v>
      </x:c>
      <x:c r="D64" s="18" t="str">
        <x:v>YI NEW SEWING MACHINE CO., LTD</x:v>
      </x:c>
      <x:c r="E64" s="18" t="str">
        <x:v>ORGAN: UOx113#14</x:v>
      </x:c>
      <x:c r="F64" s="18" t="str">
        <x:v>ND-UOX113-14</x:v>
      </x:c>
      <x:c r="G64" s="18" t="str">
        <x:v>風琴機針 UOx113 #14</x:v>
      </x:c>
      <x:c r="H64" s="18" t="str">
        <x:v>UOx113 #14</x:v>
      </x:c>
      <x:c r="I64" s="18" t="str">
        <x:v>Needle</x:v>
      </x:c>
      <x:c r="J64" s="18" t="str">
        <x:v>Consumable</x:v>
      </x:c>
      <x:c r="K64" s="18" t="str">
        <x:v>ORGAN/風琴</x:v>
      </x:c>
      <x:c r="L64" s="18" t="str">
        <x:v>Multi-needle</x:v>
      </x:c>
      <x:c r="M64" s="20" t="n">
        <x:v>50</x:v>
      </x:c>
      <x:c r="N64" s="18" t="str">
        <x:v>包</x:v>
      </x:c>
      <x:c r="O64" s="21" t="n">
        <x:v>3</x:v>
      </x:c>
      <x:c r="P64" s="21" t="n">
        <x:f>M64*O64</x:f>
        <x:v>150</x:v>
      </x:c>
      <x:c r="Q64" s="21" t="n">
        <x:v>150</x:v>
      </x:c>
      <x:c r="R64" s="21" t="n">
        <x:f>P64-Q64</x:f>
        <x:v>0</x:v>
      </x:c>
      <x:c r="S64" s="18" t="str">
        <x:v>Yes</x:v>
      </x:c>
      <x:c r="T64" s="18" t="str">
        <x:v>High</x:v>
      </x:c>
      <x:c r="U64" s="18" t="str">
        <x:v>Yi New Sewing Machine_Mar.'26.pdf</x:v>
      </x:c>
      <x:c r="V64" s="18" t="n">
        <x:v>1</x:v>
      </x:c>
      <x:c r="W64" s="18" t="str"/>
    </x:row>
    <x:row r="65">
      <x:c r="A65" s="18" t="str">
        <x:v>2026-03</x:v>
      </x:c>
      <x:c r="B65" s="19" t="n">
        <x:v>46091</x:v>
      </x:c>
      <x:c r="C65" s="18" t="str">
        <x:v>YI-000116</x:v>
      </x:c>
      <x:c r="D65" s="18" t="str">
        <x:v>YI NEW SEWING MACHINE CO., LTD</x:v>
      </x:c>
      <x:c r="E65" s="18" t="str">
        <x:v>熱轉印高溫墊</x:v>
      </x:c>
      <x:c r="F65" s="18" t="str">
        <x:v>HT-HIGH-TEMP-PAD</x:v>
      </x:c>
      <x:c r="G65" s="18" t="str">
        <x:v>熱轉印高溫墊</x:v>
      </x:c>
      <x:c r="H65" s="18" t="str">
        <x:v>High Temperature</x:v>
      </x:c>
      <x:c r="I65" s="18" t="str">
        <x:v>Ironing/Heat Transfer</x:v>
      </x:c>
      <x:c r="J65" s="18" t="str">
        <x:v>Consumable</x:v>
      </x:c>
      <x:c r="K65" s="18" t="str"/>
      <x:c r="L65" s="18" t="str">
        <x:v>Heat Transfer</x:v>
      </x:c>
      <x:c r="M65" s="20" t="n">
        <x:v>2</x:v>
      </x:c>
      <x:c r="N65" s="18" t="str">
        <x:v>張</x:v>
      </x:c>
      <x:c r="O65" s="21" t="n">
        <x:v>23</x:v>
      </x:c>
      <x:c r="P65" s="21" t="n">
        <x:f>M65*O65</x:f>
        <x:v>46</x:v>
      </x:c>
      <x:c r="Q65" s="21" t="n">
        <x:v>46</x:v>
      </x:c>
      <x:c r="R65" s="21" t="n">
        <x:f>P65-Q65</x:f>
        <x:v>0</x:v>
      </x:c>
      <x:c r="S65" s="18" t="str">
        <x:v>Yes</x:v>
      </x:c>
      <x:c r="T65" s="18" t="str">
        <x:v>High</x:v>
      </x:c>
      <x:c r="U65" s="18" t="str">
        <x:v>Yi New Sewing Machine_Mar.'26.pdf</x:v>
      </x:c>
      <x:c r="V65" s="18" t="n">
        <x:v>1</x:v>
      </x:c>
      <x:c r="W65" s="18" t="str"/>
    </x:row>
    <x:row r="66">
      <x:c r="A66" s="18" t="str">
        <x:v>2026-03</x:v>
      </x:c>
      <x:c r="B66" s="19" t="n">
        <x:v>46091</x:v>
      </x:c>
      <x:c r="C66" s="18" t="str">
        <x:v>YI-000116</x:v>
      </x:c>
      <x:c r="D66" s="18" t="str">
        <x:v>YI NEW SEWING MACHINE CO., LTD</x:v>
      </x:c>
      <x:c r="E66" s="18" t="str">
        <x:v>台灣產強效益美精去污劑</x:v>
      </x:c>
      <x:c r="F66" s="18" t="str">
        <x:v>CH-YIMEIJING-STAIN-REMOVER</x:v>
      </x:c>
      <x:c r="G66" s="18" t="str">
        <x:v>台灣產強效益美精去污劑</x:v>
      </x:c>
      <x:c r="H66" s="18" t="str">
        <x:v>Strong</x:v>
      </x:c>
      <x:c r="I66" s="18" t="str">
        <x:v>Consumable/Chemical</x:v>
      </x:c>
      <x:c r="J66" s="18" t="str">
        <x:v>Consumable</x:v>
      </x:c>
      <x:c r="K66" s="18" t="str">
        <x:v>Taiwan</x:v>
      </x:c>
      <x:c r="L66" s="18" t="str">
        <x:v>Cleaning</x:v>
      </x:c>
      <x:c r="M66" s="20" t="n">
        <x:v>1</x:v>
      </x:c>
      <x:c r="N66" s="18" t="str">
        <x:v>罐</x:v>
      </x:c>
      <x:c r="O66" s="21" t="n">
        <x:v>6.5</x:v>
      </x:c>
      <x:c r="P66" s="21" t="n">
        <x:f>M66*O66</x:f>
        <x:v>6.5</x:v>
      </x:c>
      <x:c r="Q66" s="21" t="n">
        <x:v>6.5</x:v>
      </x:c>
      <x:c r="R66" s="21" t="n">
        <x:f>P66-Q66</x:f>
        <x:v>0</x:v>
      </x:c>
      <x:c r="S66" s="18" t="str">
        <x:v>Yes</x:v>
      </x:c>
      <x:c r="T66" s="18" t="str">
        <x:v>Medium</x:v>
      </x:c>
      <x:c r="U66" s="18" t="str">
        <x:v>Yi New Sewing Machine_Mar.'26.pdf</x:v>
      </x:c>
      <x:c r="V66" s="18" t="n">
        <x:v>1</x:v>
      </x:c>
      <x:c r="W66" s="18" t="str">
        <x:v>原始中文辨識可能需供應商再次確認</x:v>
      </x:c>
    </x:row>
    <x:row r="67">
      <x:c r="A67" s="18" t="str">
        <x:v>2026-03</x:v>
      </x:c>
      <x:c r="B67" s="19" t="n">
        <x:v>46094</x:v>
      </x:c>
      <x:c r="C67" s="18" t="str">
        <x:v>YI-000118</x:v>
      </x:c>
      <x:c r="D67" s="18" t="str">
        <x:v>YI NEW SEWING MACHINE CO., LTD</x:v>
      </x:c>
      <x:c r="E67" s="18" t="str">
        <x:v>元一自動拉布機封邊平衡馬達</x:v>
      </x:c>
      <x:c r="F67" s="18" t="str">
        <x:v>MT-YUANYI-SPREADER-BALANCE-MOTOR</x:v>
      </x:c>
      <x:c r="G67" s="18" t="str">
        <x:v>元一自動拉布機封邊平衡馬達</x:v>
      </x:c>
      <x:c r="H67" s="18" t="str">
        <x:v>Automatic Spreader</x:v>
      </x:c>
      <x:c r="I67" s="18" t="str">
        <x:v>Motor/Drive</x:v>
      </x:c>
      <x:c r="J67" s="18" t="str">
        <x:v>Spare Part</x:v>
      </x:c>
      <x:c r="K67" s="18" t="str">
        <x:v>元一</x:v>
      </x:c>
      <x:c r="L67" s="18" t="str">
        <x:v>Cutting</x:v>
      </x:c>
      <x:c r="M67" s="20" t="n">
        <x:v>1</x:v>
      </x:c>
      <x:c r="N67" s="18" t="str">
        <x:v>個</x:v>
      </x:c>
      <x:c r="O67" s="21" t="n">
        <x:v>250</x:v>
      </x:c>
      <x:c r="P67" s="21" t="n">
        <x:f>M67*O67</x:f>
        <x:v>250</x:v>
      </x:c>
      <x:c r="Q67" s="21" t="n">
        <x:v>250</x:v>
      </x:c>
      <x:c r="R67" s="21" t="n">
        <x:f>P67-Q67</x:f>
        <x:v>0</x:v>
      </x:c>
      <x:c r="S67" s="18" t="str">
        <x:v>Yes</x:v>
      </x:c>
      <x:c r="T67" s="18" t="str">
        <x:v>High</x:v>
      </x:c>
      <x:c r="U67" s="18" t="str">
        <x:v>Yi New Sewing Machine_Mar.'26.pdf</x:v>
      </x:c>
      <x:c r="V67" s="18" t="n">
        <x:v>1</x:v>
      </x:c>
      <x:c r="W67" s="18" t="str"/>
    </x:row>
    <x:row r="68">
      <x:c r="A68" s="18" t="str">
        <x:v>2026-03</x:v>
      </x:c>
      <x:c r="B68" s="19" t="n">
        <x:v>46102</x:v>
      </x:c>
      <x:c r="C68" s="18" t="str">
        <x:v>YI-000119</x:v>
      </x:c>
      <x:c r="D68" s="18" t="str">
        <x:v>YI NEW SEWING MACHINE CO., LTD</x:v>
      </x:c>
      <x:c r="E68" s="18" t="str">
        <x:v>東元啟動組合開關（日本）</x:v>
      </x:c>
      <x:c r="F68" s="18" t="str">
        <x:v>EL-TECO-STARTER-SWITCH-JP</x:v>
      </x:c>
      <x:c r="G68" s="18" t="str">
        <x:v>東元啟動組合開關（日本）</x:v>
      </x:c>
      <x:c r="H68" s="18" t="str">
        <x:v>Starter Combination</x:v>
      </x:c>
      <x:c r="I68" s="18" t="str">
        <x:v>Electrical/Control</x:v>
      </x:c>
      <x:c r="J68" s="18" t="str">
        <x:v>Spare Part</x:v>
      </x:c>
      <x:c r="K68" s="18" t="str">
        <x:v>TECO/東元</x:v>
      </x:c>
      <x:c r="L68" s="18" t="str">
        <x:v>Motor Control</x:v>
      </x:c>
      <x:c r="M68" s="20" t="n">
        <x:v>10</x:v>
      </x:c>
      <x:c r="N68" s="18" t="str">
        <x:v>組</x:v>
      </x:c>
      <x:c r="O68" s="21" t="n">
        <x:v>28.5</x:v>
      </x:c>
      <x:c r="P68" s="21" t="n">
        <x:f>M68*O68</x:f>
        <x:v>285</x:v>
      </x:c>
      <x:c r="Q68" s="21" t="n">
        <x:v>285</x:v>
      </x:c>
      <x:c r="R68" s="21" t="n">
        <x:f>P68-Q68</x:f>
        <x:v>0</x:v>
      </x:c>
      <x:c r="S68" s="18" t="str">
        <x:v>Yes</x:v>
      </x:c>
      <x:c r="T68" s="18" t="str">
        <x:v>High</x:v>
      </x:c>
      <x:c r="U68" s="18" t="str">
        <x:v>Yi New Sewing Machine_Mar.'26.pdf</x:v>
      </x:c>
      <x:c r="V68" s="18" t="n">
        <x:v>1</x:v>
      </x:c>
      <x:c r="W68" s="18" t="str"/>
    </x:row>
    <x:row r="69">
      <x:c r="A69" s="18" t="str">
        <x:v>2026-03</x:v>
      </x:c>
      <x:c r="B69" s="19" t="n">
        <x:v>46106</x:v>
      </x:c>
      <x:c r="C69" s="18" t="str">
        <x:v>YI-000120</x:v>
      </x:c>
      <x:c r="D69" s="18" t="str">
        <x:v>YI NEW SEWING MACHINE CO., LTD</x:v>
      </x:c>
      <x:c r="E69" s="18" t="str">
        <x:v>ORGAN: DBx1#9</x:v>
      </x:c>
      <x:c r="F69" s="18" t="str">
        <x:v>ND-DBX1-9</x:v>
      </x:c>
      <x:c r="G69" s="18" t="str">
        <x:v>風琴機針 DBx1 #9</x:v>
      </x:c>
      <x:c r="H69" s="18" t="str">
        <x:v>DBx1 #9</x:v>
      </x:c>
      <x:c r="I69" s="18" t="str">
        <x:v>Needle</x:v>
      </x:c>
      <x:c r="J69" s="18" t="str">
        <x:v>Consumable</x:v>
      </x:c>
      <x:c r="K69" s="18" t="str">
        <x:v>ORGAN/風琴</x:v>
      </x:c>
      <x:c r="L69" s="18" t="str">
        <x:v>Single Needle</x:v>
      </x:c>
      <x:c r="M69" s="20" t="n">
        <x:v>50</x:v>
      </x:c>
      <x:c r="N69" s="18" t="str">
        <x:v>包</x:v>
      </x:c>
      <x:c r="O69" s="21" t="n">
        <x:v>0.78</x:v>
      </x:c>
      <x:c r="P69" s="21" t="n">
        <x:f>M69*O69</x:f>
        <x:v>39</x:v>
      </x:c>
      <x:c r="Q69" s="21" t="n">
        <x:v>39</x:v>
      </x:c>
      <x:c r="R69" s="21" t="n">
        <x:f>P69-Q69</x:f>
        <x:v>0</x:v>
      </x:c>
      <x:c r="S69" s="18" t="str">
        <x:v>Yes</x:v>
      </x:c>
      <x:c r="T69" s="18" t="str">
        <x:v>High</x:v>
      </x:c>
      <x:c r="U69" s="18" t="str">
        <x:v>Yi New Sewing Machine_Mar.'26.pdf</x:v>
      </x:c>
      <x:c r="V69" s="18" t="n">
        <x:v>1</x:v>
      </x:c>
      <x:c r="W69" s="18" t="str"/>
    </x:row>
    <x:row r="70">
      <x:c r="A70" s="18" t="str">
        <x:v>2026-03</x:v>
      </x:c>
      <x:c r="B70" s="19" t="n">
        <x:v>46106</x:v>
      </x:c>
      <x:c r="C70" s="18" t="str">
        <x:v>YI-000120</x:v>
      </x:c>
      <x:c r="D70" s="18" t="str">
        <x:v>YI NEW SEWING MACHINE CO., LTD</x:v>
      </x:c>
      <x:c r="E70" s="18" t="str">
        <x:v>ORGAN: DBx1#11</x:v>
      </x:c>
      <x:c r="F70" s="18" t="str">
        <x:v>ND-DBX1-11</x:v>
      </x:c>
      <x:c r="G70" s="18" t="str">
        <x:v>風琴機針 DBx1 #11</x:v>
      </x:c>
      <x:c r="H70" s="18" t="str">
        <x:v>DBx1 #11</x:v>
      </x:c>
      <x:c r="I70" s="18" t="str">
        <x:v>Needle</x:v>
      </x:c>
      <x:c r="J70" s="18" t="str">
        <x:v>Consumable</x:v>
      </x:c>
      <x:c r="K70" s="18" t="str">
        <x:v>ORGAN/風琴</x:v>
      </x:c>
      <x:c r="L70" s="18" t="str">
        <x:v>Single Needle</x:v>
      </x:c>
      <x:c r="M70" s="20" t="n">
        <x:v>50</x:v>
      </x:c>
      <x:c r="N70" s="18" t="str">
        <x:v>包</x:v>
      </x:c>
      <x:c r="O70" s="21" t="n">
        <x:v>0.78</x:v>
      </x:c>
      <x:c r="P70" s="21" t="n">
        <x:f>M70*O70</x:f>
        <x:v>39</x:v>
      </x:c>
      <x:c r="Q70" s="21" t="n">
        <x:v>39</x:v>
      </x:c>
      <x:c r="R70" s="21" t="n">
        <x:f>P70-Q70</x:f>
        <x:v>0</x:v>
      </x:c>
      <x:c r="S70" s="18" t="str">
        <x:v>Yes</x:v>
      </x:c>
      <x:c r="T70" s="18" t="str">
        <x:v>High</x:v>
      </x:c>
      <x:c r="U70" s="18" t="str">
        <x:v>Yi New Sewing Machine_Mar.'26.pdf</x:v>
      </x:c>
      <x:c r="V70" s="18" t="n">
        <x:v>1</x:v>
      </x:c>
      <x:c r="W70" s="18" t="str"/>
    </x:row>
    <x:row r="71">
      <x:c r="A71" s="18" t="str">
        <x:v>2026-03</x:v>
      </x:c>
      <x:c r="B71" s="19" t="n">
        <x:v>46106</x:v>
      </x:c>
      <x:c r="C71" s="18" t="str">
        <x:v>YI-000120</x:v>
      </x:c>
      <x:c r="D71" s="18" t="str">
        <x:v>YI NEW SEWING MACHINE CO., LTD</x:v>
      </x:c>
      <x:c r="E71" s="18" t="str">
        <x:v>ORGAN: DBx1 #12</x:v>
      </x:c>
      <x:c r="F71" s="18" t="str">
        <x:v>ND-DBX1-12</x:v>
      </x:c>
      <x:c r="G71" s="18" t="str">
        <x:v>風琴機針 DBx1 #12</x:v>
      </x:c>
      <x:c r="H71" s="18" t="str">
        <x:v>DBx1 #12</x:v>
      </x:c>
      <x:c r="I71" s="18" t="str">
        <x:v>Needle</x:v>
      </x:c>
      <x:c r="J71" s="18" t="str">
        <x:v>Consumable</x:v>
      </x:c>
      <x:c r="K71" s="18" t="str">
        <x:v>ORGAN/風琴</x:v>
      </x:c>
      <x:c r="L71" s="18" t="str">
        <x:v>Single Needle</x:v>
      </x:c>
      <x:c r="M71" s="20" t="n">
        <x:v>50</x:v>
      </x:c>
      <x:c r="N71" s="18" t="str">
        <x:v>包</x:v>
      </x:c>
      <x:c r="O71" s="21" t="n">
        <x:v>0.78</x:v>
      </x:c>
      <x:c r="P71" s="21" t="n">
        <x:f>M71*O71</x:f>
        <x:v>39</x:v>
      </x:c>
      <x:c r="Q71" s="21" t="n">
        <x:v>39</x:v>
      </x:c>
      <x:c r="R71" s="21" t="n">
        <x:f>P71-Q71</x:f>
        <x:v>0</x:v>
      </x:c>
      <x:c r="S71" s="18" t="str">
        <x:v>Yes</x:v>
      </x:c>
      <x:c r="T71" s="18" t="str">
        <x:v>High</x:v>
      </x:c>
      <x:c r="U71" s="18" t="str">
        <x:v>Yi New Sewing Machine_Mar.'26.pdf</x:v>
      </x:c>
      <x:c r="V71" s="18" t="n">
        <x:v>1</x:v>
      </x:c>
      <x:c r="W71" s="18" t="str"/>
    </x:row>
    <x:row r="72">
      <x:c r="A72" s="18" t="str">
        <x:v>2026-03</x:v>
      </x:c>
      <x:c r="B72" s="19" t="n">
        <x:v>46106</x:v>
      </x:c>
      <x:c r="C72" s="18" t="str">
        <x:v>YI-000120</x:v>
      </x:c>
      <x:c r="D72" s="18" t="str">
        <x:v>YI NEW SEWING MACHINE CO., LTD</x:v>
      </x:c>
      <x:c r="E72" s="18" t="str">
        <x:v>ORGAN: UOx113#16</x:v>
      </x:c>
      <x:c r="F72" s="18" t="str">
        <x:v>ND-UOX113-16</x:v>
      </x:c>
      <x:c r="G72" s="18" t="str">
        <x:v>風琴機針 UOx113 #16</x:v>
      </x:c>
      <x:c r="H72" s="18" t="str">
        <x:v>UOx113 #16</x:v>
      </x:c>
      <x:c r="I72" s="18" t="str">
        <x:v>Needle</x:v>
      </x:c>
      <x:c r="J72" s="18" t="str">
        <x:v>Consumable</x:v>
      </x:c>
      <x:c r="K72" s="18" t="str">
        <x:v>ORGAN/風琴</x:v>
      </x:c>
      <x:c r="L72" s="18" t="str">
        <x:v>Multi-needle</x:v>
      </x:c>
      <x:c r="M72" s="20" t="n">
        <x:v>50</x:v>
      </x:c>
      <x:c r="N72" s="18" t="str">
        <x:v>包</x:v>
      </x:c>
      <x:c r="O72" s="21" t="n">
        <x:v>3</x:v>
      </x:c>
      <x:c r="P72" s="21" t="n">
        <x:f>M72*O72</x:f>
        <x:v>150</x:v>
      </x:c>
      <x:c r="Q72" s="21" t="n">
        <x:v>150</x:v>
      </x:c>
      <x:c r="R72" s="21" t="n">
        <x:f>P72-Q72</x:f>
        <x:v>0</x:v>
      </x:c>
      <x:c r="S72" s="18" t="str">
        <x:v>Yes</x:v>
      </x:c>
      <x:c r="T72" s="18" t="str">
        <x:v>High</x:v>
      </x:c>
      <x:c r="U72" s="18" t="str">
        <x:v>Yi New Sewing Machine_Mar.'26.pdf</x:v>
      </x:c>
      <x:c r="V72" s="18" t="n">
        <x:v>1</x:v>
      </x:c>
      <x:c r="W72" s="18" t="str"/>
    </x:row>
    <x:row r="73">
      <x:c r="A73" s="18" t="str">
        <x:v>2026-03</x:v>
      </x:c>
      <x:c r="B73" s="19" t="n">
        <x:v>46106</x:v>
      </x:c>
      <x:c r="C73" s="18" t="str">
        <x:v>YI-000121</x:v>
      </x:c>
      <x:c r="D73" s="18" t="str">
        <x:v>YI NEW SEWING MACHINE CO., LTD</x:v>
      </x:c>
      <x:c r="E73" s="18" t="str">
        <x:v>502膠水・大瓶</x:v>
      </x:c>
      <x:c r="F73" s="18" t="str">
        <x:v>CH-502-GLUE-LARGE</x:v>
      </x:c>
      <x:c r="G73" s="18" t="str">
        <x:v>502膠水（大瓶）</x:v>
      </x:c>
      <x:c r="H73" s="18" t="str">
        <x:v>Large Bottle</x:v>
      </x:c>
      <x:c r="I73" s="18" t="str">
        <x:v>Consumable/Chemical</x:v>
      </x:c>
      <x:c r="J73" s="18" t="str">
        <x:v>Consumable</x:v>
      </x:c>
      <x:c r="K73" s="18" t="str"/>
      <x:c r="L73" s="18" t="str">
        <x:v>Maintenance</x:v>
      </x:c>
      <x:c r="M73" s="20" t="n">
        <x:v>10</x:v>
      </x:c>
      <x:c r="N73" s="18" t="str">
        <x:v>瓶</x:v>
      </x:c>
      <x:c r="O73" s="21" t="n">
        <x:v>0.65</x:v>
      </x:c>
      <x:c r="P73" s="21" t="n">
        <x:f>M73*O73</x:f>
        <x:v>6.5</x:v>
      </x:c>
      <x:c r="Q73" s="21" t="n">
        <x:v>6.5</x:v>
      </x:c>
      <x:c r="R73" s="21" t="n">
        <x:f>P73-Q73</x:f>
        <x:v>0</x:v>
      </x:c>
      <x:c r="S73" s="18" t="str">
        <x:v>Yes</x:v>
      </x:c>
      <x:c r="T73" s="18" t="str">
        <x:v>High</x:v>
      </x:c>
      <x:c r="U73" s="18" t="str">
        <x:v>Yi New Sewing Machine_Mar.'26.pdf</x:v>
      </x:c>
      <x:c r="V73" s="18" t="n">
        <x:v>1</x:v>
      </x:c>
      <x:c r="W73" s="18" t="str"/>
    </x:row>
    <x:row r="74">
      <x:c r="A74" s="18" t="str">
        <x:v>2026-04</x:v>
      </x:c>
      <x:c r="B74" s="19" t="n">
        <x:v>46113</x:v>
      </x:c>
      <x:c r="C74" s="18" t="str">
        <x:v>YI-000122</x:v>
      </x:c>
      <x:c r="D74" s="18" t="str">
        <x:v>YI NEW SEWING MACHINE CO., LTD</x:v>
      </x:c>
      <x:c r="E74" s="18" t="str">
        <x:v>ORGAN: UYx128 #12</x:v>
      </x:c>
      <x:c r="F74" s="18" t="str">
        <x:v>ND-UYX128-12</x:v>
      </x:c>
      <x:c r="G74" s="18" t="str">
        <x:v>風琴機針 UYx128 #12</x:v>
      </x:c>
      <x:c r="H74" s="18" t="str">
        <x:v>UYx128 #12</x:v>
      </x:c>
      <x:c r="I74" s="18" t="str">
        <x:v>Needle</x:v>
      </x:c>
      <x:c r="J74" s="18" t="str">
        <x:v>Consumable</x:v>
      </x:c>
      <x:c r="K74" s="18" t="str">
        <x:v>ORGAN/風琴</x:v>
      </x:c>
      <x:c r="L74" s="18" t="str">
        <x:v>Multi-needle / Chainstitch</x:v>
      </x:c>
      <x:c r="M74" s="20" t="n">
        <x:v>150</x:v>
      </x:c>
      <x:c r="N74" s="18" t="str">
        <x:v>包</x:v>
      </x:c>
      <x:c r="O74" s="21" t="n">
        <x:v>1.78</x:v>
      </x:c>
      <x:c r="P74" s="21" t="n">
        <x:f>M74*O74</x:f>
        <x:v>267</x:v>
      </x:c>
      <x:c r="Q74" s="21" t="n">
        <x:v>267</x:v>
      </x:c>
      <x:c r="R74" s="21" t="n">
        <x:f>P74-Q74</x:f>
        <x:v>0</x:v>
      </x:c>
      <x:c r="S74" s="18" t="str">
        <x:v>Yes</x:v>
      </x:c>
      <x:c r="T74" s="18" t="str">
        <x:v>High</x:v>
      </x:c>
      <x:c r="U74" s="18" t="str">
        <x:v>Yi New Sewing Machine_Apr.'26.pdf</x:v>
      </x:c>
      <x:c r="V74" s="18" t="n">
        <x:v>1</x:v>
      </x:c>
      <x:c r="W74" s="18" t="str"/>
    </x:row>
    <x:row r="75">
      <x:c r="A75" s="18" t="str">
        <x:v>2026-04</x:v>
      </x:c>
      <x:c r="B75" s="19" t="n">
        <x:v>46113</x:v>
      </x:c>
      <x:c r="C75" s="18" t="str">
        <x:v>YI-000122</x:v>
      </x:c>
      <x:c r="D75" s="18" t="str">
        <x:v>YI NEW SEWING MACHINE CO., LTD</x:v>
      </x:c>
      <x:c r="E75" s="18" t="str">
        <x:v>ORGAN: DCx27 #12</x:v>
      </x:c>
      <x:c r="F75" s="18" t="str">
        <x:v>ND-DCX27-12</x:v>
      </x:c>
      <x:c r="G75" s="18" t="str">
        <x:v>風琴機針 DCx27 #12</x:v>
      </x:c>
      <x:c r="H75" s="18" t="str">
        <x:v>DCx27 #12</x:v>
      </x:c>
      <x:c r="I75" s="18" t="str">
        <x:v>Needle</x:v>
      </x:c>
      <x:c r="J75" s="18" t="str">
        <x:v>Consumable</x:v>
      </x:c>
      <x:c r="K75" s="18" t="str">
        <x:v>ORGAN/風琴</x:v>
      </x:c>
      <x:c r="L75" s="18" t="str">
        <x:v>Overlock</x:v>
      </x:c>
      <x:c r="M75" s="20" t="n">
        <x:v>150</x:v>
      </x:c>
      <x:c r="N75" s="18" t="str">
        <x:v>包</x:v>
      </x:c>
      <x:c r="O75" s="21" t="n">
        <x:v>1.3</x:v>
      </x:c>
      <x:c r="P75" s="21" t="n">
        <x:f>M75*O75</x:f>
        <x:v>195</x:v>
      </x:c>
      <x:c r="Q75" s="21" t="n">
        <x:v>195</x:v>
      </x:c>
      <x:c r="R75" s="21" t="n">
        <x:f>P75-Q75</x:f>
        <x:v>0</x:v>
      </x:c>
      <x:c r="S75" s="18" t="str">
        <x:v>Yes</x:v>
      </x:c>
      <x:c r="T75" s="18" t="str">
        <x:v>High</x:v>
      </x:c>
      <x:c r="U75" s="18" t="str">
        <x:v>Yi New Sewing Machine_Apr.'26.pdf</x:v>
      </x:c>
      <x:c r="V75" s="18" t="n">
        <x:v>1</x:v>
      </x:c>
      <x:c r="W75" s="18" t="str"/>
    </x:row>
    <x:row r="76">
      <x:c r="A76" s="18" t="str">
        <x:v>2026-04</x:v>
      </x:c>
      <x:c r="B76" s="19" t="n">
        <x:v>46116</x:v>
      </x:c>
      <x:c r="C76" s="18" t="str">
        <x:v>YI-000123</x:v>
      </x:c>
      <x:c r="D76" s="18" t="str">
        <x:v>YI NEW SEWING MACHINE CO., LTD</x:v>
      </x:c>
      <x:c r="E76" s="18" t="str">
        <x:v>JUKI-781壓腳</x:v>
      </x:c>
      <x:c r="F76" s="18" t="str">
        <x:v>PF-JUKI781</x:v>
      </x:c>
      <x:c r="G76" s="18" t="str">
        <x:v>JUKI-781 壓腳</x:v>
      </x:c>
      <x:c r="H76" s="18" t="str">
        <x:v>JUKI-781</x:v>
      </x:c>
      <x:c r="I76" s="18" t="str">
        <x:v>Presser Foot</x:v>
      </x:c>
      <x:c r="J76" s="18" t="str">
        <x:v>Spare Part</x:v>
      </x:c>
      <x:c r="K76" s="18" t="str">
        <x:v>JUKI</x:v>
      </x:c>
      <x:c r="L76" s="18" t="str">
        <x:v>Buttonhole</x:v>
      </x:c>
      <x:c r="M76" s="20" t="n">
        <x:v>3</x:v>
      </x:c>
      <x:c r="N76" s="18" t="str">
        <x:v>個</x:v>
      </x:c>
      <x:c r="O76" s="21" t="n">
        <x:v>6</x:v>
      </x:c>
      <x:c r="P76" s="21" t="n">
        <x:f>M76*O76</x:f>
        <x:v>18</x:v>
      </x:c>
      <x:c r="Q76" s="21" t="n">
        <x:v>18</x:v>
      </x:c>
      <x:c r="R76" s="21" t="n">
        <x:f>P76-Q76</x:f>
        <x:v>0</x:v>
      </x:c>
      <x:c r="S76" s="18" t="str">
        <x:v>Yes</x:v>
      </x:c>
      <x:c r="T76" s="18" t="str">
        <x:v>High</x:v>
      </x:c>
      <x:c r="U76" s="18" t="str">
        <x:v>Yi New Sewing Machine_Apr.'26.pdf</x:v>
      </x:c>
      <x:c r="V76" s="18" t="n">
        <x:v>1</x:v>
      </x:c>
      <x:c r="W76" s="18" t="str"/>
    </x:row>
    <x:row r="77">
      <x:c r="A77" s="18" t="str">
        <x:v>2026-04</x:v>
      </x:c>
      <x:c r="B77" s="19" t="n">
        <x:v>46116</x:v>
      </x:c>
      <x:c r="C77" s="18" t="str">
        <x:v>YI-000123</x:v>
      </x:c>
      <x:c r="D77" s="18" t="str">
        <x:v>YI NEW SEWING MACHINE CO., LTD</x:v>
      </x:c>
      <x:c r="E77" s="18" t="str">
        <x:v>風琴: UOx113 #12</x:v>
      </x:c>
      <x:c r="F77" s="18" t="str">
        <x:v>ND-UOX113-12</x:v>
      </x:c>
      <x:c r="G77" s="18" t="str">
        <x:v>風琴機針 UOx113 #12</x:v>
      </x:c>
      <x:c r="H77" s="18" t="str">
        <x:v>UOx113 #12</x:v>
      </x:c>
      <x:c r="I77" s="18" t="str">
        <x:v>Needle</x:v>
      </x:c>
      <x:c r="J77" s="18" t="str">
        <x:v>Consumable</x:v>
      </x:c>
      <x:c r="K77" s="18" t="str">
        <x:v>ORGAN/風琴</x:v>
      </x:c>
      <x:c r="L77" s="18" t="str">
        <x:v>Multi-needle</x:v>
      </x:c>
      <x:c r="M77" s="20" t="n">
        <x:v>80</x:v>
      </x:c>
      <x:c r="N77" s="18" t="str">
        <x:v>包</x:v>
      </x:c>
      <x:c r="O77" s="21" t="n">
        <x:v>3</x:v>
      </x:c>
      <x:c r="P77" s="21" t="n">
        <x:f>M77*O77</x:f>
        <x:v>240</x:v>
      </x:c>
      <x:c r="Q77" s="21" t="n">
        <x:v>240</x:v>
      </x:c>
      <x:c r="R77" s="21" t="n">
        <x:f>P77-Q77</x:f>
        <x:v>0</x:v>
      </x:c>
      <x:c r="S77" s="18" t="str">
        <x:v>Yes</x:v>
      </x:c>
      <x:c r="T77" s="18" t="str">
        <x:v>High</x:v>
      </x:c>
      <x:c r="U77" s="18" t="str">
        <x:v>Yi New Sewing Machine_Apr.'26.pdf</x:v>
      </x:c>
      <x:c r="V77" s="18" t="n">
        <x:v>1</x:v>
      </x:c>
      <x:c r="W77" s="18" t="str"/>
    </x:row>
    <x:row r="78">
      <x:c r="A78" s="18" t="str">
        <x:v>2026-04</x:v>
      </x:c>
      <x:c r="B78" s="19" t="n">
        <x:v>46116</x:v>
      </x:c>
      <x:c r="C78" s="18" t="str">
        <x:v>YI-000123</x:v>
      </x:c>
      <x:c r="D78" s="18" t="str">
        <x:v>YI NEW SEWING MACHINE CO., LTD</x:v>
      </x:c>
      <x:c r="E78" s="18" t="str">
        <x:v>風琴: UYx128 #12</x:v>
      </x:c>
      <x:c r="F78" s="18" t="str">
        <x:v>ND-UYX128-12</x:v>
      </x:c>
      <x:c r="G78" s="18" t="str">
        <x:v>風琴機針 UYx128 #12</x:v>
      </x:c>
      <x:c r="H78" s="18" t="str">
        <x:v>UYx128 #12</x:v>
      </x:c>
      <x:c r="I78" s="18" t="str">
        <x:v>Needle</x:v>
      </x:c>
      <x:c r="J78" s="18" t="str">
        <x:v>Consumable</x:v>
      </x:c>
      <x:c r="K78" s="18" t="str">
        <x:v>ORGAN/風琴</x:v>
      </x:c>
      <x:c r="L78" s="18" t="str">
        <x:v>Multi-needle / Chainstitch</x:v>
      </x:c>
      <x:c r="M78" s="20" t="n">
        <x:v>50</x:v>
      </x:c>
      <x:c r="N78" s="18" t="str">
        <x:v>包</x:v>
      </x:c>
      <x:c r="O78" s="21" t="n">
        <x:v>1.78</x:v>
      </x:c>
      <x:c r="P78" s="21" t="n">
        <x:f>M78*O78</x:f>
        <x:v>89</x:v>
      </x:c>
      <x:c r="Q78" s="21" t="n">
        <x:v>89</x:v>
      </x:c>
      <x:c r="R78" s="21" t="n">
        <x:f>P78-Q78</x:f>
        <x:v>0</x:v>
      </x:c>
      <x:c r="S78" s="18" t="str">
        <x:v>Yes</x:v>
      </x:c>
      <x:c r="T78" s="18" t="str">
        <x:v>High</x:v>
      </x:c>
      <x:c r="U78" s="18" t="str">
        <x:v>Yi New Sewing Machine_Apr.'26.pdf</x:v>
      </x:c>
      <x:c r="V78" s="18" t="n">
        <x:v>1</x:v>
      </x:c>
      <x:c r="W78" s="18" t="str"/>
    </x:row>
    <x:row r="79">
      <x:c r="A79" s="18" t="str">
        <x:v>2026-04</x:v>
      </x:c>
      <x:c r="B79" s="19" t="n">
        <x:v>46116</x:v>
      </x:c>
      <x:c r="C79" s="18" t="str">
        <x:v>YI-000123</x:v>
      </x:c>
      <x:c r="D79" s="18" t="str">
        <x:v>YI NEW SEWING MACHINE CO., LTD</x:v>
      </x:c>
      <x:c r="E79" s="18" t="str">
        <x:v>風琴: DCx27 #12</x:v>
      </x:c>
      <x:c r="F79" s="18" t="str">
        <x:v>ND-DCX27-12</x:v>
      </x:c>
      <x:c r="G79" s="18" t="str">
        <x:v>風琴機針 DCx27 #12</x:v>
      </x:c>
      <x:c r="H79" s="18" t="str">
        <x:v>DCx27 #12</x:v>
      </x:c>
      <x:c r="I79" s="18" t="str">
        <x:v>Needle</x:v>
      </x:c>
      <x:c r="J79" s="18" t="str">
        <x:v>Consumable</x:v>
      </x:c>
      <x:c r="K79" s="18" t="str">
        <x:v>ORGAN/風琴</x:v>
      </x:c>
      <x:c r="L79" s="18" t="str">
        <x:v>Overlock</x:v>
      </x:c>
      <x:c r="M79" s="20" t="n">
        <x:v>50</x:v>
      </x:c>
      <x:c r="N79" s="18" t="str">
        <x:v>包</x:v>
      </x:c>
      <x:c r="O79" s="21" t="n">
        <x:v>1.3</x:v>
      </x:c>
      <x:c r="P79" s="21" t="n">
        <x:f>M79*O79</x:f>
        <x:v>65</x:v>
      </x:c>
      <x:c r="Q79" s="21" t="n">
        <x:v>65</x:v>
      </x:c>
      <x:c r="R79" s="21" t="n">
        <x:f>P79-Q79</x:f>
        <x:v>0</x:v>
      </x:c>
      <x:c r="S79" s="18" t="str">
        <x:v>Yes</x:v>
      </x:c>
      <x:c r="T79" s="18" t="str">
        <x:v>High</x:v>
      </x:c>
      <x:c r="U79" s="18" t="str">
        <x:v>Yi New Sewing Machine_Apr.'26.pdf</x:v>
      </x:c>
      <x:c r="V79" s="18" t="n">
        <x:v>1</x:v>
      </x:c>
      <x:c r="W79" s="18" t="str"/>
    </x:row>
    <x:row r="80">
      <x:c r="A80" s="18" t="str">
        <x:v>2026-04</x:v>
      </x:c>
      <x:c r="B80" s="19" t="n">
        <x:v>46135</x:v>
      </x:c>
      <x:c r="C80" s="18" t="str">
        <x:v>YI-000124</x:v>
      </x:c>
      <x:c r="D80" s="18" t="str">
        <x:v>YI NEW SEWING MACHINE CO., LTD</x:v>
      </x:c>
      <x:c r="E80" s="18" t="str">
        <x:v>Organ : DPx5 #14</x:v>
      </x:c>
      <x:c r="F80" s="18" t="str">
        <x:v>ND-DPX5-14</x:v>
      </x:c>
      <x:c r="G80" s="18" t="str">
        <x:v>風琴機針 DPx5 #14</x:v>
      </x:c>
      <x:c r="H80" s="18" t="str">
        <x:v>DPx5 #14</x:v>
      </x:c>
      <x:c r="I80" s="18" t="str">
        <x:v>Needle</x:v>
      </x:c>
      <x:c r="J80" s="18" t="str">
        <x:v>Consumable</x:v>
      </x:c>
      <x:c r="K80" s="18" t="str">
        <x:v>ORGAN/風琴</x:v>
      </x:c>
      <x:c r="L80" s="18" t="str">
        <x:v>Lockstitch</x:v>
      </x:c>
      <x:c r="M80" s="20" t="n">
        <x:v>50</x:v>
      </x:c>
      <x:c r="N80" s="18" t="str">
        <x:v>包</x:v>
      </x:c>
      <x:c r="O80" s="21" t="n">
        <x:v>0.78</x:v>
      </x:c>
      <x:c r="P80" s="21" t="n">
        <x:f>M80*O80</x:f>
        <x:v>39</x:v>
      </x:c>
      <x:c r="Q80" s="21" t="n">
        <x:v>39</x:v>
      </x:c>
      <x:c r="R80" s="21" t="n">
        <x:f>P80-Q80</x:f>
        <x:v>0</x:v>
      </x:c>
      <x:c r="S80" s="18" t="str">
        <x:v>Yes</x:v>
      </x:c>
      <x:c r="T80" s="18" t="str">
        <x:v>High</x:v>
      </x:c>
      <x:c r="U80" s="18" t="str">
        <x:v>Yi New Sewing Machine_Apr.'26.pdf</x:v>
      </x:c>
      <x:c r="V80" s="18" t="n">
        <x:v>1</x:v>
      </x:c>
      <x:c r="W80" s="18" t="str"/>
    </x:row>
    <x:row r="81">
      <x:c r="A81" s="18" t="str">
        <x:v>2026-04</x:v>
      </x:c>
      <x:c r="B81" s="19" t="n">
        <x:v>46135</x:v>
      </x:c>
      <x:c r="C81" s="18" t="str">
        <x:v>YI-000124</x:v>
      </x:c>
      <x:c r="D81" s="18" t="str">
        <x:v>YI NEW SEWING MACHINE CO., LTD</x:v>
      </x:c>
      <x:c r="E81" s="18" t="str">
        <x:v>Organ : DCx27 #12</x:v>
      </x:c>
      <x:c r="F81" s="18" t="str">
        <x:v>ND-DCX27-12</x:v>
      </x:c>
      <x:c r="G81" s="18" t="str">
        <x:v>風琴機針 DCx27 #12</x:v>
      </x:c>
      <x:c r="H81" s="18" t="str">
        <x:v>DCx27 #12</x:v>
      </x:c>
      <x:c r="I81" s="18" t="str">
        <x:v>Needle</x:v>
      </x:c>
      <x:c r="J81" s="18" t="str">
        <x:v>Consumable</x:v>
      </x:c>
      <x:c r="K81" s="18" t="str">
        <x:v>ORGAN/風琴</x:v>
      </x:c>
      <x:c r="L81" s="18" t="str">
        <x:v>Overlock</x:v>
      </x:c>
      <x:c r="M81" s="20" t="n">
        <x:v>50</x:v>
      </x:c>
      <x:c r="N81" s="18" t="str">
        <x:v>包</x:v>
      </x:c>
      <x:c r="O81" s="21" t="n">
        <x:v>1.3</x:v>
      </x:c>
      <x:c r="P81" s="21" t="n">
        <x:f>M81*O81</x:f>
        <x:v>65</x:v>
      </x:c>
      <x:c r="Q81" s="21" t="n">
        <x:v>65</x:v>
      </x:c>
      <x:c r="R81" s="21" t="n">
        <x:f>P81-Q81</x:f>
        <x:v>0</x:v>
      </x:c>
      <x:c r="S81" s="18" t="str">
        <x:v>Yes</x:v>
      </x:c>
      <x:c r="T81" s="18" t="str">
        <x:v>High</x:v>
      </x:c>
      <x:c r="U81" s="18" t="str">
        <x:v>Yi New Sewing Machine_Apr.'26.pdf</x:v>
      </x:c>
      <x:c r="V81" s="18" t="n">
        <x:v>1</x:v>
      </x:c>
      <x:c r="W81" s="18" t="str"/>
    </x:row>
    <x:row r="82">
      <x:c r="A82" s="18" t="str">
        <x:v>2026-04</x:v>
      </x:c>
      <x:c r="B82" s="19" t="n">
        <x:v>46135</x:v>
      </x:c>
      <x:c r="C82" s="18" t="str">
        <x:v>YI-000124</x:v>
      </x:c>
      <x:c r="D82" s="18" t="str">
        <x:v>YI NEW SEWING MACHINE CO., LTD</x:v>
      </x:c>
      <x:c r="E82" s="18" t="str">
        <x:v>Organ : DCx27 #16</x:v>
      </x:c>
      <x:c r="F82" s="18" t="str">
        <x:v>ND-DCX27-16</x:v>
      </x:c>
      <x:c r="G82" s="18" t="str">
        <x:v>風琴機針 DCx27 #16</x:v>
      </x:c>
      <x:c r="H82" s="18" t="str">
        <x:v>DCx27 #16</x:v>
      </x:c>
      <x:c r="I82" s="18" t="str">
        <x:v>Needle</x:v>
      </x:c>
      <x:c r="J82" s="18" t="str">
        <x:v>Consumable</x:v>
      </x:c>
      <x:c r="K82" s="18" t="str">
        <x:v>ORGAN/風琴</x:v>
      </x:c>
      <x:c r="L82" s="18" t="str">
        <x:v>Overlock</x:v>
      </x:c>
      <x:c r="M82" s="20" t="n">
        <x:v>50</x:v>
      </x:c>
      <x:c r="N82" s="18" t="str">
        <x:v>包</x:v>
      </x:c>
      <x:c r="O82" s="21" t="n">
        <x:v>1.3</x:v>
      </x:c>
      <x:c r="P82" s="21" t="n">
        <x:f>M82*O82</x:f>
        <x:v>65</x:v>
      </x:c>
      <x:c r="Q82" s="21" t="n">
        <x:v>65</x:v>
      </x:c>
      <x:c r="R82" s="21" t="n">
        <x:f>P82-Q82</x:f>
        <x:v>0</x:v>
      </x:c>
      <x:c r="S82" s="18" t="str">
        <x:v>Yes</x:v>
      </x:c>
      <x:c r="T82" s="18" t="str">
        <x:v>High</x:v>
      </x:c>
      <x:c r="U82" s="18" t="str">
        <x:v>Yi New Sewing Machine_Apr.'26.pdf</x:v>
      </x:c>
      <x:c r="V82" s="18" t="n">
        <x:v>1</x:v>
      </x:c>
      <x:c r="W82" s="18" t="str"/>
    </x:row>
    <x:row r="83">
      <x:c r="A83" s="18" t="str">
        <x:v>2026-04</x:v>
      </x:c>
      <x:c r="B83" s="19" t="n">
        <x:v>46135</x:v>
      </x:c>
      <x:c r="C83" s="18" t="str">
        <x:v>YI-000124</x:v>
      </x:c>
      <x:c r="D83" s="18" t="str">
        <x:v>YI NEW SEWING MACHINE CO., LTD</x:v>
      </x:c>
      <x:c r="E83" s="18" t="str">
        <x:v>Organ : DPx17 #16</x:v>
      </x:c>
      <x:c r="F83" s="18" t="str">
        <x:v>ND-DPX17-16</x:v>
      </x:c>
      <x:c r="G83" s="18" t="str">
        <x:v>風琴機針 DPx17 #16</x:v>
      </x:c>
      <x:c r="H83" s="18" t="str">
        <x:v>DPx17 #16</x:v>
      </x:c>
      <x:c r="I83" s="18" t="str">
        <x:v>Needle</x:v>
      </x:c>
      <x:c r="J83" s="18" t="str">
        <x:v>Consumable</x:v>
      </x:c>
      <x:c r="K83" s="18" t="str">
        <x:v>ORGAN/風琴</x:v>
      </x:c>
      <x:c r="L83" s="18" t="str">
        <x:v>Buttonhole / Special</x:v>
      </x:c>
      <x:c r="M83" s="20" t="n">
        <x:v>50</x:v>
      </x:c>
      <x:c r="N83" s="18" t="str">
        <x:v>包</x:v>
      </x:c>
      <x:c r="O83" s="21" t="n">
        <x:v>1.3</x:v>
      </x:c>
      <x:c r="P83" s="21" t="n">
        <x:f>M83*O83</x:f>
        <x:v>65</x:v>
      </x:c>
      <x:c r="Q83" s="21" t="n">
        <x:v>65</x:v>
      </x:c>
      <x:c r="R83" s="21" t="n">
        <x:f>P83-Q83</x:f>
        <x:v>0</x:v>
      </x:c>
      <x:c r="S83" s="18" t="str">
        <x:v>Yes</x:v>
      </x:c>
      <x:c r="T83" s="18" t="str">
        <x:v>High</x:v>
      </x:c>
      <x:c r="U83" s="18" t="str">
        <x:v>Yi New Sewing Machine_Apr.'26.pdf</x:v>
      </x:c>
      <x:c r="V83" s="18" t="n">
        <x:v>1</x:v>
      </x:c>
      <x:c r="W83" s="18" t="str"/>
    </x:row>
    <x:row r="84">
      <x:c r="A84" s="18" t="str">
        <x:v>2026-04</x:v>
      </x:c>
      <x:c r="B84" s="19" t="n">
        <x:v>46135</x:v>
      </x:c>
      <x:c r="C84" s="18" t="str">
        <x:v>YI-000124</x:v>
      </x:c>
      <x:c r="D84" s="18" t="str">
        <x:v>YI NEW SEWING MACHINE CO., LTD</x:v>
      </x:c>
      <x:c r="E84" s="18" t="str">
        <x:v>ORGAN: DBx1 #14</x:v>
      </x:c>
      <x:c r="F84" s="18" t="str">
        <x:v>ND-DBX1-14</x:v>
      </x:c>
      <x:c r="G84" s="18" t="str">
        <x:v>風琴機針 DBx1 #14</x:v>
      </x:c>
      <x:c r="H84" s="18" t="str">
        <x:v>DBx1 #14</x:v>
      </x:c>
      <x:c r="I84" s="18" t="str">
        <x:v>Needle</x:v>
      </x:c>
      <x:c r="J84" s="18" t="str">
        <x:v>Consumable</x:v>
      </x:c>
      <x:c r="K84" s="18" t="str">
        <x:v>ORGAN/風琴</x:v>
      </x:c>
      <x:c r="L84" s="18" t="str">
        <x:v>Single Needle</x:v>
      </x:c>
      <x:c r="M84" s="20" t="n">
        <x:v>50</x:v>
      </x:c>
      <x:c r="N84" s="18" t="str">
        <x:v>包</x:v>
      </x:c>
      <x:c r="O84" s="21" t="n">
        <x:v>0.78</x:v>
      </x:c>
      <x:c r="P84" s="21" t="n">
        <x:f>M84*O84</x:f>
        <x:v>39</x:v>
      </x:c>
      <x:c r="Q84" s="21" t="n">
        <x:v>39</x:v>
      </x:c>
      <x:c r="R84" s="21" t="n">
        <x:f>P84-Q84</x:f>
        <x:v>0</x:v>
      </x:c>
      <x:c r="S84" s="18" t="str">
        <x:v>Yes</x:v>
      </x:c>
      <x:c r="T84" s="18" t="str">
        <x:v>High</x:v>
      </x:c>
      <x:c r="U84" s="18" t="str">
        <x:v>Yi New Sewing Machine_Apr.'26.pdf</x:v>
      </x:c>
      <x:c r="V84" s="18" t="n">
        <x:v>1</x:v>
      </x:c>
      <x:c r="W84" s="18" t="str"/>
    </x:row>
    <x:row r="85">
      <x:c r="A85" s="18" t="str">
        <x:v>2026-04</x:v>
      </x:c>
      <x:c r="B85" s="19" t="n">
        <x:v>46135</x:v>
      </x:c>
      <x:c r="C85" s="18" t="str">
        <x:v>YI-000124</x:v>
      </x:c>
      <x:c r="D85" s="18" t="str">
        <x:v>YI NEW SEWING MACHINE CO., LTD</x:v>
      </x:c>
      <x:c r="E85" s="18" t="str">
        <x:v>ORGAN: DBx1 #16</x:v>
      </x:c>
      <x:c r="F85" s="18" t="str">
        <x:v>ND-DBX1-16</x:v>
      </x:c>
      <x:c r="G85" s="18" t="str">
        <x:v>風琴機針 DBx1 #16</x:v>
      </x:c>
      <x:c r="H85" s="18" t="str">
        <x:v>DBx1 #16</x:v>
      </x:c>
      <x:c r="I85" s="18" t="str">
        <x:v>Needle</x:v>
      </x:c>
      <x:c r="J85" s="18" t="str">
        <x:v>Consumable</x:v>
      </x:c>
      <x:c r="K85" s="18" t="str">
        <x:v>ORGAN/風琴</x:v>
      </x:c>
      <x:c r="L85" s="18" t="str">
        <x:v>Single Needle</x:v>
      </x:c>
      <x:c r="M85" s="20" t="n">
        <x:v>50</x:v>
      </x:c>
      <x:c r="N85" s="18" t="str">
        <x:v>包</x:v>
      </x:c>
      <x:c r="O85" s="21" t="n">
        <x:v>0.78</x:v>
      </x:c>
      <x:c r="P85" s="21" t="n">
        <x:f>M85*O85</x:f>
        <x:v>39</x:v>
      </x:c>
      <x:c r="Q85" s="21" t="n">
        <x:v>39</x:v>
      </x:c>
      <x:c r="R85" s="21" t="n">
        <x:f>P85-Q85</x:f>
        <x:v>0</x:v>
      </x:c>
      <x:c r="S85" s="18" t="str">
        <x:v>Yes</x:v>
      </x:c>
      <x:c r="T85" s="18" t="str">
        <x:v>High</x:v>
      </x:c>
      <x:c r="U85" s="18" t="str">
        <x:v>Yi New Sewing Machine_Apr.'26.pdf</x:v>
      </x:c>
      <x:c r="V85" s="18" t="n">
        <x:v>1</x:v>
      </x:c>
      <x:c r="W85" s="18" t="str"/>
    </x:row>
    <x:row r="86">
      <x:c r="A86" s="18" t="str">
        <x:v>2026-04</x:v>
      </x:c>
      <x:c r="B86" s="19" t="n">
        <x:v>46135</x:v>
      </x:c>
      <x:c r="C86" s="18" t="str">
        <x:v>YI-000125</x:v>
      </x:c>
      <x:c r="D86" s="18" t="str">
        <x:v>YI NEW SEWING MACHINE CO., LTD</x:v>
      </x:c>
      <x:c r="E86" s="18" t="str">
        <x:v>鐵氟龍條-1.0/mm</x:v>
      </x:c>
      <x:c r="F86" s="18" t="str">
        <x:v>CN-TEFLON-STRIP-1MM</x:v>
      </x:c>
      <x:c r="G86" s="18" t="str">
        <x:v>鐵氟龍條</x:v>
      </x:c>
      <x:c r="H86" s="18" t="str">
        <x:v>1.0 mm</x:v>
      </x:c>
      <x:c r="I86" s="18" t="str">
        <x:v>Consumable/Chemical</x:v>
      </x:c>
      <x:c r="J86" s="18" t="str">
        <x:v>Consumable</x:v>
      </x:c>
      <x:c r="K86" s="18" t="str">
        <x:v>Teflon</x:v>
      </x:c>
      <x:c r="L86" s="18" t="str">
        <x:v>Ironing/Sealing</x:v>
      </x:c>
      <x:c r="M86" s="20" t="n">
        <x:v>20</x:v>
      </x:c>
      <x:c r="N86" s="18" t="str">
        <x:v>條</x:v>
      </x:c>
      <x:c r="O86" s="21" t="n">
        <x:v>1.8</x:v>
      </x:c>
      <x:c r="P86" s="21" t="n">
        <x:f>M86*O86</x:f>
        <x:v>36</x:v>
      </x:c>
      <x:c r="Q86" s="21" t="n">
        <x:v>36</x:v>
      </x:c>
      <x:c r="R86" s="21" t="n">
        <x:f>P86-Q86</x:f>
        <x:v>0</x:v>
      </x:c>
      <x:c r="S86" s="18" t="str">
        <x:v>Yes</x:v>
      </x:c>
      <x:c r="T86" s="18" t="str">
        <x:v>High</x:v>
      </x:c>
      <x:c r="U86" s="18" t="str">
        <x:v>Yi New Sewing Machine_Apr.'26.pdf</x:v>
      </x:c>
      <x:c r="V86" s="18" t="n">
        <x:v>1</x:v>
      </x:c>
      <x:c r="W86" s="18" t="str"/>
    </x:row>
    <x:row r="87">
      <x:c r="A87" s="18" t="str">
        <x:v>2026-04</x:v>
      </x:c>
      <x:c r="B87" s="19" t="n">
        <x:v>46135</x:v>
      </x:c>
      <x:c r="C87" s="18" t="str">
        <x:v>YI-000125</x:v>
      </x:c>
      <x:c r="D87" s="18" t="str">
        <x:v>YI NEW SEWING MACHINE CO., LTD</x:v>
      </x:c>
      <x:c r="E87" s="18" t="str">
        <x:v>JUKI-8700A螢幕貼</x:v>
      </x:c>
      <x:c r="F87" s="18" t="str">
        <x:v>EL-JUKI8700A-SCREEN-FILM</x:v>
      </x:c>
      <x:c r="G87" s="18" t="str">
        <x:v>JUKI-8700A 螢幕貼</x:v>
      </x:c>
      <x:c r="H87" s="18" t="str">
        <x:v>8700A</x:v>
      </x:c>
      <x:c r="I87" s="18" t="str">
        <x:v>Electrical/Control</x:v>
      </x:c>
      <x:c r="J87" s="18" t="str">
        <x:v>Consumable</x:v>
      </x:c>
      <x:c r="K87" s="18" t="str">
        <x:v>JUKI</x:v>
      </x:c>
      <x:c r="L87" s="18" t="str">
        <x:v>Single Needle</x:v>
      </x:c>
      <x:c r="M87" s="20" t="n">
        <x:v>10</x:v>
      </x:c>
      <x:c r="N87" s="18" t="str">
        <x:v>個</x:v>
      </x:c>
      <x:c r="O87" s="21" t="n">
        <x:v>5.8</x:v>
      </x:c>
      <x:c r="P87" s="21" t="n">
        <x:f>M87*O87</x:f>
        <x:v>58</x:v>
      </x:c>
      <x:c r="Q87" s="21" t="n">
        <x:v>58</x:v>
      </x:c>
      <x:c r="R87" s="21" t="n">
        <x:f>P87-Q87</x:f>
        <x:v>0</x:v>
      </x:c>
      <x:c r="S87" s="18" t="str">
        <x:v>Yes</x:v>
      </x:c>
      <x:c r="T87" s="18" t="str">
        <x:v>High</x:v>
      </x:c>
      <x:c r="U87" s="18" t="str">
        <x:v>Yi New Sewing Machine_Apr.'26.pdf</x:v>
      </x:c>
      <x:c r="V87" s="18" t="n">
        <x:v>1</x:v>
      </x:c>
      <x:c r="W87" s="18" t="str"/>
    </x:row>
    <x:row r="88">
      <x:c r="A88" s="18" t="str">
        <x:v>2026-04</x:v>
      </x:c>
      <x:c r="B88" s="19" t="n">
        <x:v>46135</x:v>
      </x:c>
      <x:c r="C88" s="18" t="str">
        <x:v>YI-000125</x:v>
      </x:c>
      <x:c r="D88" s="18" t="str">
        <x:v>YI NEW SEWING MACHINE CO., LTD</x:v>
      </x:c>
      <x:c r="E88" s="18" t="str">
        <x:v>JUKI-7000A螢幕貼</x:v>
      </x:c>
      <x:c r="F88" s="18" t="str">
        <x:v>EL-JUKI7000A-SCREEN-FILM</x:v>
      </x:c>
      <x:c r="G88" s="18" t="str">
        <x:v>JUKI-7000A 螢幕貼</x:v>
      </x:c>
      <x:c r="H88" s="18" t="str">
        <x:v>7000A</x:v>
      </x:c>
      <x:c r="I88" s="18" t="str">
        <x:v>Electrical/Control</x:v>
      </x:c>
      <x:c r="J88" s="18" t="str">
        <x:v>Consumable</x:v>
      </x:c>
      <x:c r="K88" s="18" t="str">
        <x:v>JUKI</x:v>
      </x:c>
      <x:c r="L88" s="18" t="str">
        <x:v>Single Needle</x:v>
      </x:c>
      <x:c r="M88" s="20" t="n">
        <x:v>10</x:v>
      </x:c>
      <x:c r="N88" s="18" t="str">
        <x:v>個</x:v>
      </x:c>
      <x:c r="O88" s="21" t="n">
        <x:v>6</x:v>
      </x:c>
      <x:c r="P88" s="21" t="n">
        <x:f>M88*O88</x:f>
        <x:v>60</x:v>
      </x:c>
      <x:c r="Q88" s="21" t="n">
        <x:v>60</x:v>
      </x:c>
      <x:c r="R88" s="21" t="n">
        <x:f>P88-Q88</x:f>
        <x:v>0</x:v>
      </x:c>
      <x:c r="S88" s="18" t="str">
        <x:v>Yes</x:v>
      </x:c>
      <x:c r="T88" s="18" t="str">
        <x:v>High</x:v>
      </x:c>
      <x:c r="U88" s="18" t="str">
        <x:v>Yi New Sewing Machine_Apr.'26.pdf</x:v>
      </x:c>
      <x:c r="V88" s="18" t="n">
        <x:v>1</x:v>
      </x:c>
      <x:c r="W88" s="18" t="str"/>
    </x:row>
    <x:row r="89">
      <x:c r="A89" s="18" t="str">
        <x:v>2026-04</x:v>
      </x:c>
      <x:c r="B89" s="19" t="n">
        <x:v>46135</x:v>
      </x:c>
      <x:c r="C89" s="18" t="str">
        <x:v>YI-000125</x:v>
      </x:c>
      <x:c r="D89" s="18" t="str">
        <x:v>YI NEW SEWING MACHINE CO., LTD</x:v>
      </x:c>
      <x:c r="E89" s="18" t="str">
        <x:v>JUKI-8700A活動刀</x:v>
      </x:c>
      <x:c r="F89" s="18" t="str">
        <x:v>KN-JUKI8700A-MOVING</x:v>
      </x:c>
      <x:c r="G89" s="18" t="str">
        <x:v>JUKI-8700A 活動刀</x:v>
      </x:c>
      <x:c r="H89" s="18" t="str">
        <x:v>8700A</x:v>
      </x:c>
      <x:c r="I89" s="18" t="str">
        <x:v>Knife/Looper</x:v>
      </x:c>
      <x:c r="J89" s="18" t="str">
        <x:v>Spare Part</x:v>
      </x:c>
      <x:c r="K89" s="18" t="str">
        <x:v>JUKI</x:v>
      </x:c>
      <x:c r="L89" s="18" t="str">
        <x:v>Single Needle</x:v>
      </x:c>
      <x:c r="M89" s="20" t="n">
        <x:v>10</x:v>
      </x:c>
      <x:c r="N89" s="18" t="str">
        <x:v>個</x:v>
      </x:c>
      <x:c r="O89" s="21" t="n">
        <x:v>2.3</x:v>
      </x:c>
      <x:c r="P89" s="21" t="n">
        <x:f>M89*O89</x:f>
        <x:v>23</x:v>
      </x:c>
      <x:c r="Q89" s="21" t="n">
        <x:v>23</x:v>
      </x:c>
      <x:c r="R89" s="21" t="n">
        <x:f>P89-Q89</x:f>
        <x:v>0</x:v>
      </x:c>
      <x:c r="S89" s="18" t="str">
        <x:v>Yes</x:v>
      </x:c>
      <x:c r="T89" s="18" t="str">
        <x:v>High</x:v>
      </x:c>
      <x:c r="U89" s="18" t="str">
        <x:v>Yi New Sewing Machine_Apr.'26.pdf</x:v>
      </x:c>
      <x:c r="V89" s="18" t="n">
        <x:v>1</x:v>
      </x:c>
      <x:c r="W89" s="18" t="str"/>
    </x:row>
    <x:row r="90">
      <x:c r="A90" s="18" t="str">
        <x:v>2026-04</x:v>
      </x:c>
      <x:c r="B90" s="19" t="n">
        <x:v>46139</x:v>
      </x:c>
      <x:c r="C90" s="18" t="str">
        <x:v>YI-000126</x:v>
      </x:c>
      <x:c r="D90" s="18" t="str">
        <x:v>YI NEW SEWING MACHINE CO., LTD</x:v>
      </x:c>
      <x:c r="E90" s="18" t="str">
        <x:v>ORGAN DCx27 #12</x:v>
      </x:c>
      <x:c r="F90" s="18" t="str">
        <x:v>ND-DCX27-12</x:v>
      </x:c>
      <x:c r="G90" s="18" t="str">
        <x:v>風琴機針 DCx27 #12</x:v>
      </x:c>
      <x:c r="H90" s="18" t="str">
        <x:v>DCx27 #12</x:v>
      </x:c>
      <x:c r="I90" s="18" t="str">
        <x:v>Needle</x:v>
      </x:c>
      <x:c r="J90" s="18" t="str">
        <x:v>Consumable</x:v>
      </x:c>
      <x:c r="K90" s="18" t="str">
        <x:v>ORGAN/風琴</x:v>
      </x:c>
      <x:c r="L90" s="18" t="str">
        <x:v>Overlock</x:v>
      </x:c>
      <x:c r="M90" s="20" t="n">
        <x:v>150</x:v>
      </x:c>
      <x:c r="N90" s="18" t="str">
        <x:v>包</x:v>
      </x:c>
      <x:c r="O90" s="21" t="n">
        <x:v>1.3</x:v>
      </x:c>
      <x:c r="P90" s="21" t="n">
        <x:f>M90*O90</x:f>
        <x:v>195</x:v>
      </x:c>
      <x:c r="Q90" s="21" t="n">
        <x:v>195</x:v>
      </x:c>
      <x:c r="R90" s="21" t="n">
        <x:f>P90-Q90</x:f>
        <x:v>0</x:v>
      </x:c>
      <x:c r="S90" s="18" t="str">
        <x:v>Yes</x:v>
      </x:c>
      <x:c r="T90" s="18" t="str">
        <x:v>High</x:v>
      </x:c>
      <x:c r="U90" s="18" t="str">
        <x:v>Yi New Sewing Machine_Apr.'26.pdf</x:v>
      </x:c>
      <x:c r="V90" s="18" t="n">
        <x:v>1</x:v>
      </x:c>
      <x:c r="W90" s="18" t="str"/>
    </x:row>
    <x:row r="91">
      <x:c r="A91" s="18" t="str">
        <x:v>2026-04</x:v>
      </x:c>
      <x:c r="B91" s="19" t="n">
        <x:v>46139</x:v>
      </x:c>
      <x:c r="C91" s="18" t="str">
        <x:v>YI-000126</x:v>
      </x:c>
      <x:c r="D91" s="18" t="str">
        <x:v>YI NEW SEWING MACHINE CO., LTD</x:v>
      </x:c>
      <x:c r="E91" s="18" t="str">
        <x:v>ORGAN: UYx128 #12</x:v>
      </x:c>
      <x:c r="F91" s="18" t="str">
        <x:v>ND-UYX128-12</x:v>
      </x:c>
      <x:c r="G91" s="18" t="str">
        <x:v>風琴機針 UYx128 #12</x:v>
      </x:c>
      <x:c r="H91" s="18" t="str">
        <x:v>UYx128 #12</x:v>
      </x:c>
      <x:c r="I91" s="18" t="str">
        <x:v>Needle</x:v>
      </x:c>
      <x:c r="J91" s="18" t="str">
        <x:v>Consumable</x:v>
      </x:c>
      <x:c r="K91" s="18" t="str">
        <x:v>ORGAN/風琴</x:v>
      </x:c>
      <x:c r="L91" s="18" t="str">
        <x:v>Multi-needle / Chainstitch</x:v>
      </x:c>
      <x:c r="M91" s="20" t="n">
        <x:v>100</x:v>
      </x:c>
      <x:c r="N91" s="18" t="str">
        <x:v>包</x:v>
      </x:c>
      <x:c r="O91" s="21" t="n">
        <x:v>1.78</x:v>
      </x:c>
      <x:c r="P91" s="21" t="n">
        <x:f>M91*O91</x:f>
        <x:v>178</x:v>
      </x:c>
      <x:c r="Q91" s="21" t="n">
        <x:v>178</x:v>
      </x:c>
      <x:c r="R91" s="21" t="n">
        <x:f>P91-Q91</x:f>
        <x:v>0</x:v>
      </x:c>
      <x:c r="S91" s="18" t="str">
        <x:v>Yes</x:v>
      </x:c>
      <x:c r="T91" s="18" t="str">
        <x:v>High</x:v>
      </x:c>
      <x:c r="U91" s="18" t="str">
        <x:v>Yi New Sewing Machine_Apr.'26.pdf</x:v>
      </x:c>
      <x:c r="V91" s="18" t="n">
        <x:v>1</x:v>
      </x:c>
      <x:c r="W91" s="18" t="str"/>
    </x:row>
    <x:row r="92">
      <x:c r="A92" s="18" t="str">
        <x:v>2026-05</x:v>
      </x:c>
      <x:c r="B92" s="19" t="n">
        <x:v>46144</x:v>
      </x:c>
      <x:c r="C92" s="18" t="str">
        <x:v>YI-000127</x:v>
      </x:c>
      <x:c r="D92" s="18" t="str">
        <x:v>YI NEW SEWING MACHINE CO., LTD</x:v>
      </x:c>
      <x:c r="E92" s="18" t="str">
        <x:v>熨斗鞋 ES-94(A)</x:v>
      </x:c>
      <x:c r="F92" s="18" t="str">
        <x:v>IR-ES94A-SHOE</x:v>
      </x:c>
      <x:c r="G92" s="18" t="str">
        <x:v>熨斗鞋 ES-94(A)</x:v>
      </x:c>
      <x:c r="H92" s="18" t="str">
        <x:v>ES-94(A)</x:v>
      </x:c>
      <x:c r="I92" s="18" t="str">
        <x:v>Ironing/Heat Transfer</x:v>
      </x:c>
      <x:c r="J92" s="18" t="str">
        <x:v>Consumable</x:v>
      </x:c>
      <x:c r="K92" s="18" t="str"/>
      <x:c r="L92" s="18" t="str">
        <x:v>Iron</x:v>
      </x:c>
      <x:c r="M92" s="20" t="n">
        <x:v>50</x:v>
      </x:c>
      <x:c r="N92" s="18" t="str">
        <x:v>個</x:v>
      </x:c>
      <x:c r="O92" s="21" t="n">
        <x:v>1.8</x:v>
      </x:c>
      <x:c r="P92" s="21" t="n">
        <x:f>M92*O92</x:f>
        <x:v>90</x:v>
      </x:c>
      <x:c r="Q92" s="21" t="n">
        <x:v>90</x:v>
      </x:c>
      <x:c r="R92" s="21" t="n">
        <x:f>P92-Q92</x:f>
        <x:v>0</x:v>
      </x:c>
      <x:c r="S92" s="18" t="str">
        <x:v>Yes</x:v>
      </x:c>
      <x:c r="T92" s="18" t="str">
        <x:v>High</x:v>
      </x:c>
      <x:c r="U92" s="18" t="str">
        <x:v>Yi New Sewing Machine_May.'26.pdf</x:v>
      </x:c>
      <x:c r="V92" s="18" t="n">
        <x:v>1</x:v>
      </x:c>
      <x:c r="W92" s="18" t="str"/>
    </x:row>
    <x:row r="93">
      <x:c r="A93" s="18" t="str">
        <x:v>2026-05</x:v>
      </x:c>
      <x:c r="B93" s="19" t="n">
        <x:v>46144</x:v>
      </x:c>
      <x:c r="C93" s="18" t="str">
        <x:v>YI-000127</x:v>
      </x:c>
      <x:c r="D93" s="18" t="str">
        <x:v>YI NEW SEWING MACHINE CO., LTD</x:v>
      </x:c>
      <x:c r="E93" s="18" t="str">
        <x:v>環球沙剪</x:v>
      </x:c>
      <x:c r="F93" s="18" t="str">
        <x:v>TL-THREAD-SNIP-GLOBE</x:v>
      </x:c>
      <x:c r="G93" s="18" t="str">
        <x:v>環球沙剪</x:v>
      </x:c>
      <x:c r="H93" s="18" t="str">
        <x:v>Thread Snip</x:v>
      </x:c>
      <x:c r="I93" s="18" t="str">
        <x:v>Tools</x:v>
      </x:c>
      <x:c r="J93" s="18" t="str">
        <x:v>Tool</x:v>
      </x:c>
      <x:c r="K93" s="18" t="str">
        <x:v>環球</x:v>
      </x:c>
      <x:c r="L93" s="18" t="str">
        <x:v>Sewing</x:v>
      </x:c>
      <x:c r="M93" s="20" t="n">
        <x:v>20</x:v>
      </x:c>
      <x:c r="N93" s="18" t="str">
        <x:v>打</x:v>
      </x:c>
      <x:c r="O93" s="21" t="n">
        <x:v>2.3</x:v>
      </x:c>
      <x:c r="P93" s="21" t="n">
        <x:f>M93*O93</x:f>
        <x:v>46</x:v>
      </x:c>
      <x:c r="Q93" s="21" t="n">
        <x:v>46</x:v>
      </x:c>
      <x:c r="R93" s="21" t="n">
        <x:f>P93-Q93</x:f>
        <x:v>0</x:v>
      </x:c>
      <x:c r="S93" s="18" t="str">
        <x:v>Yes</x:v>
      </x:c>
      <x:c r="T93" s="18" t="str">
        <x:v>High</x:v>
      </x:c>
      <x:c r="U93" s="18" t="str">
        <x:v>Yi New Sewing Machine_May.'26.pdf</x:v>
      </x:c>
      <x:c r="V93" s="18" t="n">
        <x:v>1</x:v>
      </x:c>
      <x:c r="W93" s="18" t="str"/>
    </x:row>
    <x:row r="94">
      <x:c r="A94" s="18" t="str">
        <x:v>2026-05</x:v>
      </x:c>
      <x:c r="B94" s="19" t="n">
        <x:v>46144</x:v>
      </x:c>
      <x:c r="C94" s="18" t="str">
        <x:v>YI-000127</x:v>
      </x:c>
      <x:c r="D94" s="18" t="str">
        <x:v>YI NEW SEWING MACHINE CO., LTD</x:v>
      </x:c>
      <x:c r="E94" s="18" t="str">
        <x:v>張小牌10吋大剪刀</x:v>
      </x:c>
      <x:c r="F94" s="18" t="str">
        <x:v>TL-SCISSOR-ZHANGXIAO-10IN</x:v>
      </x:c>
      <x:c r="G94" s="18" t="str">
        <x:v>張小牌10吋大剪刀</x:v>
      </x:c>
      <x:c r="H94" s="18" t="str">
        <x:v>10 inch</x:v>
      </x:c>
      <x:c r="I94" s="18" t="str">
        <x:v>Tools</x:v>
      </x:c>
      <x:c r="J94" s="18" t="str">
        <x:v>Tool</x:v>
      </x:c>
      <x:c r="K94" s="18" t="str">
        <x:v>張小牌</x:v>
      </x:c>
      <x:c r="L94" s="18" t="str">
        <x:v>Cutting/Sewing</x:v>
      </x:c>
      <x:c r="M94" s="20" t="n">
        <x:v>11</x:v>
      </x:c>
      <x:c r="N94" s="18" t="str">
        <x:v>個</x:v>
      </x:c>
      <x:c r="O94" s="21" t="n">
        <x:v>7</x:v>
      </x:c>
      <x:c r="P94" s="21" t="n">
        <x:f>M94*O94</x:f>
        <x:v>77</x:v>
      </x:c>
      <x:c r="Q94" s="21" t="n">
        <x:v>77</x:v>
      </x:c>
      <x:c r="R94" s="21" t="n">
        <x:f>P94-Q94</x:f>
        <x:v>0</x:v>
      </x:c>
      <x:c r="S94" s="18" t="str">
        <x:v>Yes</x:v>
      </x:c>
      <x:c r="T94" s="18" t="str">
        <x:v>High</x:v>
      </x:c>
      <x:c r="U94" s="18" t="str">
        <x:v>Yi New Sewing Machine_May.'26.pdf</x:v>
      </x:c>
      <x:c r="V94" s="18" t="n">
        <x:v>1</x:v>
      </x:c>
      <x:c r="W94" s="18" t="str"/>
    </x:row>
    <x:row r="95">
      <x:c r="A95" s="18" t="str">
        <x:v>2026-05</x:v>
      </x:c>
      <x:c r="B95" s="19" t="n">
        <x:v>46144</x:v>
      </x:c>
      <x:c r="C95" s="18" t="str">
        <x:v>YI-000127</x:v>
      </x:c>
      <x:c r="D95" s="18" t="str">
        <x:v>YI NEW SEWING MACHINE CO., LTD</x:v>
      </x:c>
      <x:c r="E95" s="18" t="str">
        <x:v>CL1/16N 壓腳</x:v>
      </x:c>
      <x:c r="F95" s="18" t="str">
        <x:v>PF-CL1-16N</x:v>
      </x:c>
      <x:c r="G95" s="18" t="str">
        <x:v>CL1/16N 壓腳</x:v>
      </x:c>
      <x:c r="H95" s="18" t="str">
        <x:v>CL1/16N</x:v>
      </x:c>
      <x:c r="I95" s="18" t="str">
        <x:v>Presser Foot</x:v>
      </x:c>
      <x:c r="J95" s="18" t="str">
        <x:v>Spare Part</x:v>
      </x:c>
      <x:c r="K95" s="18" t="str"/>
      <x:c r="L95" s="18" t="str">
        <x:v>Single Needle</x:v>
      </x:c>
      <x:c r="M95" s="20" t="n">
        <x:v>20</x:v>
      </x:c>
      <x:c r="N95" s="18" t="str">
        <x:v>個</x:v>
      </x:c>
      <x:c r="O95" s="21" t="n">
        <x:v>0.6</x:v>
      </x:c>
      <x:c r="P95" s="21" t="n">
        <x:f>M95*O95</x:f>
        <x:v>12</x:v>
      </x:c>
      <x:c r="Q95" s="21" t="n">
        <x:v>12</x:v>
      </x:c>
      <x:c r="R95" s="21" t="n">
        <x:f>P95-Q95</x:f>
        <x:v>0</x:v>
      </x:c>
      <x:c r="S95" s="18" t="str">
        <x:v>Yes</x:v>
      </x:c>
      <x:c r="T95" s="18" t="str">
        <x:v>High</x:v>
      </x:c>
      <x:c r="U95" s="18" t="str">
        <x:v>Yi New Sewing Machine_May.'26.pdf</x:v>
      </x:c>
      <x:c r="V95" s="18" t="n">
        <x:v>1</x:v>
      </x:c>
      <x:c r="W95" s="18" t="str"/>
    </x:row>
    <x:row r="96">
      <x:c r="A96" s="18" t="str">
        <x:v>2026-05</x:v>
      </x:c>
      <x:c r="B96" s="19" t="n">
        <x:v>46144</x:v>
      </x:c>
      <x:c r="C96" s="18" t="str">
        <x:v>YI-000127</x:v>
      </x:c>
      <x:c r="D96" s="18" t="str">
        <x:v>YI NEW SEWING MACHINE CO., LTD</x:v>
      </x:c>
      <x:c r="E96" s="18" t="str">
        <x:v>JUKI-1900梭芯</x:v>
      </x:c>
      <x:c r="F96" s="18" t="str">
        <x:v>BB-JUKI1900</x:v>
      </x:c>
      <x:c r="G96" s="18" t="str">
        <x:v>JUKI-1900 梭芯</x:v>
      </x:c>
      <x:c r="H96" s="18" t="str">
        <x:v>1900</x:v>
      </x:c>
      <x:c r="I96" s="18" t="str">
        <x:v>Bobbin/Shuttle</x:v>
      </x:c>
      <x:c r="J96" s="18" t="str">
        <x:v>Spare Part</x:v>
      </x:c>
      <x:c r="K96" s="18" t="str">
        <x:v>JUKI</x:v>
      </x:c>
      <x:c r="L96" s="18" t="str">
        <x:v>Bartack</x:v>
      </x:c>
      <x:c r="M96" s="20" t="n">
        <x:v>100</x:v>
      </x:c>
      <x:c r="N96" s="18" t="str">
        <x:v>個</x:v>
      </x:c>
      <x:c r="O96" s="21" t="n">
        <x:v>0.2</x:v>
      </x:c>
      <x:c r="P96" s="21" t="n">
        <x:f>M96*O96</x:f>
        <x:v>20</x:v>
      </x:c>
      <x:c r="Q96" s="21" t="n">
        <x:v>20</x:v>
      </x:c>
      <x:c r="R96" s="21" t="n">
        <x:f>P96-Q96</x:f>
        <x:v>0</x:v>
      </x:c>
      <x:c r="S96" s="18" t="str">
        <x:v>Yes</x:v>
      </x:c>
      <x:c r="T96" s="18" t="str">
        <x:v>High</x:v>
      </x:c>
      <x:c r="U96" s="18" t="str">
        <x:v>Yi New Sewing Machine_May.'26.pdf</x:v>
      </x:c>
      <x:c r="V96" s="18" t="n">
        <x:v>1</x:v>
      </x:c>
      <x:c r="W96" s="18" t="str"/>
    </x:row>
    <x:row r="97">
      <x:c r="A97" s="18" t="str">
        <x:v>2026-05</x:v>
      </x:c>
      <x:c r="B97" s="19" t="n">
        <x:v>46144</x:v>
      </x:c>
      <x:c r="C97" s="18" t="str">
        <x:v>YI-000127</x:v>
      </x:c>
      <x:c r="D97" s="18" t="str">
        <x:v>YI NEW SEWING MACHINE CO., LTD</x:v>
      </x:c>
      <x:c r="E97" s="18" t="str">
        <x:v>平雙針小梭芯（鋁）</x:v>
      </x:c>
      <x:c r="F97" s="18" t="str">
        <x:v>BB-TWIN-NEEDLE-SMALL-AL</x:v>
      </x:c>
      <x:c r="G97" s="18" t="str">
        <x:v>平雙針小梭芯（鋁）</x:v>
      </x:c>
      <x:c r="H97" s="18" t="str">
        <x:v>Aluminum</x:v>
      </x:c>
      <x:c r="I97" s="18" t="str">
        <x:v>Bobbin/Shuttle</x:v>
      </x:c>
      <x:c r="J97" s="18" t="str">
        <x:v>Spare Part</x:v>
      </x:c>
      <x:c r="K97" s="18" t="str"/>
      <x:c r="L97" s="18" t="str">
        <x:v>Twin Needle</x:v>
      </x:c>
      <x:c r="M97" s="20" t="n">
        <x:v>100</x:v>
      </x:c>
      <x:c r="N97" s="18" t="str">
        <x:v>個</x:v>
      </x:c>
      <x:c r="O97" s="21" t="n">
        <x:v>0.2</x:v>
      </x:c>
      <x:c r="P97" s="21" t="n">
        <x:f>M97*O97</x:f>
        <x:v>20</x:v>
      </x:c>
      <x:c r="Q97" s="21" t="n">
        <x:v>20</x:v>
      </x:c>
      <x:c r="R97" s="21" t="n">
        <x:f>P97-Q97</x:f>
        <x:v>0</x:v>
      </x:c>
      <x:c r="S97" s="18" t="str">
        <x:v>Yes</x:v>
      </x:c>
      <x:c r="T97" s="18" t="str">
        <x:v>High</x:v>
      </x:c>
      <x:c r="U97" s="18" t="str">
        <x:v>Yi New Sewing Machine_May.'26.pdf</x:v>
      </x:c>
      <x:c r="V97" s="18" t="n">
        <x:v>1</x:v>
      </x:c>
      <x:c r="W97" s="18" t="str"/>
    </x:row>
    <x:row r="98">
      <x:c r="A98" s="18" t="str">
        <x:v>2026-05</x:v>
      </x:c>
      <x:c r="B98" s="19" t="n">
        <x:v>46144</x:v>
      </x:c>
      <x:c r="C98" s="18" t="str">
        <x:v>YI-000127</x:v>
      </x:c>
      <x:c r="D98" s="18" t="str">
        <x:v>YI NEW SEWING MACHINE CO., LTD</x:v>
      </x:c>
      <x:c r="E98" s="18" t="str">
        <x:v>正宗韓國吊瓶熨斗組</x:v>
      </x:c>
      <x:c r="F98" s="18" t="str">
        <x:v>IR-HANGING-BOTTLE-SET-KR</x:v>
      </x:c>
      <x:c r="G98" s="18" t="str">
        <x:v>韓國吊瓶熨斗組</x:v>
      </x:c>
      <x:c r="H98" s="18" t="str">
        <x:v>Complete Set</x:v>
      </x:c>
      <x:c r="I98" s="18" t="str">
        <x:v>Ironing/Heat Transfer</x:v>
      </x:c>
      <x:c r="J98" s="18" t="str">
        <x:v>Equipment</x:v>
      </x:c>
      <x:c r="K98" s="18" t="str">
        <x:v>Korea</x:v>
      </x:c>
      <x:c r="L98" s="18" t="str">
        <x:v>Iron</x:v>
      </x:c>
      <x:c r="M98" s="20" t="n">
        <x:v>4</x:v>
      </x:c>
      <x:c r="N98" s="18" t="str">
        <x:v>把</x:v>
      </x:c>
      <x:c r="O98" s="21" t="n">
        <x:v>29</x:v>
      </x:c>
      <x:c r="P98" s="21" t="n">
        <x:f>M98*O98</x:f>
        <x:v>116</x:v>
      </x:c>
      <x:c r="Q98" s="21" t="n">
        <x:v>116</x:v>
      </x:c>
      <x:c r="R98" s="21" t="n">
        <x:f>P98-Q98</x:f>
        <x:v>0</x:v>
      </x:c>
      <x:c r="S98" s="18" t="str">
        <x:v>Yes</x:v>
      </x:c>
      <x:c r="T98" s="18" t="str">
        <x:v>High</x:v>
      </x:c>
      <x:c r="U98" s="18" t="str">
        <x:v>Yi New Sewing Machine_May.'26.pdf</x:v>
      </x:c>
      <x:c r="V98" s="18" t="n">
        <x:v>1</x:v>
      </x:c>
      <x:c r="W98" s="18" t="str"/>
    </x:row>
    <x:row r="99">
      <x:c r="A99" s="18" t="str">
        <x:v>2026-05</x:v>
      </x:c>
      <x:c r="B99" s="19" t="n">
        <x:v>46144</x:v>
      </x:c>
      <x:c r="C99" s="18" t="str">
        <x:v>YI-000127</x:v>
      </x:c>
      <x:c r="D99" s="18" t="str">
        <x:v>YI NEW SEWING MACHINE CO., LTD</x:v>
      </x:c>
      <x:c r="E99" s="18" t="str">
        <x:v>平車電子梭殼</x:v>
      </x:c>
      <x:c r="F99" s="18" t="str">
        <x:v>BC-SN-ELECTRONIC</x:v>
      </x:c>
      <x:c r="G99" s="18" t="str">
        <x:v>平車電子梭殼</x:v>
      </x:c>
      <x:c r="H99" s="18" t="str">
        <x:v>Electronic Type</x:v>
      </x:c>
      <x:c r="I99" s="18" t="str">
        <x:v>Bobbin/Shuttle</x:v>
      </x:c>
      <x:c r="J99" s="18" t="str">
        <x:v>Spare Part</x:v>
      </x:c>
      <x:c r="K99" s="18" t="str"/>
      <x:c r="L99" s="18" t="str">
        <x:v>Single Needle</x:v>
      </x:c>
      <x:c r="M99" s="20" t="n">
        <x:v>50</x:v>
      </x:c>
      <x:c r="N99" s="18" t="str">
        <x:v>個</x:v>
      </x:c>
      <x:c r="O99" s="21" t="n">
        <x:v>0.45</x:v>
      </x:c>
      <x:c r="P99" s="21" t="n">
        <x:f>M99*O99</x:f>
        <x:v>22.5</x:v>
      </x:c>
      <x:c r="Q99" s="21" t="n">
        <x:v>22.5</x:v>
      </x:c>
      <x:c r="R99" s="21" t="n">
        <x:f>P99-Q99</x:f>
        <x:v>0</x:v>
      </x:c>
      <x:c r="S99" s="18" t="str">
        <x:v>Yes</x:v>
      </x:c>
      <x:c r="T99" s="18" t="str">
        <x:v>High</x:v>
      </x:c>
      <x:c r="U99" s="18" t="str">
        <x:v>Yi New Sewing Machine_May.'26.pdf</x:v>
      </x:c>
      <x:c r="V99" s="18" t="n">
        <x:v>1</x:v>
      </x:c>
      <x:c r="W99" s="18" t="str"/>
    </x:row>
    <x:row r="100">
      <x:c r="A100" s="18" t="str">
        <x:v>2026-05</x:v>
      </x:c>
      <x:c r="B100" s="19" t="n">
        <x:v>46144</x:v>
      </x:c>
      <x:c r="C100" s="18" t="str">
        <x:v>YI-000128</x:v>
      </x:c>
      <x:c r="D100" s="18" t="str">
        <x:v>YI NEW SEWING MACHINE CO., LTD</x:v>
      </x:c>
      <x:c r="E100" s="18" t="str">
        <x:v>絕緣板-1.0mm（黃）</x:v>
      </x:c>
      <x:c r="F100" s="18" t="str">
        <x:v>EL-INSULATION-BOARD-1MM-YL</x:v>
      </x:c>
      <x:c r="G100" s="18" t="str">
        <x:v>絕緣板（黃）</x:v>
      </x:c>
      <x:c r="H100" s="18" t="str">
        <x:v>1.0 mm</x:v>
      </x:c>
      <x:c r="I100" s="18" t="str">
        <x:v>Electrical/Control</x:v>
      </x:c>
      <x:c r="J100" s="18" t="str">
        <x:v>Consumable</x:v>
      </x:c>
      <x:c r="K100" s="18" t="str"/>
      <x:c r="L100" s="18" t="str">
        <x:v>Electrical</x:v>
      </x:c>
      <x:c r="M100" s="20" t="n">
        <x:v>2</x:v>
      </x:c>
      <x:c r="N100" s="18" t="str">
        <x:v>張</x:v>
      </x:c>
      <x:c r="O100" s="21" t="n">
        <x:v>24</x:v>
      </x:c>
      <x:c r="P100" s="21" t="n">
        <x:f>M100*O100</x:f>
        <x:v>48</x:v>
      </x:c>
      <x:c r="Q100" s="21" t="n">
        <x:v>48</x:v>
      </x:c>
      <x:c r="R100" s="21" t="n">
        <x:f>P100-Q100</x:f>
        <x:v>0</x:v>
      </x:c>
      <x:c r="S100" s="18" t="str">
        <x:v>Yes</x:v>
      </x:c>
      <x:c r="T100" s="18" t="str">
        <x:v>High</x:v>
      </x:c>
      <x:c r="U100" s="18" t="str">
        <x:v>Yi New Sewing Machine_May.'26.pdf</x:v>
      </x:c>
      <x:c r="V100" s="18" t="n">
        <x:v>1</x:v>
      </x:c>
      <x:c r="W100" s="18" t="str"/>
    </x:row>
    <x:row r="101">
      <x:c r="A101" s="18" t="str">
        <x:v>2026-05</x:v>
      </x:c>
      <x:c r="B101" s="19" t="n">
        <x:v>46144</x:v>
      </x:c>
      <x:c r="C101" s="18" t="str">
        <x:v>YI-000128</x:v>
      </x:c>
      <x:c r="D101" s="18" t="str">
        <x:v>YI NEW SEWING MACHINE CO., LTD</x:v>
      </x:c>
      <x:c r="E101" s="18" t="str">
        <x:v>沙紙#280</x:v>
      </x:c>
      <x:c r="F101" s="18" t="str">
        <x:v>CN-SANDPAPER-280</x:v>
      </x:c>
      <x:c r="G101" s="18" t="str">
        <x:v>砂紙 #280</x:v>
      </x:c>
      <x:c r="H101" s="18" t="str">
        <x:v>#280</x:v>
      </x:c>
      <x:c r="I101" s="18" t="str">
        <x:v>Consumable/Chemical</x:v>
      </x:c>
      <x:c r="J101" s="18" t="str">
        <x:v>Consumable</x:v>
      </x:c>
      <x:c r="K101" s="18" t="str"/>
      <x:c r="L101" s="18" t="str">
        <x:v>Maintenance</x:v>
      </x:c>
      <x:c r="M101" s="20" t="n">
        <x:v>1</x:v>
      </x:c>
      <x:c r="N101" s="18" t="str">
        <x:v>包</x:v>
      </x:c>
      <x:c r="O101" s="21" t="n">
        <x:v>21</x:v>
      </x:c>
      <x:c r="P101" s="21" t="n">
        <x:f>M101*O101</x:f>
        <x:v>21</x:v>
      </x:c>
      <x:c r="Q101" s="21" t="n">
        <x:v>21</x:v>
      </x:c>
      <x:c r="R101" s="21" t="n">
        <x:f>P101-Q101</x:f>
        <x:v>0</x:v>
      </x:c>
      <x:c r="S101" s="18" t="str">
        <x:v>Yes</x:v>
      </x:c>
      <x:c r="T101" s="18" t="str">
        <x:v>High</x:v>
      </x:c>
      <x:c r="U101" s="18" t="str">
        <x:v>Yi New Sewing Machine_May.'26.pdf</x:v>
      </x:c>
      <x:c r="V101" s="18" t="n">
        <x:v>1</x:v>
      </x:c>
      <x:c r="W101" s="18" t="str"/>
    </x:row>
    <x:row r="102">
      <x:c r="A102" s="18" t="str">
        <x:v>2026-05</x:v>
      </x:c>
      <x:c r="B102" s="19" t="n">
        <x:v>46144</x:v>
      </x:c>
      <x:c r="C102" s="18" t="str">
        <x:v>YI-000128</x:v>
      </x:c>
      <x:c r="D102" s="18" t="str">
        <x:v>YI NEW SEWING MACHINE CO., LTD</x:v>
      </x:c>
      <x:c r="E102" s="18" t="str">
        <x:v>平車跳線彈簧</x:v>
      </x:c>
      <x:c r="F102" s="18" t="str">
        <x:v>SP-SN-THREAD-SPRING</x:v>
      </x:c>
      <x:c r="G102" s="18" t="str">
        <x:v>平車跳線彈簧</x:v>
      </x:c>
      <x:c r="H102" s="18" t="str">
        <x:v>Thread Take-up Spring</x:v>
      </x:c>
      <x:c r="I102" s="18" t="str">
        <x:v>Other</x:v>
      </x:c>
      <x:c r="J102" s="18" t="str">
        <x:v>Spare Part</x:v>
      </x:c>
      <x:c r="K102" s="18" t="str"/>
      <x:c r="L102" s="18" t="str">
        <x:v>Single Needle</x:v>
      </x:c>
      <x:c r="M102" s="20" t="n">
        <x:v>100</x:v>
      </x:c>
      <x:c r="N102" s="18" t="str">
        <x:v>個</x:v>
      </x:c>
      <x:c r="O102" s="21" t="n">
        <x:v>0.1</x:v>
      </x:c>
      <x:c r="P102" s="21" t="n">
        <x:f>M102*O102</x:f>
        <x:v>10</x:v>
      </x:c>
      <x:c r="Q102" s="21" t="n">
        <x:v>10</x:v>
      </x:c>
      <x:c r="R102" s="21" t="n">
        <x:f>P102-Q102</x:f>
        <x:v>0</x:v>
      </x:c>
      <x:c r="S102" s="18" t="str">
        <x:v>Yes</x:v>
      </x:c>
      <x:c r="T102" s="18" t="str">
        <x:v>High</x:v>
      </x:c>
      <x:c r="U102" s="18" t="str">
        <x:v>Yi New Sewing Machine_May.'26.pdf</x:v>
      </x:c>
      <x:c r="V102" s="18" t="n">
        <x:v>1</x:v>
      </x:c>
      <x:c r="W102" s="18" t="str"/>
    </x:row>
    <x:row r="103">
      <x:c r="A103" s="18" t="str">
        <x:v>2026-05</x:v>
      </x:c>
      <x:c r="B103" s="19" t="n">
        <x:v>46144</x:v>
      </x:c>
      <x:c r="C103" s="18" t="str">
        <x:v>YI-000128</x:v>
      </x:c>
      <x:c r="D103" s="18" t="str">
        <x:v>YI NEW SEWING MACHINE CO., LTD</x:v>
      </x:c>
      <x:c r="E103" s="18" t="str">
        <x:v>JUKI-8700活動刀</x:v>
      </x:c>
      <x:c r="F103" s="18" t="str">
        <x:v>KN-JUKI8700A-MOVING</x:v>
      </x:c>
      <x:c r="G103" s="18" t="str">
        <x:v>JUKI-8700A 活動刀</x:v>
      </x:c>
      <x:c r="H103" s="18" t="str">
        <x:v>8700/8700A</x:v>
      </x:c>
      <x:c r="I103" s="18" t="str">
        <x:v>Knife/Looper</x:v>
      </x:c>
      <x:c r="J103" s="18" t="str">
        <x:v>Spare Part</x:v>
      </x:c>
      <x:c r="K103" s="18" t="str">
        <x:v>JUKI</x:v>
      </x:c>
      <x:c r="L103" s="18" t="str">
        <x:v>Single Needle</x:v>
      </x:c>
      <x:c r="M103" s="20" t="n">
        <x:v>10</x:v>
      </x:c>
      <x:c r="N103" s="18" t="str">
        <x:v>支</x:v>
      </x:c>
      <x:c r="O103" s="21" t="n">
        <x:v>2.5</x:v>
      </x:c>
      <x:c r="P103" s="21" t="n">
        <x:f>M103*O103</x:f>
        <x:v>25</x:v>
      </x:c>
      <x:c r="Q103" s="21" t="n">
        <x:v>25</x:v>
      </x:c>
      <x:c r="R103" s="21" t="n">
        <x:f>P103-Q103</x:f>
        <x:v>0</x:v>
      </x:c>
      <x:c r="S103" s="18" t="str">
        <x:v>Yes</x:v>
      </x:c>
      <x:c r="T103" s="18" t="str">
        <x:v>Medium</x:v>
      </x:c>
      <x:c r="U103" s="18" t="str">
        <x:v>Yi New Sewing Machine_May.'26.pdf</x:v>
      </x:c>
      <x:c r="V103" s="18" t="n">
        <x:v>1</x:v>
      </x:c>
      <x:c r="W103" s="18" t="str">
        <x:v>原始發票型號寫8700，與4月8700A合併比較</x:v>
      </x:c>
    </x:row>
    <x:row r="104">
      <x:c r="A104" s="18" t="str">
        <x:v>2026-05</x:v>
      </x:c>
      <x:c r="B104" s="19" t="n">
        <x:v>46144</x:v>
      </x:c>
      <x:c r="C104" s="18" t="str">
        <x:v>YI-000128</x:v>
      </x:c>
      <x:c r="D104" s="18" t="str">
        <x:v>YI NEW SEWING MACHINE CO., LTD</x:v>
      </x:c>
      <x:c r="E104" s="18" t="str">
        <x:v>風琴: UOx113 #12</x:v>
      </x:c>
      <x:c r="F104" s="18" t="str">
        <x:v>ND-UOX113-12</x:v>
      </x:c>
      <x:c r="G104" s="18" t="str">
        <x:v>風琴機針 UOx113 #12</x:v>
      </x:c>
      <x:c r="H104" s="18" t="str">
        <x:v>UOx113 #12</x:v>
      </x:c>
      <x:c r="I104" s="18" t="str">
        <x:v>Needle</x:v>
      </x:c>
      <x:c r="J104" s="18" t="str">
        <x:v>Consumable</x:v>
      </x:c>
      <x:c r="K104" s="18" t="str">
        <x:v>ORGAN/風琴</x:v>
      </x:c>
      <x:c r="L104" s="18" t="str">
        <x:v>Multi-needle</x:v>
      </x:c>
      <x:c r="M104" s="20" t="n">
        <x:v>50</x:v>
      </x:c>
      <x:c r="N104" s="18" t="str">
        <x:v>包</x:v>
      </x:c>
      <x:c r="O104" s="21" t="n">
        <x:v>3</x:v>
      </x:c>
      <x:c r="P104" s="21" t="n">
        <x:f>M104*O104</x:f>
        <x:v>150</x:v>
      </x:c>
      <x:c r="Q104" s="21" t="n">
        <x:v>150</x:v>
      </x:c>
      <x:c r="R104" s="21" t="n">
        <x:f>P104-Q104</x:f>
        <x:v>0</x:v>
      </x:c>
      <x:c r="S104" s="18" t="str">
        <x:v>Yes</x:v>
      </x:c>
      <x:c r="T104" s="18" t="str">
        <x:v>High</x:v>
      </x:c>
      <x:c r="U104" s="18" t="str">
        <x:v>Yi New Sewing Machine_May.'26.pdf</x:v>
      </x:c>
      <x:c r="V104" s="18" t="n">
        <x:v>1</x:v>
      </x:c>
      <x:c r="W104" s="18" t="str"/>
    </x:row>
    <x:row r="105">
      <x:c r="A105" s="18" t="str">
        <x:v>2026-05</x:v>
      </x:c>
      <x:c r="B105" s="19" t="n">
        <x:v>46144</x:v>
      </x:c>
      <x:c r="C105" s="18" t="str">
        <x:v>YI-000128</x:v>
      </x:c>
      <x:c r="D105" s="18" t="str">
        <x:v>YI NEW SEWING MACHINE CO., LTD</x:v>
      </x:c>
      <x:c r="E105" s="18" t="str">
        <x:v>747-鎖針線鉤</x:v>
      </x:c>
      <x:c r="F105" s="18" t="str">
        <x:v>LP-747-THREAD-HOOK</x:v>
      </x:c>
      <x:c r="G105" s="18" t="str">
        <x:v>747鎖針線鉤</x:v>
      </x:c>
      <x:c r="H105" s="18" t="str">
        <x:v>747</x:v>
      </x:c>
      <x:c r="I105" s="18" t="str">
        <x:v>Knife/Looper</x:v>
      </x:c>
      <x:c r="J105" s="18" t="str">
        <x:v>Spare Part</x:v>
      </x:c>
      <x:c r="K105" s="18" t="str"/>
      <x:c r="L105" s="18" t="str">
        <x:v>Overlock</x:v>
      </x:c>
      <x:c r="M105" s="20" t="n">
        <x:v>100</x:v>
      </x:c>
      <x:c r="N105" s="18" t="str">
        <x:v>個</x:v>
      </x:c>
      <x:c r="O105" s="21" t="n">
        <x:v>0.05</x:v>
      </x:c>
      <x:c r="P105" s="21" t="n">
        <x:f>M105*O105</x:f>
        <x:v>5</x:v>
      </x:c>
      <x:c r="Q105" s="21" t="n">
        <x:v>5</x:v>
      </x:c>
      <x:c r="R105" s="21" t="n">
        <x:f>P105-Q105</x:f>
        <x:v>0</x:v>
      </x:c>
      <x:c r="S105" s="18" t="str">
        <x:v>Yes</x:v>
      </x:c>
      <x:c r="T105" s="18" t="str">
        <x:v>High</x:v>
      </x:c>
      <x:c r="U105" s="18" t="str">
        <x:v>Yi New Sewing Machine_May.'26.pdf</x:v>
      </x:c>
      <x:c r="V105" s="18" t="n">
        <x:v>1</x:v>
      </x:c>
      <x:c r="W105" s="18" t="str"/>
    </x:row>
    <x:row r="106">
      <x:c r="A106" s="18" t="str">
        <x:v>2026-05</x:v>
      </x:c>
      <x:c r="B106" s="19" t="n">
        <x:v>46144</x:v>
      </x:c>
      <x:c r="C106" s="18" t="str">
        <x:v>YI-000128</x:v>
      </x:c>
      <x:c r="D106" s="18" t="str">
        <x:v>YI NEW SEWING MACHINE CO., LTD</x:v>
      </x:c>
      <x:c r="E106" s="18" t="str">
        <x:v>19GL-大皮尺</x:v>
      </x:c>
      <x:c r="F106" s="18" t="str">
        <x:v>TL-TAPE-19GL</x:v>
      </x:c>
      <x:c r="G106" s="18" t="str">
        <x:v>19GL 大皮尺</x:v>
      </x:c>
      <x:c r="H106" s="18" t="str">
        <x:v>19GL</x:v>
      </x:c>
      <x:c r="I106" s="18" t="str">
        <x:v>Tools</x:v>
      </x:c>
      <x:c r="J106" s="18" t="str">
        <x:v>Tool</x:v>
      </x:c>
      <x:c r="K106" s="18" t="str"/>
      <x:c r="L106" s="18" t="str">
        <x:v>Measuring</x:v>
      </x:c>
      <x:c r="M106" s="20" t="n">
        <x:v>10</x:v>
      </x:c>
      <x:c r="N106" s="18" t="str">
        <x:v>條</x:v>
      </x:c>
      <x:c r="O106" s="21" t="n">
        <x:v>0.65</x:v>
      </x:c>
      <x:c r="P106" s="21" t="n">
        <x:f>M106*O106</x:f>
        <x:v>6.5</x:v>
      </x:c>
      <x:c r="Q106" s="21" t="n">
        <x:v>6.5</x:v>
      </x:c>
      <x:c r="R106" s="21" t="n">
        <x:f>P106-Q106</x:f>
        <x:v>0</x:v>
      </x:c>
      <x:c r="S106" s="18" t="str">
        <x:v>Yes</x:v>
      </x:c>
      <x:c r="T106" s="18" t="str">
        <x:v>High</x:v>
      </x:c>
      <x:c r="U106" s="18" t="str">
        <x:v>Yi New Sewing Machine_May.'26.pdf</x:v>
      </x:c>
      <x:c r="V106" s="18" t="n">
        <x:v>1</x:v>
      </x:c>
      <x:c r="W106" s="18" t="str"/>
    </x:row>
    <x:row r="107">
      <x:c r="A107" s="18" t="str">
        <x:v>2026-05</x:v>
      </x:c>
      <x:c r="B107" s="19" t="n">
        <x:v>46147</x:v>
      </x:c>
      <x:c r="C107" s="18" t="str">
        <x:v>YI-000129</x:v>
      </x:c>
      <x:c r="D107" s="18" t="str">
        <x:v>YI NEW SEWING MACHINE CO., LTD</x:v>
      </x:c>
      <x:c r="E107" s="18" t="str">
        <x:v>風琴: UOx113 #12</x:v>
      </x:c>
      <x:c r="F107" s="18" t="str">
        <x:v>ND-UOX113-12</x:v>
      </x:c>
      <x:c r="G107" s="18" t="str">
        <x:v>風琴機針 UOx113 #12</x:v>
      </x:c>
      <x:c r="H107" s="18" t="str">
        <x:v>UOx113 #12</x:v>
      </x:c>
      <x:c r="I107" s="18" t="str">
        <x:v>Needle</x:v>
      </x:c>
      <x:c r="J107" s="18" t="str">
        <x:v>Consumable</x:v>
      </x:c>
      <x:c r="K107" s="18" t="str">
        <x:v>ORGAN/風琴</x:v>
      </x:c>
      <x:c r="L107" s="18" t="str">
        <x:v>Multi-needle</x:v>
      </x:c>
      <x:c r="M107" s="20" t="n">
        <x:v>100</x:v>
      </x:c>
      <x:c r="N107" s="18" t="str">
        <x:v>包</x:v>
      </x:c>
      <x:c r="O107" s="21" t="n">
        <x:v>3</x:v>
      </x:c>
      <x:c r="P107" s="21" t="n">
        <x:f>M107*O107</x:f>
        <x:v>300</x:v>
      </x:c>
      <x:c r="Q107" s="21" t="n">
        <x:v>300</x:v>
      </x:c>
      <x:c r="R107" s="21" t="n">
        <x:f>P107-Q107</x:f>
        <x:v>0</x:v>
      </x:c>
      <x:c r="S107" s="18" t="str">
        <x:v>Yes</x:v>
      </x:c>
      <x:c r="T107" s="18" t="str">
        <x:v>High</x:v>
      </x:c>
      <x:c r="U107" s="18" t="str">
        <x:v>Yi New Sewing Machine_May.'26.pdf</x:v>
      </x:c>
      <x:c r="V107" s="18" t="n">
        <x:v>1</x:v>
      </x:c>
      <x:c r="W107" s="18" t="str"/>
    </x:row>
    <x:row r="108">
      <x:c r="A108" s="18" t="str">
        <x:v>2026-05</x:v>
      </x:c>
      <x:c r="B108" s="19" t="n">
        <x:v>46147</x:v>
      </x:c>
      <x:c r="C108" s="18" t="str">
        <x:v>YI-000129</x:v>
      </x:c>
      <x:c r="D108" s="18" t="str">
        <x:v>YI NEW SEWING MACHINE CO., LTD</x:v>
      </x:c>
      <x:c r="E108" s="18" t="str">
        <x:v>風琴: UYx128 #14</x:v>
      </x:c>
      <x:c r="F108" s="18" t="str">
        <x:v>ND-UYX128-14</x:v>
      </x:c>
      <x:c r="G108" s="18" t="str">
        <x:v>風琴機針 UYx128 #14</x:v>
      </x:c>
      <x:c r="H108" s="18" t="str">
        <x:v>UYx128 #14</x:v>
      </x:c>
      <x:c r="I108" s="18" t="str">
        <x:v>Needle</x:v>
      </x:c>
      <x:c r="J108" s="18" t="str">
        <x:v>Consumable</x:v>
      </x:c>
      <x:c r="K108" s="18" t="str">
        <x:v>ORGAN/風琴</x:v>
      </x:c>
      <x:c r="L108" s="18" t="str">
        <x:v>Multi-needle / Chainstitch</x:v>
      </x:c>
      <x:c r="M108" s="20" t="n">
        <x:v>100</x:v>
      </x:c>
      <x:c r="N108" s="18" t="str">
        <x:v>包</x:v>
      </x:c>
      <x:c r="O108" s="21" t="n">
        <x:v>1.78</x:v>
      </x:c>
      <x:c r="P108" s="21" t="n">
        <x:f>M108*O108</x:f>
        <x:v>178</x:v>
      </x:c>
      <x:c r="Q108" s="21" t="n">
        <x:v>178</x:v>
      </x:c>
      <x:c r="R108" s="21" t="n">
        <x:f>P108-Q108</x:f>
        <x:v>0</x:v>
      </x:c>
      <x:c r="S108" s="18" t="str">
        <x:v>Yes</x:v>
      </x:c>
      <x:c r="T108" s="18" t="str">
        <x:v>High</x:v>
      </x:c>
      <x:c r="U108" s="18" t="str">
        <x:v>Yi New Sewing Machine_May.'26.pdf</x:v>
      </x:c>
      <x:c r="V108" s="18" t="n">
        <x:v>1</x:v>
      </x:c>
      <x:c r="W108" s="18" t="str"/>
    </x:row>
    <x:row r="109">
      <x:c r="A109" s="18" t="str">
        <x:v>2026-05</x:v>
      </x:c>
      <x:c r="B109" s="19" t="n">
        <x:v>46147</x:v>
      </x:c>
      <x:c r="C109" s="18" t="str">
        <x:v>YI-000129</x:v>
      </x:c>
      <x:c r="D109" s="18" t="str">
        <x:v>YI NEW SEWING MACHINE CO., LTD</x:v>
      </x:c>
      <x:c r="E109" s="18" t="str">
        <x:v>風琴: DCx27 #14</x:v>
      </x:c>
      <x:c r="F109" s="18" t="str">
        <x:v>ND-DCX27-14</x:v>
      </x:c>
      <x:c r="G109" s="18" t="str">
        <x:v>風琴機針 DCx27 #14</x:v>
      </x:c>
      <x:c r="H109" s="18" t="str">
        <x:v>DCx27 #14</x:v>
      </x:c>
      <x:c r="I109" s="18" t="str">
        <x:v>Needle</x:v>
      </x:c>
      <x:c r="J109" s="18" t="str">
        <x:v>Consumable</x:v>
      </x:c>
      <x:c r="K109" s="18" t="str">
        <x:v>ORGAN/風琴</x:v>
      </x:c>
      <x:c r="L109" s="18" t="str">
        <x:v>Overlock</x:v>
      </x:c>
      <x:c r="M109" s="20" t="n">
        <x:v>100</x:v>
      </x:c>
      <x:c r="N109" s="18" t="str">
        <x:v>包</x:v>
      </x:c>
      <x:c r="O109" s="21" t="n">
        <x:v>1.3</x:v>
      </x:c>
      <x:c r="P109" s="21" t="n">
        <x:f>M109*O109</x:f>
        <x:v>130</x:v>
      </x:c>
      <x:c r="Q109" s="21" t="n">
        <x:v>130</x:v>
      </x:c>
      <x:c r="R109" s="21" t="n">
        <x:f>P109-Q109</x:f>
        <x:v>0</x:v>
      </x:c>
      <x:c r="S109" s="18" t="str">
        <x:v>Yes</x:v>
      </x:c>
      <x:c r="T109" s="18" t="str">
        <x:v>High</x:v>
      </x:c>
      <x:c r="U109" s="18" t="str">
        <x:v>Yi New Sewing Machine_May.'26.pdf</x:v>
      </x:c>
      <x:c r="V109" s="18" t="n">
        <x:v>1</x:v>
      </x:c>
      <x:c r="W109" s="18" t="str"/>
    </x:row>
    <x:row r="110">
      <x:c r="A110" s="18" t="str">
        <x:v>2026-05</x:v>
      </x:c>
      <x:c r="B110" s="19" t="n">
        <x:v>46154</x:v>
      </x:c>
      <x:c r="C110" s="18" t="str">
        <x:v>YI-000130</x:v>
      </x:c>
      <x:c r="D110" s="18" t="str">
        <x:v>YI NEW SEWING MACHINE CO., LTD</x:v>
      </x:c>
      <x:c r="E110" s="18" t="str">
        <x:v>裁刀底盤組</x:v>
      </x:c>
      <x:c r="F110" s="18" t="str">
        <x:v>CT-CUTTER-BASE-SET</x:v>
      </x:c>
      <x:c r="G110" s="18" t="str">
        <x:v>裁刀底盤組</x:v>
      </x:c>
      <x:c r="H110" s="18" t="str">
        <x:v>Set</x:v>
      </x:c>
      <x:c r="I110" s="18" t="str">
        <x:v>Cutting</x:v>
      </x:c>
      <x:c r="J110" s="18" t="str">
        <x:v>Spare Part</x:v>
      </x:c>
      <x:c r="K110" s="18" t="str"/>
      <x:c r="L110" s="18" t="str">
        <x:v>Cutting Machine</x:v>
      </x:c>
      <x:c r="M110" s="20" t="n">
        <x:v>2</x:v>
      </x:c>
      <x:c r="N110" s="18" t="str">
        <x:v>套</x:v>
      </x:c>
      <x:c r="O110" s="21" t="n">
        <x:v>38</x:v>
      </x:c>
      <x:c r="P110" s="21" t="n">
        <x:f>M110*O110</x:f>
        <x:v>76</x:v>
      </x:c>
      <x:c r="Q110" s="21" t="n">
        <x:v>76</x:v>
      </x:c>
      <x:c r="R110" s="21" t="n">
        <x:f>P110-Q110</x:f>
        <x:v>0</x:v>
      </x:c>
      <x:c r="S110" s="18" t="str">
        <x:v>Yes</x:v>
      </x:c>
      <x:c r="T110" s="18" t="str">
        <x:v>High</x:v>
      </x:c>
      <x:c r="U110" s="18" t="str">
        <x:v>Yi New Sewing Machine_May.'26.pdf</x:v>
      </x:c>
      <x:c r="V110" s="18" t="n">
        <x:v>1</x:v>
      </x:c>
      <x:c r="W110" s="18" t="str"/>
    </x:row>
    <x:row r="111">
      <x:c r="A111" s="18" t="str">
        <x:v>2026-05</x:v>
      </x:c>
      <x:c r="B111" s="19" t="n">
        <x:v>46154</x:v>
      </x:c>
      <x:c r="C111" s="18" t="str">
        <x:v>YI-000130</x:v>
      </x:c>
      <x:c r="D111" s="18" t="str">
        <x:v>YI NEW SEWING MACHINE CO., LTD</x:v>
      </x:c>
      <x:c r="E111" s="18" t="str">
        <x:v>強化型針車油-30L</x:v>
      </x:c>
      <x:c r="F111" s="18" t="str">
        <x:v>CN-SEWING-OIL-30L</x:v>
      </x:c>
      <x:c r="G111" s="18" t="str">
        <x:v>強化型針車油</x:v>
      </x:c>
      <x:c r="H111" s="18" t="str">
        <x:v>30L</x:v>
      </x:c>
      <x:c r="I111" s="18" t="str">
        <x:v>Consumable/Chemical</x:v>
      </x:c>
      <x:c r="J111" s="18" t="str">
        <x:v>Consumable</x:v>
      </x:c>
      <x:c r="K111" s="18" t="str"/>
      <x:c r="L111" s="18" t="str">
        <x:v>Sewing Machine</x:v>
      </x:c>
      <x:c r="M111" s="20" t="n">
        <x:v>1</x:v>
      </x:c>
      <x:c r="N111" s="18" t="str">
        <x:v>桶</x:v>
      </x:c>
      <x:c r="O111" s="21" t="n">
        <x:v>65</x:v>
      </x:c>
      <x:c r="P111" s="21" t="n">
        <x:f>M111*O111</x:f>
        <x:v>65</x:v>
      </x:c>
      <x:c r="Q111" s="21" t="n">
        <x:v>65</x:v>
      </x:c>
      <x:c r="R111" s="21" t="n">
        <x:f>P111-Q111</x:f>
        <x:v>0</x:v>
      </x:c>
      <x:c r="S111" s="18" t="str">
        <x:v>Yes</x:v>
      </x:c>
      <x:c r="T111" s="18" t="str">
        <x:v>High</x:v>
      </x:c>
      <x:c r="U111" s="18" t="str">
        <x:v>Yi New Sewing Machine_May.'26.pdf</x:v>
      </x:c>
      <x:c r="V111" s="18" t="n">
        <x:v>1</x:v>
      </x:c>
      <x:c r="W111" s="18" t="str"/>
    </x:row>
    <x:row r="112">
      <x:c r="A112" s="18" t="str">
        <x:v>2026-05</x:v>
      </x:c>
      <x:c r="B112" s="19" t="n">
        <x:v>46168</x:v>
      </x:c>
      <x:c r="C112" s="18" t="str">
        <x:v>YI-000131</x:v>
      </x:c>
      <x:c r="D112" s="18" t="str">
        <x:v>YI NEW SEWING MACHINE CO., LTD</x:v>
      </x:c>
      <x:c r="E112" s="18" t="str">
        <x:v>斷布機（含軌道）</x:v>
      </x:c>
      <x:c r="F112" s="18" t="str">
        <x:v>EQ-FABRIC-CUTTER-RAIL</x:v>
      </x:c>
      <x:c r="G112" s="18" t="str">
        <x:v>斷布機（含軌道）</x:v>
      </x:c>
      <x:c r="H112" s="18" t="str">
        <x:v>With Rail</x:v>
      </x:c>
      <x:c r="I112" s="18" t="str">
        <x:v>Equipment</x:v>
      </x:c>
      <x:c r="J112" s="18" t="str">
        <x:v>Equipment</x:v>
      </x:c>
      <x:c r="K112" s="18" t="str"/>
      <x:c r="L112" s="18" t="str">
        <x:v>Cutting</x:v>
      </x:c>
      <x:c r="M112" s="20" t="n">
        <x:v>3</x:v>
      </x:c>
      <x:c r="N112" s="18" t="str">
        <x:v>台</x:v>
      </x:c>
      <x:c r="O112" s="21" t="n">
        <x:v>175</x:v>
      </x:c>
      <x:c r="P112" s="21" t="n">
        <x:f>M112*O112</x:f>
        <x:v>525</x:v>
      </x:c>
      <x:c r="Q112" s="21" t="n">
        <x:v>525</x:v>
      </x:c>
      <x:c r="R112" s="21" t="n">
        <x:f>P112-Q112</x:f>
        <x:v>0</x:v>
      </x:c>
      <x:c r="S112" s="18" t="str">
        <x:v>Yes</x:v>
      </x:c>
      <x:c r="T112" s="18" t="str">
        <x:v>High</x:v>
      </x:c>
      <x:c r="U112" s="18" t="str">
        <x:v>Yi New Sewing Machine_May.'26.pdf</x:v>
      </x:c>
      <x:c r="V112" s="18" t="n">
        <x:v>1</x:v>
      </x:c>
      <x:c r="W112" s="18" t="str"/>
    </x:row>
    <x:row r="113">
      <x:c r="A113" s="18" t="str">
        <x:v>2026-05</x:v>
      </x:c>
      <x:c r="B113" s="19" t="n">
        <x:v>46168</x:v>
      </x:c>
      <x:c r="C113" s="18" t="str">
        <x:v>YI-000132</x:v>
      </x:c>
      <x:c r="D113" s="18" t="str">
        <x:v>YI NEW SEWING MACHINE CO., LTD</x:v>
      </x:c>
      <x:c r="E113" s="18" t="str">
        <x:v>韓國熊貓圓形畫粉</x:v>
      </x:c>
      <x:c r="F113" s="18" t="str">
        <x:v>CN-TAILOR-CHALK-PANDA-KR</x:v>
      </x:c>
      <x:c r="G113" s="18" t="str">
        <x:v>韓國熊貓圓形畫粉</x:v>
      </x:c>
      <x:c r="H113" s="18" t="str">
        <x:v>Round</x:v>
      </x:c>
      <x:c r="I113" s="18" t="str">
        <x:v>Consumable/Chemical</x:v>
      </x:c>
      <x:c r="J113" s="18" t="str">
        <x:v>Consumable</x:v>
      </x:c>
      <x:c r="K113" s="18" t="str">
        <x:v>Panda/Korea</x:v>
      </x:c>
      <x:c r="L113" s="18" t="str">
        <x:v>Marking</x:v>
      </x:c>
      <x:c r="M113" s="20" t="n">
        <x:v>20</x:v>
      </x:c>
      <x:c r="N113" s="18" t="str">
        <x:v>盒</x:v>
      </x:c>
      <x:c r="O113" s="21" t="n">
        <x:v>1.8</x:v>
      </x:c>
      <x:c r="P113" s="21" t="n">
        <x:f>M113*O113</x:f>
        <x:v>36</x:v>
      </x:c>
      <x:c r="Q113" s="21" t="n">
        <x:v>36</x:v>
      </x:c>
      <x:c r="R113" s="21" t="n">
        <x:f>P113-Q113</x:f>
        <x:v>0</x:v>
      </x:c>
      <x:c r="S113" s="18" t="str">
        <x:v>Yes</x:v>
      </x:c>
      <x:c r="T113" s="18" t="str">
        <x:v>High</x:v>
      </x:c>
      <x:c r="U113" s="18" t="str">
        <x:v>Yi New Sewing Machine_May.'26.pdf</x:v>
      </x:c>
      <x:c r="V113" s="18" t="n">
        <x:v>1</x:v>
      </x:c>
      <x:c r="W113" s="18" t="str"/>
    </x:row>
    <x:row r="114">
      <x:c r="A114" s="18" t="str">
        <x:v>2026-05</x:v>
      </x:c>
      <x:c r="B114" s="19" t="n">
        <x:v>46168</x:v>
      </x:c>
      <x:c r="C114" s="18" t="str">
        <x:v>YI-000132</x:v>
      </x:c>
      <x:c r="D114" s="18" t="str">
        <x:v>YI NEW SEWING MACHINE CO., LTD</x:v>
      </x:c>
      <x:c r="E114" s="18" t="str">
        <x:v>拷克上勾針 -LP226</x:v>
      </x:c>
      <x:c r="F114" s="18" t="str">
        <x:v>LP-LP226-UPPER</x:v>
      </x:c>
      <x:c r="G114" s="18" t="str">
        <x:v>拷克上勾針 LP226</x:v>
      </x:c>
      <x:c r="H114" s="18" t="str">
        <x:v>LP226</x:v>
      </x:c>
      <x:c r="I114" s="18" t="str">
        <x:v>Knife/Looper</x:v>
      </x:c>
      <x:c r="J114" s="18" t="str">
        <x:v>Spare Part</x:v>
      </x:c>
      <x:c r="K114" s="18" t="str"/>
      <x:c r="L114" s="18" t="str">
        <x:v>Overlock</x:v>
      </x:c>
      <x:c r="M114" s="20" t="n">
        <x:v>20</x:v>
      </x:c>
      <x:c r="N114" s="18" t="str">
        <x:v>個</x:v>
      </x:c>
      <x:c r="O114" s="21" t="n">
        <x:v>1.5</x:v>
      </x:c>
      <x:c r="P114" s="21" t="n">
        <x:f>M114*O114</x:f>
        <x:v>30</x:v>
      </x:c>
      <x:c r="Q114" s="21" t="n">
        <x:v>30</x:v>
      </x:c>
      <x:c r="R114" s="21" t="n">
        <x:f>P114-Q114</x:f>
        <x:v>0</x:v>
      </x:c>
      <x:c r="S114" s="18" t="str">
        <x:v>Yes</x:v>
      </x:c>
      <x:c r="T114" s="18" t="str">
        <x:v>High</x:v>
      </x:c>
      <x:c r="U114" s="18" t="str">
        <x:v>Yi New Sewing Machine_May.'26.pdf</x:v>
      </x:c>
      <x:c r="V114" s="18" t="n">
        <x:v>1</x:v>
      </x:c>
      <x:c r="W114" s="18" t="str"/>
    </x:row>
    <x:row r="115">
      <x:c r="A115" s="18" t="str">
        <x:v>2026-05</x:v>
      </x:c>
      <x:c r="B115" s="19" t="n">
        <x:v>46168</x:v>
      </x:c>
      <x:c r="C115" s="18" t="str">
        <x:v>YI-000132</x:v>
      </x:c>
      <x:c r="D115" s="18" t="str">
        <x:v>YI NEW SEWING MACHINE CO., LTD</x:v>
      </x:c>
      <x:c r="E115" s="18" t="str">
        <x:v>Brother 固定刀</x:v>
      </x:c>
      <x:c r="F115" s="18" t="str">
        <x:v>KN-BROTHER-FIXED</x:v>
      </x:c>
      <x:c r="G115" s="18" t="str">
        <x:v>Brother 固定刀</x:v>
      </x:c>
      <x:c r="H115" s="18" t="str">
        <x:v>Fixed Knife</x:v>
      </x:c>
      <x:c r="I115" s="18" t="str">
        <x:v>Knife/Looper</x:v>
      </x:c>
      <x:c r="J115" s="18" t="str">
        <x:v>Spare Part</x:v>
      </x:c>
      <x:c r="K115" s="18" t="str">
        <x:v>Brother</x:v>
      </x:c>
      <x:c r="L115" s="18" t="str">
        <x:v>Sewing Machine</x:v>
      </x:c>
      <x:c r="M115" s="20" t="n">
        <x:v>10</x:v>
      </x:c>
      <x:c r="N115" s="18" t="str">
        <x:v>支</x:v>
      </x:c>
      <x:c r="O115" s="21" t="n">
        <x:v>1.2</x:v>
      </x:c>
      <x:c r="P115" s="21" t="n">
        <x:f>M115*O115</x:f>
        <x:v>12</x:v>
      </x:c>
      <x:c r="Q115" s="21" t="n">
        <x:v>12</x:v>
      </x:c>
      <x:c r="R115" s="21" t="n">
        <x:f>P115-Q115</x:f>
        <x:v>0</x:v>
      </x:c>
      <x:c r="S115" s="18" t="str">
        <x:v>Yes</x:v>
      </x:c>
      <x:c r="T115" s="18" t="str">
        <x:v>High</x:v>
      </x:c>
      <x:c r="U115" s="18" t="str">
        <x:v>Yi New Sewing Machine_May.'26.pdf</x:v>
      </x:c>
      <x:c r="V115" s="18" t="n">
        <x:v>1</x:v>
      </x:c>
      <x:c r="W115" s="18" t="str"/>
    </x:row>
    <x:row r="116">
      <x:c r="A116" s="18" t="str">
        <x:v>2026-05</x:v>
      </x:c>
      <x:c r="B116" s="19" t="n">
        <x:v>46168</x:v>
      </x:c>
      <x:c r="C116" s="18" t="str">
        <x:v>YI-000132</x:v>
      </x:c>
      <x:c r="D116" s="18" t="str">
        <x:v>YI NEW SEWING MACHINE CO., LTD</x:v>
      </x:c>
      <x:c r="E116" s="18" t="str">
        <x:v>風琴: UOx113 #12</x:v>
      </x:c>
      <x:c r="F116" s="18" t="str">
        <x:v>ND-UOX113-12</x:v>
      </x:c>
      <x:c r="G116" s="18" t="str">
        <x:v>風琴機針 UOx113 #12</x:v>
      </x:c>
      <x:c r="H116" s="18" t="str">
        <x:v>UOx113 #12</x:v>
      </x:c>
      <x:c r="I116" s="18" t="str">
        <x:v>Needle</x:v>
      </x:c>
      <x:c r="J116" s="18" t="str">
        <x:v>Consumable</x:v>
      </x:c>
      <x:c r="K116" s="18" t="str">
        <x:v>ORGAN/風琴</x:v>
      </x:c>
      <x:c r="L116" s="18" t="str">
        <x:v>Multi-needle</x:v>
      </x:c>
      <x:c r="M116" s="20" t="n">
        <x:v>50</x:v>
      </x:c>
      <x:c r="N116" s="18" t="str">
        <x:v>包</x:v>
      </x:c>
      <x:c r="O116" s="21" t="n">
        <x:v>3</x:v>
      </x:c>
      <x:c r="P116" s="21" t="n">
        <x:f>M116*O116</x:f>
        <x:v>150</x:v>
      </x:c>
      <x:c r="Q116" s="21" t="n">
        <x:v>150</x:v>
      </x:c>
      <x:c r="R116" s="21" t="n">
        <x:f>P116-Q116</x:f>
        <x:v>0</x:v>
      </x:c>
      <x:c r="S116" s="18" t="str">
        <x:v>Yes</x:v>
      </x:c>
      <x:c r="T116" s="18" t="str">
        <x:v>High</x:v>
      </x:c>
      <x:c r="U116" s="18" t="str">
        <x:v>Yi New Sewing Machine_May.'26.pdf</x:v>
      </x:c>
      <x:c r="V116" s="18" t="n">
        <x:v>1</x:v>
      </x:c>
      <x:c r="W116" s="18" t="str"/>
    </x:row>
    <x:row r="117">
      <x:c r="A117" s="18" t="str">
        <x:v>2026-05</x:v>
      </x:c>
      <x:c r="B117" s="19" t="n">
        <x:v>46168</x:v>
      </x:c>
      <x:c r="C117" s="18" t="str">
        <x:v>YI-000132</x:v>
      </x:c>
      <x:c r="D117" s="18" t="str">
        <x:v>YI NEW SEWING MACHINE CO., LTD</x:v>
      </x:c>
      <x:c r="E117" s="18" t="str">
        <x:v>風琴: UYx128 #12</x:v>
      </x:c>
      <x:c r="F117" s="18" t="str">
        <x:v>ND-UYX128-12</x:v>
      </x:c>
      <x:c r="G117" s="18" t="str">
        <x:v>風琴機針 UYx128 #12</x:v>
      </x:c>
      <x:c r="H117" s="18" t="str">
        <x:v>UYx128 #12</x:v>
      </x:c>
      <x:c r="I117" s="18" t="str">
        <x:v>Needle</x:v>
      </x:c>
      <x:c r="J117" s="18" t="str">
        <x:v>Consumable</x:v>
      </x:c>
      <x:c r="K117" s="18" t="str">
        <x:v>ORGAN/風琴</x:v>
      </x:c>
      <x:c r="L117" s="18" t="str">
        <x:v>Multi-needle / Chainstitch</x:v>
      </x:c>
      <x:c r="M117" s="20" t="n">
        <x:v>50</x:v>
      </x:c>
      <x:c r="N117" s="18" t="str">
        <x:v>包</x:v>
      </x:c>
      <x:c r="O117" s="21" t="n">
        <x:v>1.78</x:v>
      </x:c>
      <x:c r="P117" s="21" t="n">
        <x:f>M117*O117</x:f>
        <x:v>89</x:v>
      </x:c>
      <x:c r="Q117" s="21" t="n">
        <x:v>89</x:v>
      </x:c>
      <x:c r="R117" s="21" t="n">
        <x:f>P117-Q117</x:f>
        <x:v>0</x:v>
      </x:c>
      <x:c r="S117" s="18" t="str">
        <x:v>Yes</x:v>
      </x:c>
      <x:c r="T117" s="18" t="str">
        <x:v>High</x:v>
      </x:c>
      <x:c r="U117" s="18" t="str">
        <x:v>Yi New Sewing Machine_May.'26.pdf</x:v>
      </x:c>
      <x:c r="V117" s="18" t="n">
        <x:v>1</x:v>
      </x:c>
      <x:c r="W117" s="18" t="str"/>
    </x:row>
    <x:row r="118">
      <x:c r="A118" s="18" t="str">
        <x:v>2026-05</x:v>
      </x:c>
      <x:c r="B118" s="19" t="n">
        <x:v>46168</x:v>
      </x:c>
      <x:c r="C118" s="18" t="str">
        <x:v>YI-000132</x:v>
      </x:c>
      <x:c r="D118" s="18" t="str">
        <x:v>YI NEW SEWING MACHINE CO., LTD</x:v>
      </x:c>
      <x:c r="E118" s="18" t="str">
        <x:v>拷克上刀 -KR23</x:v>
      </x:c>
      <x:c r="F118" s="18" t="str">
        <x:v>KN-KR23-UPPER</x:v>
      </x:c>
      <x:c r="G118" s="18" t="str">
        <x:v>拷克上刀 KR23</x:v>
      </x:c>
      <x:c r="H118" s="18" t="str">
        <x:v>KR23</x:v>
      </x:c>
      <x:c r="I118" s="18" t="str">
        <x:v>Knife/Looper</x:v>
      </x:c>
      <x:c r="J118" s="18" t="str">
        <x:v>Spare Part</x:v>
      </x:c>
      <x:c r="K118" s="18" t="str"/>
      <x:c r="L118" s="18" t="str">
        <x:v>Overlock</x:v>
      </x:c>
      <x:c r="M118" s="20" t="n">
        <x:v>10</x:v>
      </x:c>
      <x:c r="N118" s="18" t="str">
        <x:v>支</x:v>
      </x:c>
      <x:c r="O118" s="21" t="n">
        <x:v>0.6</x:v>
      </x:c>
      <x:c r="P118" s="21" t="n">
        <x:f>M118*O118</x:f>
        <x:v>6</x:v>
      </x:c>
      <x:c r="Q118" s="21" t="n">
        <x:v>6</x:v>
      </x:c>
      <x:c r="R118" s="21" t="n">
        <x:f>P118-Q118</x:f>
        <x:v>0</x:v>
      </x:c>
      <x:c r="S118" s="18" t="str">
        <x:v>Yes</x:v>
      </x:c>
      <x:c r="T118" s="18" t="str">
        <x:v>High</x:v>
      </x:c>
      <x:c r="U118" s="18" t="str">
        <x:v>Yi New Sewing Machine_May.'26.pdf</x:v>
      </x:c>
      <x:c r="V118" s="18" t="n">
        <x:v>1</x:v>
      </x:c>
      <x:c r="W118" s="18" t="str"/>
    </x:row>
    <x:row r="119">
      <x:c r="A119" s="18" t="str">
        <x:v>2026-05</x:v>
      </x:c>
      <x:c r="B119" s="19" t="n">
        <x:v>46168</x:v>
      </x:c>
      <x:c r="C119" s="18" t="str">
        <x:v>YI-000132</x:v>
      </x:c>
      <x:c r="D119" s="18" t="str">
        <x:v>YI NEW SEWING MACHINE CO., LTD</x:v>
      </x:c>
      <x:c r="E119" s="18" t="str">
        <x:v>吊瓶熨斗開關</x:v>
      </x:c>
      <x:c r="F119" s="18" t="str">
        <x:v>IR-HANGING-BOTTLE-SWITCH</x:v>
      </x:c>
      <x:c r="G119" s="18" t="str">
        <x:v>吊瓶熨斗開關</x:v>
      </x:c>
      <x:c r="H119" s="18" t="str">
        <x:v>Switch</x:v>
      </x:c>
      <x:c r="I119" s="18" t="str">
        <x:v>Ironing/Heat Transfer</x:v>
      </x:c>
      <x:c r="J119" s="18" t="str">
        <x:v>Spare Part</x:v>
      </x:c>
      <x:c r="K119" s="18" t="str"/>
      <x:c r="L119" s="18" t="str">
        <x:v>Iron</x:v>
      </x:c>
      <x:c r="M119" s="20" t="n">
        <x:v>10</x:v>
      </x:c>
      <x:c r="N119" s="18" t="str">
        <x:v>個</x:v>
      </x:c>
      <x:c r="O119" s="21" t="n">
        <x:v>4.5</x:v>
      </x:c>
      <x:c r="P119" s="21" t="n">
        <x:f>M119*O119</x:f>
        <x:v>45</x:v>
      </x:c>
      <x:c r="Q119" s="21" t="n">
        <x:v>45</x:v>
      </x:c>
      <x:c r="R119" s="21" t="n">
        <x:f>P119-Q119</x:f>
        <x:v>0</x:v>
      </x:c>
      <x:c r="S119" s="18" t="str">
        <x:v>Yes</x:v>
      </x:c>
      <x:c r="T119" s="18" t="str">
        <x:v>High</x:v>
      </x:c>
      <x:c r="U119" s="18" t="str">
        <x:v>Yi New Sewing Machine_May.'26.pdf</x:v>
      </x:c>
      <x:c r="V119" s="18" t="n">
        <x:v>1</x:v>
      </x:c>
      <x:c r="W119" s="18" t="str"/>
    </x:row>
    <x:row r="120">
      <x:c r="A120" s="18" t="str">
        <x:v>2026-05</x:v>
      </x:c>
      <x:c r="B120" s="19" t="n">
        <x:v>46168</x:v>
      </x:c>
      <x:c r="C120" s="18" t="str">
        <x:v>YI-000132</x:v>
      </x:c>
      <x:c r="D120" s="18" t="str">
        <x:v>YI NEW SEWING MACHINE CO., LTD</x:v>
      </x:c>
      <x:c r="E120" s="18" t="str">
        <x:v>強化型針車油 30L</x:v>
      </x:c>
      <x:c r="F120" s="18" t="str">
        <x:v>CN-SEWING-OIL-30L</x:v>
      </x:c>
      <x:c r="G120" s="18" t="str">
        <x:v>強化型針車油</x:v>
      </x:c>
      <x:c r="H120" s="18" t="str">
        <x:v>30L</x:v>
      </x:c>
      <x:c r="I120" s="18" t="str">
        <x:v>Consumable/Chemical</x:v>
      </x:c>
      <x:c r="J120" s="18" t="str">
        <x:v>Consumable</x:v>
      </x:c>
      <x:c r="K120" s="18" t="str"/>
      <x:c r="L120" s="18" t="str">
        <x:v>Sewing Machine</x:v>
      </x:c>
      <x:c r="M120" s="20" t="n">
        <x:v>1</x:v>
      </x:c>
      <x:c r="N120" s="18" t="str">
        <x:v>桶</x:v>
      </x:c>
      <x:c r="O120" s="21" t="n">
        <x:v>65</x:v>
      </x:c>
      <x:c r="P120" s="21" t="n">
        <x:f>M120*O120</x:f>
        <x:v>65</x:v>
      </x:c>
      <x:c r="Q120" s="21" t="n">
        <x:v>65</x:v>
      </x:c>
      <x:c r="R120" s="21" t="n">
        <x:f>P120-Q120</x:f>
        <x:v>0</x:v>
      </x:c>
      <x:c r="S120" s="18" t="str">
        <x:v>Yes</x:v>
      </x:c>
      <x:c r="T120" s="18" t="str">
        <x:v>High</x:v>
      </x:c>
      <x:c r="U120" s="18" t="str">
        <x:v>Yi New Sewing Machine_May.'26.pdf</x:v>
      </x:c>
      <x:c r="V120" s="18" t="n">
        <x:v>1</x:v>
      </x:c>
      <x:c r="W120" s="18" t="str"/>
    </x:row>
    <x:row r="121">
      <x:c r="A121" s="18" t="str">
        <x:v>2026-05</x:v>
      </x:c>
      <x:c r="B121" s="19" t="n">
        <x:v>46168</x:v>
      </x:c>
      <x:c r="C121" s="18" t="str">
        <x:v>YI-000132</x:v>
      </x:c>
      <x:c r="D121" s="18" t="str">
        <x:v>YI NEW SEWING MACHINE CO., LTD</x:v>
      </x:c>
      <x:c r="E121" s="18" t="str">
        <x:v>502膠水・大瓶</x:v>
      </x:c>
      <x:c r="F121" s="18" t="str">
        <x:v>CH-502-GLUE-LARGE</x:v>
      </x:c>
      <x:c r="G121" s="18" t="str">
        <x:v>502膠水（大瓶）</x:v>
      </x:c>
      <x:c r="H121" s="18" t="str">
        <x:v>Large Bottle</x:v>
      </x:c>
      <x:c r="I121" s="18" t="str">
        <x:v>Consumable/Chemical</x:v>
      </x:c>
      <x:c r="J121" s="18" t="str">
        <x:v>Consumable</x:v>
      </x:c>
      <x:c r="K121" s="18" t="str"/>
      <x:c r="L121" s="18" t="str">
        <x:v>Maintenance</x:v>
      </x:c>
      <x:c r="M121" s="20" t="n">
        <x:v>10</x:v>
      </x:c>
      <x:c r="N121" s="18" t="str">
        <x:v>瓶</x:v>
      </x:c>
      <x:c r="O121" s="21" t="n">
        <x:v>0.65</x:v>
      </x:c>
      <x:c r="P121" s="21" t="n">
        <x:f>M121*O121</x:f>
        <x:v>6.5</x:v>
      </x:c>
      <x:c r="Q121" s="21" t="n">
        <x:v>6.5</x:v>
      </x:c>
      <x:c r="R121" s="21" t="n">
        <x:f>P121-Q121</x:f>
        <x:v>0</x:v>
      </x:c>
      <x:c r="S121" s="18" t="str">
        <x:v>Yes</x:v>
      </x:c>
      <x:c r="T121" s="18" t="str">
        <x:v>High</x:v>
      </x:c>
      <x:c r="U121" s="18" t="str">
        <x:v>Yi New Sewing Machine_May.'26.pdf</x:v>
      </x:c>
      <x:c r="V121" s="18" t="n">
        <x:v>1</x:v>
      </x:c>
      <x:c r="W121" s="18" t="str"/>
    </x:row>
    <x:row r="122">
      <x:c r="A122" s="18" t="str">
        <x:v>2026-05</x:v>
      </x:c>
      <x:c r="B122" s="19" t="n">
        <x:v>46168</x:v>
      </x:c>
      <x:c r="C122" s="18" t="str">
        <x:v>YI-000132</x:v>
      </x:c>
      <x:c r="D122" s="18" t="str">
        <x:v>YI NEW SEWING MACHINE CO., LTD</x:v>
      </x:c>
      <x:c r="E122" s="18" t="str">
        <x:v>SIRUBA-747KD馬達聯軸器</x:v>
      </x:c>
      <x:c r="F122" s="18" t="str">
        <x:v>MT-SIRUBA747KD-COUPLER</x:v>
      </x:c>
      <x:c r="G122" s="18" t="str">
        <x:v>SIRUBA-747KD 馬達聯軸器</x:v>
      </x:c>
      <x:c r="H122" s="18" t="str">
        <x:v>747KD</x:v>
      </x:c>
      <x:c r="I122" s="18" t="str">
        <x:v>Motor/Drive</x:v>
      </x:c>
      <x:c r="J122" s="18" t="str">
        <x:v>Spare Part</x:v>
      </x:c>
      <x:c r="K122" s="18" t="str">
        <x:v>SIRUBA</x:v>
      </x:c>
      <x:c r="L122" s="18" t="str">
        <x:v>Overlock</x:v>
      </x:c>
      <x:c r="M122" s="20" t="n">
        <x:v>20</x:v>
      </x:c>
      <x:c r="N122" s="18" t="str">
        <x:v>個</x:v>
      </x:c>
      <x:c r="O122" s="21" t="n">
        <x:v>9.5</x:v>
      </x:c>
      <x:c r="P122" s="21" t="n">
        <x:f>M122*O122</x:f>
        <x:v>190</x:v>
      </x:c>
      <x:c r="Q122" s="21" t="n">
        <x:v>190</x:v>
      </x:c>
      <x:c r="R122" s="21" t="n">
        <x:f>P122-Q122</x:f>
        <x:v>0</x:v>
      </x:c>
      <x:c r="S122" s="18" t="str">
        <x:v>Yes</x:v>
      </x:c>
      <x:c r="T122" s="18" t="str">
        <x:v>High</x:v>
      </x:c>
      <x:c r="U122" s="18" t="str">
        <x:v>Yi New Sewing Machine_May.'26.pdf</x:v>
      </x:c>
      <x:c r="V122" s="18" t="n">
        <x:v>1</x:v>
      </x:c>
      <x:c r="W122" s="18" t="str"/>
    </x:row>
    <x:row r="123">
      <x:c r="A123" s="18" t="str">
        <x:v>2026-06</x:v>
      </x:c>
      <x:c r="B123" s="19" t="n">
        <x:v>46171</x:v>
      </x:c>
      <x:c r="C123" s="18" t="str">
        <x:v>YI-000132 (2)</x:v>
      </x:c>
      <x:c r="D123" s="18" t="str">
        <x:v>YI NEW SEWING MACHINE CO., LTD</x:v>
      </x:c>
      <x:c r="E123" s="18" t="str">
        <x:v>H208K 牙齒</x:v>
      </x:c>
      <x:c r="F123" s="18" t="str">
        <x:v>FD-H208K</x:v>
      </x:c>
      <x:c r="G123" s="18" t="str">
        <x:v>H208K 牙齒</x:v>
      </x:c>
      <x:c r="H123" s="18" t="str">
        <x:v>H208K</x:v>
      </x:c>
      <x:c r="I123" s="18" t="str">
        <x:v>Needle Plate/Feed Dog</x:v>
      </x:c>
      <x:c r="J123" s="18" t="str">
        <x:v>Spare Part</x:v>
      </x:c>
      <x:c r="K123" s="18" t="str"/>
      <x:c r="L123" s="18" t="str">
        <x:v>Sewing Machine</x:v>
      </x:c>
      <x:c r="M123" s="20" t="n">
        <x:v>5</x:v>
      </x:c>
      <x:c r="N123" s="18" t="str">
        <x:v>個</x:v>
      </x:c>
      <x:c r="O123" s="21" t="n">
        <x:v>3.25</x:v>
      </x:c>
      <x:c r="P123" s="21" t="n">
        <x:f>M123*O123</x:f>
        <x:v>16.25</x:v>
      </x:c>
      <x:c r="Q123" s="21" t="n">
        <x:v>16.25</x:v>
      </x:c>
      <x:c r="R123" s="21" t="n">
        <x:f>P123-Q123</x:f>
        <x:v>0</x:v>
      </x:c>
      <x:c r="S123" s="18" t="str">
        <x:v>Yes</x:v>
      </x:c>
      <x:c r="T123" s="18" t="str">
        <x:v>High</x:v>
      </x:c>
      <x:c r="U123" s="18" t="str">
        <x:v>Yi New Sewing Machine_Jun.'26.pdf</x:v>
      </x:c>
      <x:c r="V123" s="18" t="n">
        <x:v>1</x:v>
      </x:c>
      <x:c r="W123" s="18" t="str"/>
    </x:row>
    <x:row r="124">
      <x:c r="A124" s="18" t="str">
        <x:v>2026-06</x:v>
      </x:c>
      <x:c r="B124" s="19" t="n">
        <x:v>46175</x:v>
      </x:c>
      <x:c r="C124" s="18" t="str">
        <x:v>YI-000133</x:v>
      </x:c>
      <x:c r="D124" s="18" t="str">
        <x:v>YI NEW SEWING MACHINE CO., LTD</x:v>
      </x:c>
      <x:c r="E124" s="18" t="str">
        <x:v>Organ : DCx27 #16</x:v>
      </x:c>
      <x:c r="F124" s="18" t="str">
        <x:v>ND-DCX27-16</x:v>
      </x:c>
      <x:c r="G124" s="18" t="str">
        <x:v>風琴機針 DCx27 #16</x:v>
      </x:c>
      <x:c r="H124" s="18" t="str">
        <x:v>DCx27 #16</x:v>
      </x:c>
      <x:c r="I124" s="18" t="str">
        <x:v>Needle</x:v>
      </x:c>
      <x:c r="J124" s="18" t="str">
        <x:v>Consumable</x:v>
      </x:c>
      <x:c r="K124" s="18" t="str">
        <x:v>ORGAN/風琴</x:v>
      </x:c>
      <x:c r="L124" s="18" t="str">
        <x:v>Overlock</x:v>
      </x:c>
      <x:c r="M124" s="20" t="n">
        <x:v>50</x:v>
      </x:c>
      <x:c r="N124" s="18" t="str">
        <x:v>包</x:v>
      </x:c>
      <x:c r="O124" s="21" t="n">
        <x:v>1.3</x:v>
      </x:c>
      <x:c r="P124" s="21" t="n">
        <x:f>M124*O124</x:f>
        <x:v>65</x:v>
      </x:c>
      <x:c r="Q124" s="21" t="n">
        <x:v>65</x:v>
      </x:c>
      <x:c r="R124" s="21" t="n">
        <x:f>P124-Q124</x:f>
        <x:v>0</x:v>
      </x:c>
      <x:c r="S124" s="18" t="str">
        <x:v>Yes</x:v>
      </x:c>
      <x:c r="T124" s="18" t="str">
        <x:v>High</x:v>
      </x:c>
      <x:c r="U124" s="18" t="str">
        <x:v>Yi New Sewing Machine_Jun.'26.pdf</x:v>
      </x:c>
      <x:c r="V124" s="18" t="n">
        <x:v>1</x:v>
      </x:c>
      <x:c r="W124" s="18" t="str"/>
    </x:row>
    <x:row r="125">
      <x:c r="A125" s="18" t="str">
        <x:v>2026-06</x:v>
      </x:c>
      <x:c r="B125" s="19" t="n">
        <x:v>46175</x:v>
      </x:c>
      <x:c r="C125" s="18" t="str">
        <x:v>YI-000133</x:v>
      </x:c>
      <x:c r="D125" s="18" t="str">
        <x:v>YI NEW SEWING MACHINE CO., LTD</x:v>
      </x:c>
      <x:c r="E125" s="18" t="str">
        <x:v>Organ : DCx27 #14</x:v>
      </x:c>
      <x:c r="F125" s="18" t="str">
        <x:v>ND-DCX27-14</x:v>
      </x:c>
      <x:c r="G125" s="18" t="str">
        <x:v>風琴機針 DCx27 #14</x:v>
      </x:c>
      <x:c r="H125" s="18" t="str">
        <x:v>DCx27 #14</x:v>
      </x:c>
      <x:c r="I125" s="18" t="str">
        <x:v>Needle</x:v>
      </x:c>
      <x:c r="J125" s="18" t="str">
        <x:v>Consumable</x:v>
      </x:c>
      <x:c r="K125" s="18" t="str">
        <x:v>ORGAN/風琴</x:v>
      </x:c>
      <x:c r="L125" s="18" t="str">
        <x:v>Overlock</x:v>
      </x:c>
      <x:c r="M125" s="20" t="n">
        <x:v>50</x:v>
      </x:c>
      <x:c r="N125" s="18" t="str">
        <x:v>包</x:v>
      </x:c>
      <x:c r="O125" s="21" t="n">
        <x:v>1.3</x:v>
      </x:c>
      <x:c r="P125" s="21" t="n">
        <x:f>M125*O125</x:f>
        <x:v>65</x:v>
      </x:c>
      <x:c r="Q125" s="21" t="n">
        <x:v>65</x:v>
      </x:c>
      <x:c r="R125" s="21" t="n">
        <x:f>P125-Q125</x:f>
        <x:v>0</x:v>
      </x:c>
      <x:c r="S125" s="18" t="str">
        <x:v>Yes</x:v>
      </x:c>
      <x:c r="T125" s="18" t="str">
        <x:v>High</x:v>
      </x:c>
      <x:c r="U125" s="18" t="str">
        <x:v>Yi New Sewing Machine_Jun.'26.pdf</x:v>
      </x:c>
      <x:c r="V125" s="18" t="n">
        <x:v>1</x:v>
      </x:c>
      <x:c r="W125" s="18" t="str"/>
    </x:row>
    <x:row r="126">
      <x:c r="A126" s="18" t="str">
        <x:v>2026-06</x:v>
      </x:c>
      <x:c r="B126" s="19" t="n">
        <x:v>46175</x:v>
      </x:c>
      <x:c r="C126" s="18" t="str">
        <x:v>YI-000133</x:v>
      </x:c>
      <x:c r="D126" s="18" t="str">
        <x:v>YI NEW SEWING MACHINE CO., LTD</x:v>
      </x:c>
      <x:c r="E126" s="18" t="str">
        <x:v>Organ : DBx1 #16</x:v>
      </x:c>
      <x:c r="F126" s="18" t="str">
        <x:v>ND-DBX1-16</x:v>
      </x:c>
      <x:c r="G126" s="18" t="str">
        <x:v>風琴機針 DBx1 #16</x:v>
      </x:c>
      <x:c r="H126" s="18" t="str">
        <x:v>DBx1 #16</x:v>
      </x:c>
      <x:c r="I126" s="18" t="str">
        <x:v>Needle</x:v>
      </x:c>
      <x:c r="J126" s="18" t="str">
        <x:v>Consumable</x:v>
      </x:c>
      <x:c r="K126" s="18" t="str">
        <x:v>ORGAN/風琴</x:v>
      </x:c>
      <x:c r="L126" s="18" t="str">
        <x:v>Single Needle</x:v>
      </x:c>
      <x:c r="M126" s="20" t="n">
        <x:v>50</x:v>
      </x:c>
      <x:c r="N126" s="18" t="str">
        <x:v>包</x:v>
      </x:c>
      <x:c r="O126" s="21" t="n">
        <x:v>0.78</x:v>
      </x:c>
      <x:c r="P126" s="21" t="n">
        <x:f>M126*O126</x:f>
        <x:v>39</x:v>
      </x:c>
      <x:c r="Q126" s="21" t="n">
        <x:v>39</x:v>
      </x:c>
      <x:c r="R126" s="21" t="n">
        <x:f>P126-Q126</x:f>
        <x:v>0</x:v>
      </x:c>
      <x:c r="S126" s="18" t="str">
        <x:v>Yes</x:v>
      </x:c>
      <x:c r="T126" s="18" t="str">
        <x:v>High</x:v>
      </x:c>
      <x:c r="U126" s="18" t="str">
        <x:v>Yi New Sewing Machine_Jun.'26.pdf</x:v>
      </x:c>
      <x:c r="V126" s="18" t="n">
        <x:v>1</x:v>
      </x:c>
      <x:c r="W126" s="18" t="str"/>
    </x:row>
    <x:row r="127">
      <x:c r="A127" s="18" t="str">
        <x:v>2026-06</x:v>
      </x:c>
      <x:c r="B127" s="19" t="n">
        <x:v>46175</x:v>
      </x:c>
      <x:c r="C127" s="18" t="str">
        <x:v>YI-000133</x:v>
      </x:c>
      <x:c r="D127" s="18" t="str">
        <x:v>YI NEW SEWING MACHINE CO., LTD</x:v>
      </x:c>
      <x:c r="E127" s="18" t="str">
        <x:v>Organ : DBx1 #14</x:v>
      </x:c>
      <x:c r="F127" s="18" t="str">
        <x:v>ND-DBX1-14</x:v>
      </x:c>
      <x:c r="G127" s="18" t="str">
        <x:v>風琴機針 DBx1 #14</x:v>
      </x:c>
      <x:c r="H127" s="18" t="str">
        <x:v>DBx1 #14</x:v>
      </x:c>
      <x:c r="I127" s="18" t="str">
        <x:v>Needle</x:v>
      </x:c>
      <x:c r="J127" s="18" t="str">
        <x:v>Consumable</x:v>
      </x:c>
      <x:c r="K127" s="18" t="str">
        <x:v>ORGAN/風琴</x:v>
      </x:c>
      <x:c r="L127" s="18" t="str">
        <x:v>Single Needle</x:v>
      </x:c>
      <x:c r="M127" s="20" t="n">
        <x:v>50</x:v>
      </x:c>
      <x:c r="N127" s="18" t="str">
        <x:v>包</x:v>
      </x:c>
      <x:c r="O127" s="21" t="n">
        <x:v>0.78</x:v>
      </x:c>
      <x:c r="P127" s="21" t="n">
        <x:f>M127*O127</x:f>
        <x:v>39</x:v>
      </x:c>
      <x:c r="Q127" s="21" t="n">
        <x:v>39</x:v>
      </x:c>
      <x:c r="R127" s="21" t="n">
        <x:f>P127-Q127</x:f>
        <x:v>0</x:v>
      </x:c>
      <x:c r="S127" s="18" t="str">
        <x:v>Yes</x:v>
      </x:c>
      <x:c r="T127" s="18" t="str">
        <x:v>High</x:v>
      </x:c>
      <x:c r="U127" s="18" t="str">
        <x:v>Yi New Sewing Machine_Jun.'26.pdf</x:v>
      </x:c>
      <x:c r="V127" s="18" t="n">
        <x:v>1</x:v>
      </x:c>
      <x:c r="W127" s="18" t="str"/>
    </x:row>
    <x:row r="128">
      <x:c r="A128" s="18" t="str">
        <x:v>2026-06</x:v>
      </x:c>
      <x:c r="B128" s="19" t="n">
        <x:v>46175</x:v>
      </x:c>
      <x:c r="C128" s="18" t="str">
        <x:v>YI-000133</x:v>
      </x:c>
      <x:c r="D128" s="18" t="str">
        <x:v>YI NEW SEWING MACHINE CO., LTD</x:v>
      </x:c>
      <x:c r="E128" s="18" t="str">
        <x:v>Organ : DPx5 #14</x:v>
      </x:c>
      <x:c r="F128" s="18" t="str">
        <x:v>ND-DPX5-14</x:v>
      </x:c>
      <x:c r="G128" s="18" t="str">
        <x:v>風琴機針 DPx5 #14</x:v>
      </x:c>
      <x:c r="H128" s="18" t="str">
        <x:v>DPx5 #14</x:v>
      </x:c>
      <x:c r="I128" s="18" t="str">
        <x:v>Needle</x:v>
      </x:c>
      <x:c r="J128" s="18" t="str">
        <x:v>Consumable</x:v>
      </x:c>
      <x:c r="K128" s="18" t="str">
        <x:v>ORGAN/風琴</x:v>
      </x:c>
      <x:c r="L128" s="18" t="str">
        <x:v>Lockstitch</x:v>
      </x:c>
      <x:c r="M128" s="20" t="n">
        <x:v>50</x:v>
      </x:c>
      <x:c r="N128" s="18" t="str">
        <x:v>包</x:v>
      </x:c>
      <x:c r="O128" s="21" t="n">
        <x:v>0.78</x:v>
      </x:c>
      <x:c r="P128" s="21" t="n">
        <x:f>M128*O128</x:f>
        <x:v>39</x:v>
      </x:c>
      <x:c r="Q128" s="21" t="n">
        <x:v>39</x:v>
      </x:c>
      <x:c r="R128" s="21" t="n">
        <x:f>P128-Q128</x:f>
        <x:v>0</x:v>
      </x:c>
      <x:c r="S128" s="18" t="str">
        <x:v>Yes</x:v>
      </x:c>
      <x:c r="T128" s="18" t="str">
        <x:v>High</x:v>
      </x:c>
      <x:c r="U128" s="18" t="str">
        <x:v>Yi New Sewing Machine_Jun.'26.pdf</x:v>
      </x:c>
      <x:c r="V128" s="18" t="n">
        <x:v>1</x:v>
      </x:c>
      <x:c r="W128" s="18" t="str"/>
    </x:row>
    <x:row r="129">
      <x:c r="A129" s="18" t="str">
        <x:v>2026-06</x:v>
      </x:c>
      <x:c r="B129" s="19" t="n">
        <x:v>46175</x:v>
      </x:c>
      <x:c r="C129" s="18" t="str">
        <x:v>YI-000133</x:v>
      </x:c>
      <x:c r="D129" s="18" t="str">
        <x:v>YI NEW SEWING MACHINE CO., LTD</x:v>
      </x:c>
      <x:c r="E129" s="18" t="str">
        <x:v>Organ : DPx5 #16</x:v>
      </x:c>
      <x:c r="F129" s="18" t="str">
        <x:v>ND-DPX5-16</x:v>
      </x:c>
      <x:c r="G129" s="18" t="str">
        <x:v>風琴機針 DPx5 #16</x:v>
      </x:c>
      <x:c r="H129" s="18" t="str">
        <x:v>DPx5 #16</x:v>
      </x:c>
      <x:c r="I129" s="18" t="str">
        <x:v>Needle</x:v>
      </x:c>
      <x:c r="J129" s="18" t="str">
        <x:v>Consumable</x:v>
      </x:c>
      <x:c r="K129" s="18" t="str">
        <x:v>ORGAN/風琴</x:v>
      </x:c>
      <x:c r="L129" s="18" t="str">
        <x:v>Lockstitch</x:v>
      </x:c>
      <x:c r="M129" s="20" t="n">
        <x:v>50</x:v>
      </x:c>
      <x:c r="N129" s="18" t="str">
        <x:v>包</x:v>
      </x:c>
      <x:c r="O129" s="21" t="n">
        <x:v>0.78</x:v>
      </x:c>
      <x:c r="P129" s="21" t="n">
        <x:f>M129*O129</x:f>
        <x:v>39</x:v>
      </x:c>
      <x:c r="Q129" s="21" t="n">
        <x:v>39</x:v>
      </x:c>
      <x:c r="R129" s="21" t="n">
        <x:f>P129-Q129</x:f>
        <x:v>0</x:v>
      </x:c>
      <x:c r="S129" s="18" t="str">
        <x:v>Yes</x:v>
      </x:c>
      <x:c r="T129" s="18" t="str">
        <x:v>High</x:v>
      </x:c>
      <x:c r="U129" s="18" t="str">
        <x:v>Yi New Sewing Machine_Jun.'26.pdf</x:v>
      </x:c>
      <x:c r="V129" s="18" t="n">
        <x:v>1</x:v>
      </x:c>
      <x:c r="W129" s="18" t="str"/>
    </x:row>
    <x:row r="130">
      <x:c r="A130" s="18" t="str">
        <x:v>2026-06</x:v>
      </x:c>
      <x:c r="B130" s="19" t="n">
        <x:v>46175</x:v>
      </x:c>
      <x:c r="C130" s="18" t="str">
        <x:v>YI-000133</x:v>
      </x:c>
      <x:c r="D130" s="18" t="str">
        <x:v>YI NEW SEWING MACHINE CO., LTD</x:v>
      </x:c>
      <x:c r="E130" s="18" t="str">
        <x:v>Organ : UOx113 #12</x:v>
      </x:c>
      <x:c r="F130" s="18" t="str">
        <x:v>ND-UOX113-12</x:v>
      </x:c>
      <x:c r="G130" s="18" t="str">
        <x:v>風琴機針 UOx113 #12</x:v>
      </x:c>
      <x:c r="H130" s="18" t="str">
        <x:v>UOx113 #12</x:v>
      </x:c>
      <x:c r="I130" s="18" t="str">
        <x:v>Needle</x:v>
      </x:c>
      <x:c r="J130" s="18" t="str">
        <x:v>Consumable</x:v>
      </x:c>
      <x:c r="K130" s="18" t="str">
        <x:v>ORGAN/風琴</x:v>
      </x:c>
      <x:c r="L130" s="18" t="str">
        <x:v>Multi-needle</x:v>
      </x:c>
      <x:c r="M130" s="20" t="n">
        <x:v>50</x:v>
      </x:c>
      <x:c r="N130" s="18" t="str">
        <x:v>包</x:v>
      </x:c>
      <x:c r="O130" s="21" t="n">
        <x:v>3</x:v>
      </x:c>
      <x:c r="P130" s="21" t="n">
        <x:f>M130*O130</x:f>
        <x:v>150</x:v>
      </x:c>
      <x:c r="Q130" s="21" t="n">
        <x:v>150</x:v>
      </x:c>
      <x:c r="R130" s="21" t="n">
        <x:f>P130-Q130</x:f>
        <x:v>0</x:v>
      </x:c>
      <x:c r="S130" s="18" t="str">
        <x:v>Yes</x:v>
      </x:c>
      <x:c r="T130" s="18" t="str">
        <x:v>High</x:v>
      </x:c>
      <x:c r="U130" s="18" t="str">
        <x:v>Yi New Sewing Machine_Jun.'26.pdf</x:v>
      </x:c>
      <x:c r="V130" s="18" t="n">
        <x:v>1</x:v>
      </x:c>
      <x:c r="W130" s="18" t="str"/>
    </x:row>
    <x:row r="131">
      <x:c r="A131" s="18" t="str">
        <x:v>2026-06</x:v>
      </x:c>
      <x:c r="B131" s="19" t="n">
        <x:v>46181</x:v>
      </x:c>
      <x:c r="C131" s="18" t="str">
        <x:v>YI-000134</x:v>
      </x:c>
      <x:c r="D131" s="18" t="str">
        <x:v>YI NEW SEWING MACHINE CO., LTD</x:v>
      </x:c>
      <x:c r="E131" s="18" t="str">
        <x:v>台灣電烙鐵頭</x:v>
      </x:c>
      <x:c r="F131" s="18" t="str">
        <x:v>EL-SOLDERING-IRON-TIP-TW</x:v>
      </x:c>
      <x:c r="G131" s="18" t="str">
        <x:v>台灣電烙鐵頭</x:v>
      </x:c>
      <x:c r="H131" s="18" t="str">
        <x:v>Tip</x:v>
      </x:c>
      <x:c r="I131" s="18" t="str">
        <x:v>Electrical/Control</x:v>
      </x:c>
      <x:c r="J131" s="18" t="str">
        <x:v>Spare Part</x:v>
      </x:c>
      <x:c r="K131" s="18" t="str">
        <x:v>Taiwan</x:v>
      </x:c>
      <x:c r="L131" s="18" t="str">
        <x:v>Electrical</x:v>
      </x:c>
      <x:c r="M131" s="20" t="n">
        <x:v>2</x:v>
      </x:c>
      <x:c r="N131" s="18" t="str">
        <x:v>支</x:v>
      </x:c>
      <x:c r="O131" s="21" t="n">
        <x:v>6</x:v>
      </x:c>
      <x:c r="P131" s="21" t="n">
        <x:f>M131*O131</x:f>
        <x:v>12</x:v>
      </x:c>
      <x:c r="Q131" s="21" t="n">
        <x:v>12</x:v>
      </x:c>
      <x:c r="R131" s="21" t="n">
        <x:f>P131-Q131</x:f>
        <x:v>0</x:v>
      </x:c>
      <x:c r="S131" s="18" t="str">
        <x:v>Yes</x:v>
      </x:c>
      <x:c r="T131" s="18" t="str">
        <x:v>High</x:v>
      </x:c>
      <x:c r="U131" s="18" t="str">
        <x:v>Yi New Sewing Machine_Jun.'26.pdf</x:v>
      </x:c>
      <x:c r="V131" s="18" t="n">
        <x:v>1</x:v>
      </x:c>
      <x:c r="W131" s="18" t="str"/>
    </x:row>
    <x:row r="132">
      <x:c r="A132" s="18" t="str">
        <x:v>2026-06</x:v>
      </x:c>
      <x:c r="B132" s="19" t="n">
        <x:v>46181</x:v>
      </x:c>
      <x:c r="C132" s="18" t="str">
        <x:v>YI-000134</x:v>
      </x:c>
      <x:c r="D132" s="18" t="str">
        <x:v>YI NEW SEWING MACHINE CO., LTD</x:v>
      </x:c>
      <x:c r="E132" s="18" t="str">
        <x:v>鐵氟龍條-1.0/mm</x:v>
      </x:c>
      <x:c r="F132" s="18" t="str">
        <x:v>CN-TEFLON-STRIP-1MM</x:v>
      </x:c>
      <x:c r="G132" s="18" t="str">
        <x:v>鐵氟龍條</x:v>
      </x:c>
      <x:c r="H132" s="18" t="str">
        <x:v>1.0 mm</x:v>
      </x:c>
      <x:c r="I132" s="18" t="str">
        <x:v>Consumable/Chemical</x:v>
      </x:c>
      <x:c r="J132" s="18" t="str">
        <x:v>Consumable</x:v>
      </x:c>
      <x:c r="K132" s="18" t="str">
        <x:v>Teflon</x:v>
      </x:c>
      <x:c r="L132" s="18" t="str">
        <x:v>Ironing/Sealing</x:v>
      </x:c>
      <x:c r="M132" s="20" t="n">
        <x:v>10</x:v>
      </x:c>
      <x:c r="N132" s="18" t="str">
        <x:v>條</x:v>
      </x:c>
      <x:c r="O132" s="21" t="n">
        <x:v>1.8</x:v>
      </x:c>
      <x:c r="P132" s="21" t="n">
        <x:f>M132*O132</x:f>
        <x:v>18</x:v>
      </x:c>
      <x:c r="Q132" s="21" t="n">
        <x:v>18</x:v>
      </x:c>
      <x:c r="R132" s="21" t="n">
        <x:f>P132-Q132</x:f>
        <x:v>0</x:v>
      </x:c>
      <x:c r="S132" s="18" t="str">
        <x:v>Yes</x:v>
      </x:c>
      <x:c r="T132" s="18" t="str">
        <x:v>High</x:v>
      </x:c>
      <x:c r="U132" s="18" t="str">
        <x:v>Yi New Sewing Machine_Jun.'26.pdf</x:v>
      </x:c>
      <x:c r="V132" s="18" t="n">
        <x:v>1</x:v>
      </x:c>
      <x:c r="W132" s="18" t="str"/>
    </x:row>
    <x:row r="133">
      <x:c r="A133" s="18" t="str">
        <x:v>2026-06</x:v>
      </x:c>
      <x:c r="B133" s="19" t="n">
        <x:v>46181</x:v>
      </x:c>
      <x:c r="C133" s="18" t="str">
        <x:v>YI-000134</x:v>
      </x:c>
      <x:c r="D133" s="18" t="str">
        <x:v>YI NEW SEWING MACHINE CO., LTD</x:v>
      </x:c>
      <x:c r="E133" s="18" t="str">
        <x:v>風琴: UYx128 #12</x:v>
      </x:c>
      <x:c r="F133" s="18" t="str">
        <x:v>ND-UYX128-12</x:v>
      </x:c>
      <x:c r="G133" s="18" t="str">
        <x:v>風琴機針 UYx128 #12</x:v>
      </x:c>
      <x:c r="H133" s="18" t="str">
        <x:v>UYx128 #12</x:v>
      </x:c>
      <x:c r="I133" s="18" t="str">
        <x:v>Needle</x:v>
      </x:c>
      <x:c r="J133" s="18" t="str">
        <x:v>Consumable</x:v>
      </x:c>
      <x:c r="K133" s="18" t="str">
        <x:v>ORGAN/風琴</x:v>
      </x:c>
      <x:c r="L133" s="18" t="str">
        <x:v>Multi-needle / Chainstitch</x:v>
      </x:c>
      <x:c r="M133" s="20" t="n">
        <x:v>100</x:v>
      </x:c>
      <x:c r="N133" s="18" t="str">
        <x:v>包</x:v>
      </x:c>
      <x:c r="O133" s="21" t="n">
        <x:v>1.78</x:v>
      </x:c>
      <x:c r="P133" s="21" t="n">
        <x:f>M133*O133</x:f>
        <x:v>178</x:v>
      </x:c>
      <x:c r="Q133" s="21" t="n">
        <x:v>178</x:v>
      </x:c>
      <x:c r="R133" s="21" t="n">
        <x:f>P133-Q133</x:f>
        <x:v>0</x:v>
      </x:c>
      <x:c r="S133" s="18" t="str">
        <x:v>Yes</x:v>
      </x:c>
      <x:c r="T133" s="18" t="str">
        <x:v>High</x:v>
      </x:c>
      <x:c r="U133" s="18" t="str">
        <x:v>Yi New Sewing Machine_Jun.'26.pdf</x:v>
      </x:c>
      <x:c r="V133" s="18" t="n">
        <x:v>1</x:v>
      </x:c>
      <x:c r="W133" s="18" t="str"/>
    </x:row>
    <x:row r="134">
      <x:c r="A134" s="18" t="str">
        <x:v>2026-06</x:v>
      </x:c>
      <x:c r="B134" s="19" t="n">
        <x:v>46181</x:v>
      </x:c>
      <x:c r="C134" s="18" t="str">
        <x:v>YI-000134</x:v>
      </x:c>
      <x:c r="D134" s="18" t="str">
        <x:v>YI NEW SEWING MACHINE CO., LTD</x:v>
      </x:c>
      <x:c r="E134" s="18" t="str">
        <x:v>風琴:DCx27 #12</x:v>
      </x:c>
      <x:c r="F134" s="18" t="str">
        <x:v>ND-DCX27-12</x:v>
      </x:c>
      <x:c r="G134" s="18" t="str">
        <x:v>風琴機針 DCx27 #12</x:v>
      </x:c>
      <x:c r="H134" s="18" t="str">
        <x:v>DCx27 #12</x:v>
      </x:c>
      <x:c r="I134" s="18" t="str">
        <x:v>Needle</x:v>
      </x:c>
      <x:c r="J134" s="18" t="str">
        <x:v>Consumable</x:v>
      </x:c>
      <x:c r="K134" s="18" t="str">
        <x:v>ORGAN/風琴</x:v>
      </x:c>
      <x:c r="L134" s="18" t="str">
        <x:v>Overlock</x:v>
      </x:c>
      <x:c r="M134" s="20" t="n">
        <x:v>100</x:v>
      </x:c>
      <x:c r="N134" s="18" t="str">
        <x:v>包</x:v>
      </x:c>
      <x:c r="O134" s="21" t="n">
        <x:v>1.3</x:v>
      </x:c>
      <x:c r="P134" s="21" t="n">
        <x:f>M134*O134</x:f>
        <x:v>130</x:v>
      </x:c>
      <x:c r="Q134" s="21" t="n">
        <x:v>130</x:v>
      </x:c>
      <x:c r="R134" s="21" t="n">
        <x:f>P134-Q134</x:f>
        <x:v>0</x:v>
      </x:c>
      <x:c r="S134" s="18" t="str">
        <x:v>Yes</x:v>
      </x:c>
      <x:c r="T134" s="18" t="str">
        <x:v>High</x:v>
      </x:c>
      <x:c r="U134" s="18" t="str">
        <x:v>Yi New Sewing Machine_Jun.'26.pdf</x:v>
      </x:c>
      <x:c r="V134" s="18" t="n">
        <x:v>1</x:v>
      </x:c>
      <x:c r="W134" s="18" t="str"/>
    </x:row>
    <x:row r="135">
      <x:c r="A135" s="18" t="str">
        <x:v>2026-06</x:v>
      </x:c>
      <x:c r="B135" s="19" t="n">
        <x:v>46181</x:v>
      </x:c>
      <x:c r="C135" s="18" t="str">
        <x:v>YI-000134</x:v>
      </x:c>
      <x:c r="D135" s="18" t="str">
        <x:v>YI NEW SEWING MACHINE CO., LTD</x:v>
      </x:c>
      <x:c r="E135" s="18" t="str">
        <x:v>台灣產電烙鐵發熱芯 -150W</x:v>
      </x:c>
      <x:c r="F135" s="18" t="str">
        <x:v>EL-SOLDERING-HEATER-150W-TW</x:v>
      </x:c>
      <x:c r="G135" s="18" t="str">
        <x:v>台灣產電烙鐵發熱芯</x:v>
      </x:c>
      <x:c r="H135" s="18" t="str">
        <x:v>150W</x:v>
      </x:c>
      <x:c r="I135" s="18" t="str">
        <x:v>Electrical/Control</x:v>
      </x:c>
      <x:c r="J135" s="18" t="str">
        <x:v>Spare Part</x:v>
      </x:c>
      <x:c r="K135" s="18" t="str">
        <x:v>Taiwan</x:v>
      </x:c>
      <x:c r="L135" s="18" t="str">
        <x:v>Electrical</x:v>
      </x:c>
      <x:c r="M135" s="20" t="n">
        <x:v>5</x:v>
      </x:c>
      <x:c r="N135" s="18" t="str">
        <x:v>支</x:v>
      </x:c>
      <x:c r="O135" s="21" t="n">
        <x:v>7</x:v>
      </x:c>
      <x:c r="P135" s="21" t="n">
        <x:f>M135*O135</x:f>
        <x:v>35</x:v>
      </x:c>
      <x:c r="Q135" s="21" t="n">
        <x:v>35</x:v>
      </x:c>
      <x:c r="R135" s="21" t="n">
        <x:f>P135-Q135</x:f>
        <x:v>0</x:v>
      </x:c>
      <x:c r="S135" s="18" t="str">
        <x:v>Yes</x:v>
      </x:c>
      <x:c r="T135" s="18" t="str">
        <x:v>High</x:v>
      </x:c>
      <x:c r="U135" s="18" t="str">
        <x:v>Yi New Sewing Machine_Jun.'26.pdf</x:v>
      </x:c>
      <x:c r="V135" s="18" t="n">
        <x:v>1</x:v>
      </x:c>
      <x:c r="W135" s="18" t="str"/>
    </x:row>
    <x:row r="136">
      <x:c r="A136" s="18" t="str">
        <x:v>2026-06</x:v>
      </x:c>
      <x:c r="B136" s="19" t="n">
        <x:v>46181</x:v>
      </x:c>
      <x:c r="C136" s="18" t="str">
        <x:v>YI-000134</x:v>
      </x:c>
      <x:c r="D136" s="18" t="str">
        <x:v>YI NEW SEWING MACHINE CO., LTD</x:v>
      </x:c>
      <x:c r="E136" s="18" t="str">
        <x:v>台灣產電烙鐵-150W</x:v>
      </x:c>
      <x:c r="F136" s="18" t="str">
        <x:v>TL-SOLDERING-IRON-150W-TW</x:v>
      </x:c>
      <x:c r="G136" s="18" t="str">
        <x:v>台灣產電烙鐵</x:v>
      </x:c>
      <x:c r="H136" s="18" t="str">
        <x:v>150W</x:v>
      </x:c>
      <x:c r="I136" s="18" t="str">
        <x:v>Tools</x:v>
      </x:c>
      <x:c r="J136" s="18" t="str">
        <x:v>Tool</x:v>
      </x:c>
      <x:c r="K136" s="18" t="str">
        <x:v>Taiwan</x:v>
      </x:c>
      <x:c r="L136" s="18" t="str">
        <x:v>Electrical</x:v>
      </x:c>
      <x:c r="M136" s="20" t="n">
        <x:v>2</x:v>
      </x:c>
      <x:c r="N136" s="18" t="str">
        <x:v>把</x:v>
      </x:c>
      <x:c r="O136" s="21" t="n">
        <x:v>20</x:v>
      </x:c>
      <x:c r="P136" s="21" t="n">
        <x:f>M136*O136</x:f>
        <x:v>40</x:v>
      </x:c>
      <x:c r="Q136" s="21" t="n">
        <x:v>40</x:v>
      </x:c>
      <x:c r="R136" s="21" t="n">
        <x:f>P136-Q136</x:f>
        <x:v>0</x:v>
      </x:c>
      <x:c r="S136" s="18" t="str">
        <x:v>Yes</x:v>
      </x:c>
      <x:c r="T136" s="18" t="str">
        <x:v>High</x:v>
      </x:c>
      <x:c r="U136" s="18" t="str">
        <x:v>Yi New Sewing Machine_Jun.'26.pdf</x:v>
      </x:c>
      <x:c r="V136" s="18" t="n">
        <x:v>1</x:v>
      </x:c>
      <x:c r="W136" s="18" t="str"/>
    </x:row>
    <x:row r="137">
      <x:c r="A137" s="18" t="str">
        <x:v>2026-06</x:v>
      </x:c>
      <x:c r="B137" s="19" t="n">
        <x:v>46181</x:v>
      </x:c>
      <x:c r="C137" s="18" t="str">
        <x:v>YI-000134</x:v>
      </x:c>
      <x:c r="D137" s="18" t="str">
        <x:v>YI NEW SEWING MACHINE CO., LTD</x:v>
      </x:c>
      <x:c r="E137" s="18" t="str">
        <x:v>鎖眼刀 3/4"</x:v>
      </x:c>
      <x:c r="F137" s="18" t="str">
        <x:v>KN-BUTTONHOLE-3-4</x:v>
      </x:c>
      <x:c r="G137" s="18" t="str">
        <x:v>鎖眼刀</x:v>
      </x:c>
      <x:c r="H137" s="18" t="str">
        <x:v>3/4 inch</x:v>
      </x:c>
      <x:c r="I137" s="18" t="str">
        <x:v>Knife/Looper</x:v>
      </x:c>
      <x:c r="J137" s="18" t="str">
        <x:v>Spare Part</x:v>
      </x:c>
      <x:c r="K137" s="18" t="str"/>
      <x:c r="L137" s="18" t="str">
        <x:v>Buttonhole</x:v>
      </x:c>
      <x:c r="M137" s="20" t="n">
        <x:v>3</x:v>
      </x:c>
      <x:c r="N137" s="18" t="str">
        <x:v>盒</x:v>
      </x:c>
      <x:c r="O137" s="21" t="n">
        <x:v>2.5</x:v>
      </x:c>
      <x:c r="P137" s="21" t="n">
        <x:f>M137*O137</x:f>
        <x:v>7.5</x:v>
      </x:c>
      <x:c r="Q137" s="21" t="n">
        <x:v>7.5</x:v>
      </x:c>
      <x:c r="R137" s="21" t="n">
        <x:f>P137-Q137</x:f>
        <x:v>0</x:v>
      </x:c>
      <x:c r="S137" s="18" t="str">
        <x:v>Yes</x:v>
      </x:c>
      <x:c r="T137" s="18" t="str">
        <x:v>High</x:v>
      </x:c>
      <x:c r="U137" s="18" t="str">
        <x:v>Yi New Sewing Machine_Jun.'26.pdf</x:v>
      </x:c>
      <x:c r="V137" s="18" t="n">
        <x:v>1</x:v>
      </x:c>
      <x:c r="W137" s="18" t="str"/>
    </x:row>
    <x:row r="138">
      <x:c r="A138" s="18" t="str">
        <x:v>2026-06</x:v>
      </x:c>
      <x:c r="B138" s="19" t="n">
        <x:v>46182</x:v>
      </x:c>
      <x:c r="C138" s="18" t="str">
        <x:v>YI-000135</x:v>
      </x:c>
      <x:c r="D138" s="18" t="str">
        <x:v>YI NEW SEWING MACHINE CO., LTD</x:v>
      </x:c>
      <x:c r="E138" s="18" t="str">
        <x:v>S950壓腳（全鋼）</x:v>
      </x:c>
      <x:c r="F138" s="18" t="str">
        <x:v>PF-S950-STEEL</x:v>
      </x:c>
      <x:c r="G138" s="18" t="str">
        <x:v>S950壓腳（全鋼）</x:v>
      </x:c>
      <x:c r="H138" s="18" t="str">
        <x:v>S950</x:v>
      </x:c>
      <x:c r="I138" s="18" t="str">
        <x:v>Presser Foot</x:v>
      </x:c>
      <x:c r="J138" s="18" t="str">
        <x:v>Spare Part</x:v>
      </x:c>
      <x:c r="K138" s="18" t="str"/>
      <x:c r="L138" s="18" t="str">
        <x:v>Single Needle</x:v>
      </x:c>
      <x:c r="M138" s="20" t="n">
        <x:v>10</x:v>
      </x:c>
      <x:c r="N138" s="18" t="str">
        <x:v>個</x:v>
      </x:c>
      <x:c r="O138" s="21" t="n">
        <x:v>1.8</x:v>
      </x:c>
      <x:c r="P138" s="21" t="n">
        <x:f>M138*O138</x:f>
        <x:v>18</x:v>
      </x:c>
      <x:c r="Q138" s="21" t="n">
        <x:v>18</x:v>
      </x:c>
      <x:c r="R138" s="21" t="n">
        <x:f>P138-Q138</x:f>
        <x:v>0</x:v>
      </x:c>
      <x:c r="S138" s="18" t="str">
        <x:v>Yes</x:v>
      </x:c>
      <x:c r="T138" s="18" t="str">
        <x:v>High</x:v>
      </x:c>
      <x:c r="U138" s="18" t="str">
        <x:v>Yi New Sewing Machine_Jun.'26.pdf</x:v>
      </x:c>
      <x:c r="V138" s="18" t="n">
        <x:v>1</x:v>
      </x:c>
      <x:c r="W138" s="18" t="str"/>
    </x:row>
    <x:row r="139">
      <x:c r="A139" s="18" t="str">
        <x:v>2026-06</x:v>
      </x:c>
      <x:c r="B139" s="19" t="n">
        <x:v>46182</x:v>
      </x:c>
      <x:c r="C139" s="18" t="str">
        <x:v>YI-000135</x:v>
      </x:c>
      <x:c r="D139" s="18" t="str">
        <x:v>YI NEW SEWING MACHINE CO., LTD</x:v>
      </x:c>
      <x:c r="E139" s="18" t="str">
        <x:v>風琴: UOx113 #12</x:v>
      </x:c>
      <x:c r="F139" s="18" t="str">
        <x:v>ND-UOX113-12</x:v>
      </x:c>
      <x:c r="G139" s="18" t="str">
        <x:v>風琴機針 UOx113 #12</x:v>
      </x:c>
      <x:c r="H139" s="18" t="str">
        <x:v>UOx113 #12</x:v>
      </x:c>
      <x:c r="I139" s="18" t="str">
        <x:v>Needle</x:v>
      </x:c>
      <x:c r="J139" s="18" t="str">
        <x:v>Consumable</x:v>
      </x:c>
      <x:c r="K139" s="18" t="str">
        <x:v>ORGAN/風琴</x:v>
      </x:c>
      <x:c r="L139" s="18" t="str">
        <x:v>Multi-needle</x:v>
      </x:c>
      <x:c r="M139" s="20" t="n">
        <x:v>50</x:v>
      </x:c>
      <x:c r="N139" s="18" t="str">
        <x:v>包</x:v>
      </x:c>
      <x:c r="O139" s="21" t="n">
        <x:v>3</x:v>
      </x:c>
      <x:c r="P139" s="21" t="n">
        <x:f>M139*O139</x:f>
        <x:v>150</x:v>
      </x:c>
      <x:c r="Q139" s="21" t="n">
        <x:v>150</x:v>
      </x:c>
      <x:c r="R139" s="21" t="n">
        <x:f>P139-Q139</x:f>
        <x:v>0</x:v>
      </x:c>
      <x:c r="S139" s="18" t="str">
        <x:v>Yes</x:v>
      </x:c>
      <x:c r="T139" s="18" t="str">
        <x:v>High</x:v>
      </x:c>
      <x:c r="U139" s="18" t="str">
        <x:v>Yi New Sewing Machine_Jun.'26.pdf</x:v>
      </x:c>
      <x:c r="V139" s="18" t="n">
        <x:v>1</x:v>
      </x:c>
      <x:c r="W139" s="18" t="str"/>
    </x:row>
    <x:row r="140">
      <x:c r="A140" s="18" t="str">
        <x:v>2026-06</x:v>
      </x:c>
      <x:c r="B140" s="19" t="n">
        <x:v>46182</x:v>
      </x:c>
      <x:c r="C140" s="18" t="str">
        <x:v>YI-000135</x:v>
      </x:c>
      <x:c r="D140" s="18" t="str">
        <x:v>YI NEW SEWING MACHINE CO., LTD</x:v>
      </x:c>
      <x:c r="E140" s="18" t="str">
        <x:v>E22 針板</x:v>
      </x:c>
      <x:c r="F140" s="18" t="str">
        <x:v>NP-E22</x:v>
      </x:c>
      <x:c r="G140" s="18" t="str">
        <x:v>E22 針板</x:v>
      </x:c>
      <x:c r="H140" s="18" t="str">
        <x:v>E22</x:v>
      </x:c>
      <x:c r="I140" s="18" t="str">
        <x:v>Needle Plate/Feed Dog</x:v>
      </x:c>
      <x:c r="J140" s="18" t="str">
        <x:v>Spare Part</x:v>
      </x:c>
      <x:c r="K140" s="18" t="str"/>
      <x:c r="L140" s="18" t="str">
        <x:v>Single Needle</x:v>
      </x:c>
      <x:c r="M140" s="20" t="n">
        <x:v>50</x:v>
      </x:c>
      <x:c r="N140" s="18" t="str">
        <x:v>個</x:v>
      </x:c>
      <x:c r="O140" s="21" t="n">
        <x:v>0.35</x:v>
      </x:c>
      <x:c r="P140" s="21" t="n">
        <x:f>M140*O140</x:f>
        <x:v>17.5</x:v>
      </x:c>
      <x:c r="Q140" s="21" t="n">
        <x:v>17.5</x:v>
      </x:c>
      <x:c r="R140" s="21" t="n">
        <x:f>P140-Q140</x:f>
        <x:v>0</x:v>
      </x:c>
      <x:c r="S140" s="18" t="str">
        <x:v>Yes</x:v>
      </x:c>
      <x:c r="T140" s="18" t="str">
        <x:v>High</x:v>
      </x:c>
      <x:c r="U140" s="18" t="str">
        <x:v>Yi New Sewing Machine_Jun.'26.pdf</x:v>
      </x:c>
      <x:c r="V140" s="18" t="n">
        <x:v>1</x:v>
      </x:c>
      <x:c r="W140" s="18" t="str"/>
    </x:row>
    <x:row r="141">
      <x:c r="A141" s="18" t="str">
        <x:v>2026-06</x:v>
      </x:c>
      <x:c r="B141" s="19" t="n">
        <x:v>46182</x:v>
      </x:c>
      <x:c r="C141" s="18" t="str">
        <x:v>YI-000135</x:v>
      </x:c>
      <x:c r="D141" s="18" t="str">
        <x:v>YI NEW SEWING MACHINE CO., LTD</x:v>
      </x:c>
      <x:c r="E141" s="18" t="str">
        <x:v>平車E型牙齒</x:v>
      </x:c>
      <x:c r="F141" s="18" t="str">
        <x:v>FD-SN-E-TYPE</x:v>
      </x:c>
      <x:c r="G141" s="18" t="str">
        <x:v>平車E型牙齒</x:v>
      </x:c>
      <x:c r="H141" s="18" t="str">
        <x:v>E Type</x:v>
      </x:c>
      <x:c r="I141" s="18" t="str">
        <x:v>Needle Plate/Feed Dog</x:v>
      </x:c>
      <x:c r="J141" s="18" t="str">
        <x:v>Spare Part</x:v>
      </x:c>
      <x:c r="K141" s="18" t="str"/>
      <x:c r="L141" s="18" t="str">
        <x:v>Single Needle</x:v>
      </x:c>
      <x:c r="M141" s="20" t="n">
        <x:v>100</x:v>
      </x:c>
      <x:c r="N141" s="18" t="str">
        <x:v>個</x:v>
      </x:c>
      <x:c r="O141" s="21" t="n">
        <x:v>0.5</x:v>
      </x:c>
      <x:c r="P141" s="21" t="n">
        <x:f>M141*O141</x:f>
        <x:v>50</x:v>
      </x:c>
      <x:c r="Q141" s="21" t="n">
        <x:v>50</x:v>
      </x:c>
      <x:c r="R141" s="21" t="n">
        <x:f>P141-Q141</x:f>
        <x:v>0</x:v>
      </x:c>
      <x:c r="S141" s="18" t="str">
        <x:v>Yes</x:v>
      </x:c>
      <x:c r="T141" s="18" t="str">
        <x:v>High</x:v>
      </x:c>
      <x:c r="U141" s="18" t="str">
        <x:v>Yi New Sewing Machine_Jun.'26.pdf</x:v>
      </x:c>
      <x:c r="V141" s="18" t="n">
        <x:v>1</x:v>
      </x:c>
      <x:c r="W141" s="18" t="str"/>
    </x:row>
    <x:row r="142">
      <x:c r="A142" s="18" t="str">
        <x:v>2026-06</x:v>
      </x:c>
      <x:c r="B142" s="19" t="n">
        <x:v>46182</x:v>
      </x:c>
      <x:c r="C142" s="18" t="str">
        <x:v>YI-000137</x:v>
      </x:c>
      <x:c r="D142" s="18" t="str">
        <x:v>YI NEW SEWING MACHINE CO., LTD</x:v>
      </x:c>
      <x:c r="E142" s="18" t="str">
        <x:v>SiRUBA-747Ks小頭拷克牙齒組（原裝）</x:v>
      </x:c>
      <x:c r="F142" s="18" t="str">
        <x:v>FD-SIRUBA747KS-SMALL-ORIG</x:v>
      </x:c>
      <x:c r="G142" s="18" t="str">
        <x:v>SIRUBA-747KS小頭拷克牙齒組（原裝）</x:v>
      </x:c>
      <x:c r="H142" s="18" t="str">
        <x:v>747KS</x:v>
      </x:c>
      <x:c r="I142" s="18" t="str">
        <x:v>Needle Plate/Feed Dog</x:v>
      </x:c>
      <x:c r="J142" s="18" t="str">
        <x:v>Spare Part</x:v>
      </x:c>
      <x:c r="K142" s="18" t="str">
        <x:v>SIRUBA</x:v>
      </x:c>
      <x:c r="L142" s="18" t="str">
        <x:v>Overlock</x:v>
      </x:c>
      <x:c r="M142" s="20" t="n">
        <x:v>5</x:v>
      </x:c>
      <x:c r="N142" s="18" t="str">
        <x:v>套</x:v>
      </x:c>
      <x:c r="O142" s="21" t="n">
        <x:v>15</x:v>
      </x:c>
      <x:c r="P142" s="21" t="n">
        <x:f>M142*O142</x:f>
        <x:v>75</x:v>
      </x:c>
      <x:c r="Q142" s="21" t="n">
        <x:v>75</x:v>
      </x:c>
      <x:c r="R142" s="21" t="n">
        <x:f>P142-Q142</x:f>
        <x:v>0</x:v>
      </x:c>
      <x:c r="S142" s="18" t="str">
        <x:v>Yes</x:v>
      </x:c>
      <x:c r="T142" s="18" t="str">
        <x:v>High</x:v>
      </x:c>
      <x:c r="U142" s="18" t="str">
        <x:v>Yi New Sewing Machine_Jun.'26.pdf</x:v>
      </x:c>
      <x:c r="V142" s="18" t="n">
        <x:v>1</x:v>
      </x:c>
      <x:c r="W142" s="18" t="str"/>
    </x:row>
    <x:row r="143">
      <x:c r="A143" s="18" t="str">
        <x:v>2026-06</x:v>
      </x:c>
      <x:c r="B143" s="19" t="n">
        <x:v>46182</x:v>
      </x:c>
      <x:c r="C143" s="18" t="str">
        <x:v>YI-000138</x:v>
      </x:c>
      <x:c r="D143" s="18" t="str">
        <x:v>YI NEW SEWING MACHINE CO., LTD</x:v>
      </x:c>
      <x:c r="E143" s="18" t="str">
        <x:v>風琴: UOx113 #12</x:v>
      </x:c>
      <x:c r="F143" s="18" t="str">
        <x:v>ND-UOX113-12</x:v>
      </x:c>
      <x:c r="G143" s="18" t="str">
        <x:v>風琴機針 UOx113 #12</x:v>
      </x:c>
      <x:c r="H143" s="18" t="str">
        <x:v>UOx113 #12</x:v>
      </x:c>
      <x:c r="I143" s="18" t="str">
        <x:v>Needle</x:v>
      </x:c>
      <x:c r="J143" s="18" t="str">
        <x:v>Consumable</x:v>
      </x:c>
      <x:c r="K143" s="18" t="str">
        <x:v>ORGAN/風琴</x:v>
      </x:c>
      <x:c r="L143" s="18" t="str">
        <x:v>Multi-needle</x:v>
      </x:c>
      <x:c r="M143" s="20" t="n">
        <x:v>150</x:v>
      </x:c>
      <x:c r="N143" s="18" t="str">
        <x:v>包</x:v>
      </x:c>
      <x:c r="O143" s="21" t="n">
        <x:v>3</x:v>
      </x:c>
      <x:c r="P143" s="21" t="n">
        <x:f>M143*O143</x:f>
        <x:v>450</x:v>
      </x:c>
      <x:c r="Q143" s="21" t="n">
        <x:v>450</x:v>
      </x:c>
      <x:c r="R143" s="21" t="n">
        <x:f>P143-Q143</x:f>
        <x:v>0</x:v>
      </x:c>
      <x:c r="S143" s="18" t="str">
        <x:v>Yes</x:v>
      </x:c>
      <x:c r="T143" s="18" t="str">
        <x:v>High</x:v>
      </x:c>
      <x:c r="U143" s="18" t="str">
        <x:v>Yi New Sewing Machine_Jun.'26.pdf</x:v>
      </x:c>
      <x:c r="V143" s="18" t="n">
        <x:v>1</x:v>
      </x:c>
      <x:c r="W143" s="18" t="str"/>
    </x:row>
    <x:row r="144">
      <x:c r="A144" s="18" t="str">
        <x:v>2026-06</x:v>
      </x:c>
      <x:c r="B144" s="19" t="n">
        <x:v>46182</x:v>
      </x:c>
      <x:c r="C144" s="18" t="str">
        <x:v>YI-000138</x:v>
      </x:c>
      <x:c r="D144" s="18" t="str">
        <x:v>YI NEW SEWING MACHINE CO., LTD</x:v>
      </x:c>
      <x:c r="E144" s="18" t="str">
        <x:v>風琴: UYx128 #12</x:v>
      </x:c>
      <x:c r="F144" s="18" t="str">
        <x:v>ND-UYX128-12</x:v>
      </x:c>
      <x:c r="G144" s="18" t="str">
        <x:v>風琴機針 UYx128 #12</x:v>
      </x:c>
      <x:c r="H144" s="18" t="str">
        <x:v>UYx128 #12</x:v>
      </x:c>
      <x:c r="I144" s="18" t="str">
        <x:v>Needle</x:v>
      </x:c>
      <x:c r="J144" s="18" t="str">
        <x:v>Consumable</x:v>
      </x:c>
      <x:c r="K144" s="18" t="str">
        <x:v>ORGAN/風琴</x:v>
      </x:c>
      <x:c r="L144" s="18" t="str">
        <x:v>Multi-needle / Chainstitch</x:v>
      </x:c>
      <x:c r="M144" s="20" t="n">
        <x:v>150</x:v>
      </x:c>
      <x:c r="N144" s="18" t="str">
        <x:v>包</x:v>
      </x:c>
      <x:c r="O144" s="21" t="n">
        <x:v>1.78</x:v>
      </x:c>
      <x:c r="P144" s="21" t="n">
        <x:f>M144*O144</x:f>
        <x:v>267</x:v>
      </x:c>
      <x:c r="Q144" s="21" t="n">
        <x:v>267</x:v>
      </x:c>
      <x:c r="R144" s="21" t="n">
        <x:f>P144-Q144</x:f>
        <x:v>0</x:v>
      </x:c>
      <x:c r="S144" s="18" t="str">
        <x:v>Yes</x:v>
      </x:c>
      <x:c r="T144" s="18" t="str">
        <x:v>High</x:v>
      </x:c>
      <x:c r="U144" s="18" t="str">
        <x:v>Yi New Sewing Machine_Jun.'26.pdf</x:v>
      </x:c>
      <x:c r="V144" s="18" t="n">
        <x:v>1</x:v>
      </x:c>
      <x:c r="W144" s="18" t="str"/>
    </x:row>
    <x:row r="145">
      <x:c r="A145" s="18" t="str">
        <x:v>2026-06</x:v>
      </x:c>
      <x:c r="B145" s="19" t="n">
        <x:v>46182</x:v>
      </x:c>
      <x:c r="C145" s="18" t="str">
        <x:v>YI-000138</x:v>
      </x:c>
      <x:c r="D145" s="18" t="str">
        <x:v>YI NEW SEWING MACHINE CO., LTD</x:v>
      </x:c>
      <x:c r="E145" s="18" t="str">
        <x:v>風琴: DCx27 #12</x:v>
      </x:c>
      <x:c r="F145" s="18" t="str">
        <x:v>ND-DCX27-12</x:v>
      </x:c>
      <x:c r="G145" s="18" t="str">
        <x:v>風琴機針 DCx27 #12</x:v>
      </x:c>
      <x:c r="H145" s="18" t="str">
        <x:v>DCx27 #12</x:v>
      </x:c>
      <x:c r="I145" s="18" t="str">
        <x:v>Needle</x:v>
      </x:c>
      <x:c r="J145" s="18" t="str">
        <x:v>Consumable</x:v>
      </x:c>
      <x:c r="K145" s="18" t="str">
        <x:v>ORGAN/風琴</x:v>
      </x:c>
      <x:c r="L145" s="18" t="str">
        <x:v>Overlock</x:v>
      </x:c>
      <x:c r="M145" s="20" t="n">
        <x:v>100</x:v>
      </x:c>
      <x:c r="N145" s="18" t="str">
        <x:v>包</x:v>
      </x:c>
      <x:c r="O145" s="21" t="n">
        <x:v>1.3</x:v>
      </x:c>
      <x:c r="P145" s="21" t="n">
        <x:f>M145*O145</x:f>
        <x:v>130</x:v>
      </x:c>
      <x:c r="Q145" s="21" t="n">
        <x:v>130</x:v>
      </x:c>
      <x:c r="R145" s="21" t="n">
        <x:f>P145-Q145</x:f>
        <x:v>0</x:v>
      </x:c>
      <x:c r="S145" s="18" t="str">
        <x:v>Yes</x:v>
      </x:c>
      <x:c r="T145" s="18" t="str">
        <x:v>High</x:v>
      </x:c>
      <x:c r="U145" s="18" t="str">
        <x:v>Yi New Sewing Machine_Jun.'26.pdf</x:v>
      </x:c>
      <x:c r="V145" s="18" t="n">
        <x:v>1</x:v>
      </x:c>
      <x:c r="W145" s="18" t="str"/>
    </x:row>
    <x:row r="146">
      <x:c r="A146" s="18" t="str">
        <x:v>2026-06</x:v>
      </x:c>
      <x:c r="B146" s="19" t="n">
        <x:v>46189</x:v>
      </x:c>
      <x:c r="C146" s="18" t="str">
        <x:v>YI-000139</x:v>
      </x:c>
      <x:c r="D146" s="18" t="str">
        <x:v>YI NEW SEWING MACHINE CO., LTD</x:v>
      </x:c>
      <x:c r="E146" s="18" t="str">
        <x:v>編號紙#5 Number</x:v>
      </x:c>
      <x:c r="F146" s="18" t="str">
        <x:v>CN-NUMBER-PAPER-5</x:v>
      </x:c>
      <x:c r="G146" s="18" t="str">
        <x:v>編號紙 #5</x:v>
      </x:c>
      <x:c r="H146" s="18" t="str">
        <x:v>No.5</x:v>
      </x:c>
      <x:c r="I146" s="18" t="str">
        <x:v>Consumable/Chemical</x:v>
      </x:c>
      <x:c r="J146" s="18" t="str">
        <x:v>Consumable</x:v>
      </x:c>
      <x:c r="K146" s="18" t="str"/>
      <x:c r="L146" s="18" t="str">
        <x:v>Cutting/Bundle</x:v>
      </x:c>
      <x:c r="M146" s="20" t="n">
        <x:v>2</x:v>
      </x:c>
      <x:c r="N146" s="18" t="str">
        <x:v>箱</x:v>
      </x:c>
      <x:c r="O146" s="21" t="n">
        <x:v>110</x:v>
      </x:c>
      <x:c r="P146" s="21" t="n">
        <x:f>M146*O146</x:f>
        <x:v>220</x:v>
      </x:c>
      <x:c r="Q146" s="21" t="n">
        <x:v>220</x:v>
      </x:c>
      <x:c r="R146" s="21" t="n">
        <x:f>P146-Q146</x:f>
        <x:v>0</x:v>
      </x:c>
      <x:c r="S146" s="18" t="str">
        <x:v>Yes</x:v>
      </x:c>
      <x:c r="T146" s="18" t="str">
        <x:v>High</x:v>
      </x:c>
      <x:c r="U146" s="18" t="str">
        <x:v>Yi New Sewing Machine_Jun.'26.pdf</x:v>
      </x:c>
      <x:c r="V146" s="18" t="n">
        <x:v>1</x:v>
      </x:c>
      <x:c r="W146" s="18" t="str"/>
    </x:row>
    <x:row r="147">
      <x:c r="A147" s="18" t="str">
        <x:v>2026-06</x:v>
      </x:c>
      <x:c r="B147" s="19" t="n">
        <x:v>46189</x:v>
      </x:c>
      <x:c r="C147" s="18" t="str">
        <x:v>YI-000139</x:v>
      </x:c>
      <x:c r="D147" s="18" t="str">
        <x:v>YI NEW SEWING MACHINE CO., LTD</x:v>
      </x:c>
      <x:c r="E147" s="18" t="str">
        <x:v>環球沙剪</x:v>
      </x:c>
      <x:c r="F147" s="18" t="str">
        <x:v>TL-THREAD-SNIP-GLOBE</x:v>
      </x:c>
      <x:c r="G147" s="18" t="str">
        <x:v>環球沙剪</x:v>
      </x:c>
      <x:c r="H147" s="18" t="str">
        <x:v>Thread Snip</x:v>
      </x:c>
      <x:c r="I147" s="18" t="str">
        <x:v>Tools</x:v>
      </x:c>
      <x:c r="J147" s="18" t="str">
        <x:v>Tool</x:v>
      </x:c>
      <x:c r="K147" s="18" t="str">
        <x:v>環球</x:v>
      </x:c>
      <x:c r="L147" s="18" t="str">
        <x:v>Sewing</x:v>
      </x:c>
      <x:c r="M147" s="20" t="n">
        <x:v>5</x:v>
      </x:c>
      <x:c r="N147" s="18" t="str">
        <x:v>打</x:v>
      </x:c>
      <x:c r="O147" s="21" t="n">
        <x:v>2.3</x:v>
      </x:c>
      <x:c r="P147" s="21" t="n">
        <x:f>M147*O147</x:f>
        <x:v>11.5</x:v>
      </x:c>
      <x:c r="Q147" s="21" t="n">
        <x:v>11.5</x:v>
      </x:c>
      <x:c r="R147" s="21" t="n">
        <x:f>P147-Q147</x:f>
        <x:v>0</x:v>
      </x:c>
      <x:c r="S147" s="18" t="str">
        <x:v>Yes</x:v>
      </x:c>
      <x:c r="T147" s="18" t="str">
        <x:v>High</x:v>
      </x:c>
      <x:c r="U147" s="18" t="str">
        <x:v>Yi New Sewing Machine_Jun.'26.pdf</x:v>
      </x:c>
      <x:c r="V147" s="18" t="n">
        <x:v>1</x:v>
      </x:c>
      <x:c r="W147" s="18" t="str"/>
    </x:row>
    <x:row r="148">
      <x:c r="A148" s="18" t="str">
        <x:v>2026-06</x:v>
      </x:c>
      <x:c r="B148" s="19" t="n">
        <x:v>46189</x:v>
      </x:c>
      <x:c r="C148" s="18" t="str">
        <x:v>YI-000139</x:v>
      </x:c>
      <x:c r="D148" s="18" t="str">
        <x:v>YI NEW SEWING MACHINE CO., LTD</x:v>
      </x:c>
      <x:c r="E148" s="18" t="str">
        <x:v>風琴: DCx27 #12</x:v>
      </x:c>
      <x:c r="F148" s="18" t="str">
        <x:v>ND-DCX27-12</x:v>
      </x:c>
      <x:c r="G148" s="18" t="str">
        <x:v>風琴機針 DCx27 #12</x:v>
      </x:c>
      <x:c r="H148" s="18" t="str">
        <x:v>DCx27 #12</x:v>
      </x:c>
      <x:c r="I148" s="18" t="str">
        <x:v>Needle</x:v>
      </x:c>
      <x:c r="J148" s="18" t="str">
        <x:v>Consumable</x:v>
      </x:c>
      <x:c r="K148" s="18" t="str">
        <x:v>ORGAN/風琴</x:v>
      </x:c>
      <x:c r="L148" s="18" t="str">
        <x:v>Overlock</x:v>
      </x:c>
      <x:c r="M148" s="20" t="n">
        <x:v>50</x:v>
      </x:c>
      <x:c r="N148" s="18" t="str">
        <x:v>包</x:v>
      </x:c>
      <x:c r="O148" s="21" t="n">
        <x:v>1.3</x:v>
      </x:c>
      <x:c r="P148" s="21" t="n">
        <x:f>M148*O148</x:f>
        <x:v>65</x:v>
      </x:c>
      <x:c r="Q148" s="21" t="n">
        <x:v>65</x:v>
      </x:c>
      <x:c r="R148" s="21" t="n">
        <x:f>P148-Q148</x:f>
        <x:v>0</x:v>
      </x:c>
      <x:c r="S148" s="18" t="str">
        <x:v>Yes</x:v>
      </x:c>
      <x:c r="T148" s="18" t="str">
        <x:v>High</x:v>
      </x:c>
      <x:c r="U148" s="18" t="str">
        <x:v>Yi New Sewing Machine_Jun.'26.pdf</x:v>
      </x:c>
      <x:c r="V148" s="18" t="n">
        <x:v>1</x:v>
      </x:c>
      <x:c r="W148" s="18" t="str"/>
    </x:row>
    <x:row r="149">
      <x:c r="A149" s="18" t="str">
        <x:v>2026-06</x:v>
      </x:c>
      <x:c r="B149" s="19" t="n">
        <x:v>46189</x:v>
      </x:c>
      <x:c r="C149" s="18" t="str">
        <x:v>YI-000139</x:v>
      </x:c>
      <x:c r="D149" s="18" t="str">
        <x:v>YI NEW SEWING MACHINE CO., LTD</x:v>
      </x:c>
      <x:c r="E149" s="18" t="str">
        <x:v>風琴: DBx1 #12</x:v>
      </x:c>
      <x:c r="F149" s="18" t="str">
        <x:v>ND-DBX1-12</x:v>
      </x:c>
      <x:c r="G149" s="18" t="str">
        <x:v>風琴機針 DBx1 #12</x:v>
      </x:c>
      <x:c r="H149" s="18" t="str">
        <x:v>DBx1 #12</x:v>
      </x:c>
      <x:c r="I149" s="18" t="str">
        <x:v>Needle</x:v>
      </x:c>
      <x:c r="J149" s="18" t="str">
        <x:v>Consumable</x:v>
      </x:c>
      <x:c r="K149" s="18" t="str">
        <x:v>ORGAN/風琴</x:v>
      </x:c>
      <x:c r="L149" s="18" t="str">
        <x:v>Single Needle</x:v>
      </x:c>
      <x:c r="M149" s="20" t="n">
        <x:v>50</x:v>
      </x:c>
      <x:c r="N149" s="18" t="str">
        <x:v>包</x:v>
      </x:c>
      <x:c r="O149" s="21" t="n">
        <x:v>0.78</x:v>
      </x:c>
      <x:c r="P149" s="21" t="n">
        <x:f>M149*O149</x:f>
        <x:v>39</x:v>
      </x:c>
      <x:c r="Q149" s="21" t="n">
        <x:v>39</x:v>
      </x:c>
      <x:c r="R149" s="21" t="n">
        <x:f>P149-Q149</x:f>
        <x:v>0</x:v>
      </x:c>
      <x:c r="S149" s="18" t="str">
        <x:v>Yes</x:v>
      </x:c>
      <x:c r="T149" s="18" t="str">
        <x:v>High</x:v>
      </x:c>
      <x:c r="U149" s="18" t="str">
        <x:v>Yi New Sewing Machine_Jun.'26.pdf</x:v>
      </x:c>
      <x:c r="V149" s="18" t="n">
        <x:v>1</x:v>
      </x:c>
      <x:c r="W149" s="18" t="str"/>
    </x:row>
    <x:row r="150">
      <x:c r="A150" s="18" t="str">
        <x:v>2026-06</x:v>
      </x:c>
      <x:c r="B150" s="19" t="n">
        <x:v>46189</x:v>
      </x:c>
      <x:c r="C150" s="18" t="str">
        <x:v>YI-000139</x:v>
      </x:c>
      <x:c r="D150" s="18" t="str">
        <x:v>YI NEW SEWING MACHINE CO., LTD</x:v>
      </x:c>
      <x:c r="E150" s="18" t="str">
        <x:v>風琴: UYx128 #14</x:v>
      </x:c>
      <x:c r="F150" s="18" t="str">
        <x:v>ND-UYX128-14</x:v>
      </x:c>
      <x:c r="G150" s="18" t="str">
        <x:v>風琴機針 UYx128 #14</x:v>
      </x:c>
      <x:c r="H150" s="18" t="str">
        <x:v>UYx128 #14</x:v>
      </x:c>
      <x:c r="I150" s="18" t="str">
        <x:v>Needle</x:v>
      </x:c>
      <x:c r="J150" s="18" t="str">
        <x:v>Consumable</x:v>
      </x:c>
      <x:c r="K150" s="18" t="str">
        <x:v>ORGAN/風琴</x:v>
      </x:c>
      <x:c r="L150" s="18" t="str">
        <x:v>Multi-needle / Chainstitch</x:v>
      </x:c>
      <x:c r="M150" s="20" t="n">
        <x:v>50</x:v>
      </x:c>
      <x:c r="N150" s="18" t="str">
        <x:v>包</x:v>
      </x:c>
      <x:c r="O150" s="21" t="n">
        <x:v>1.78</x:v>
      </x:c>
      <x:c r="P150" s="21" t="n">
        <x:f>M150*O150</x:f>
        <x:v>89</x:v>
      </x:c>
      <x:c r="Q150" s="21" t="n">
        <x:v>89</x:v>
      </x:c>
      <x:c r="R150" s="21" t="n">
        <x:f>P150-Q150</x:f>
        <x:v>0</x:v>
      </x:c>
      <x:c r="S150" s="18" t="str">
        <x:v>Yes</x:v>
      </x:c>
      <x:c r="T150" s="18" t="str">
        <x:v>High</x:v>
      </x:c>
      <x:c r="U150" s="18" t="str">
        <x:v>Yi New Sewing Machine_Jun.'26.pdf</x:v>
      </x:c>
      <x:c r="V150" s="18" t="n">
        <x:v>1</x:v>
      </x:c>
      <x:c r="W150" s="18" t="str"/>
    </x:row>
    <x:row r="151">
      <x:c r="A151" s="18" t="str">
        <x:v>2026-06</x:v>
      </x:c>
      <x:c r="B151" s="19" t="n">
        <x:v>46197</x:v>
      </x:c>
      <x:c r="C151" s="18" t="str">
        <x:v>YI-000140</x:v>
      </x:c>
      <x:c r="D151" s="18" t="str">
        <x:v>YI NEW SEWING MACHINE CO., LTD</x:v>
      </x:c>
      <x:c r="E151" s="18" t="str">
        <x:v>風琴: UOx113 #16</x:v>
      </x:c>
      <x:c r="F151" s="18" t="str">
        <x:v>ND-UOX113-16</x:v>
      </x:c>
      <x:c r="G151" s="18" t="str">
        <x:v>風琴機針 UOx113 #16</x:v>
      </x:c>
      <x:c r="H151" s="18" t="str">
        <x:v>UOx113 #16</x:v>
      </x:c>
      <x:c r="I151" s="18" t="str">
        <x:v>Needle</x:v>
      </x:c>
      <x:c r="J151" s="18" t="str">
        <x:v>Consumable</x:v>
      </x:c>
      <x:c r="K151" s="18" t="str">
        <x:v>ORGAN/風琴</x:v>
      </x:c>
      <x:c r="L151" s="18" t="str">
        <x:v>Multi-needle</x:v>
      </x:c>
      <x:c r="M151" s="20" t="n">
        <x:v>50</x:v>
      </x:c>
      <x:c r="N151" s="18" t="str">
        <x:v>包</x:v>
      </x:c>
      <x:c r="O151" s="21" t="n">
        <x:v>3</x:v>
      </x:c>
      <x:c r="P151" s="21" t="n">
        <x:f>M151*O151</x:f>
        <x:v>150</x:v>
      </x:c>
      <x:c r="Q151" s="21" t="n">
        <x:v>150</x:v>
      </x:c>
      <x:c r="R151" s="21" t="n">
        <x:f>P151-Q151</x:f>
        <x:v>0</x:v>
      </x:c>
      <x:c r="S151" s="18" t="str">
        <x:v>Yes</x:v>
      </x:c>
      <x:c r="T151" s="18" t="str">
        <x:v>High</x:v>
      </x:c>
      <x:c r="U151" s="18" t="str">
        <x:v>Yi New Sewing Machine_Jun.'26.pdf</x:v>
      </x:c>
      <x:c r="V151" s="18" t="n">
        <x:v>1</x:v>
      </x:c>
      <x:c r="W151" s="18" t="str"/>
    </x:row>
    <x:row r="152">
      <x:c r="A152" s="18" t="str">
        <x:v>2026-06</x:v>
      </x:c>
      <x:c r="B152" s="19" t="n">
        <x:v>46197</x:v>
      </x:c>
      <x:c r="C152" s="18" t="str">
        <x:v>YI-000140</x:v>
      </x:c>
      <x:c r="D152" s="18" t="str">
        <x:v>YI NEW SEWING MACHINE CO., LTD</x:v>
      </x:c>
      <x:c r="E152" s="18" t="str">
        <x:v>風琴: UOx113 #14</x:v>
      </x:c>
      <x:c r="F152" s="18" t="str">
        <x:v>ND-UOX113-14</x:v>
      </x:c>
      <x:c r="G152" s="18" t="str">
        <x:v>風琴機針 UOx113 #14</x:v>
      </x:c>
      <x:c r="H152" s="18" t="str">
        <x:v>UOx113 #14</x:v>
      </x:c>
      <x:c r="I152" s="18" t="str">
        <x:v>Needle</x:v>
      </x:c>
      <x:c r="J152" s="18" t="str">
        <x:v>Consumable</x:v>
      </x:c>
      <x:c r="K152" s="18" t="str">
        <x:v>ORGAN/風琴</x:v>
      </x:c>
      <x:c r="L152" s="18" t="str">
        <x:v>Multi-needle</x:v>
      </x:c>
      <x:c r="M152" s="20" t="n">
        <x:v>50</x:v>
      </x:c>
      <x:c r="N152" s="18" t="str">
        <x:v>包</x:v>
      </x:c>
      <x:c r="O152" s="21" t="n">
        <x:v>3</x:v>
      </x:c>
      <x:c r="P152" s="21" t="n">
        <x:f>M152*O152</x:f>
        <x:v>150</x:v>
      </x:c>
      <x:c r="Q152" s="21" t="n">
        <x:v>150</x:v>
      </x:c>
      <x:c r="R152" s="21" t="n">
        <x:f>P152-Q152</x:f>
        <x:v>0</x:v>
      </x:c>
      <x:c r="S152" s="18" t="str">
        <x:v>Yes</x:v>
      </x:c>
      <x:c r="T152" s="18" t="str">
        <x:v>High</x:v>
      </x:c>
      <x:c r="U152" s="18" t="str">
        <x:v>Yi New Sewing Machine_Jun.'26.pdf</x:v>
      </x:c>
      <x:c r="V152" s="18" t="n">
        <x:v>1</x:v>
      </x:c>
      <x:c r="W152" s="18" t="str"/>
    </x:row>
    <x:row r="153">
      <x:c r="A153" s="18" t="str">
        <x:v>2026-06</x:v>
      </x:c>
      <x:c r="B153" s="19" t="n">
        <x:v>46197</x:v>
      </x:c>
      <x:c r="C153" s="18" t="str">
        <x:v>YI-000140</x:v>
      </x:c>
      <x:c r="D153" s="18" t="str">
        <x:v>YI NEW SEWING MACHINE CO., LTD</x:v>
      </x:c>
      <x:c r="E153" s="18" t="str">
        <x:v>電工子彈鉗（好）</x:v>
      </x:c>
      <x:c r="F153" s="18" t="str">
        <x:v>TL-BULLET-CRIMPING-PLIERS</x:v>
      </x:c>
      <x:c r="G153" s="18" t="str">
        <x:v>電工子彈鉗</x:v>
      </x:c>
      <x:c r="H153" s="18" t="str">
        <x:v>Good Quality</x:v>
      </x:c>
      <x:c r="I153" s="18" t="str">
        <x:v>Tools</x:v>
      </x:c>
      <x:c r="J153" s="18" t="str">
        <x:v>Tool</x:v>
      </x:c>
      <x:c r="K153" s="18" t="str"/>
      <x:c r="L153" s="18" t="str">
        <x:v>Electrical</x:v>
      </x:c>
      <x:c r="M153" s="20" t="n">
        <x:v>1</x:v>
      </x:c>
      <x:c r="N153" s="18" t="str">
        <x:v>個</x:v>
      </x:c>
      <x:c r="O153" s="21" t="n">
        <x:v>7</x:v>
      </x:c>
      <x:c r="P153" s="21" t="n">
        <x:f>M153*O153</x:f>
        <x:v>7</x:v>
      </x:c>
      <x:c r="Q153" s="21" t="n">
        <x:v>7</x:v>
      </x:c>
      <x:c r="R153" s="21" t="n">
        <x:f>P153-Q153</x:f>
        <x:v>0</x:v>
      </x:c>
      <x:c r="S153" s="18" t="str">
        <x:v>Yes</x:v>
      </x:c>
      <x:c r="T153" s="18" t="str">
        <x:v>High</x:v>
      </x:c>
      <x:c r="U153" s="18" t="str">
        <x:v>Yi New Sewing Machine_Jun.'26.pdf</x:v>
      </x:c>
      <x:c r="V153" s="18" t="n">
        <x:v>1</x:v>
      </x:c>
      <x:c r="W153" s="18" t="str"/>
    </x:row>
  </x:sheetData>
  <x:conditionalFormatting sqref="R2:R153">
    <x:cfRule type="expression" dxfId="0" priority="1">
      <x:formula>ABS(R2)&gt;0.01</x:formula>
    </x:cfRule>
  </x:conditionalFormatting>
  <x:conditionalFormatting sqref="T2:T153">
    <x:cfRule type="expression" dxfId="1" priority="2">
      <x:formula>T2="Medium"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ce979ccf61a403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32" hidden="0" customWidth="1"/>
    <x:col min="3" max="3" width="22" hidden="0" customWidth="1"/>
    <x:col min="4" max="4" width="22" hidden="0" customWidth="1"/>
    <x:col min="5" max="5" width="17" hidden="0" customWidth="1"/>
    <x:col min="6" max="6" width="16" hidden="0" customWidth="1"/>
    <x:col min="7" max="7" width="26" hidden="0" customWidth="1"/>
    <x:col min="8" max="8" width="10" hidden="0" customWidth="1"/>
    <x:col min="9" max="9" width="12" hidden="0" customWidth="1"/>
    <x:col min="10" max="10" width="12" hidden="0" customWidth="1"/>
    <x:col min="11" max="11" width="13" hidden="0" customWidth="1"/>
    <x:col min="12" max="12" width="13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8" hidden="0" customWidth="1"/>
    <x:col min="21" max="21" width="15" hidden="0" customWidth="1"/>
    <x:col min="22" max="22" width="15" hidden="0" customWidth="1"/>
    <x:col min="23" max="23" width="42" hidden="0" customWidth="1"/>
  </x:cols>
  <x:sheetData>
    <x:row r="1" ht="30" customHeight="1">
      <x:c r="A1" s="28" t="str">
        <x:v>VRT Machine Spare Parts Historical Price Master | 2026 Jan-Jun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  <x:c r="M1" s="28"/>
      <x:c r="N1" s="28"/>
      <x:c r="O1" s="28"/>
      <x:c r="P1" s="28"/>
      <x:c r="Q1" s="28"/>
      <x:c r="R1" s="28"/>
      <x:c r="S1" s="28"/>
      <x:c r="T1" s="28"/>
      <x:c r="U1" s="28"/>
      <x:c r="V1" s="28"/>
      <x:c r="W1" s="28"/>
    </x:row>
    <x:row r="2" ht="34" customHeight="1">
      <x:c r="A2" s="34" t="str">
        <x:v>用於未來採購報價比對。建議：新報價高於「Suggested Upper Limit」或較 Last Price 上升超過10%，必須人工覆核。</x:v>
      </x:c>
      <x:c r="B2" s="34" t="str"/>
      <x:c r="C2" s="34" t="str"/>
      <x:c r="D2" s="34" t="str"/>
      <x:c r="E2" s="34" t="str"/>
      <x:c r="F2" s="34" t="str"/>
      <x:c r="G2" s="34" t="str"/>
      <x:c r="H2" s="34" t="str"/>
      <x:c r="I2" s="34" t="str"/>
      <x:c r="J2" s="34" t="str"/>
      <x:c r="K2" s="34" t="str"/>
      <x:c r="L2" s="34" t="str"/>
      <x:c r="M2" s="34" t="str"/>
      <x:c r="N2" s="34" t="str"/>
      <x:c r="O2" s="34" t="str"/>
      <x:c r="P2" s="34" t="str"/>
      <x:c r="Q2" s="34" t="str"/>
      <x:c r="R2" s="34" t="str"/>
      <x:c r="S2" s="34" t="str"/>
      <x:c r="T2" s="34" t="str"/>
      <x:c r="U2" s="34" t="str"/>
      <x:c r="V2" s="34" t="str"/>
      <x:c r="W2" s="34" t="str"/>
    </x:row>
    <x:row r="4" ht="36" customHeight="1">
      <x:c r="A4" s="6" t="str">
        <x:v>Part No</x:v>
      </x:c>
      <x:c r="B4" s="6" t="str">
        <x:v>Standard Name</x:v>
      </x:c>
      <x:c r="C4" s="6" t="str">
        <x:v>Spec</x:v>
      </x:c>
      <x:c r="D4" s="6" t="str">
        <x:v>Category</x:v>
      </x:c>
      <x:c r="E4" s="6" t="str">
        <x:v>Item Type</x:v>
      </x:c>
      <x:c r="F4" s="6" t="str">
        <x:v>Brand</x:v>
      </x:c>
      <x:c r="G4" s="6" t="str">
        <x:v>Machine / Use</x:v>
      </x:c>
      <x:c r="H4" s="6" t="str">
        <x:v>Unit</x:v>
      </x:c>
      <x:c r="I4" s="6" t="str">
        <x:v>First Date</x:v>
      </x:c>
      <x:c r="J4" s="6" t="str">
        <x:v>Latest Date</x:v>
      </x:c>
      <x:c r="K4" s="6" t="str">
        <x:v>Purchase Count</x:v>
      </x:c>
      <x:c r="L4" s="6" t="str">
        <x:v>Total Qty</x:v>
      </x:c>
      <x:c r="M4" s="6" t="str">
        <x:v>Total Spend</x:v>
      </x:c>
      <x:c r="N4" s="6" t="str">
        <x:v>Min Price</x:v>
      </x:c>
      <x:c r="O4" s="6" t="str">
        <x:v>Max Price</x:v>
      </x:c>
      <x:c r="P4" s="6" t="str">
        <x:v>Avg Price</x:v>
      </x:c>
      <x:c r="Q4" s="6" t="str">
        <x:v>First Price</x:v>
      </x:c>
      <x:c r="R4" s="6" t="str">
        <x:v>Last Price</x:v>
      </x:c>
      <x:c r="S4" s="6" t="str">
        <x:v>Price Spread %</x:v>
      </x:c>
      <x:c r="T4" s="6" t="str">
        <x:v>Suggested Upper Limit</x:v>
      </x:c>
      <x:c r="U4" s="6" t="str">
        <x:v>Reliability</x:v>
      </x:c>
      <x:c r="V4" s="6" t="str">
        <x:v>Price Status</x:v>
      </x:c>
      <x:c r="W4" s="6" t="str">
        <x:v>Notes</x:v>
      </x:c>
    </x:row>
    <x:row r="5">
      <x:c r="A5" s="18" t="str">
        <x:v>BB-JUKI1900</x:v>
      </x:c>
      <x:c r="B5" s="18" t="str">
        <x:v>JUKI-1900 梭芯</x:v>
      </x:c>
      <x:c r="C5" s="18" t="str">
        <x:v>1900</x:v>
      </x:c>
      <x:c r="D5" s="18" t="str">
        <x:v>Bobbin/Shuttle</x:v>
      </x:c>
      <x:c r="E5" s="18" t="str">
        <x:v>Spare Part</x:v>
      </x:c>
      <x:c r="F5" s="18" t="str">
        <x:v>JUKI</x:v>
      </x:c>
      <x:c r="G5" s="18" t="str">
        <x:v>Bartack</x:v>
      </x:c>
      <x:c r="H5" s="18" t="str">
        <x:v>個</x:v>
      </x:c>
      <x:c r="I5" s="19" t="n">
        <x:v>46144</x:v>
      </x:c>
      <x:c r="J5" s="19" t="n">
        <x:v>46144</x:v>
      </x:c>
      <x:c r="K5" s="18" t="n">
        <x:v>1</x:v>
      </x:c>
      <x:c r="L5" s="18" t="n">
        <x:v>100</x:v>
      </x:c>
      <x:c r="M5" s="21" t="n">
        <x:v>20</x:v>
      </x:c>
      <x:c r="N5" s="21" t="n">
        <x:v>0.2</x:v>
      </x:c>
      <x:c r="O5" s="21" t="n">
        <x:v>0.2</x:v>
      </x:c>
      <x:c r="P5" s="21" t="n">
        <x:v>0.2</x:v>
      </x:c>
      <x:c r="Q5" s="21" t="n">
        <x:v>0.2</x:v>
      </x:c>
      <x:c r="R5" s="21" t="n">
        <x:v>0.2</x:v>
      </x:c>
      <x:c r="S5" s="40" t="n">
        <x:f>IF(N5=0,0,(O5-N5)/N5)</x:f>
        <x:v>0</x:v>
      </x:c>
      <x:c r="T5" s="21" t="n">
        <x:f>O5*1.10</x:f>
        <x:v>0.22000000000000003</x:v>
      </x:c>
      <x:c r="U5" s="18" t="str">
        <x:f>IF(K5&gt;=3,"High",IF(K5=2,"Medium","Low"))</x:f>
        <x:v>Low</x:v>
      </x:c>
      <x:c r="V5" s="18" t="str">
        <x:f>IF(S5&gt;0.10,"Price Varies",IF(K5&gt;=2,"Stable","Single Record"))</x:f>
        <x:v>Single Record</x:v>
      </x:c>
      <x:c r="W5" s="18" t="str"/>
    </x:row>
    <x:row r="6">
      <x:c r="A6" s="18" t="str">
        <x:v>BC-SN-ELECTRONIC</x:v>
      </x:c>
      <x:c r="B6" s="18" t="str">
        <x:v>平車電子梭殼</x:v>
      </x:c>
      <x:c r="C6" s="18" t="str">
        <x:v>Electronic Type</x:v>
      </x:c>
      <x:c r="D6" s="18" t="str">
        <x:v>Bobbin/Shuttle</x:v>
      </x:c>
      <x:c r="E6" s="18" t="str">
        <x:v>Spare Part</x:v>
      </x:c>
      <x:c r="F6" s="18" t="str"/>
      <x:c r="G6" s="18" t="str">
        <x:v>Single Needle</x:v>
      </x:c>
      <x:c r="H6" s="18" t="str">
        <x:v>個</x:v>
      </x:c>
      <x:c r="I6" s="19" t="n">
        <x:v>46086</x:v>
      </x:c>
      <x:c r="J6" s="19" t="n">
        <x:v>46144</x:v>
      </x:c>
      <x:c r="K6" s="18" t="n">
        <x:v>2</x:v>
      </x:c>
      <x:c r="L6" s="18" t="n">
        <x:v>100</x:v>
      </x:c>
      <x:c r="M6" s="21" t="n">
        <x:v>45</x:v>
      </x:c>
      <x:c r="N6" s="21" t="n">
        <x:v>0.45</x:v>
      </x:c>
      <x:c r="O6" s="21" t="n">
        <x:v>0.45</x:v>
      </x:c>
      <x:c r="P6" s="21" t="n">
        <x:v>0.45</x:v>
      </x:c>
      <x:c r="Q6" s="21" t="n">
        <x:v>0.45</x:v>
      </x:c>
      <x:c r="R6" s="21" t="n">
        <x:v>0.45</x:v>
      </x:c>
      <x:c r="S6" s="40" t="n">
        <x:f>IF(N6=0,0,(O6-N6)/N6)</x:f>
        <x:v>0</x:v>
      </x:c>
      <x:c r="T6" s="21" t="n">
        <x:f>O6*1.10</x:f>
        <x:v>0.49500000000000005</x:v>
      </x:c>
      <x:c r="U6" s="18" t="str">
        <x:f>IF(K6&gt;=3,"High",IF(K6=2,"Medium","Low"))</x:f>
        <x:v>Medium</x:v>
      </x:c>
      <x:c r="V6" s="18" t="str">
        <x:f>IF(S6&gt;0.10,"Price Varies",IF(K6&gt;=2,"Stable","Single Record"))</x:f>
        <x:v>Stable</x:v>
      </x:c>
      <x:c r="W6" s="18" t="str"/>
    </x:row>
    <x:row r="7">
      <x:c r="A7" s="18" t="str">
        <x:v>BB-SN-ALUMINUM</x:v>
      </x:c>
      <x:c r="B7" s="18" t="str">
        <x:v>平車電子梭芯（鋁）</x:v>
      </x:c>
      <x:c r="C7" s="18" t="str">
        <x:v>Aluminum</x:v>
      </x:c>
      <x:c r="D7" s="18" t="str">
        <x:v>Bobbin/Shuttle</x:v>
      </x:c>
      <x:c r="E7" s="18" t="str">
        <x:v>Spare Part</x:v>
      </x:c>
      <x:c r="F7" s="18" t="str"/>
      <x:c r="G7" s="18" t="str">
        <x:v>Single Needle</x:v>
      </x:c>
      <x:c r="H7" s="18" t="str">
        <x:v>個</x:v>
      </x:c>
      <x:c r="I7" s="19" t="n">
        <x:v>46086</x:v>
      </x:c>
      <x:c r="J7" s="19" t="n">
        <x:v>46086</x:v>
      </x:c>
      <x:c r="K7" s="18" t="n">
        <x:v>1</x:v>
      </x:c>
      <x:c r="L7" s="18" t="n">
        <x:v>100</x:v>
      </x:c>
      <x:c r="M7" s="21" t="n">
        <x:v>10</x:v>
      </x:c>
      <x:c r="N7" s="21" t="n">
        <x:v>0.1</x:v>
      </x:c>
      <x:c r="O7" s="21" t="n">
        <x:v>0.1</x:v>
      </x:c>
      <x:c r="P7" s="21" t="n">
        <x:v>0.1</x:v>
      </x:c>
      <x:c r="Q7" s="21" t="n">
        <x:v>0.1</x:v>
      </x:c>
      <x:c r="R7" s="21" t="n">
        <x:v>0.1</x:v>
      </x:c>
      <x:c r="S7" s="40" t="n">
        <x:f>IF(N7=0,0,(O7-N7)/N7)</x:f>
        <x:v>0</x:v>
      </x:c>
      <x:c r="T7" s="21" t="n">
        <x:f>O7*1.10</x:f>
        <x:v>0.11000000000000001</x:v>
      </x:c>
      <x:c r="U7" s="18" t="str">
        <x:f>IF(K7&gt;=3,"High",IF(K7=2,"Medium","Low"))</x:f>
        <x:v>Low</x:v>
      </x:c>
      <x:c r="V7" s="18" t="str">
        <x:f>IF(S7&gt;0.10,"Price Varies",IF(K7&gt;=2,"Stable","Single Record"))</x:f>
        <x:v>Single Record</x:v>
      </x:c>
      <x:c r="W7" s="18" t="str"/>
    </x:row>
    <x:row r="8">
      <x:c r="A8" s="18" t="str">
        <x:v>BB-TWIN-NEEDLE-SMALL-AL</x:v>
      </x:c>
      <x:c r="B8" s="18" t="str">
        <x:v>平雙針小梭芯（鋁）</x:v>
      </x:c>
      <x:c r="C8" s="18" t="str">
        <x:v>Aluminum</x:v>
      </x:c>
      <x:c r="D8" s="18" t="str">
        <x:v>Bobbin/Shuttle</x:v>
      </x:c>
      <x:c r="E8" s="18" t="str">
        <x:v>Spare Part</x:v>
      </x:c>
      <x:c r="F8" s="18" t="str"/>
      <x:c r="G8" s="18" t="str">
        <x:v>Twin Needle</x:v>
      </x:c>
      <x:c r="H8" s="18" t="str">
        <x:v>個</x:v>
      </x:c>
      <x:c r="I8" s="19" t="n">
        <x:v>46144</x:v>
      </x:c>
      <x:c r="J8" s="19" t="n">
        <x:v>46144</x:v>
      </x:c>
      <x:c r="K8" s="18" t="n">
        <x:v>1</x:v>
      </x:c>
      <x:c r="L8" s="18" t="n">
        <x:v>100</x:v>
      </x:c>
      <x:c r="M8" s="21" t="n">
        <x:v>20</x:v>
      </x:c>
      <x:c r="N8" s="21" t="n">
        <x:v>0.2</x:v>
      </x:c>
      <x:c r="O8" s="21" t="n">
        <x:v>0.2</x:v>
      </x:c>
      <x:c r="P8" s="21" t="n">
        <x:v>0.2</x:v>
      </x:c>
      <x:c r="Q8" s="21" t="n">
        <x:v>0.2</x:v>
      </x:c>
      <x:c r="R8" s="21" t="n">
        <x:v>0.2</x:v>
      </x:c>
      <x:c r="S8" s="40" t="n">
        <x:f>IF(N8=0,0,(O8-N8)/N8)</x:f>
        <x:v>0</x:v>
      </x:c>
      <x:c r="T8" s="21" t="n">
        <x:f>O8*1.10</x:f>
        <x:v>0.22000000000000003</x:v>
      </x:c>
      <x:c r="U8" s="18" t="str">
        <x:f>IF(K8&gt;=3,"High",IF(K8=2,"Medium","Low"))</x:f>
        <x:v>Low</x:v>
      </x:c>
      <x:c r="V8" s="18" t="str">
        <x:f>IF(S8&gt;0.10,"Price Varies",IF(K8&gt;=2,"Stable","Single Record"))</x:f>
        <x:v>Single Record</x:v>
      </x:c>
      <x:c r="W8" s="18" t="str"/>
    </x:row>
    <x:row r="9">
      <x:c r="A9" s="18" t="str">
        <x:v>CH-502-GLUE-LARGE</x:v>
      </x:c>
      <x:c r="B9" s="18" t="str">
        <x:v>502膠水（大瓶）</x:v>
      </x:c>
      <x:c r="C9" s="18" t="str">
        <x:v>Large Bottle</x:v>
      </x:c>
      <x:c r="D9" s="18" t="str">
        <x:v>Consumable/Chemical</x:v>
      </x:c>
      <x:c r="E9" s="18" t="str">
        <x:v>Consumable</x:v>
      </x:c>
      <x:c r="F9" s="18" t="str"/>
      <x:c r="G9" s="18" t="str">
        <x:v>Maintenance</x:v>
      </x:c>
      <x:c r="H9" s="18" t="str">
        <x:v>瓶</x:v>
      </x:c>
      <x:c r="I9" s="19" t="n">
        <x:v>46106</x:v>
      </x:c>
      <x:c r="J9" s="19" t="n">
        <x:v>46168</x:v>
      </x:c>
      <x:c r="K9" s="18" t="n">
        <x:v>2</x:v>
      </x:c>
      <x:c r="L9" s="18" t="n">
        <x:v>20</x:v>
      </x:c>
      <x:c r="M9" s="21" t="n">
        <x:v>13</x:v>
      </x:c>
      <x:c r="N9" s="21" t="n">
        <x:v>0.65</x:v>
      </x:c>
      <x:c r="O9" s="21" t="n">
        <x:v>0.65</x:v>
      </x:c>
      <x:c r="P9" s="21" t="n">
        <x:v>0.65</x:v>
      </x:c>
      <x:c r="Q9" s="21" t="n">
        <x:v>0.65</x:v>
      </x:c>
      <x:c r="R9" s="21" t="n">
        <x:v>0.65</x:v>
      </x:c>
      <x:c r="S9" s="40" t="n">
        <x:f>IF(N9=0,0,(O9-N9)/N9)</x:f>
        <x:v>0</x:v>
      </x:c>
      <x:c r="T9" s="21" t="n">
        <x:f>O9*1.10</x:f>
        <x:v>0.7150000000000001</x:v>
      </x:c>
      <x:c r="U9" s="18" t="str">
        <x:f>IF(K9&gt;=3,"High",IF(K9=2,"Medium","Low"))</x:f>
        <x:v>Medium</x:v>
      </x:c>
      <x:c r="V9" s="18" t="str">
        <x:f>IF(S9&gt;0.10,"Price Varies",IF(K9&gt;=2,"Stable","Single Record"))</x:f>
        <x:v>Stable</x:v>
      </x:c>
      <x:c r="W9" s="18" t="str"/>
    </x:row>
    <x:row r="10">
      <x:c r="A10" s="18" t="str">
        <x:v>CH-530-CLEANER-SPRAY</x:v>
      </x:c>
      <x:c r="B10" s="18" t="str">
        <x:v>530噴頭型全能水</x:v>
      </x:c>
      <x:c r="C10" s="18" t="str">
        <x:v>530</x:v>
      </x:c>
      <x:c r="D10" s="18" t="str">
        <x:v>Consumable/Chemical</x:v>
      </x:c>
      <x:c r="E10" s="18" t="str">
        <x:v>Consumable</x:v>
      </x:c>
      <x:c r="F10" s="18" t="str"/>
      <x:c r="G10" s="18" t="str">
        <x:v>Cleaning</x:v>
      </x:c>
      <x:c r="H10" s="18" t="str">
        <x:v>瓶</x:v>
      </x:c>
      <x:c r="I10" s="19" t="n">
        <x:v>46043</x:v>
      </x:c>
      <x:c r="J10" s="19" t="n">
        <x:v>46043</x:v>
      </x:c>
      <x:c r="K10" s="18" t="n">
        <x:v>1</x:v>
      </x:c>
      <x:c r="L10" s="18" t="n">
        <x:v>2</x:v>
      </x:c>
      <x:c r="M10" s="21" t="n">
        <x:v>7</x:v>
      </x:c>
      <x:c r="N10" s="21" t="n">
        <x:v>3.5</x:v>
      </x:c>
      <x:c r="O10" s="21" t="n">
        <x:v>3.5</x:v>
      </x:c>
      <x:c r="P10" s="21" t="n">
        <x:v>3.5</x:v>
      </x:c>
      <x:c r="Q10" s="21" t="n">
        <x:v>3.5</x:v>
      </x:c>
      <x:c r="R10" s="21" t="n">
        <x:v>3.5</x:v>
      </x:c>
      <x:c r="S10" s="40" t="n">
        <x:f>IF(N10=0,0,(O10-N10)/N10)</x:f>
        <x:v>0</x:v>
      </x:c>
      <x:c r="T10" s="21" t="n">
        <x:f>O10*1.10</x:f>
        <x:v>3.8500000000000005</x:v>
      </x:c>
      <x:c r="U10" s="18" t="str">
        <x:f>IF(K10&gt;=3,"High",IF(K10=2,"Medium","Low"))</x:f>
        <x:v>Low</x:v>
      </x:c>
      <x:c r="V10" s="18" t="str">
        <x:f>IF(S10&gt;0.10,"Price Varies",IF(K10&gt;=2,"Stable","Single Record"))</x:f>
        <x:v>Single Record</x:v>
      </x:c>
      <x:c r="W10" s="18" t="str"/>
    </x:row>
    <x:row r="11">
      <x:c r="A11" s="18" t="str">
        <x:v>CH-JJW830</x:v>
      </x:c>
      <x:c r="B11" s="18" t="str">
        <x:v>JJW-830</x:v>
      </x:c>
      <x:c r="C11" s="18" t="str">
        <x:v>JJW-830</x:v>
      </x:c>
      <x:c r="D11" s="18" t="str">
        <x:v>Consumable/Chemical</x:v>
      </x:c>
      <x:c r="E11" s="18" t="str">
        <x:v>Consumable</x:v>
      </x:c>
      <x:c r="F11" s="18" t="str"/>
      <x:c r="G11" s="18" t="str">
        <x:v>Maintenance</x:v>
      </x:c>
      <x:c r="H11" s="18" t="str">
        <x:v>瓶</x:v>
      </x:c>
      <x:c r="I11" s="19" t="n">
        <x:v>46027</x:v>
      </x:c>
      <x:c r="J11" s="19" t="n">
        <x:v>46060</x:v>
      </x:c>
      <x:c r="K11" s="18" t="n">
        <x:v>2</x:v>
      </x:c>
      <x:c r="L11" s="18" t="n">
        <x:v>68</x:v>
      </x:c>
      <x:c r="M11" s="21" t="n">
        <x:v>190.4</x:v>
      </x:c>
      <x:c r="N11" s="21" t="n">
        <x:v>2.8</x:v>
      </x:c>
      <x:c r="O11" s="21" t="n">
        <x:v>2.8</x:v>
      </x:c>
      <x:c r="P11" s="21" t="n">
        <x:v>2.8</x:v>
      </x:c>
      <x:c r="Q11" s="21" t="n">
        <x:v>2.8</x:v>
      </x:c>
      <x:c r="R11" s="21" t="n">
        <x:v>2.8</x:v>
      </x:c>
      <x:c r="S11" s="40" t="n">
        <x:f>IF(N11=0,0,(O11-N11)/N11)</x:f>
        <x:v>0</x:v>
      </x:c>
      <x:c r="T11" s="21" t="n">
        <x:f>O11*1.10</x:f>
        <x:v>3.08</x:v>
      </x:c>
      <x:c r="U11" s="18" t="str">
        <x:f>IF(K11&gt;=3,"High",IF(K11=2,"Medium","Low"))</x:f>
        <x:v>Medium</x:v>
      </x:c>
      <x:c r="V11" s="18" t="str">
        <x:f>IF(S11&gt;0.10,"Price Varies",IF(K11&gt;=2,"Stable","Single Record"))</x:f>
        <x:v>Stable</x:v>
      </x:c>
      <x:c r="W11" s="18" t="str"/>
    </x:row>
    <x:row r="12">
      <x:c r="A12" s="18" t="str">
        <x:v>CH-YIMEIJING-STAIN-REMOVER</x:v>
      </x:c>
      <x:c r="B12" s="18" t="str">
        <x:v>台灣產強效益美精去污劑</x:v>
      </x:c>
      <x:c r="C12" s="18" t="str">
        <x:v>Strong</x:v>
      </x:c>
      <x:c r="D12" s="18" t="str">
        <x:v>Consumable/Chemical</x:v>
      </x:c>
      <x:c r="E12" s="18" t="str">
        <x:v>Consumable</x:v>
      </x:c>
      <x:c r="F12" s="18" t="str">
        <x:v>Taiwan</x:v>
      </x:c>
      <x:c r="G12" s="18" t="str">
        <x:v>Cleaning</x:v>
      </x:c>
      <x:c r="H12" s="18" t="str">
        <x:v>罐</x:v>
      </x:c>
      <x:c r="I12" s="19" t="n">
        <x:v>46091</x:v>
      </x:c>
      <x:c r="J12" s="19" t="n">
        <x:v>46091</x:v>
      </x:c>
      <x:c r="K12" s="18" t="n">
        <x:v>1</x:v>
      </x:c>
      <x:c r="L12" s="18" t="n">
        <x:v>1</x:v>
      </x:c>
      <x:c r="M12" s="21" t="n">
        <x:v>6.5</x:v>
      </x:c>
      <x:c r="N12" s="21" t="n">
        <x:v>6.5</x:v>
      </x:c>
      <x:c r="O12" s="21" t="n">
        <x:v>6.5</x:v>
      </x:c>
      <x:c r="P12" s="21" t="n">
        <x:v>6.5</x:v>
      </x:c>
      <x:c r="Q12" s="21" t="n">
        <x:v>6.5</x:v>
      </x:c>
      <x:c r="R12" s="21" t="n">
        <x:v>6.5</x:v>
      </x:c>
      <x:c r="S12" s="40" t="n">
        <x:f>IF(N12=0,0,(O12-N12)/N12)</x:f>
        <x:v>0</x:v>
      </x:c>
      <x:c r="T12" s="21" t="n">
        <x:f>O12*1.10</x:f>
        <x:v>7.15</x:v>
      </x:c>
      <x:c r="U12" s="18" t="str">
        <x:f>IF(K12&gt;=3,"High",IF(K12=2,"Medium","Low"))</x:f>
        <x:v>Low</x:v>
      </x:c>
      <x:c r="V12" s="18" t="str">
        <x:f>IF(S12&gt;0.10,"Price Varies",IF(K12&gt;=2,"Stable","Single Record"))</x:f>
        <x:v>Single Record</x:v>
      </x:c>
      <x:c r="W12" s="18" t="str">
        <x:v>原始中文辨識可能需供應商再次確認</x:v>
      </x:c>
    </x:row>
    <x:row r="13">
      <x:c r="A13" s="18" t="str">
        <x:v>CN-SEWING-OIL-30L</x:v>
      </x:c>
      <x:c r="B13" s="18" t="str">
        <x:v>強化型針車油</x:v>
      </x:c>
      <x:c r="C13" s="18" t="str">
        <x:v>30L</x:v>
      </x:c>
      <x:c r="D13" s="18" t="str">
        <x:v>Consumable/Chemical</x:v>
      </x:c>
      <x:c r="E13" s="18" t="str">
        <x:v>Consumable</x:v>
      </x:c>
      <x:c r="F13" s="18" t="str"/>
      <x:c r="G13" s="18" t="str">
        <x:v>Sewing Machine</x:v>
      </x:c>
      <x:c r="H13" s="18" t="str">
        <x:v>桶</x:v>
      </x:c>
      <x:c r="I13" s="19" t="n">
        <x:v>46154</x:v>
      </x:c>
      <x:c r="J13" s="19" t="n">
        <x:v>46168</x:v>
      </x:c>
      <x:c r="K13" s="18" t="n">
        <x:v>2</x:v>
      </x:c>
      <x:c r="L13" s="18" t="n">
        <x:v>2</x:v>
      </x:c>
      <x:c r="M13" s="21" t="n">
        <x:v>130</x:v>
      </x:c>
      <x:c r="N13" s="21" t="n">
        <x:v>65</x:v>
      </x:c>
      <x:c r="O13" s="21" t="n">
        <x:v>65</x:v>
      </x:c>
      <x:c r="P13" s="21" t="n">
        <x:v>65</x:v>
      </x:c>
      <x:c r="Q13" s="21" t="n">
        <x:v>65</x:v>
      </x:c>
      <x:c r="R13" s="21" t="n">
        <x:v>65</x:v>
      </x:c>
      <x:c r="S13" s="40" t="n">
        <x:f>IF(N13=0,0,(O13-N13)/N13)</x:f>
        <x:v>0</x:v>
      </x:c>
      <x:c r="T13" s="21" t="n">
        <x:f>O13*1.10</x:f>
        <x:v>71.5</x:v>
      </x:c>
      <x:c r="U13" s="18" t="str">
        <x:f>IF(K13&gt;=3,"High",IF(K13=2,"Medium","Low"))</x:f>
        <x:v>Medium</x:v>
      </x:c>
      <x:c r="V13" s="18" t="str">
        <x:f>IF(S13&gt;0.10,"Price Varies",IF(K13&gt;=2,"Stable","Single Record"))</x:f>
        <x:v>Stable</x:v>
      </x:c>
      <x:c r="W13" s="18" t="str"/>
    </x:row>
    <x:row r="14">
      <x:c r="A14" s="18" t="str">
        <x:v>CH-12D-STAIN-REMOVER-JP</x:v>
      </x:c>
      <x:c r="B14" s="18" t="str">
        <x:v>日本12.D強力去污靈</x:v>
      </x:c>
      <x:c r="C14" s="18" t="str">
        <x:v>12.D</x:v>
      </x:c>
      <x:c r="D14" s="18" t="str">
        <x:v>Consumable/Chemical</x:v>
      </x:c>
      <x:c r="E14" s="18" t="str">
        <x:v>Consumable</x:v>
      </x:c>
      <x:c r="F14" s="18" t="str">
        <x:v>Japan</x:v>
      </x:c>
      <x:c r="G14" s="18" t="str">
        <x:v>Cleaning</x:v>
      </x:c>
      <x:c r="H14" s="18" t="str">
        <x:v>瓶</x:v>
      </x:c>
      <x:c r="I14" s="19" t="n">
        <x:v>46038</x:v>
      </x:c>
      <x:c r="J14" s="19" t="n">
        <x:v>46038</x:v>
      </x:c>
      <x:c r="K14" s="18" t="n">
        <x:v>1</x:v>
      </x:c>
      <x:c r="L14" s="18" t="n">
        <x:v>2</x:v>
      </x:c>
      <x:c r="M14" s="21" t="n">
        <x:v>18</x:v>
      </x:c>
      <x:c r="N14" s="21" t="n">
        <x:v>9</x:v>
      </x:c>
      <x:c r="O14" s="21" t="n">
        <x:v>9</x:v>
      </x:c>
      <x:c r="P14" s="21" t="n">
        <x:v>9</x:v>
      </x:c>
      <x:c r="Q14" s="21" t="n">
        <x:v>9</x:v>
      </x:c>
      <x:c r="R14" s="21" t="n">
        <x:v>9</x:v>
      </x:c>
      <x:c r="S14" s="40" t="n">
        <x:f>IF(N14=0,0,(O14-N14)/N14)</x:f>
        <x:v>0</x:v>
      </x:c>
      <x:c r="T14" s="21" t="n">
        <x:f>O14*1.10</x:f>
        <x:v>9.9</x:v>
      </x:c>
      <x:c r="U14" s="18" t="str">
        <x:f>IF(K14&gt;=3,"High",IF(K14=2,"Medium","Low"))</x:f>
        <x:v>Low</x:v>
      </x:c>
      <x:c r="V14" s="18" t="str">
        <x:f>IF(S14&gt;0.10,"Price Varies",IF(K14&gt;=2,"Stable","Single Record"))</x:f>
        <x:v>Single Record</x:v>
      </x:c>
      <x:c r="W14" s="18" t="str"/>
    </x:row>
    <x:row r="15">
      <x:c r="A15" s="18" t="str">
        <x:v>CN-SANDPAPER-280</x:v>
      </x:c>
      <x:c r="B15" s="18" t="str">
        <x:v>砂紙 #280</x:v>
      </x:c>
      <x:c r="C15" s="18" t="str">
        <x:v>#280</x:v>
      </x:c>
      <x:c r="D15" s="18" t="str">
        <x:v>Consumable/Chemical</x:v>
      </x:c>
      <x:c r="E15" s="18" t="str">
        <x:v>Consumable</x:v>
      </x:c>
      <x:c r="F15" s="18" t="str"/>
      <x:c r="G15" s="18" t="str">
        <x:v>Maintenance</x:v>
      </x:c>
      <x:c r="H15" s="18" t="str">
        <x:v>包</x:v>
      </x:c>
      <x:c r="I15" s="19" t="n">
        <x:v>46144</x:v>
      </x:c>
      <x:c r="J15" s="19" t="n">
        <x:v>46144</x:v>
      </x:c>
      <x:c r="K15" s="18" t="n">
        <x:v>1</x:v>
      </x:c>
      <x:c r="L15" s="18" t="n">
        <x:v>1</x:v>
      </x:c>
      <x:c r="M15" s="21" t="n">
        <x:v>21</x:v>
      </x:c>
      <x:c r="N15" s="21" t="n">
        <x:v>21</x:v>
      </x:c>
      <x:c r="O15" s="21" t="n">
        <x:v>21</x:v>
      </x:c>
      <x:c r="P15" s="21" t="n">
        <x:v>21</x:v>
      </x:c>
      <x:c r="Q15" s="21" t="n">
        <x:v>21</x:v>
      </x:c>
      <x:c r="R15" s="21" t="n">
        <x:v>21</x:v>
      </x:c>
      <x:c r="S15" s="40" t="n">
        <x:f>IF(N15=0,0,(O15-N15)/N15)</x:f>
        <x:v>0</x:v>
      </x:c>
      <x:c r="T15" s="21" t="n">
        <x:f>O15*1.10</x:f>
        <x:v>23.1</x:v>
      </x:c>
      <x:c r="U15" s="18" t="str">
        <x:f>IF(K15&gt;=3,"High",IF(K15=2,"Medium","Low"))</x:f>
        <x:v>Low</x:v>
      </x:c>
      <x:c r="V15" s="18" t="str">
        <x:f>IF(S15&gt;0.10,"Price Varies",IF(K15&gt;=2,"Stable","Single Record"))</x:f>
        <x:v>Single Record</x:v>
      </x:c>
      <x:c r="W15" s="18" t="str"/>
    </x:row>
    <x:row r="16">
      <x:c r="A16" s="18" t="str">
        <x:v>CN-NUMBER-PAPER-5</x:v>
      </x:c>
      <x:c r="B16" s="18" t="str">
        <x:v>編號紙 #5</x:v>
      </x:c>
      <x:c r="C16" s="18" t="str">
        <x:v>No.5</x:v>
      </x:c>
      <x:c r="D16" s="18" t="str">
        <x:v>Consumable/Chemical</x:v>
      </x:c>
      <x:c r="E16" s="18" t="str">
        <x:v>Consumable</x:v>
      </x:c>
      <x:c r="F16" s="18" t="str"/>
      <x:c r="G16" s="18" t="str">
        <x:v>Cutting/Bundle</x:v>
      </x:c>
      <x:c r="H16" s="18" t="str">
        <x:v>箱</x:v>
      </x:c>
      <x:c r="I16" s="19" t="n">
        <x:v>46090</x:v>
      </x:c>
      <x:c r="J16" s="19" t="n">
        <x:v>46189</x:v>
      </x:c>
      <x:c r="K16" s="18" t="n">
        <x:v>2</x:v>
      </x:c>
      <x:c r="L16" s="18" t="n">
        <x:v>4</x:v>
      </x:c>
      <x:c r="M16" s="21" t="n">
        <x:v>440</x:v>
      </x:c>
      <x:c r="N16" s="21" t="n">
        <x:v>110</x:v>
      </x:c>
      <x:c r="O16" s="21" t="n">
        <x:v>110</x:v>
      </x:c>
      <x:c r="P16" s="21" t="n">
        <x:v>110</x:v>
      </x:c>
      <x:c r="Q16" s="21" t="n">
        <x:v>110</x:v>
      </x:c>
      <x:c r="R16" s="21" t="n">
        <x:v>110</x:v>
      </x:c>
      <x:c r="S16" s="40" t="n">
        <x:f>IF(N16=0,0,(O16-N16)/N16)</x:f>
        <x:v>0</x:v>
      </x:c>
      <x:c r="T16" s="21" t="n">
        <x:f>O16*1.10</x:f>
        <x:v>121.00000000000001</x:v>
      </x:c>
      <x:c r="U16" s="18" t="str">
        <x:f>IF(K16&gt;=3,"High",IF(K16=2,"Medium","Low"))</x:f>
        <x:v>Medium</x:v>
      </x:c>
      <x:c r="V16" s="18" t="str">
        <x:f>IF(S16&gt;0.10,"Price Varies",IF(K16&gt;=2,"Stable","Single Record"))</x:f>
        <x:v>Stable</x:v>
      </x:c>
      <x:c r="W16" s="18" t="str"/>
    </x:row>
    <x:row r="17">
      <x:c r="A17" s="18" t="str">
        <x:v>CN-TEFLON-STRIP-1MM</x:v>
      </x:c>
      <x:c r="B17" s="18" t="str">
        <x:v>鐵氟龍條</x:v>
      </x:c>
      <x:c r="C17" s="18" t="str">
        <x:v>1.0 mm</x:v>
      </x:c>
      <x:c r="D17" s="18" t="str">
        <x:v>Consumable/Chemical</x:v>
      </x:c>
      <x:c r="E17" s="18" t="str">
        <x:v>Consumable</x:v>
      </x:c>
      <x:c r="F17" s="18" t="str">
        <x:v>Teflon</x:v>
      </x:c>
      <x:c r="G17" s="18" t="str">
        <x:v>Ironing/Sealing</x:v>
      </x:c>
      <x:c r="H17" s="18" t="str">
        <x:v>條</x:v>
      </x:c>
      <x:c r="I17" s="19" t="n">
        <x:v>46055</x:v>
      </x:c>
      <x:c r="J17" s="19" t="n">
        <x:v>46181</x:v>
      </x:c>
      <x:c r="K17" s="18" t="n">
        <x:v>3</x:v>
      </x:c>
      <x:c r="L17" s="18" t="n">
        <x:v>50</x:v>
      </x:c>
      <x:c r="M17" s="21" t="n">
        <x:v>90</x:v>
      </x:c>
      <x:c r="N17" s="21" t="n">
        <x:v>1.8</x:v>
      </x:c>
      <x:c r="O17" s="21" t="n">
        <x:v>1.8</x:v>
      </x:c>
      <x:c r="P17" s="21" t="n">
        <x:v>1.8</x:v>
      </x:c>
      <x:c r="Q17" s="21" t="n">
        <x:v>1.8</x:v>
      </x:c>
      <x:c r="R17" s="21" t="n">
        <x:v>1.8</x:v>
      </x:c>
      <x:c r="S17" s="40" t="n">
        <x:f>IF(N17=0,0,(O17-N17)/N17)</x:f>
        <x:v>0</x:v>
      </x:c>
      <x:c r="T17" s="21" t="n">
        <x:f>O17*1.10</x:f>
        <x:v>1.9800000000000002</x:v>
      </x:c>
      <x:c r="U17" s="18" t="str">
        <x:f>IF(K17&gt;=3,"High",IF(K17=2,"Medium","Low"))</x:f>
        <x:v>High</x:v>
      </x:c>
      <x:c r="V17" s="18" t="str">
        <x:f>IF(S17&gt;0.10,"Price Varies",IF(K17&gt;=2,"Stable","Single Record"))</x:f>
        <x:v>Stable</x:v>
      </x:c>
      <x:c r="W17" s="18" t="str"/>
    </x:row>
    <x:row r="18">
      <x:c r="A18" s="18" t="str">
        <x:v>CN-TAILOR-CHALK-PANDA-KR</x:v>
      </x:c>
      <x:c r="B18" s="18" t="str">
        <x:v>韓國熊貓圓形畫粉</x:v>
      </x:c>
      <x:c r="C18" s="18" t="str">
        <x:v>Round</x:v>
      </x:c>
      <x:c r="D18" s="18" t="str">
        <x:v>Consumable/Chemical</x:v>
      </x:c>
      <x:c r="E18" s="18" t="str">
        <x:v>Consumable</x:v>
      </x:c>
      <x:c r="F18" s="18" t="str">
        <x:v>Panda/Korea</x:v>
      </x:c>
      <x:c r="G18" s="18" t="str">
        <x:v>Marking</x:v>
      </x:c>
      <x:c r="H18" s="18" t="str">
        <x:v>盒</x:v>
      </x:c>
      <x:c r="I18" s="19" t="n">
        <x:v>46168</x:v>
      </x:c>
      <x:c r="J18" s="19" t="n">
        <x:v>46168</x:v>
      </x:c>
      <x:c r="K18" s="18" t="n">
        <x:v>1</x:v>
      </x:c>
      <x:c r="L18" s="18" t="n">
        <x:v>20</x:v>
      </x:c>
      <x:c r="M18" s="21" t="n">
        <x:v>36</x:v>
      </x:c>
      <x:c r="N18" s="21" t="n">
        <x:v>1.8</x:v>
      </x:c>
      <x:c r="O18" s="21" t="n">
        <x:v>1.8</x:v>
      </x:c>
      <x:c r="P18" s="21" t="n">
        <x:v>1.8</x:v>
      </x:c>
      <x:c r="Q18" s="21" t="n">
        <x:v>1.8</x:v>
      </x:c>
      <x:c r="R18" s="21" t="n">
        <x:v>1.8</x:v>
      </x:c>
      <x:c r="S18" s="40" t="n">
        <x:f>IF(N18=0,0,(O18-N18)/N18)</x:f>
        <x:v>0</x:v>
      </x:c>
      <x:c r="T18" s="21" t="n">
        <x:f>O18*1.10</x:f>
        <x:v>1.9800000000000002</x:v>
      </x:c>
      <x:c r="U18" s="18" t="str">
        <x:f>IF(K18&gt;=3,"High",IF(K18=2,"Medium","Low"))</x:f>
        <x:v>Low</x:v>
      </x:c>
      <x:c r="V18" s="18" t="str">
        <x:f>IF(S18&gt;0.10,"Price Varies",IF(K18&gt;=2,"Stable","Single Record"))</x:f>
        <x:v>Single Record</x:v>
      </x:c>
      <x:c r="W18" s="18" t="str"/>
    </x:row>
    <x:row r="19">
      <x:c r="A19" s="18" t="str">
        <x:v>CT-505C3-224-10IN</x:v>
      </x:c>
      <x:c r="B19" s="18" t="str">
        <x:v>505C3-224組 10吋</x:v>
      </x:c>
      <x:c r="C19" s="18" t="str">
        <x:v>505C3-224, 10in</x:v>
      </x:c>
      <x:c r="D19" s="18" t="str">
        <x:v>Cutting</x:v>
      </x:c>
      <x:c r="E19" s="18" t="str">
        <x:v>Spare Part</x:v>
      </x:c>
      <x:c r="F19" s="18" t="str"/>
      <x:c r="G19" s="18" t="str">
        <x:v>Cutting Machine</x:v>
      </x:c>
      <x:c r="H19" s="18" t="str">
        <x:v>個</x:v>
      </x:c>
      <x:c r="I19" s="19" t="n">
        <x:v>46042</x:v>
      </x:c>
      <x:c r="J19" s="19" t="n">
        <x:v>46042</x:v>
      </x:c>
      <x:c r="K19" s="18" t="n">
        <x:v>1</x:v>
      </x:c>
      <x:c r="L19" s="18" t="n">
        <x:v>2</x:v>
      </x:c>
      <x:c r="M19" s="21" t="n">
        <x:v>100</x:v>
      </x:c>
      <x:c r="N19" s="21" t="n">
        <x:v>50</x:v>
      </x:c>
      <x:c r="O19" s="21" t="n">
        <x:v>50</x:v>
      </x:c>
      <x:c r="P19" s="21" t="n">
        <x:v>50</x:v>
      </x:c>
      <x:c r="Q19" s="21" t="n">
        <x:v>50</x:v>
      </x:c>
      <x:c r="R19" s="21" t="n">
        <x:v>50</x:v>
      </x:c>
      <x:c r="S19" s="40" t="n">
        <x:f>IF(N19=0,0,(O19-N19)/N19)</x:f>
        <x:v>0</x:v>
      </x:c>
      <x:c r="T19" s="21" t="n">
        <x:f>O19*1.10</x:f>
        <x:v>55.00000000000001</x:v>
      </x:c>
      <x:c r="U19" s="18" t="str">
        <x:f>IF(K19&gt;=3,"High",IF(K19=2,"Medium","Low"))</x:f>
        <x:v>Low</x:v>
      </x:c>
      <x:c r="V19" s="18" t="str">
        <x:f>IF(S19&gt;0.10,"Price Varies",IF(K19&gt;=2,"Stable","Single Record"))</x:f>
        <x:v>Single Record</x:v>
      </x:c>
      <x:c r="W19" s="18" t="str">
        <x:v>原始品名保留；建議補機型與實物照片</x:v>
      </x:c>
    </x:row>
    <x:row r="20">
      <x:c r="A20" s="18" t="str">
        <x:v>SAF-METAL-GLOVE-3F-M</x:v>
      </x:c>
      <x:c r="B20" s="18" t="str">
        <x:v>三指鐵手套 M碼</x:v>
      </x:c>
      <x:c r="C20" s="18" t="str">
        <x:v>3-finger, M</x:v>
      </x:c>
      <x:c r="D20" s="18" t="str">
        <x:v>Cutting</x:v>
      </x:c>
      <x:c r="E20" s="18" t="str">
        <x:v>Tool</x:v>
      </x:c>
      <x:c r="F20" s="18" t="str"/>
      <x:c r="G20" s="18" t="str">
        <x:v>Cutting Safety</x:v>
      </x:c>
      <x:c r="H20" s="18" t="str">
        <x:v>支</x:v>
      </x:c>
      <x:c r="I20" s="19" t="n">
        <x:v>46036</x:v>
      </x:c>
      <x:c r="J20" s="19" t="n">
        <x:v>46036</x:v>
      </x:c>
      <x:c r="K20" s="18" t="n">
        <x:v>1</x:v>
      </x:c>
      <x:c r="L20" s="18" t="n">
        <x:v>10</x:v>
      </x:c>
      <x:c r="M20" s="21" t="n">
        <x:v>330</x:v>
      </x:c>
      <x:c r="N20" s="21" t="n">
        <x:v>33</x:v>
      </x:c>
      <x:c r="O20" s="21" t="n">
        <x:v>33</x:v>
      </x:c>
      <x:c r="P20" s="21" t="n">
        <x:v>33</x:v>
      </x:c>
      <x:c r="Q20" s="21" t="n">
        <x:v>33</x:v>
      </x:c>
      <x:c r="R20" s="21" t="n">
        <x:v>33</x:v>
      </x:c>
      <x:c r="S20" s="40" t="n">
        <x:f>IF(N20=0,0,(O20-N20)/N20)</x:f>
        <x:v>0</x:v>
      </x:c>
      <x:c r="T20" s="21" t="n">
        <x:f>O20*1.10</x:f>
        <x:v>36.300000000000004</x:v>
      </x:c>
      <x:c r="U20" s="18" t="str">
        <x:f>IF(K20&gt;=3,"High",IF(K20=2,"Medium","Low"))</x:f>
        <x:v>Low</x:v>
      </x:c>
      <x:c r="V20" s="18" t="str">
        <x:f>IF(S20&gt;0.10,"Price Varies",IF(K20&gt;=2,"Stable","Single Record"))</x:f>
        <x:v>Single Record</x:v>
      </x:c>
      <x:c r="W20" s="18" t="str"/>
    </x:row>
    <x:row r="21">
      <x:c r="A21" s="18" t="str">
        <x:v>CT-YUANYI-SPREADER-CHAIN</x:v>
      </x:c>
      <x:c r="B21" s="18" t="str">
        <x:v>元一自動拉布機鏈條</x:v>
      </x:c>
      <x:c r="C21" s="18" t="str">
        <x:v>Automatic Spreader</x:v>
      </x:c>
      <x:c r="D21" s="18" t="str">
        <x:v>Cutting</x:v>
      </x:c>
      <x:c r="E21" s="18" t="str">
        <x:v>Spare Part</x:v>
      </x:c>
      <x:c r="F21" s="18" t="str">
        <x:v>元一</x:v>
      </x:c>
      <x:c r="G21" s="18" t="str">
        <x:v>Cutting</x:v>
      </x:c>
      <x:c r="H21" s="18" t="str">
        <x:v>條</x:v>
      </x:c>
      <x:c r="I21" s="19" t="n">
        <x:v>46085</x:v>
      </x:c>
      <x:c r="J21" s="19" t="n">
        <x:v>46085</x:v>
      </x:c>
      <x:c r="K21" s="18" t="n">
        <x:v>1</x:v>
      </x:c>
      <x:c r="L21" s="18" t="n">
        <x:v>2</x:v>
      </x:c>
      <x:c r="M21" s="21" t="n">
        <x:v>90</x:v>
      </x:c>
      <x:c r="N21" s="21" t="n">
        <x:v>45</x:v>
      </x:c>
      <x:c r="O21" s="21" t="n">
        <x:v>45</x:v>
      </x:c>
      <x:c r="P21" s="21" t="n">
        <x:v>45</x:v>
      </x:c>
      <x:c r="Q21" s="21" t="n">
        <x:v>45</x:v>
      </x:c>
      <x:c r="R21" s="21" t="n">
        <x:v>45</x:v>
      </x:c>
      <x:c r="S21" s="40" t="n">
        <x:f>IF(N21=0,0,(O21-N21)/N21)</x:f>
        <x:v>0</x:v>
      </x:c>
      <x:c r="T21" s="21" t="n">
        <x:f>O21*1.10</x:f>
        <x:v>49.50000000000001</x:v>
      </x:c>
      <x:c r="U21" s="18" t="str">
        <x:f>IF(K21&gt;=3,"High",IF(K21=2,"Medium","Low"))</x:f>
        <x:v>Low</x:v>
      </x:c>
      <x:c r="V21" s="18" t="str">
        <x:f>IF(S21&gt;0.10,"Price Varies",IF(K21&gt;=2,"Stable","Single Record"))</x:f>
        <x:v>Single Record</x:v>
      </x:c>
      <x:c r="W21" s="18" t="str"/>
    </x:row>
    <x:row r="22">
      <x:c r="A22" s="18" t="str">
        <x:v>CT-CUTTER-BASE-SET</x:v>
      </x:c>
      <x:c r="B22" s="18" t="str">
        <x:v>裁刀底盤組</x:v>
      </x:c>
      <x:c r="C22" s="18" t="str">
        <x:v>Set</x:v>
      </x:c>
      <x:c r="D22" s="18" t="str">
        <x:v>Cutting</x:v>
      </x:c>
      <x:c r="E22" s="18" t="str">
        <x:v>Spare Part</x:v>
      </x:c>
      <x:c r="F22" s="18" t="str"/>
      <x:c r="G22" s="18" t="str">
        <x:v>Cutting Machine</x:v>
      </x:c>
      <x:c r="H22" s="18" t="str">
        <x:v>套</x:v>
      </x:c>
      <x:c r="I22" s="19" t="n">
        <x:v>46154</x:v>
      </x:c>
      <x:c r="J22" s="19" t="n">
        <x:v>46154</x:v>
      </x:c>
      <x:c r="K22" s="18" t="n">
        <x:v>1</x:v>
      </x:c>
      <x:c r="L22" s="18" t="n">
        <x:v>2</x:v>
      </x:c>
      <x:c r="M22" s="21" t="n">
        <x:v>76</x:v>
      </x:c>
      <x:c r="N22" s="21" t="n">
        <x:v>38</x:v>
      </x:c>
      <x:c r="O22" s="21" t="n">
        <x:v>38</x:v>
      </x:c>
      <x:c r="P22" s="21" t="n">
        <x:v>38</x:v>
      </x:c>
      <x:c r="Q22" s="21" t="n">
        <x:v>38</x:v>
      </x:c>
      <x:c r="R22" s="21" t="n">
        <x:v>38</x:v>
      </x:c>
      <x:c r="S22" s="40" t="n">
        <x:f>IF(N22=0,0,(O22-N22)/N22)</x:f>
        <x:v>0</x:v>
      </x:c>
      <x:c r="T22" s="21" t="n">
        <x:f>O22*1.10</x:f>
        <x:v>41.800000000000004</x:v>
      </x:c>
      <x:c r="U22" s="18" t="str">
        <x:f>IF(K22&gt;=3,"High",IF(K22=2,"Medium","Low"))</x:f>
        <x:v>Low</x:v>
      </x:c>
      <x:c r="V22" s="18" t="str">
        <x:f>IF(S22&gt;0.10,"Price Varies",IF(K22&gt;=2,"Stable","Single Record"))</x:f>
        <x:v>Single Record</x:v>
      </x:c>
      <x:c r="W22" s="18" t="str"/>
    </x:row>
    <x:row r="23">
      <x:c r="A23" s="18" t="str">
        <x:v>CT-SCISSOR-ZIGZAG-9IN</x:v>
      </x:c>
      <x:c r="B23" s="18" t="str">
        <x:v>裁床不鏽鋼齒型花邊大剪刀</x:v>
      </x:c>
      <x:c r="C23" s="18" t="str">
        <x:v>9 inch</x:v>
      </x:c>
      <x:c r="D23" s="18" t="str">
        <x:v>Cutting</x:v>
      </x:c>
      <x:c r="E23" s="18" t="str">
        <x:v>Tool</x:v>
      </x:c>
      <x:c r="F23" s="18" t="str"/>
      <x:c r="G23" s="18" t="str">
        <x:v>Cutting</x:v>
      </x:c>
      <x:c r="H23" s="18" t="str">
        <x:v>把</x:v>
      </x:c>
      <x:c r="I23" s="19" t="n">
        <x:v>46045</x:v>
      </x:c>
      <x:c r="J23" s="19" t="n">
        <x:v>46045</x:v>
      </x:c>
      <x:c r="K23" s="18" t="n">
        <x:v>1</x:v>
      </x:c>
      <x:c r="L23" s="18" t="n">
        <x:v>1</x:v>
      </x:c>
      <x:c r="M23" s="21" t="n">
        <x:v>25</x:v>
      </x:c>
      <x:c r="N23" s="21" t="n">
        <x:v>25</x:v>
      </x:c>
      <x:c r="O23" s="21" t="n">
        <x:v>25</x:v>
      </x:c>
      <x:c r="P23" s="21" t="n">
        <x:v>25</x:v>
      </x:c>
      <x:c r="Q23" s="21" t="n">
        <x:v>25</x:v>
      </x:c>
      <x:c r="R23" s="21" t="n">
        <x:v>25</x:v>
      </x:c>
      <x:c r="S23" s="40" t="n">
        <x:f>IF(N23=0,0,(O23-N23)/N23)</x:f>
        <x:v>0</x:v>
      </x:c>
      <x:c r="T23" s="21" t="n">
        <x:f>O23*1.10</x:f>
        <x:v>27.500000000000004</x:v>
      </x:c>
      <x:c r="U23" s="18" t="str">
        <x:f>IF(K23&gt;=3,"High",IF(K23=2,"Medium","Low"))</x:f>
        <x:v>Low</x:v>
      </x:c>
      <x:c r="V23" s="18" t="str">
        <x:f>IF(S23&gt;0.10,"Price Varies",IF(K23&gt;=2,"Stable","Single Record"))</x:f>
        <x:v>Single Record</x:v>
      </x:c>
      <x:c r="W23" s="18" t="str"/>
    </x:row>
    <x:row r="24">
      <x:c r="A24" s="18" t="str">
        <x:v>EL-JUKI1790-IC-BOARD</x:v>
      </x:c>
      <x:c r="B24" s="18" t="str">
        <x:v>1790電子鎖眼機 IC 主板</x:v>
      </x:c>
      <x:c r="C24" s="18" t="str">
        <x:v>JUKI 1790</x:v>
      </x:c>
      <x:c r="D24" s="18" t="str">
        <x:v>Electrical/Control</x:v>
      </x:c>
      <x:c r="E24" s="18" t="str">
        <x:v>Spare Part</x:v>
      </x:c>
      <x:c r="F24" s="18" t="str">
        <x:v>JUKI</x:v>
      </x:c>
      <x:c r="G24" s="18" t="str">
        <x:v>Buttonhole</x:v>
      </x:c>
      <x:c r="H24" s="18" t="str">
        <x:v>板</x:v>
      </x:c>
      <x:c r="I24" s="19" t="n">
        <x:v>46055</x:v>
      </x:c>
      <x:c r="J24" s="19" t="n">
        <x:v>46055</x:v>
      </x:c>
      <x:c r="K24" s="18" t="n">
        <x:v>1</x:v>
      </x:c>
      <x:c r="L24" s="18" t="n">
        <x:v>1</x:v>
      </x:c>
      <x:c r="M24" s="21" t="n">
        <x:v>120</x:v>
      </x:c>
      <x:c r="N24" s="21" t="n">
        <x:v>120</x:v>
      </x:c>
      <x:c r="O24" s="21" t="n">
        <x:v>120</x:v>
      </x:c>
      <x:c r="P24" s="21" t="n">
        <x:v>120</x:v>
      </x:c>
      <x:c r="Q24" s="21" t="n">
        <x:v>120</x:v>
      </x:c>
      <x:c r="R24" s="21" t="n">
        <x:v>120</x:v>
      </x:c>
      <x:c r="S24" s="40" t="n">
        <x:f>IF(N24=0,0,(O24-N24)/N24)</x:f>
        <x:v>0</x:v>
      </x:c>
      <x:c r="T24" s="21" t="n">
        <x:f>O24*1.10</x:f>
        <x:v>132</x:v>
      </x:c>
      <x:c r="U24" s="18" t="str">
        <x:f>IF(K24&gt;=3,"High",IF(K24=2,"Medium","Low"))</x:f>
        <x:v>Low</x:v>
      </x:c>
      <x:c r="V24" s="18" t="str">
        <x:f>IF(S24&gt;0.10,"Price Varies",IF(K24&gt;=2,"Stable","Single Record"))</x:f>
        <x:v>Single Record</x:v>
      </x:c>
      <x:c r="W24" s="18" t="str"/>
    </x:row>
    <x:row r="25">
      <x:c r="A25" s="18" t="str">
        <x:v>EL-TSM600-HIGH-TEMP-MOTOR</x:v>
      </x:c>
      <x:c r="B25" s="18" t="str">
        <x:v>600型燙襯機大溫電機</x:v>
      </x:c>
      <x:c r="C25" s="18" t="str">
        <x:v>TSM-600</x:v>
      </x:c>
      <x:c r="D25" s="18" t="str">
        <x:v>Electrical/Control</x:v>
      </x:c>
      <x:c r="E25" s="18" t="str">
        <x:v>Spare Part</x:v>
      </x:c>
      <x:c r="F25" s="18" t="str"/>
      <x:c r="G25" s="18" t="str">
        <x:v>TSM-600 Fusing Machine</x:v>
      </x:c>
      <x:c r="H25" s="18" t="str">
        <x:v>個</x:v>
      </x:c>
      <x:c r="I25" s="19" t="n">
        <x:v>46006</x:v>
      </x:c>
      <x:c r="J25" s="19" t="n">
        <x:v>46006</x:v>
      </x:c>
      <x:c r="K25" s="18" t="n">
        <x:v>1</x:v>
      </x:c>
      <x:c r="L25" s="18" t="n">
        <x:v>1</x:v>
      </x:c>
      <x:c r="M25" s="21" t="n">
        <x:v>18</x:v>
      </x:c>
      <x:c r="N25" s="21" t="n">
        <x:v>18</x:v>
      </x:c>
      <x:c r="O25" s="21" t="n">
        <x:v>18</x:v>
      </x:c>
      <x:c r="P25" s="21" t="n">
        <x:v>18</x:v>
      </x:c>
      <x:c r="Q25" s="21" t="n">
        <x:v>18</x:v>
      </x:c>
      <x:c r="R25" s="21" t="n">
        <x:v>18</x:v>
      </x:c>
      <x:c r="S25" s="40" t="n">
        <x:f>IF(N25=0,0,(O25-N25)/N25)</x:f>
        <x:v>0</x:v>
      </x:c>
      <x:c r="T25" s="21" t="n">
        <x:f>O25*1.10</x:f>
        <x:v>19.8</x:v>
      </x:c>
      <x:c r="U25" s="18" t="str">
        <x:f>IF(K25&gt;=3,"High",IF(K25=2,"Medium","Low"))</x:f>
        <x:v>Low</x:v>
      </x:c>
      <x:c r="V25" s="18" t="str">
        <x:f>IF(S25&gt;0.10,"Price Varies",IF(K25&gt;=2,"Stable","Single Record"))</x:f>
        <x:v>Single Record</x:v>
      </x:c>
      <x:c r="W25" s="18" t="str">
        <x:v>原始品名較不常見，建議以實物或供應商料號確認</x:v>
      </x:c>
    </x:row>
    <x:row r="26">
      <x:c r="A26" s="18" t="str">
        <x:v>EL-TSM600-SOCKET</x:v>
      </x:c>
      <x:c r="B26" s="18" t="str">
        <x:v>600型燙襯機接電座</x:v>
      </x:c>
      <x:c r="C26" s="18" t="str">
        <x:v>TSM-600</x:v>
      </x:c>
      <x:c r="D26" s="18" t="str">
        <x:v>Electrical/Control</x:v>
      </x:c>
      <x:c r="E26" s="18" t="str">
        <x:v>Spare Part</x:v>
      </x:c>
      <x:c r="F26" s="18" t="str"/>
      <x:c r="G26" s="18" t="str">
        <x:v>TSM-600 Fusing Machine</x:v>
      </x:c>
      <x:c r="H26" s="18" t="str">
        <x:v>個</x:v>
      </x:c>
      <x:c r="I26" s="19" t="n">
        <x:v>46006</x:v>
      </x:c>
      <x:c r="J26" s="19" t="n">
        <x:v>46006</x:v>
      </x:c>
      <x:c r="K26" s="18" t="n">
        <x:v>1</x:v>
      </x:c>
      <x:c r="L26" s="18" t="n">
        <x:v>1</x:v>
      </x:c>
      <x:c r="M26" s="21" t="n">
        <x:v>5</x:v>
      </x:c>
      <x:c r="N26" s="21" t="n">
        <x:v>5</x:v>
      </x:c>
      <x:c r="O26" s="21" t="n">
        <x:v>5</x:v>
      </x:c>
      <x:c r="P26" s="21" t="n">
        <x:v>5</x:v>
      </x:c>
      <x:c r="Q26" s="21" t="n">
        <x:v>5</x:v>
      </x:c>
      <x:c r="R26" s="21" t="n">
        <x:v>5</x:v>
      </x:c>
      <x:c r="S26" s="40" t="n">
        <x:f>IF(N26=0,0,(O26-N26)/N26)</x:f>
        <x:v>0</x:v>
      </x:c>
      <x:c r="T26" s="21" t="n">
        <x:f>O26*1.10</x:f>
        <x:v>5.5</x:v>
      </x:c>
      <x:c r="U26" s="18" t="str">
        <x:f>IF(K26&gt;=3,"High",IF(K26=2,"Medium","Low"))</x:f>
        <x:v>Low</x:v>
      </x:c>
      <x:c r="V26" s="18" t="str">
        <x:f>IF(S26&gt;0.10,"Price Varies",IF(K26&gt;=2,"Stable","Single Record"))</x:f>
        <x:v>Single Record</x:v>
      </x:c>
      <x:c r="W26" s="18" t="str"/>
    </x:row>
    <x:row r="27">
      <x:c r="A27" s="18" t="str">
        <x:v>EL-TSM600-REGULATOR</x:v>
      </x:c>
      <x:c r="B27" s="18" t="str">
        <x:v>600型燙襯機調電器</x:v>
      </x:c>
      <x:c r="C27" s="18" t="str">
        <x:v>TSM-600</x:v>
      </x:c>
      <x:c r="D27" s="18" t="str">
        <x:v>Electrical/Control</x:v>
      </x:c>
      <x:c r="E27" s="18" t="str">
        <x:v>Spare Part</x:v>
      </x:c>
      <x:c r="F27" s="18" t="str"/>
      <x:c r="G27" s="18" t="str">
        <x:v>TSM-600 Fusing Machine</x:v>
      </x:c>
      <x:c r="H27" s="18" t="str">
        <x:v>個</x:v>
      </x:c>
      <x:c r="I27" s="19" t="n">
        <x:v>46006</x:v>
      </x:c>
      <x:c r="J27" s="19" t="n">
        <x:v>46006</x:v>
      </x:c>
      <x:c r="K27" s="18" t="n">
        <x:v>1</x:v>
      </x:c>
      <x:c r="L27" s="18" t="n">
        <x:v>1</x:v>
      </x:c>
      <x:c r="M27" s="21" t="n">
        <x:v>12</x:v>
      </x:c>
      <x:c r="N27" s="21" t="n">
        <x:v>12</x:v>
      </x:c>
      <x:c r="O27" s="21" t="n">
        <x:v>12</x:v>
      </x:c>
      <x:c r="P27" s="21" t="n">
        <x:v>12</x:v>
      </x:c>
      <x:c r="Q27" s="21" t="n">
        <x:v>12</x:v>
      </x:c>
      <x:c r="R27" s="21" t="n">
        <x:v>12</x:v>
      </x:c>
      <x:c r="S27" s="40" t="n">
        <x:f>IF(N27=0,0,(O27-N27)/N27)</x:f>
        <x:v>0</x:v>
      </x:c>
      <x:c r="T27" s="21" t="n">
        <x:f>O27*1.10</x:f>
        <x:v>13.200000000000001</x:v>
      </x:c>
      <x:c r="U27" s="18" t="str">
        <x:f>IF(K27&gt;=3,"High",IF(K27=2,"Medium","Low"))</x:f>
        <x:v>Low</x:v>
      </x:c>
      <x:c r="V27" s="18" t="str">
        <x:f>IF(S27&gt;0.10,"Price Varies",IF(K27&gt;=2,"Stable","Single Record"))</x:f>
        <x:v>Single Record</x:v>
      </x:c>
      <x:c r="W27" s="18" t="str"/>
    </x:row>
    <x:row r="28">
      <x:c r="A28" s="18" t="str">
        <x:v>EL-TSM600-HEATER-BLOCK</x:v>
      </x:c>
      <x:c r="B28" s="18" t="str">
        <x:v>600型燙襯機電塊</x:v>
      </x:c>
      <x:c r="C28" s="18" t="str">
        <x:v>TSM-600</x:v>
      </x:c>
      <x:c r="D28" s="18" t="str">
        <x:v>Electrical/Control</x:v>
      </x:c>
      <x:c r="E28" s="18" t="str">
        <x:v>Spare Part</x:v>
      </x:c>
      <x:c r="F28" s="18" t="str"/>
      <x:c r="G28" s="18" t="str">
        <x:v>TSM-600 Fusing Machine</x:v>
      </x:c>
      <x:c r="H28" s="18" t="str">
        <x:v>個</x:v>
      </x:c>
      <x:c r="I28" s="19" t="n">
        <x:v>46006</x:v>
      </x:c>
      <x:c r="J28" s="19" t="n">
        <x:v>46006</x:v>
      </x:c>
      <x:c r="K28" s="18" t="n">
        <x:v>1</x:v>
      </x:c>
      <x:c r="L28" s="18" t="n">
        <x:v>1</x:v>
      </x:c>
      <x:c r="M28" s="21" t="n">
        <x:v>25</x:v>
      </x:c>
      <x:c r="N28" s="21" t="n">
        <x:v>25</x:v>
      </x:c>
      <x:c r="O28" s="21" t="n">
        <x:v>25</x:v>
      </x:c>
      <x:c r="P28" s="21" t="n">
        <x:v>25</x:v>
      </x:c>
      <x:c r="Q28" s="21" t="n">
        <x:v>25</x:v>
      </x:c>
      <x:c r="R28" s="21" t="n">
        <x:v>25</x:v>
      </x:c>
      <x:c r="S28" s="40" t="n">
        <x:f>IF(N28=0,0,(O28-N28)/N28)</x:f>
        <x:v>0</x:v>
      </x:c>
      <x:c r="T28" s="21" t="n">
        <x:f>O28*1.10</x:f>
        <x:v>27.500000000000004</x:v>
      </x:c>
      <x:c r="U28" s="18" t="str">
        <x:f>IF(K28&gt;=3,"High",IF(K28=2,"Medium","Low"))</x:f>
        <x:v>Low</x:v>
      </x:c>
      <x:c r="V28" s="18" t="str">
        <x:f>IF(S28&gt;0.10,"Price Varies",IF(K28&gt;=2,"Stable","Single Record"))</x:f>
        <x:v>Single Record</x:v>
      </x:c>
      <x:c r="W28" s="18" t="str"/>
    </x:row>
    <x:row r="29">
      <x:c r="A29" s="18" t="str">
        <x:v>EL-JUKI7000A-SCREEN-FILM</x:v>
      </x:c>
      <x:c r="B29" s="18" t="str">
        <x:v>JUKI-7000A 螢幕貼</x:v>
      </x:c>
      <x:c r="C29" s="18" t="str">
        <x:v>7000A</x:v>
      </x:c>
      <x:c r="D29" s="18" t="str">
        <x:v>Electrical/Control</x:v>
      </x:c>
      <x:c r="E29" s="18" t="str">
        <x:v>Consumable</x:v>
      </x:c>
      <x:c r="F29" s="18" t="str">
        <x:v>JUKI</x:v>
      </x:c>
      <x:c r="G29" s="18" t="str">
        <x:v>Single Needle</x:v>
      </x:c>
      <x:c r="H29" s="18" t="str">
        <x:v>個</x:v>
      </x:c>
      <x:c r="I29" s="19" t="n">
        <x:v>46135</x:v>
      </x:c>
      <x:c r="J29" s="19" t="n">
        <x:v>46135</x:v>
      </x:c>
      <x:c r="K29" s="18" t="n">
        <x:v>1</x:v>
      </x:c>
      <x:c r="L29" s="18" t="n">
        <x:v>10</x:v>
      </x:c>
      <x:c r="M29" s="21" t="n">
        <x:v>60</x:v>
      </x:c>
      <x:c r="N29" s="21" t="n">
        <x:v>6</x:v>
      </x:c>
      <x:c r="O29" s="21" t="n">
        <x:v>6</x:v>
      </x:c>
      <x:c r="P29" s="21" t="n">
        <x:v>6</x:v>
      </x:c>
      <x:c r="Q29" s="21" t="n">
        <x:v>6</x:v>
      </x:c>
      <x:c r="R29" s="21" t="n">
        <x:v>6</x:v>
      </x:c>
      <x:c r="S29" s="40" t="n">
        <x:f>IF(N29=0,0,(O29-N29)/N29)</x:f>
        <x:v>0</x:v>
      </x:c>
      <x:c r="T29" s="21" t="n">
        <x:f>O29*1.10</x:f>
        <x:v>6.6000000000000005</x:v>
      </x:c>
      <x:c r="U29" s="18" t="str">
        <x:f>IF(K29&gt;=3,"High",IF(K29=2,"Medium","Low"))</x:f>
        <x:v>Low</x:v>
      </x:c>
      <x:c r="V29" s="18" t="str">
        <x:f>IF(S29&gt;0.10,"Price Varies",IF(K29&gt;=2,"Stable","Single Record"))</x:f>
        <x:v>Single Record</x:v>
      </x:c>
      <x:c r="W29" s="18" t="str"/>
    </x:row>
    <x:row r="30">
      <x:c r="A30" s="18" t="str">
        <x:v>EL-JUKI8700A-SCREEN-FILM</x:v>
      </x:c>
      <x:c r="B30" s="18" t="str">
        <x:v>JUKI-8700A 螢幕貼</x:v>
      </x:c>
      <x:c r="C30" s="18" t="str">
        <x:v>8700A</x:v>
      </x:c>
      <x:c r="D30" s="18" t="str">
        <x:v>Electrical/Control</x:v>
      </x:c>
      <x:c r="E30" s="18" t="str">
        <x:v>Consumable</x:v>
      </x:c>
      <x:c r="F30" s="18" t="str">
        <x:v>JUKI</x:v>
      </x:c>
      <x:c r="G30" s="18" t="str">
        <x:v>Single Needle</x:v>
      </x:c>
      <x:c r="H30" s="18" t="str">
        <x:v>個</x:v>
      </x:c>
      <x:c r="I30" s="19" t="n">
        <x:v>46135</x:v>
      </x:c>
      <x:c r="J30" s="19" t="n">
        <x:v>46135</x:v>
      </x:c>
      <x:c r="K30" s="18" t="n">
        <x:v>1</x:v>
      </x:c>
      <x:c r="L30" s="18" t="n">
        <x:v>10</x:v>
      </x:c>
      <x:c r="M30" s="21" t="n">
        <x:v>58</x:v>
      </x:c>
      <x:c r="N30" s="21" t="n">
        <x:v>5.8</x:v>
      </x:c>
      <x:c r="O30" s="21" t="n">
        <x:v>5.8</x:v>
      </x:c>
      <x:c r="P30" s="21" t="n">
        <x:v>5.8</x:v>
      </x:c>
      <x:c r="Q30" s="21" t="n">
        <x:v>5.8</x:v>
      </x:c>
      <x:c r="R30" s="21" t="n">
        <x:v>5.8</x:v>
      </x:c>
      <x:c r="S30" s="40" t="n">
        <x:f>IF(N30=0,0,(O30-N30)/N30)</x:f>
        <x:v>0</x:v>
      </x:c>
      <x:c r="T30" s="21" t="n">
        <x:f>O30*1.10</x:f>
        <x:v>6.38</x:v>
      </x:c>
      <x:c r="U30" s="18" t="str">
        <x:f>IF(K30&gt;=3,"High",IF(K30=2,"Medium","Low"))</x:f>
        <x:v>Low</x:v>
      </x:c>
      <x:c r="V30" s="18" t="str">
        <x:f>IF(S30&gt;0.10,"Price Varies",IF(K30&gt;=2,"Stable","Single Record"))</x:f>
        <x:v>Single Record</x:v>
      </x:c>
      <x:c r="W30" s="18" t="str"/>
    </x:row>
    <x:row r="31">
      <x:c r="A31" s="18" t="str">
        <x:v>EL-TSM600-TEMP-CONTROLLER</x:v>
      </x:c>
      <x:c r="B31" s="18" t="str">
        <x:v>TSM-600燙襯機溫控器</x:v>
      </x:c>
      <x:c r="C31" s="18" t="str">
        <x:v>TSM-600</x:v>
      </x:c>
      <x:c r="D31" s="18" t="str">
        <x:v>Electrical/Control</x:v>
      </x:c>
      <x:c r="E31" s="18" t="str">
        <x:v>Spare Part</x:v>
      </x:c>
      <x:c r="F31" s="18" t="str"/>
      <x:c r="G31" s="18" t="str">
        <x:v>TSM-600 Fusing Machine</x:v>
      </x:c>
      <x:c r="H31" s="18" t="str">
        <x:v>個</x:v>
      </x:c>
      <x:c r="I31" s="19" t="n">
        <x:v>46006</x:v>
      </x:c>
      <x:c r="J31" s="19" t="n">
        <x:v>46006</x:v>
      </x:c>
      <x:c r="K31" s="18" t="n">
        <x:v>1</x:v>
      </x:c>
      <x:c r="L31" s="18" t="n">
        <x:v>1</x:v>
      </x:c>
      <x:c r="M31" s="21" t="n">
        <x:v>69</x:v>
      </x:c>
      <x:c r="N31" s="21" t="n">
        <x:v>69</x:v>
      </x:c>
      <x:c r="O31" s="21" t="n">
        <x:v>69</x:v>
      </x:c>
      <x:c r="P31" s="21" t="n">
        <x:v>69</x:v>
      </x:c>
      <x:c r="Q31" s="21" t="n">
        <x:v>69</x:v>
      </x:c>
      <x:c r="R31" s="21" t="n">
        <x:v>69</x:v>
      </x:c>
      <x:c r="S31" s="40" t="n">
        <x:f>IF(N31=0,0,(O31-N31)/N31)</x:f>
        <x:v>0</x:v>
      </x:c>
      <x:c r="T31" s="21" t="n">
        <x:f>O31*1.10</x:f>
        <x:v>75.9</x:v>
      </x:c>
      <x:c r="U31" s="18" t="str">
        <x:f>IF(K31&gt;=3,"High",IF(K31=2,"Medium","Low"))</x:f>
        <x:v>Low</x:v>
      </x:c>
      <x:c r="V31" s="18" t="str">
        <x:f>IF(S31&gt;0.10,"Price Varies",IF(K31&gt;=2,"Stable","Single Record"))</x:f>
        <x:v>Single Record</x:v>
      </x:c>
      <x:c r="W31" s="18" t="str"/>
    </x:row>
    <x:row r="32">
      <x:c r="A32" s="18" t="str">
        <x:v>EL-TSM600-SIDE-SWITCH</x:v>
      </x:c>
      <x:c r="B32" s="18" t="str">
        <x:v>TSM-600燙襯機邊開關</x:v>
      </x:c>
      <x:c r="C32" s="18" t="str">
        <x:v>TSM-600</x:v>
      </x:c>
      <x:c r="D32" s="18" t="str">
        <x:v>Electrical/Control</x:v>
      </x:c>
      <x:c r="E32" s="18" t="str">
        <x:v>Spare Part</x:v>
      </x:c>
      <x:c r="F32" s="18" t="str"/>
      <x:c r="G32" s="18" t="str">
        <x:v>TSM-600 Fusing Machine</x:v>
      </x:c>
      <x:c r="H32" s="18" t="str">
        <x:v>個</x:v>
      </x:c>
      <x:c r="I32" s="19" t="n">
        <x:v>46006</x:v>
      </x:c>
      <x:c r="J32" s="19" t="n">
        <x:v>46006</x:v>
      </x:c>
      <x:c r="K32" s="18" t="n">
        <x:v>1</x:v>
      </x:c>
      <x:c r="L32" s="18" t="n">
        <x:v>4</x:v>
      </x:c>
      <x:c r="M32" s="21" t="n">
        <x:v>10</x:v>
      </x:c>
      <x:c r="N32" s="21" t="n">
        <x:v>2.5</x:v>
      </x:c>
      <x:c r="O32" s="21" t="n">
        <x:v>2.5</x:v>
      </x:c>
      <x:c r="P32" s="21" t="n">
        <x:v>2.5</x:v>
      </x:c>
      <x:c r="Q32" s="21" t="n">
        <x:v>2.5</x:v>
      </x:c>
      <x:c r="R32" s="21" t="n">
        <x:v>2.5</x:v>
      </x:c>
      <x:c r="S32" s="40" t="n">
        <x:f>IF(N32=0,0,(O32-N32)/N32)</x:f>
        <x:v>0</x:v>
      </x:c>
      <x:c r="T32" s="21" t="n">
        <x:f>O32*1.10</x:f>
        <x:v>2.75</x:v>
      </x:c>
      <x:c r="U32" s="18" t="str">
        <x:f>IF(K32&gt;=3,"High",IF(K32=2,"Medium","Low"))</x:f>
        <x:v>Low</x:v>
      </x:c>
      <x:c r="V32" s="18" t="str">
        <x:f>IF(S32&gt;0.10,"Price Varies",IF(K32&gt;=2,"Stable","Single Record"))</x:f>
        <x:v>Single Record</x:v>
      </x:c>
      <x:c r="W32" s="18" t="str"/>
    </x:row>
    <x:row r="33">
      <x:c r="A33" s="18" t="str">
        <x:v>EL-YUANYI-SPREADER-SIGNAL-CABLE</x:v>
      </x:c>
      <x:c r="B33" s="18" t="str">
        <x:v>元一自動拉布機信號線</x:v>
      </x:c>
      <x:c r="C33" s="18" t="str">
        <x:v>Automatic Spreader</x:v>
      </x:c>
      <x:c r="D33" s="18" t="str">
        <x:v>Electrical/Control</x:v>
      </x:c>
      <x:c r="E33" s="18" t="str">
        <x:v>Spare Part</x:v>
      </x:c>
      <x:c r="F33" s="18" t="str">
        <x:v>元一</x:v>
      </x:c>
      <x:c r="G33" s="18" t="str">
        <x:v>Cutting</x:v>
      </x:c>
      <x:c r="H33" s="18" t="str">
        <x:v>條</x:v>
      </x:c>
      <x:c r="I33" s="19" t="n">
        <x:v>46085</x:v>
      </x:c>
      <x:c r="J33" s="19" t="n">
        <x:v>46085</x:v>
      </x:c>
      <x:c r="K33" s="18" t="n">
        <x:v>1</x:v>
      </x:c>
      <x:c r="L33" s="18" t="n">
        <x:v>2</x:v>
      </x:c>
      <x:c r="M33" s="21" t="n">
        <x:v>90</x:v>
      </x:c>
      <x:c r="N33" s="21" t="n">
        <x:v>45</x:v>
      </x:c>
      <x:c r="O33" s="21" t="n">
        <x:v>45</x:v>
      </x:c>
      <x:c r="P33" s="21" t="n">
        <x:v>45</x:v>
      </x:c>
      <x:c r="Q33" s="21" t="n">
        <x:v>45</x:v>
      </x:c>
      <x:c r="R33" s="21" t="n">
        <x:v>45</x:v>
      </x:c>
      <x:c r="S33" s="40" t="n">
        <x:f>IF(N33=0,0,(O33-N33)/N33)</x:f>
        <x:v>0</x:v>
      </x:c>
      <x:c r="T33" s="21" t="n">
        <x:f>O33*1.10</x:f>
        <x:v>49.50000000000001</x:v>
      </x:c>
      <x:c r="U33" s="18" t="str">
        <x:f>IF(K33&gt;=3,"High",IF(K33=2,"Medium","Low"))</x:f>
        <x:v>Low</x:v>
      </x:c>
      <x:c r="V33" s="18" t="str">
        <x:f>IF(S33&gt;0.10,"Price Varies",IF(K33&gt;=2,"Stable","Single Record"))</x:f>
        <x:v>Single Record</x:v>
      </x:c>
      <x:c r="W33" s="18" t="str"/>
    </x:row>
    <x:row r="34">
      <x:c r="A34" s="18" t="str">
        <x:v>EL-YUANYI-SPREADER-EXT-CABLE</x:v>
      </x:c>
      <x:c r="B34" s="18" t="str">
        <x:v>元一自動拉布機行程電磁延長信號線</x:v>
      </x:c>
      <x:c r="C34" s="18" t="str">
        <x:v>Automatic Spreader</x:v>
      </x:c>
      <x:c r="D34" s="18" t="str">
        <x:v>Electrical/Control</x:v>
      </x:c>
      <x:c r="E34" s="18" t="str">
        <x:v>Spare Part</x:v>
      </x:c>
      <x:c r="F34" s="18" t="str">
        <x:v>元一</x:v>
      </x:c>
      <x:c r="G34" s="18" t="str">
        <x:v>Cutting</x:v>
      </x:c>
      <x:c r="H34" s="18" t="str">
        <x:v>條</x:v>
      </x:c>
      <x:c r="I34" s="19" t="n">
        <x:v>46085</x:v>
      </x:c>
      <x:c r="J34" s="19" t="n">
        <x:v>46085</x:v>
      </x:c>
      <x:c r="K34" s="18" t="n">
        <x:v>1</x:v>
      </x:c>
      <x:c r="L34" s="18" t="n">
        <x:v>1</x:v>
      </x:c>
      <x:c r="M34" s="21" t="n">
        <x:v>65</x:v>
      </x:c>
      <x:c r="N34" s="21" t="n">
        <x:v>65</x:v>
      </x:c>
      <x:c r="O34" s="21" t="n">
        <x:v>65</x:v>
      </x:c>
      <x:c r="P34" s="21" t="n">
        <x:v>65</x:v>
      </x:c>
      <x:c r="Q34" s="21" t="n">
        <x:v>65</x:v>
      </x:c>
      <x:c r="R34" s="21" t="n">
        <x:v>65</x:v>
      </x:c>
      <x:c r="S34" s="40" t="n">
        <x:f>IF(N34=0,0,(O34-N34)/N34)</x:f>
        <x:v>0</x:v>
      </x:c>
      <x:c r="T34" s="21" t="n">
        <x:f>O34*1.10</x:f>
        <x:v>71.5</x:v>
      </x:c>
      <x:c r="U34" s="18" t="str">
        <x:f>IF(K34&gt;=3,"High",IF(K34=2,"Medium","Low"))</x:f>
        <x:v>Low</x:v>
      </x:c>
      <x:c r="V34" s="18" t="str">
        <x:f>IF(S34&gt;0.10,"Price Varies",IF(K34&gt;=2,"Stable","Single Record"))</x:f>
        <x:v>Single Record</x:v>
      </x:c>
      <x:c r="W34" s="18" t="str"/>
    </x:row>
    <x:row r="35">
      <x:c r="A35" s="18" t="str">
        <x:v>EL-YUANYI-SPREADER-RAIL</x:v>
      </x:c>
      <x:c r="B35" s="18" t="str">
        <x:v>元一自動拉布機電滑軌</x:v>
      </x:c>
      <x:c r="C35" s="18" t="str">
        <x:v>Automatic Spreader</x:v>
      </x:c>
      <x:c r="D35" s="18" t="str">
        <x:v>Electrical/Control</x:v>
      </x:c>
      <x:c r="E35" s="18" t="str">
        <x:v>Spare Part</x:v>
      </x:c>
      <x:c r="F35" s="18" t="str">
        <x:v>元一</x:v>
      </x:c>
      <x:c r="G35" s="18" t="str">
        <x:v>Cutting</x:v>
      </x:c>
      <x:c r="H35" s="18" t="str">
        <x:v>台</x:v>
      </x:c>
      <x:c r="I35" s="19" t="n">
        <x:v>46085</x:v>
      </x:c>
      <x:c r="J35" s="19" t="n">
        <x:v>46085</x:v>
      </x:c>
      <x:c r="K35" s="18" t="n">
        <x:v>1</x:v>
      </x:c>
      <x:c r="L35" s="18" t="n">
        <x:v>2</x:v>
      </x:c>
      <x:c r="M35" s="21" t="n">
        <x:v>190</x:v>
      </x:c>
      <x:c r="N35" s="21" t="n">
        <x:v>95</x:v>
      </x:c>
      <x:c r="O35" s="21" t="n">
        <x:v>95</x:v>
      </x:c>
      <x:c r="P35" s="21" t="n">
        <x:v>95</x:v>
      </x:c>
      <x:c r="Q35" s="21" t="n">
        <x:v>95</x:v>
      </x:c>
      <x:c r="R35" s="21" t="n">
        <x:v>95</x:v>
      </x:c>
      <x:c r="S35" s="40" t="n">
        <x:f>IF(N35=0,0,(O35-N35)/N35)</x:f>
        <x:v>0</x:v>
      </x:c>
      <x:c r="T35" s="21" t="n">
        <x:f>O35*1.10</x:f>
        <x:v>104.50000000000001</x:v>
      </x:c>
      <x:c r="U35" s="18" t="str">
        <x:f>IF(K35&gt;=3,"High",IF(K35=2,"Medium","Low"))</x:f>
        <x:v>Low</x:v>
      </x:c>
      <x:c r="V35" s="18" t="str">
        <x:f>IF(S35&gt;0.10,"Price Varies",IF(K35&gt;=2,"Stable","Single Record"))</x:f>
        <x:v>Single Record</x:v>
      </x:c>
      <x:c r="W35" s="18" t="str"/>
    </x:row>
    <x:row r="36">
      <x:c r="A36" s="18" t="str">
        <x:v>EL-SOLDERING-HEATER-150W-TW</x:v>
      </x:c>
      <x:c r="B36" s="18" t="str">
        <x:v>台灣產電烙鐵發熱芯</x:v>
      </x:c>
      <x:c r="C36" s="18" t="str">
        <x:v>150W</x:v>
      </x:c>
      <x:c r="D36" s="18" t="str">
        <x:v>Electrical/Control</x:v>
      </x:c>
      <x:c r="E36" s="18" t="str">
        <x:v>Spare Part</x:v>
      </x:c>
      <x:c r="F36" s="18" t="str">
        <x:v>Taiwan</x:v>
      </x:c>
      <x:c r="G36" s="18" t="str">
        <x:v>Electrical</x:v>
      </x:c>
      <x:c r="H36" s="18" t="str">
        <x:v>支</x:v>
      </x:c>
      <x:c r="I36" s="19" t="n">
        <x:v>46181</x:v>
      </x:c>
      <x:c r="J36" s="19" t="n">
        <x:v>46181</x:v>
      </x:c>
      <x:c r="K36" s="18" t="n">
        <x:v>1</x:v>
      </x:c>
      <x:c r="L36" s="18" t="n">
        <x:v>5</x:v>
      </x:c>
      <x:c r="M36" s="21" t="n">
        <x:v>35</x:v>
      </x:c>
      <x:c r="N36" s="21" t="n">
        <x:v>7</x:v>
      </x:c>
      <x:c r="O36" s="21" t="n">
        <x:v>7</x:v>
      </x:c>
      <x:c r="P36" s="21" t="n">
        <x:v>7</x:v>
      </x:c>
      <x:c r="Q36" s="21" t="n">
        <x:v>7</x:v>
      </x:c>
      <x:c r="R36" s="21" t="n">
        <x:v>7</x:v>
      </x:c>
      <x:c r="S36" s="40" t="n">
        <x:f>IF(N36=0,0,(O36-N36)/N36)</x:f>
        <x:v>0</x:v>
      </x:c>
      <x:c r="T36" s="21" t="n">
        <x:f>O36*1.10</x:f>
        <x:v>7.700000000000001</x:v>
      </x:c>
      <x:c r="U36" s="18" t="str">
        <x:f>IF(K36&gt;=3,"High",IF(K36=2,"Medium","Low"))</x:f>
        <x:v>Low</x:v>
      </x:c>
      <x:c r="V36" s="18" t="str">
        <x:f>IF(S36&gt;0.10,"Price Varies",IF(K36&gt;=2,"Stable","Single Record"))</x:f>
        <x:v>Single Record</x:v>
      </x:c>
      <x:c r="W36" s="18" t="str"/>
    </x:row>
    <x:row r="37">
      <x:c r="A37" s="18" t="str">
        <x:v>EL-SOLDERING-IRON-TIP-TW</x:v>
      </x:c>
      <x:c r="B37" s="18" t="str">
        <x:v>台灣電烙鐵頭</x:v>
      </x:c>
      <x:c r="C37" s="18" t="str">
        <x:v>Tip</x:v>
      </x:c>
      <x:c r="D37" s="18" t="str">
        <x:v>Electrical/Control</x:v>
      </x:c>
      <x:c r="E37" s="18" t="str">
        <x:v>Spare Part</x:v>
      </x:c>
      <x:c r="F37" s="18" t="str">
        <x:v>Taiwan</x:v>
      </x:c>
      <x:c r="G37" s="18" t="str">
        <x:v>Electrical</x:v>
      </x:c>
      <x:c r="H37" s="18" t="str">
        <x:v>支</x:v>
      </x:c>
      <x:c r="I37" s="19" t="n">
        <x:v>46181</x:v>
      </x:c>
      <x:c r="J37" s="19" t="n">
        <x:v>46181</x:v>
      </x:c>
      <x:c r="K37" s="18" t="n">
        <x:v>1</x:v>
      </x:c>
      <x:c r="L37" s="18" t="n">
        <x:v>2</x:v>
      </x:c>
      <x:c r="M37" s="21" t="n">
        <x:v>12</x:v>
      </x:c>
      <x:c r="N37" s="21" t="n">
        <x:v>6</x:v>
      </x:c>
      <x:c r="O37" s="21" t="n">
        <x:v>6</x:v>
      </x:c>
      <x:c r="P37" s="21" t="n">
        <x:v>6</x:v>
      </x:c>
      <x:c r="Q37" s="21" t="n">
        <x:v>6</x:v>
      </x:c>
      <x:c r="R37" s="21" t="n">
        <x:v>6</x:v>
      </x:c>
      <x:c r="S37" s="40" t="n">
        <x:f>IF(N37=0,0,(O37-N37)/N37)</x:f>
        <x:v>0</x:v>
      </x:c>
      <x:c r="T37" s="21" t="n">
        <x:f>O37*1.10</x:f>
        <x:v>6.6000000000000005</x:v>
      </x:c>
      <x:c r="U37" s="18" t="str">
        <x:f>IF(K37&gt;=3,"High",IF(K37=2,"Medium","Low"))</x:f>
        <x:v>Low</x:v>
      </x:c>
      <x:c r="V37" s="18" t="str">
        <x:f>IF(S37&gt;0.10,"Price Varies",IF(K37&gt;=2,"Stable","Single Record"))</x:f>
        <x:v>Single Record</x:v>
      </x:c>
      <x:c r="W37" s="18" t="str"/>
    </x:row>
    <x:row r="38">
      <x:c r="A38" s="18" t="str">
        <x:v>EL-TECO-STARTER-SWITCH-JP</x:v>
      </x:c>
      <x:c r="B38" s="18" t="str">
        <x:v>東元啟動組合開關（日本）</x:v>
      </x:c>
      <x:c r="C38" s="18" t="str">
        <x:v>Starter Combination</x:v>
      </x:c>
      <x:c r="D38" s="18" t="str">
        <x:v>Electrical/Control</x:v>
      </x:c>
      <x:c r="E38" s="18" t="str">
        <x:v>Spare Part</x:v>
      </x:c>
      <x:c r="F38" s="18" t="str">
        <x:v>TECO/東元</x:v>
      </x:c>
      <x:c r="G38" s="18" t="str">
        <x:v>Motor Control</x:v>
      </x:c>
      <x:c r="H38" s="18" t="str">
        <x:v>組</x:v>
      </x:c>
      <x:c r="I38" s="19" t="n">
        <x:v>46102</x:v>
      </x:c>
      <x:c r="J38" s="19" t="n">
        <x:v>46102</x:v>
      </x:c>
      <x:c r="K38" s="18" t="n">
        <x:v>1</x:v>
      </x:c>
      <x:c r="L38" s="18" t="n">
        <x:v>10</x:v>
      </x:c>
      <x:c r="M38" s="21" t="n">
        <x:v>285</x:v>
      </x:c>
      <x:c r="N38" s="21" t="n">
        <x:v>28.5</x:v>
      </x:c>
      <x:c r="O38" s="21" t="n">
        <x:v>28.5</x:v>
      </x:c>
      <x:c r="P38" s="21" t="n">
        <x:v>28.5</x:v>
      </x:c>
      <x:c r="Q38" s="21" t="n">
        <x:v>28.5</x:v>
      </x:c>
      <x:c r="R38" s="21" t="n">
        <x:v>28.5</x:v>
      </x:c>
      <x:c r="S38" s="40" t="n">
        <x:f>IF(N38=0,0,(O38-N38)/N38)</x:f>
        <x:v>0</x:v>
      </x:c>
      <x:c r="T38" s="21" t="n">
        <x:f>O38*1.10</x:f>
        <x:v>31.35</x:v>
      </x:c>
      <x:c r="U38" s="18" t="str">
        <x:f>IF(K38&gt;=3,"High",IF(K38=2,"Medium","Low"))</x:f>
        <x:v>Low</x:v>
      </x:c>
      <x:c r="V38" s="18" t="str">
        <x:f>IF(S38&gt;0.10,"Price Varies",IF(K38&gt;=2,"Stable","Single Record"))</x:f>
        <x:v>Single Record</x:v>
      </x:c>
      <x:c r="W38" s="18" t="str"/>
    </x:row>
    <x:row r="39">
      <x:c r="A39" s="18" t="str">
        <x:v>EL-SOLDER-BAR-065KG-63</x:v>
      </x:c>
      <x:c r="B39" s="18" t="str">
        <x:v>焊錫條 0.65kg 63%</x:v>
      </x:c>
      <x:c r="C39" s="18" t="str">
        <x:v>0.65kg, 63%</x:v>
      </x:c>
      <x:c r="D39" s="18" t="str">
        <x:v>Electrical/Control</x:v>
      </x:c>
      <x:c r="E39" s="18" t="str">
        <x:v>Consumable</x:v>
      </x:c>
      <x:c r="F39" s="18" t="str"/>
      <x:c r="G39" s="18" t="str">
        <x:v>Electrical</x:v>
      </x:c>
      <x:c r="H39" s="18" t="str">
        <x:v>個</x:v>
      </x:c>
      <x:c r="I39" s="19" t="n">
        <x:v>46090</x:v>
      </x:c>
      <x:c r="J39" s="19" t="n">
        <x:v>46090</x:v>
      </x:c>
      <x:c r="K39" s="18" t="n">
        <x:v>1</x:v>
      </x:c>
      <x:c r="L39" s="18" t="n">
        <x:v>1</x:v>
      </x:c>
      <x:c r="M39" s="21" t="n">
        <x:v>15</x:v>
      </x:c>
      <x:c r="N39" s="21" t="n">
        <x:v>15</x:v>
      </x:c>
      <x:c r="O39" s="21" t="n">
        <x:v>15</x:v>
      </x:c>
      <x:c r="P39" s="21" t="n">
        <x:v>15</x:v>
      </x:c>
      <x:c r="Q39" s="21" t="n">
        <x:v>15</x:v>
      </x:c>
      <x:c r="R39" s="21" t="n">
        <x:v>15</x:v>
      </x:c>
      <x:c r="S39" s="40" t="n">
        <x:f>IF(N39=0,0,(O39-N39)/N39)</x:f>
        <x:v>0</x:v>
      </x:c>
      <x:c r="T39" s="21" t="n">
        <x:f>O39*1.10</x:f>
        <x:v>16.5</x:v>
      </x:c>
      <x:c r="U39" s="18" t="str">
        <x:f>IF(K39&gt;=3,"High",IF(K39=2,"Medium","Low"))</x:f>
        <x:v>Low</x:v>
      </x:c>
      <x:c r="V39" s="18" t="str">
        <x:f>IF(S39&gt;0.10,"Price Varies",IF(K39&gt;=2,"Stable","Single Record"))</x:f>
        <x:v>Single Record</x:v>
      </x:c>
      <x:c r="W39" s="18" t="str"/>
    </x:row>
    <x:row r="40">
      <x:c r="A40" s="18" t="str">
        <x:v>EL-SOLDER-PASTE</x:v>
      </x:c>
      <x:c r="B40" s="18" t="str">
        <x:v>焊錫膏</x:v>
      </x:c>
      <x:c r="C40" s="18" t="str">
        <x:v>Solder Paste</x:v>
      </x:c>
      <x:c r="D40" s="18" t="str">
        <x:v>Electrical/Control</x:v>
      </x:c>
      <x:c r="E40" s="18" t="str">
        <x:v>Consumable</x:v>
      </x:c>
      <x:c r="F40" s="18" t="str"/>
      <x:c r="G40" s="18" t="str">
        <x:v>Electrical</x:v>
      </x:c>
      <x:c r="H40" s="18" t="str">
        <x:v>罐</x:v>
      </x:c>
      <x:c r="I40" s="19" t="n">
        <x:v>46090</x:v>
      </x:c>
      <x:c r="J40" s="19" t="n">
        <x:v>46090</x:v>
      </x:c>
      <x:c r="K40" s="18" t="n">
        <x:v>1</x:v>
      </x:c>
      <x:c r="L40" s="18" t="n">
        <x:v>1</x:v>
      </x:c>
      <x:c r="M40" s="21" t="n">
        <x:v>8</x:v>
      </x:c>
      <x:c r="N40" s="21" t="n">
        <x:v>8</x:v>
      </x:c>
      <x:c r="O40" s="21" t="n">
        <x:v>8</x:v>
      </x:c>
      <x:c r="P40" s="21" t="n">
        <x:v>8</x:v>
      </x:c>
      <x:c r="Q40" s="21" t="n">
        <x:v>8</x:v>
      </x:c>
      <x:c r="R40" s="21" t="n">
        <x:v>8</x:v>
      </x:c>
      <x:c r="S40" s="40" t="n">
        <x:f>IF(N40=0,0,(O40-N40)/N40)</x:f>
        <x:v>0</x:v>
      </x:c>
      <x:c r="T40" s="21" t="n">
        <x:f>O40*1.10</x:f>
        <x:v>8.8</x:v>
      </x:c>
      <x:c r="U40" s="18" t="str">
        <x:f>IF(K40&gt;=3,"High",IF(K40=2,"Medium","Low"))</x:f>
        <x:v>Low</x:v>
      </x:c>
      <x:c r="V40" s="18" t="str">
        <x:f>IF(S40&gt;0.10,"Price Varies",IF(K40&gt;=2,"Stable","Single Record"))</x:f>
        <x:v>Single Record</x:v>
      </x:c>
      <x:c r="W40" s="18" t="str"/>
    </x:row>
    <x:row r="41">
      <x:c r="A41" s="18" t="str">
        <x:v>EL-INSULATION-BOARD-1MM-YL</x:v>
      </x:c>
      <x:c r="B41" s="18" t="str">
        <x:v>絕緣板（黃）</x:v>
      </x:c>
      <x:c r="C41" s="18" t="str">
        <x:v>1.0 mm</x:v>
      </x:c>
      <x:c r="D41" s="18" t="str">
        <x:v>Electrical/Control</x:v>
      </x:c>
      <x:c r="E41" s="18" t="str">
        <x:v>Consumable</x:v>
      </x:c>
      <x:c r="F41" s="18" t="str"/>
      <x:c r="G41" s="18" t="str">
        <x:v>Electrical</x:v>
      </x:c>
      <x:c r="H41" s="18" t="str">
        <x:v>張</x:v>
      </x:c>
      <x:c r="I41" s="19" t="n">
        <x:v>46144</x:v>
      </x:c>
      <x:c r="J41" s="19" t="n">
        <x:v>46144</x:v>
      </x:c>
      <x:c r="K41" s="18" t="n">
        <x:v>1</x:v>
      </x:c>
      <x:c r="L41" s="18" t="n">
        <x:v>2</x:v>
      </x:c>
      <x:c r="M41" s="21" t="n">
        <x:v>48</x:v>
      </x:c>
      <x:c r="N41" s="21" t="n">
        <x:v>24</x:v>
      </x:c>
      <x:c r="O41" s="21" t="n">
        <x:v>24</x:v>
      </x:c>
      <x:c r="P41" s="21" t="n">
        <x:v>24</x:v>
      </x:c>
      <x:c r="Q41" s="21" t="n">
        <x:v>24</x:v>
      </x:c>
      <x:c r="R41" s="21" t="n">
        <x:v>24</x:v>
      </x:c>
      <x:c r="S41" s="40" t="n">
        <x:f>IF(N41=0,0,(O41-N41)/N41)</x:f>
        <x:v>0</x:v>
      </x:c>
      <x:c r="T41" s="21" t="n">
        <x:f>O41*1.10</x:f>
        <x:v>26.400000000000002</x:v>
      </x:c>
      <x:c r="U41" s="18" t="str">
        <x:f>IF(K41&gt;=3,"High",IF(K41=2,"Medium","Low"))</x:f>
        <x:v>Low</x:v>
      </x:c>
      <x:c r="V41" s="18" t="str">
        <x:f>IF(S41&gt;0.10,"Price Varies",IF(K41&gt;=2,"Stable","Single Record"))</x:f>
        <x:v>Single Record</x:v>
      </x:c>
      <x:c r="W41" s="18" t="str"/>
    </x:row>
    <x:row r="42">
      <x:c r="A42" s="18" t="str">
        <x:v>EL-INSULATION-TAPE</x:v>
      </x:c>
      <x:c r="B42" s="18" t="str">
        <x:v>電工膠布</x:v>
      </x:c>
      <x:c r="C42" s="18" t="str">
        <x:v>Electrical Tape</x:v>
      </x:c>
      <x:c r="D42" s="18" t="str">
        <x:v>Electrical/Control</x:v>
      </x:c>
      <x:c r="E42" s="18" t="str">
        <x:v>Consumable</x:v>
      </x:c>
      <x:c r="F42" s="18" t="str"/>
      <x:c r="G42" s="18" t="str">
        <x:v>Electrical</x:v>
      </x:c>
      <x:c r="H42" s="18" t="str">
        <x:v>卷</x:v>
      </x:c>
      <x:c r="I42" s="19" t="n">
        <x:v>46055</x:v>
      </x:c>
      <x:c r="J42" s="19" t="n">
        <x:v>46055</x:v>
      </x:c>
      <x:c r="K42" s="18" t="n">
        <x:v>1</x:v>
      </x:c>
      <x:c r="L42" s="18" t="n">
        <x:v>10</x:v>
      </x:c>
      <x:c r="M42" s="21" t="n">
        <x:v>50</x:v>
      </x:c>
      <x:c r="N42" s="21" t="n">
        <x:v>5</x:v>
      </x:c>
      <x:c r="O42" s="21" t="n">
        <x:v>5</x:v>
      </x:c>
      <x:c r="P42" s="21" t="n">
        <x:v>5</x:v>
      </x:c>
      <x:c r="Q42" s="21" t="n">
        <x:v>5</x:v>
      </x:c>
      <x:c r="R42" s="21" t="n">
        <x:v>5</x:v>
      </x:c>
      <x:c r="S42" s="40" t="n">
        <x:f>IF(N42=0,0,(O42-N42)/N42)</x:f>
        <x:v>0</x:v>
      </x:c>
      <x:c r="T42" s="21" t="n">
        <x:f>O42*1.10</x:f>
        <x:v>5.5</x:v>
      </x:c>
      <x:c r="U42" s="18" t="str">
        <x:f>IF(K42&gt;=3,"High",IF(K42=2,"Medium","Low"))</x:f>
        <x:v>Low</x:v>
      </x:c>
      <x:c r="V42" s="18" t="str">
        <x:f>IF(S42&gt;0.10,"Price Varies",IF(K42&gt;=2,"Stable","Single Record"))</x:f>
        <x:v>Single Record</x:v>
      </x:c>
      <x:c r="W42" s="18" t="str"/>
    </x:row>
    <x:row r="43">
      <x:c r="A43" s="18" t="str">
        <x:v>EQ-FABRIC-CUTTER-RAIL</x:v>
      </x:c>
      <x:c r="B43" s="18" t="str">
        <x:v>斷布機（含軌道）</x:v>
      </x:c>
      <x:c r="C43" s="18" t="str">
        <x:v>With Rail</x:v>
      </x:c>
      <x:c r="D43" s="18" t="str">
        <x:v>Equipment</x:v>
      </x:c>
      <x:c r="E43" s="18" t="str">
        <x:v>Equipment</x:v>
      </x:c>
      <x:c r="F43" s="18" t="str"/>
      <x:c r="G43" s="18" t="str">
        <x:v>Cutting</x:v>
      </x:c>
      <x:c r="H43" s="18" t="str">
        <x:v>台</x:v>
      </x:c>
      <x:c r="I43" s="19" t="n">
        <x:v>46168</x:v>
      </x:c>
      <x:c r="J43" s="19" t="n">
        <x:v>46168</x:v>
      </x:c>
      <x:c r="K43" s="18" t="n">
        <x:v>1</x:v>
      </x:c>
      <x:c r="L43" s="18" t="n">
        <x:v>3</x:v>
      </x:c>
      <x:c r="M43" s="21" t="n">
        <x:v>525</x:v>
      </x:c>
      <x:c r="N43" s="21" t="n">
        <x:v>175</x:v>
      </x:c>
      <x:c r="O43" s="21" t="n">
        <x:v>175</x:v>
      </x:c>
      <x:c r="P43" s="21" t="n">
        <x:v>175</x:v>
      </x:c>
      <x:c r="Q43" s="21" t="n">
        <x:v>175</x:v>
      </x:c>
      <x:c r="R43" s="21" t="n">
        <x:v>175</x:v>
      </x:c>
      <x:c r="S43" s="40" t="n">
        <x:f>IF(N43=0,0,(O43-N43)/N43)</x:f>
        <x:v>0</x:v>
      </x:c>
      <x:c r="T43" s="21" t="n">
        <x:f>O43*1.10</x:f>
        <x:v>192.50000000000003</x:v>
      </x:c>
      <x:c r="U43" s="18" t="str">
        <x:f>IF(K43&gt;=3,"High",IF(K43=2,"Medium","Low"))</x:f>
        <x:v>Low</x:v>
      </x:c>
      <x:c r="V43" s="18" t="str">
        <x:f>IF(S43&gt;0.10,"Price Varies",IF(K43&gt;=2,"Stable","Single Record"))</x:f>
        <x:v>Single Record</x:v>
      </x:c>
      <x:c r="W43" s="18" t="str"/>
    </x:row>
    <x:row r="44">
      <x:c r="A44" s="18" t="str">
        <x:v>IR-HANGING-BOTTLE-SWITCH</x:v>
      </x:c>
      <x:c r="B44" s="18" t="str">
        <x:v>吊瓶熨斗開關</x:v>
      </x:c>
      <x:c r="C44" s="18" t="str">
        <x:v>Switch</x:v>
      </x:c>
      <x:c r="D44" s="18" t="str">
        <x:v>Ironing/Heat Transfer</x:v>
      </x:c>
      <x:c r="E44" s="18" t="str">
        <x:v>Spare Part</x:v>
      </x:c>
      <x:c r="F44" s="18" t="str"/>
      <x:c r="G44" s="18" t="str">
        <x:v>Iron</x:v>
      </x:c>
      <x:c r="H44" s="18" t="str">
        <x:v>個</x:v>
      </x:c>
      <x:c r="I44" s="19" t="n">
        <x:v>46168</x:v>
      </x:c>
      <x:c r="J44" s="19" t="n">
        <x:v>46168</x:v>
      </x:c>
      <x:c r="K44" s="18" t="n">
        <x:v>1</x:v>
      </x:c>
      <x:c r="L44" s="18" t="n">
        <x:v>10</x:v>
      </x:c>
      <x:c r="M44" s="21" t="n">
        <x:v>45</x:v>
      </x:c>
      <x:c r="N44" s="21" t="n">
        <x:v>4.5</x:v>
      </x:c>
      <x:c r="O44" s="21" t="n">
        <x:v>4.5</x:v>
      </x:c>
      <x:c r="P44" s="21" t="n">
        <x:v>4.5</x:v>
      </x:c>
      <x:c r="Q44" s="21" t="n">
        <x:v>4.5</x:v>
      </x:c>
      <x:c r="R44" s="21" t="n">
        <x:v>4.5</x:v>
      </x:c>
      <x:c r="S44" s="40" t="n">
        <x:f>IF(N44=0,0,(O44-N44)/N44)</x:f>
        <x:v>0</x:v>
      </x:c>
      <x:c r="T44" s="21" t="n">
        <x:f>O44*1.10</x:f>
        <x:v>4.95</x:v>
      </x:c>
      <x:c r="U44" s="18" t="str">
        <x:f>IF(K44&gt;=3,"High",IF(K44=2,"Medium","Low"))</x:f>
        <x:v>Low</x:v>
      </x:c>
      <x:c r="V44" s="18" t="str">
        <x:f>IF(S44&gt;0.10,"Price Varies",IF(K44&gt;=2,"Stable","Single Record"))</x:f>
        <x:v>Single Record</x:v>
      </x:c>
      <x:c r="W44" s="18" t="str"/>
    </x:row>
    <x:row r="45">
      <x:c r="A45" s="18" t="str">
        <x:v>IR-ES94A-SHOE</x:v>
      </x:c>
      <x:c r="B45" s="18" t="str">
        <x:v>熨斗鞋 ES-94(A)</x:v>
      </x:c>
      <x:c r="C45" s="18" t="str">
        <x:v>ES-94(A)</x:v>
      </x:c>
      <x:c r="D45" s="18" t="str">
        <x:v>Ironing/Heat Transfer</x:v>
      </x:c>
      <x:c r="E45" s="18" t="str">
        <x:v>Consumable</x:v>
      </x:c>
      <x:c r="F45" s="18" t="str"/>
      <x:c r="G45" s="18" t="str">
        <x:v>Iron</x:v>
      </x:c>
      <x:c r="H45" s="18" t="str">
        <x:v>個</x:v>
      </x:c>
      <x:c r="I45" s="19" t="n">
        <x:v>46027</x:v>
      </x:c>
      <x:c r="J45" s="19" t="n">
        <x:v>46144</x:v>
      </x:c>
      <x:c r="K45" s="18" t="n">
        <x:v>2</x:v>
      </x:c>
      <x:c r="L45" s="18" t="n">
        <x:v>100</x:v>
      </x:c>
      <x:c r="M45" s="21" t="n">
        <x:v>180</x:v>
      </x:c>
      <x:c r="N45" s="21" t="n">
        <x:v>1.8</x:v>
      </x:c>
      <x:c r="O45" s="21" t="n">
        <x:v>1.8</x:v>
      </x:c>
      <x:c r="P45" s="21" t="n">
        <x:v>1.8</x:v>
      </x:c>
      <x:c r="Q45" s="21" t="n">
        <x:v>1.8</x:v>
      </x:c>
      <x:c r="R45" s="21" t="n">
        <x:v>1.8</x:v>
      </x:c>
      <x:c r="S45" s="40" t="n">
        <x:f>IF(N45=0,0,(O45-N45)/N45)</x:f>
        <x:v>0</x:v>
      </x:c>
      <x:c r="T45" s="21" t="n">
        <x:f>O45*1.10</x:f>
        <x:v>1.9800000000000002</x:v>
      </x:c>
      <x:c r="U45" s="18" t="str">
        <x:f>IF(K45&gt;=3,"High",IF(K45=2,"Medium","Low"))</x:f>
        <x:v>Medium</x:v>
      </x:c>
      <x:c r="V45" s="18" t="str">
        <x:f>IF(S45&gt;0.10,"Price Varies",IF(K45&gt;=2,"Stable","Single Record"))</x:f>
        <x:v>Stable</x:v>
      </x:c>
      <x:c r="W45" s="18" t="str"/>
    </x:row>
    <x:row r="46">
      <x:c r="A46" s="18" t="str">
        <x:v>HT-HIGH-TEMP-PAD</x:v>
      </x:c>
      <x:c r="B46" s="18" t="str">
        <x:v>熱轉印高溫墊</x:v>
      </x:c>
      <x:c r="C46" s="18" t="str">
        <x:v>High Temperature</x:v>
      </x:c>
      <x:c r="D46" s="18" t="str">
        <x:v>Ironing/Heat Transfer</x:v>
      </x:c>
      <x:c r="E46" s="18" t="str">
        <x:v>Consumable</x:v>
      </x:c>
      <x:c r="F46" s="18" t="str"/>
      <x:c r="G46" s="18" t="str">
        <x:v>Heat Transfer</x:v>
      </x:c>
      <x:c r="H46" s="18" t="str">
        <x:v>張</x:v>
      </x:c>
      <x:c r="I46" s="19" t="n">
        <x:v>46091</x:v>
      </x:c>
      <x:c r="J46" s="19" t="n">
        <x:v>46091</x:v>
      </x:c>
      <x:c r="K46" s="18" t="n">
        <x:v>1</x:v>
      </x:c>
      <x:c r="L46" s="18" t="n">
        <x:v>2</x:v>
      </x:c>
      <x:c r="M46" s="21" t="n">
        <x:v>46</x:v>
      </x:c>
      <x:c r="N46" s="21" t="n">
        <x:v>23</x:v>
      </x:c>
      <x:c r="O46" s="21" t="n">
        <x:v>23</x:v>
      </x:c>
      <x:c r="P46" s="21" t="n">
        <x:v>23</x:v>
      </x:c>
      <x:c r="Q46" s="21" t="n">
        <x:v>23</x:v>
      </x:c>
      <x:c r="R46" s="21" t="n">
        <x:v>23</x:v>
      </x:c>
      <x:c r="S46" s="40" t="n">
        <x:f>IF(N46=0,0,(O46-N46)/N46)</x:f>
        <x:v>0</x:v>
      </x:c>
      <x:c r="T46" s="21" t="n">
        <x:f>O46*1.10</x:f>
        <x:v>25.3</x:v>
      </x:c>
      <x:c r="U46" s="18" t="str">
        <x:f>IF(K46&gt;=3,"High",IF(K46=2,"Medium","Low"))</x:f>
        <x:v>Low</x:v>
      </x:c>
      <x:c r="V46" s="18" t="str">
        <x:f>IF(S46&gt;0.10,"Price Varies",IF(K46&gt;=2,"Stable","Single Record"))</x:f>
        <x:v>Single Record</x:v>
      </x:c>
      <x:c r="W46" s="18" t="str"/>
    </x:row>
    <x:row r="47">
      <x:c r="A47" s="18" t="str">
        <x:v>IR-HANGING-BOTTLE-SET-KR</x:v>
      </x:c>
      <x:c r="B47" s="18" t="str">
        <x:v>韓國吊瓶熨斗組</x:v>
      </x:c>
      <x:c r="C47" s="18" t="str">
        <x:v>Complete Set</x:v>
      </x:c>
      <x:c r="D47" s="18" t="str">
        <x:v>Ironing/Heat Transfer</x:v>
      </x:c>
      <x:c r="E47" s="18" t="str">
        <x:v>Equipment</x:v>
      </x:c>
      <x:c r="F47" s="18" t="str">
        <x:v>Korea</x:v>
      </x:c>
      <x:c r="G47" s="18" t="str">
        <x:v>Iron</x:v>
      </x:c>
      <x:c r="H47" s="18" t="str">
        <x:v>把</x:v>
      </x:c>
      <x:c r="I47" s="19" t="n">
        <x:v>46027</x:v>
      </x:c>
      <x:c r="J47" s="19" t="n">
        <x:v>46144</x:v>
      </x:c>
      <x:c r="K47" s="18" t="n">
        <x:v>2</x:v>
      </x:c>
      <x:c r="L47" s="18" t="n">
        <x:v>8</x:v>
      </x:c>
      <x:c r="M47" s="21" t="n">
        <x:v>232</x:v>
      </x:c>
      <x:c r="N47" s="21" t="n">
        <x:v>29</x:v>
      </x:c>
      <x:c r="O47" s="21" t="n">
        <x:v>29</x:v>
      </x:c>
      <x:c r="P47" s="21" t="n">
        <x:v>29</x:v>
      </x:c>
      <x:c r="Q47" s="21" t="n">
        <x:v>29</x:v>
      </x:c>
      <x:c r="R47" s="21" t="n">
        <x:v>29</x:v>
      </x:c>
      <x:c r="S47" s="40" t="n">
        <x:f>IF(N47=0,0,(O47-N47)/N47)</x:f>
        <x:v>0</x:v>
      </x:c>
      <x:c r="T47" s="21" t="n">
        <x:f>O47*1.10</x:f>
        <x:v>31.900000000000002</x:v>
      </x:c>
      <x:c r="U47" s="18" t="str">
        <x:f>IF(K47&gt;=3,"High",IF(K47=2,"Medium","Low"))</x:f>
        <x:v>Medium</x:v>
      </x:c>
      <x:c r="V47" s="18" t="str">
        <x:f>IF(S47&gt;0.10,"Price Varies",IF(K47&gt;=2,"Stable","Single Record"))</x:f>
        <x:v>Stable</x:v>
      </x:c>
      <x:c r="W47" s="18" t="str"/>
    </x:row>
    <x:row r="48">
      <x:c r="A48" s="18" t="str">
        <x:v>LP-747-THREAD-HOOK</x:v>
      </x:c>
      <x:c r="B48" s="18" t="str">
        <x:v>747鎖針線鉤</x:v>
      </x:c>
      <x:c r="C48" s="18" t="str">
        <x:v>747</x:v>
      </x:c>
      <x:c r="D48" s="18" t="str">
        <x:v>Knife/Looper</x:v>
      </x:c>
      <x:c r="E48" s="18" t="str">
        <x:v>Spare Part</x:v>
      </x:c>
      <x:c r="F48" s="18" t="str"/>
      <x:c r="G48" s="18" t="str">
        <x:v>Overlock</x:v>
      </x:c>
      <x:c r="H48" s="18" t="str">
        <x:v>個</x:v>
      </x:c>
      <x:c r="I48" s="19" t="n">
        <x:v>46144</x:v>
      </x:c>
      <x:c r="J48" s="19" t="n">
        <x:v>46144</x:v>
      </x:c>
      <x:c r="K48" s="18" t="n">
        <x:v>1</x:v>
      </x:c>
      <x:c r="L48" s="18" t="n">
        <x:v>100</x:v>
      </x:c>
      <x:c r="M48" s="21" t="n">
        <x:v>5</x:v>
      </x:c>
      <x:c r="N48" s="21" t="n">
        <x:v>0.05</x:v>
      </x:c>
      <x:c r="O48" s="21" t="n">
        <x:v>0.05</x:v>
      </x:c>
      <x:c r="P48" s="21" t="n">
        <x:v>0.05</x:v>
      </x:c>
      <x:c r="Q48" s="21" t="n">
        <x:v>0.05</x:v>
      </x:c>
      <x:c r="R48" s="21" t="n">
        <x:v>0.05</x:v>
      </x:c>
      <x:c r="S48" s="40" t="n">
        <x:f>IF(N48=0,0,(O48-N48)/N48)</x:f>
        <x:v>0</x:v>
      </x:c>
      <x:c r="T48" s="21" t="n">
        <x:f>O48*1.10</x:f>
        <x:v>0.05500000000000001</x:v>
      </x:c>
      <x:c r="U48" s="18" t="str">
        <x:f>IF(K48&gt;=3,"High",IF(K48=2,"Medium","Low"))</x:f>
        <x:v>Low</x:v>
      </x:c>
      <x:c r="V48" s="18" t="str">
        <x:f>IF(S48&gt;0.10,"Price Varies",IF(K48&gt;=2,"Stable","Single Record"))</x:f>
        <x:v>Single Record</x:v>
      </x:c>
      <x:c r="W48" s="18" t="str"/>
    </x:row>
    <x:row r="49">
      <x:c r="A49" s="18" t="str">
        <x:v>KN-BROTHER-FIXED</x:v>
      </x:c>
      <x:c r="B49" s="18" t="str">
        <x:v>Brother 固定刀</x:v>
      </x:c>
      <x:c r="C49" s="18" t="str">
        <x:v>Fixed Knife</x:v>
      </x:c>
      <x:c r="D49" s="18" t="str">
        <x:v>Knife/Looper</x:v>
      </x:c>
      <x:c r="E49" s="18" t="str">
        <x:v>Spare Part</x:v>
      </x:c>
      <x:c r="F49" s="18" t="str">
        <x:v>Brother</x:v>
      </x:c>
      <x:c r="G49" s="18" t="str">
        <x:v>Sewing Machine</x:v>
      </x:c>
      <x:c r="H49" s="18" t="str">
        <x:v>支</x:v>
      </x:c>
      <x:c r="I49" s="19" t="n">
        <x:v>46168</x:v>
      </x:c>
      <x:c r="J49" s="19" t="n">
        <x:v>46168</x:v>
      </x:c>
      <x:c r="K49" s="18" t="n">
        <x:v>1</x:v>
      </x:c>
      <x:c r="L49" s="18" t="n">
        <x:v>10</x:v>
      </x:c>
      <x:c r="M49" s="21" t="n">
        <x:v>12</x:v>
      </x:c>
      <x:c r="N49" s="21" t="n">
        <x:v>1.2</x:v>
      </x:c>
      <x:c r="O49" s="21" t="n">
        <x:v>1.2</x:v>
      </x:c>
      <x:c r="P49" s="21" t="n">
        <x:v>1.2</x:v>
      </x:c>
      <x:c r="Q49" s="21" t="n">
        <x:v>1.2</x:v>
      </x:c>
      <x:c r="R49" s="21" t="n">
        <x:v>1.2</x:v>
      </x:c>
      <x:c r="S49" s="40" t="n">
        <x:f>IF(N49=0,0,(O49-N49)/N49)</x:f>
        <x:v>0</x:v>
      </x:c>
      <x:c r="T49" s="21" t="n">
        <x:f>O49*1.10</x:f>
        <x:v>1.32</x:v>
      </x:c>
      <x:c r="U49" s="18" t="str">
        <x:f>IF(K49&gt;=3,"High",IF(K49=2,"Medium","Low"))</x:f>
        <x:v>Low</x:v>
      </x:c>
      <x:c r="V49" s="18" t="str">
        <x:f>IF(S49&gt;0.10,"Price Varies",IF(K49&gt;=2,"Stable","Single Record"))</x:f>
        <x:v>Single Record</x:v>
      </x:c>
      <x:c r="W49" s="18" t="str"/>
    </x:row>
    <x:row r="50">
      <x:c r="A50" s="18" t="str">
        <x:v>KN-JUKI8700A-MOVING</x:v>
      </x:c>
      <x:c r="B50" s="18" t="str">
        <x:v>JUKI-8700A 活動刀</x:v>
      </x:c>
      <x:c r="C50" s="18" t="str">
        <x:v>8700A</x:v>
      </x:c>
      <x:c r="D50" s="18" t="str">
        <x:v>Knife/Looper</x:v>
      </x:c>
      <x:c r="E50" s="18" t="str">
        <x:v>Spare Part</x:v>
      </x:c>
      <x:c r="F50" s="18" t="str">
        <x:v>JUKI</x:v>
      </x:c>
      <x:c r="G50" s="18" t="str">
        <x:v>Single Needle</x:v>
      </x:c>
      <x:c r="H50" s="18" t="str">
        <x:v>個</x:v>
      </x:c>
      <x:c r="I50" s="19" t="n">
        <x:v>46135</x:v>
      </x:c>
      <x:c r="J50" s="19" t="n">
        <x:v>46144</x:v>
      </x:c>
      <x:c r="K50" s="18" t="n">
        <x:v>2</x:v>
      </x:c>
      <x:c r="L50" s="18" t="n">
        <x:v>20</x:v>
      </x:c>
      <x:c r="M50" s="21" t="n">
        <x:v>48</x:v>
      </x:c>
      <x:c r="N50" s="21" t="n">
        <x:v>2.3</x:v>
      </x:c>
      <x:c r="O50" s="21" t="n">
        <x:v>2.5</x:v>
      </x:c>
      <x:c r="P50" s="21" t="n">
        <x:v>2.4</x:v>
      </x:c>
      <x:c r="Q50" s="21" t="n">
        <x:v>2.3</x:v>
      </x:c>
      <x:c r="R50" s="21" t="n">
        <x:v>2.5</x:v>
      </x:c>
      <x:c r="S50" s="40" t="n">
        <x:f>IF(N50=0,0,(O50-N50)/N50)</x:f>
        <x:v>0.08695652173913052</x:v>
      </x:c>
      <x:c r="T50" s="21" t="n">
        <x:f>O50*1.10</x:f>
        <x:v>2.75</x:v>
      </x:c>
      <x:c r="U50" s="18" t="str">
        <x:f>IF(K50&gt;=3,"High",IF(K50=2,"Medium","Low"))</x:f>
        <x:v>Medium</x:v>
      </x:c>
      <x:c r="V50" s="18" t="str">
        <x:f>IF(S50&gt;0.10,"Price Varies",IF(K50&gt;=2,"Stable","Single Record"))</x:f>
        <x:v>Stable</x:v>
      </x:c>
      <x:c r="W50" s="18" t="str">
        <x:v>原始發票型號寫8700，與4月8700A合併比較</x:v>
      </x:c>
    </x:row>
    <x:row r="51">
      <x:c r="A51" s="18" t="str">
        <x:v>KN-KR23-UPPER</x:v>
      </x:c>
      <x:c r="B51" s="18" t="str">
        <x:v>拷克上刀 KR23</x:v>
      </x:c>
      <x:c r="C51" s="18" t="str">
        <x:v>KR23</x:v>
      </x:c>
      <x:c r="D51" s="18" t="str">
        <x:v>Knife/Looper</x:v>
      </x:c>
      <x:c r="E51" s="18" t="str">
        <x:v>Spare Part</x:v>
      </x:c>
      <x:c r="F51" s="18" t="str"/>
      <x:c r="G51" s="18" t="str">
        <x:v>Overlock</x:v>
      </x:c>
      <x:c r="H51" s="18" t="str">
        <x:v>支</x:v>
      </x:c>
      <x:c r="I51" s="19" t="n">
        <x:v>46086</x:v>
      </x:c>
      <x:c r="J51" s="19" t="n">
        <x:v>46168</x:v>
      </x:c>
      <x:c r="K51" s="18" t="n">
        <x:v>2</x:v>
      </x:c>
      <x:c r="L51" s="18" t="n">
        <x:v>20</x:v>
      </x:c>
      <x:c r="M51" s="21" t="n">
        <x:v>12</x:v>
      </x:c>
      <x:c r="N51" s="21" t="n">
        <x:v>0.6</x:v>
      </x:c>
      <x:c r="O51" s="21" t="n">
        <x:v>0.6</x:v>
      </x:c>
      <x:c r="P51" s="21" t="n">
        <x:v>0.6</x:v>
      </x:c>
      <x:c r="Q51" s="21" t="n">
        <x:v>0.6</x:v>
      </x:c>
      <x:c r="R51" s="21" t="n">
        <x:v>0.6</x:v>
      </x:c>
      <x:c r="S51" s="40" t="n">
        <x:f>IF(N51=0,0,(O51-N51)/N51)</x:f>
        <x:v>0</x:v>
      </x:c>
      <x:c r="T51" s="21" t="n">
        <x:f>O51*1.10</x:f>
        <x:v>0.66</x:v>
      </x:c>
      <x:c r="U51" s="18" t="str">
        <x:f>IF(K51&gt;=3,"High",IF(K51=2,"Medium","Low"))</x:f>
        <x:v>Medium</x:v>
      </x:c>
      <x:c r="V51" s="18" t="str">
        <x:f>IF(S51&gt;0.10,"Price Varies",IF(K51&gt;=2,"Stable","Single Record"))</x:f>
        <x:v>Stable</x:v>
      </x:c>
      <x:c r="W51" s="18" t="str"/>
    </x:row>
    <x:row r="52">
      <x:c r="A52" s="18" t="str">
        <x:v>LP-LP226-UPPER</x:v>
      </x:c>
      <x:c r="B52" s="18" t="str">
        <x:v>拷克上勾針 LP226</x:v>
      </x:c>
      <x:c r="C52" s="18" t="str">
        <x:v>LP226</x:v>
      </x:c>
      <x:c r="D52" s="18" t="str">
        <x:v>Knife/Looper</x:v>
      </x:c>
      <x:c r="E52" s="18" t="str">
        <x:v>Spare Part</x:v>
      </x:c>
      <x:c r="F52" s="18" t="str"/>
      <x:c r="G52" s="18" t="str">
        <x:v>Overlock</x:v>
      </x:c>
      <x:c r="H52" s="18" t="str">
        <x:v>個</x:v>
      </x:c>
      <x:c r="I52" s="19" t="n">
        <x:v>46086</x:v>
      </x:c>
      <x:c r="J52" s="19" t="n">
        <x:v>46168</x:v>
      </x:c>
      <x:c r="K52" s="18" t="n">
        <x:v>2</x:v>
      </x:c>
      <x:c r="L52" s="18" t="n">
        <x:v>40</x:v>
      </x:c>
      <x:c r="M52" s="21" t="n">
        <x:v>60</x:v>
      </x:c>
      <x:c r="N52" s="21" t="n">
        <x:v>1.5</x:v>
      </x:c>
      <x:c r="O52" s="21" t="n">
        <x:v>1.5</x:v>
      </x:c>
      <x:c r="P52" s="21" t="n">
        <x:v>1.5</x:v>
      </x:c>
      <x:c r="Q52" s="21" t="n">
        <x:v>1.5</x:v>
      </x:c>
      <x:c r="R52" s="21" t="n">
        <x:v>1.5</x:v>
      </x:c>
      <x:c r="S52" s="40" t="n">
        <x:f>IF(N52=0,0,(O52-N52)/N52)</x:f>
        <x:v>0</x:v>
      </x:c>
      <x:c r="T52" s="21" t="n">
        <x:f>O52*1.10</x:f>
        <x:v>1.6500000000000001</x:v>
      </x:c>
      <x:c r="U52" s="18" t="str">
        <x:f>IF(K52&gt;=3,"High",IF(K52=2,"Medium","Low"))</x:f>
        <x:v>Medium</x:v>
      </x:c>
      <x:c r="V52" s="18" t="str">
        <x:f>IF(S52&gt;0.10,"Price Varies",IF(K52&gt;=2,"Stable","Single Record"))</x:f>
        <x:v>Stable</x:v>
      </x:c>
      <x:c r="W52" s="18" t="str"/>
    </x:row>
    <x:row r="53">
      <x:c r="A53" s="18" t="str">
        <x:v>KN-BUTTONHOLE-3-4</x:v>
      </x:c>
      <x:c r="B53" s="18" t="str">
        <x:v>鎖眼刀</x:v>
      </x:c>
      <x:c r="C53" s="18" t="str">
        <x:v>3/4 inch</x:v>
      </x:c>
      <x:c r="D53" s="18" t="str">
        <x:v>Knife/Looper</x:v>
      </x:c>
      <x:c r="E53" s="18" t="str">
        <x:v>Spare Part</x:v>
      </x:c>
      <x:c r="F53" s="18" t="str"/>
      <x:c r="G53" s="18" t="str">
        <x:v>Buttonhole</x:v>
      </x:c>
      <x:c r="H53" s="18" t="str">
        <x:v>盒</x:v>
      </x:c>
      <x:c r="I53" s="19" t="n">
        <x:v>46181</x:v>
      </x:c>
      <x:c r="J53" s="19" t="n">
        <x:v>46181</x:v>
      </x:c>
      <x:c r="K53" s="18" t="n">
        <x:v>1</x:v>
      </x:c>
      <x:c r="L53" s="18" t="n">
        <x:v>3</x:v>
      </x:c>
      <x:c r="M53" s="21" t="n">
        <x:v>7.5</x:v>
      </x:c>
      <x:c r="N53" s="21" t="n">
        <x:v>2.5</x:v>
      </x:c>
      <x:c r="O53" s="21" t="n">
        <x:v>2.5</x:v>
      </x:c>
      <x:c r="P53" s="21" t="n">
        <x:v>2.5</x:v>
      </x:c>
      <x:c r="Q53" s="21" t="n">
        <x:v>2.5</x:v>
      </x:c>
      <x:c r="R53" s="21" t="n">
        <x:v>2.5</x:v>
      </x:c>
      <x:c r="S53" s="40" t="n">
        <x:f>IF(N53=0,0,(O53-N53)/N53)</x:f>
        <x:v>0</x:v>
      </x:c>
      <x:c r="T53" s="21" t="n">
        <x:f>O53*1.10</x:f>
        <x:v>2.75</x:v>
      </x:c>
      <x:c r="U53" s="18" t="str">
        <x:f>IF(K53&gt;=3,"High",IF(K53=2,"Medium","Low"))</x:f>
        <x:v>Low</x:v>
      </x:c>
      <x:c r="V53" s="18" t="str">
        <x:f>IF(S53&gt;0.10,"Price Varies",IF(K53&gt;=2,"Stable","Single Record"))</x:f>
        <x:v>Single Record</x:v>
      </x:c>
      <x:c r="W53" s="18" t="str"/>
    </x:row>
    <x:row r="54">
      <x:c r="A54" s="18" t="str">
        <x:v>MT-SIRUBA747KD-COUPLER</x:v>
      </x:c>
      <x:c r="B54" s="18" t="str">
        <x:v>SIRUBA-747KD 馬達聯軸器</x:v>
      </x:c>
      <x:c r="C54" s="18" t="str">
        <x:v>747KD</x:v>
      </x:c>
      <x:c r="D54" s="18" t="str">
        <x:v>Motor/Drive</x:v>
      </x:c>
      <x:c r="E54" s="18" t="str">
        <x:v>Spare Part</x:v>
      </x:c>
      <x:c r="F54" s="18" t="str">
        <x:v>SIRUBA</x:v>
      </x:c>
      <x:c r="G54" s="18" t="str">
        <x:v>Overlock</x:v>
      </x:c>
      <x:c r="H54" s="18" t="str">
        <x:v>個</x:v>
      </x:c>
      <x:c r="I54" s="19" t="n">
        <x:v>46067</x:v>
      </x:c>
      <x:c r="J54" s="19" t="n">
        <x:v>46168</x:v>
      </x:c>
      <x:c r="K54" s="18" t="n">
        <x:v>2</x:v>
      </x:c>
      <x:c r="L54" s="18" t="n">
        <x:v>40</x:v>
      </x:c>
      <x:c r="M54" s="21" t="n">
        <x:v>380</x:v>
      </x:c>
      <x:c r="N54" s="21" t="n">
        <x:v>9.5</x:v>
      </x:c>
      <x:c r="O54" s="21" t="n">
        <x:v>9.5</x:v>
      </x:c>
      <x:c r="P54" s="21" t="n">
        <x:v>9.5</x:v>
      </x:c>
      <x:c r="Q54" s="21" t="n">
        <x:v>9.5</x:v>
      </x:c>
      <x:c r="R54" s="21" t="n">
        <x:v>9.5</x:v>
      </x:c>
      <x:c r="S54" s="40" t="n">
        <x:f>IF(N54=0,0,(O54-N54)/N54)</x:f>
        <x:v>0</x:v>
      </x:c>
      <x:c r="T54" s="21" t="n">
        <x:f>O54*1.10</x:f>
        <x:v>10.450000000000001</x:v>
      </x:c>
      <x:c r="U54" s="18" t="str">
        <x:f>IF(K54&gt;=3,"High",IF(K54=2,"Medium","Low"))</x:f>
        <x:v>Medium</x:v>
      </x:c>
      <x:c r="V54" s="18" t="str">
        <x:f>IF(S54&gt;0.10,"Price Varies",IF(K54&gt;=2,"Stable","Single Record"))</x:f>
        <x:v>Stable</x:v>
      </x:c>
      <x:c r="W54" s="18" t="str"/>
    </x:row>
    <x:row r="55">
      <x:c r="A55" s="18" t="str">
        <x:v>MT-YUANYI-SPREADER-BALANCE-MOTOR</x:v>
      </x:c>
      <x:c r="B55" s="18" t="str">
        <x:v>元一自動拉布機封邊平衡馬達</x:v>
      </x:c>
      <x:c r="C55" s="18" t="str">
        <x:v>Automatic Spreader</x:v>
      </x:c>
      <x:c r="D55" s="18" t="str">
        <x:v>Motor/Drive</x:v>
      </x:c>
      <x:c r="E55" s="18" t="str">
        <x:v>Spare Part</x:v>
      </x:c>
      <x:c r="F55" s="18" t="str">
        <x:v>元一</x:v>
      </x:c>
      <x:c r="G55" s="18" t="str">
        <x:v>Cutting</x:v>
      </x:c>
      <x:c r="H55" s="18" t="str">
        <x:v>個</x:v>
      </x:c>
      <x:c r="I55" s="19" t="n">
        <x:v>46094</x:v>
      </x:c>
      <x:c r="J55" s="19" t="n">
        <x:v>46094</x:v>
      </x:c>
      <x:c r="K55" s="18" t="n">
        <x:v>1</x:v>
      </x:c>
      <x:c r="L55" s="18" t="n">
        <x:v>1</x:v>
      </x:c>
      <x:c r="M55" s="21" t="n">
        <x:v>250</x:v>
      </x:c>
      <x:c r="N55" s="21" t="n">
        <x:v>250</x:v>
      </x:c>
      <x:c r="O55" s="21" t="n">
        <x:v>250</x:v>
      </x:c>
      <x:c r="P55" s="21" t="n">
        <x:v>250</x:v>
      </x:c>
      <x:c r="Q55" s="21" t="n">
        <x:v>250</x:v>
      </x:c>
      <x:c r="R55" s="21" t="n">
        <x:v>250</x:v>
      </x:c>
      <x:c r="S55" s="40" t="n">
        <x:f>IF(N55=0,0,(O55-N55)/N55)</x:f>
        <x:v>0</x:v>
      </x:c>
      <x:c r="T55" s="21" t="n">
        <x:f>O55*1.10</x:f>
        <x:v>275</x:v>
      </x:c>
      <x:c r="U55" s="18" t="str">
        <x:f>IF(K55&gt;=3,"High",IF(K55=2,"Medium","Low"))</x:f>
        <x:v>Low</x:v>
      </x:c>
      <x:c r="V55" s="18" t="str">
        <x:f>IF(S55&gt;0.10,"Price Varies",IF(K55&gt;=2,"Stable","Single Record"))</x:f>
        <x:v>Single Record</x:v>
      </x:c>
      <x:c r="W55" s="18" t="str"/>
    </x:row>
    <x:row r="56">
      <x:c r="A56" s="18" t="str">
        <x:v>ND-DBX1-11</x:v>
      </x:c>
      <x:c r="B56" s="18" t="str">
        <x:v>風琴機針 DBx1 #11</x:v>
      </x:c>
      <x:c r="C56" s="18" t="str">
        <x:v>DBx1 #11</x:v>
      </x:c>
      <x:c r="D56" s="18" t="str">
        <x:v>Needle</x:v>
      </x:c>
      <x:c r="E56" s="18" t="str">
        <x:v>Consumable</x:v>
      </x:c>
      <x:c r="F56" s="18" t="str">
        <x:v>ORGAN/風琴</x:v>
      </x:c>
      <x:c r="G56" s="18" t="str">
        <x:v>Single Needle</x:v>
      </x:c>
      <x:c r="H56" s="18" t="str">
        <x:v>包</x:v>
      </x:c>
      <x:c r="I56" s="19" t="n">
        <x:v>46106</x:v>
      </x:c>
      <x:c r="J56" s="19" t="n">
        <x:v>46106</x:v>
      </x:c>
      <x:c r="K56" s="18" t="n">
        <x:v>1</x:v>
      </x:c>
      <x:c r="L56" s="18" t="n">
        <x:v>50</x:v>
      </x:c>
      <x:c r="M56" s="21" t="n">
        <x:v>39</x:v>
      </x:c>
      <x:c r="N56" s="21" t="n">
        <x:v>0.78</x:v>
      </x:c>
      <x:c r="O56" s="21" t="n">
        <x:v>0.78</x:v>
      </x:c>
      <x:c r="P56" s="21" t="n">
        <x:v>0.78</x:v>
      </x:c>
      <x:c r="Q56" s="21" t="n">
        <x:v>0.78</x:v>
      </x:c>
      <x:c r="R56" s="21" t="n">
        <x:v>0.78</x:v>
      </x:c>
      <x:c r="S56" s="40" t="n">
        <x:f>IF(N56=0,0,(O56-N56)/N56)</x:f>
        <x:v>0</x:v>
      </x:c>
      <x:c r="T56" s="21" t="n">
        <x:f>O56*1.10</x:f>
        <x:v>0.8580000000000001</x:v>
      </x:c>
      <x:c r="U56" s="18" t="str">
        <x:f>IF(K56&gt;=3,"High",IF(K56=2,"Medium","Low"))</x:f>
        <x:v>Low</x:v>
      </x:c>
      <x:c r="V56" s="18" t="str">
        <x:f>IF(S56&gt;0.10,"Price Varies",IF(K56&gt;=2,"Stable","Single Record"))</x:f>
        <x:v>Single Record</x:v>
      </x:c>
      <x:c r="W56" s="18" t="str"/>
    </x:row>
    <x:row r="57">
      <x:c r="A57" s="18" t="str">
        <x:v>ND-DBX1-12</x:v>
      </x:c>
      <x:c r="B57" s="18" t="str">
        <x:v>風琴機針 DBx1 #12</x:v>
      </x:c>
      <x:c r="C57" s="18" t="str">
        <x:v>DBx1 #12</x:v>
      </x:c>
      <x:c r="D57" s="18" t="str">
        <x:v>Needle</x:v>
      </x:c>
      <x:c r="E57" s="18" t="str">
        <x:v>Consumable</x:v>
      </x:c>
      <x:c r="F57" s="18" t="str">
        <x:v>ORGAN/風琴</x:v>
      </x:c>
      <x:c r="G57" s="18" t="str">
        <x:v>Single Needle</x:v>
      </x:c>
      <x:c r="H57" s="18" t="str">
        <x:v>包</x:v>
      </x:c>
      <x:c r="I57" s="19" t="n">
        <x:v>46106</x:v>
      </x:c>
      <x:c r="J57" s="19" t="n">
        <x:v>46189</x:v>
      </x:c>
      <x:c r="K57" s="18" t="n">
        <x:v>2</x:v>
      </x:c>
      <x:c r="L57" s="18" t="n">
        <x:v>100</x:v>
      </x:c>
      <x:c r="M57" s="21" t="n">
        <x:v>78</x:v>
      </x:c>
      <x:c r="N57" s="21" t="n">
        <x:v>0.78</x:v>
      </x:c>
      <x:c r="O57" s="21" t="n">
        <x:v>0.78</x:v>
      </x:c>
      <x:c r="P57" s="21" t="n">
        <x:v>0.78</x:v>
      </x:c>
      <x:c r="Q57" s="21" t="n">
        <x:v>0.78</x:v>
      </x:c>
      <x:c r="R57" s="21" t="n">
        <x:v>0.78</x:v>
      </x:c>
      <x:c r="S57" s="40" t="n">
        <x:f>IF(N57=0,0,(O57-N57)/N57)</x:f>
        <x:v>0</x:v>
      </x:c>
      <x:c r="T57" s="21" t="n">
        <x:f>O57*1.10</x:f>
        <x:v>0.8580000000000001</x:v>
      </x:c>
      <x:c r="U57" s="18" t="str">
        <x:f>IF(K57&gt;=3,"High",IF(K57=2,"Medium","Low"))</x:f>
        <x:v>Medium</x:v>
      </x:c>
      <x:c r="V57" s="18" t="str">
        <x:f>IF(S57&gt;0.10,"Price Varies",IF(K57&gt;=2,"Stable","Single Record"))</x:f>
        <x:v>Stable</x:v>
      </x:c>
      <x:c r="W57" s="18" t="str"/>
    </x:row>
    <x:row r="58">
      <x:c r="A58" s="18" t="str">
        <x:v>ND-DBX1-14</x:v>
      </x:c>
      <x:c r="B58" s="18" t="str">
        <x:v>風琴機針 DBx1 #14</x:v>
      </x:c>
      <x:c r="C58" s="18" t="str">
        <x:v>DBx1 #14</x:v>
      </x:c>
      <x:c r="D58" s="18" t="str">
        <x:v>Needle</x:v>
      </x:c>
      <x:c r="E58" s="18" t="str">
        <x:v>Consumable</x:v>
      </x:c>
      <x:c r="F58" s="18" t="str">
        <x:v>ORGAN/風琴</x:v>
      </x:c>
      <x:c r="G58" s="18" t="str">
        <x:v>Single Needle</x:v>
      </x:c>
      <x:c r="H58" s="18" t="str">
        <x:v>包</x:v>
      </x:c>
      <x:c r="I58" s="19" t="n">
        <x:v>46065</x:v>
      </x:c>
      <x:c r="J58" s="19" t="n">
        <x:v>46175</x:v>
      </x:c>
      <x:c r="K58" s="18" t="n">
        <x:v>3</x:v>
      </x:c>
      <x:c r="L58" s="18" t="n">
        <x:v>200</x:v>
      </x:c>
      <x:c r="M58" s="21" t="n">
        <x:v>156</x:v>
      </x:c>
      <x:c r="N58" s="21" t="n">
        <x:v>0.78</x:v>
      </x:c>
      <x:c r="O58" s="21" t="n">
        <x:v>0.78</x:v>
      </x:c>
      <x:c r="P58" s="21" t="n">
        <x:v>0.7799999999999999</x:v>
      </x:c>
      <x:c r="Q58" s="21" t="n">
        <x:v>0.78</x:v>
      </x:c>
      <x:c r="R58" s="21" t="n">
        <x:v>0.78</x:v>
      </x:c>
      <x:c r="S58" s="40" t="n">
        <x:f>IF(N58=0,0,(O58-N58)/N58)</x:f>
        <x:v>0</x:v>
      </x:c>
      <x:c r="T58" s="21" t="n">
        <x:f>O58*1.10</x:f>
        <x:v>0.8580000000000001</x:v>
      </x:c>
      <x:c r="U58" s="18" t="str">
        <x:f>IF(K58&gt;=3,"High",IF(K58=2,"Medium","Low"))</x:f>
        <x:v>High</x:v>
      </x:c>
      <x:c r="V58" s="18" t="str">
        <x:f>IF(S58&gt;0.10,"Price Varies",IF(K58&gt;=2,"Stable","Single Record"))</x:f>
        <x:v>Stable</x:v>
      </x:c>
      <x:c r="W58" s="18" t="str"/>
    </x:row>
    <x:row r="59">
      <x:c r="A59" s="18" t="str">
        <x:v>ND-DBX1-16</x:v>
      </x:c>
      <x:c r="B59" s="18" t="str">
        <x:v>風琴機針 DBx1 #16</x:v>
      </x:c>
      <x:c r="C59" s="18" t="str">
        <x:v>DBx1 #16</x:v>
      </x:c>
      <x:c r="D59" s="18" t="str">
        <x:v>Needle</x:v>
      </x:c>
      <x:c r="E59" s="18" t="str">
        <x:v>Consumable</x:v>
      </x:c>
      <x:c r="F59" s="18" t="str">
        <x:v>ORGAN/風琴</x:v>
      </x:c>
      <x:c r="G59" s="18" t="str">
        <x:v>Single Needle</x:v>
      </x:c>
      <x:c r="H59" s="18" t="str">
        <x:v>包</x:v>
      </x:c>
      <x:c r="I59" s="19" t="n">
        <x:v>46065</x:v>
      </x:c>
      <x:c r="J59" s="19" t="n">
        <x:v>46175</x:v>
      </x:c>
      <x:c r="K59" s="18" t="n">
        <x:v>3</x:v>
      </x:c>
      <x:c r="L59" s="18" t="n">
        <x:v>200</x:v>
      </x:c>
      <x:c r="M59" s="21" t="n">
        <x:v>156</x:v>
      </x:c>
      <x:c r="N59" s="21" t="n">
        <x:v>0.78</x:v>
      </x:c>
      <x:c r="O59" s="21" t="n">
        <x:v>0.78</x:v>
      </x:c>
      <x:c r="P59" s="21" t="n">
        <x:v>0.7799999999999999</x:v>
      </x:c>
      <x:c r="Q59" s="21" t="n">
        <x:v>0.78</x:v>
      </x:c>
      <x:c r="R59" s="21" t="n">
        <x:v>0.78</x:v>
      </x:c>
      <x:c r="S59" s="40" t="n">
        <x:f>IF(N59=0,0,(O59-N59)/N59)</x:f>
        <x:v>0</x:v>
      </x:c>
      <x:c r="T59" s="21" t="n">
        <x:f>O59*1.10</x:f>
        <x:v>0.8580000000000001</x:v>
      </x:c>
      <x:c r="U59" s="18" t="str">
        <x:f>IF(K59&gt;=3,"High",IF(K59=2,"Medium","Low"))</x:f>
        <x:v>High</x:v>
      </x:c>
      <x:c r="V59" s="18" t="str">
        <x:f>IF(S59&gt;0.10,"Price Varies",IF(K59&gt;=2,"Stable","Single Record"))</x:f>
        <x:v>Stable</x:v>
      </x:c>
      <x:c r="W59" s="18" t="str"/>
    </x:row>
    <x:row r="60">
      <x:c r="A60" s="18" t="str">
        <x:v>ND-DBX1-9</x:v>
      </x:c>
      <x:c r="B60" s="18" t="str">
        <x:v>風琴機針 DBx1 #9</x:v>
      </x:c>
      <x:c r="C60" s="18" t="str">
        <x:v>DBx1 #9</x:v>
      </x:c>
      <x:c r="D60" s="18" t="str">
        <x:v>Needle</x:v>
      </x:c>
      <x:c r="E60" s="18" t="str">
        <x:v>Consumable</x:v>
      </x:c>
      <x:c r="F60" s="18" t="str">
        <x:v>ORGAN/風琴</x:v>
      </x:c>
      <x:c r="G60" s="18" t="str">
        <x:v>Single Needle</x:v>
      </x:c>
      <x:c r="H60" s="18" t="str">
        <x:v>包</x:v>
      </x:c>
      <x:c r="I60" s="19" t="n">
        <x:v>46106</x:v>
      </x:c>
      <x:c r="J60" s="19" t="n">
        <x:v>46106</x:v>
      </x:c>
      <x:c r="K60" s="18" t="n">
        <x:v>1</x:v>
      </x:c>
      <x:c r="L60" s="18" t="n">
        <x:v>50</x:v>
      </x:c>
      <x:c r="M60" s="21" t="n">
        <x:v>39</x:v>
      </x:c>
      <x:c r="N60" s="21" t="n">
        <x:v>0.78</x:v>
      </x:c>
      <x:c r="O60" s="21" t="n">
        <x:v>0.78</x:v>
      </x:c>
      <x:c r="P60" s="21" t="n">
        <x:v>0.78</x:v>
      </x:c>
      <x:c r="Q60" s="21" t="n">
        <x:v>0.78</x:v>
      </x:c>
      <x:c r="R60" s="21" t="n">
        <x:v>0.78</x:v>
      </x:c>
      <x:c r="S60" s="40" t="n">
        <x:f>IF(N60=0,0,(O60-N60)/N60)</x:f>
        <x:v>0</x:v>
      </x:c>
      <x:c r="T60" s="21" t="n">
        <x:f>O60*1.10</x:f>
        <x:v>0.8580000000000001</x:v>
      </x:c>
      <x:c r="U60" s="18" t="str">
        <x:f>IF(K60&gt;=3,"High",IF(K60=2,"Medium","Low"))</x:f>
        <x:v>Low</x:v>
      </x:c>
      <x:c r="V60" s="18" t="str">
        <x:f>IF(S60&gt;0.10,"Price Varies",IF(K60&gt;=2,"Stable","Single Record"))</x:f>
        <x:v>Single Record</x:v>
      </x:c>
      <x:c r="W60" s="18" t="str"/>
    </x:row>
    <x:row r="61">
      <x:c r="A61" s="18" t="str">
        <x:v>ND-DCX27-12</x:v>
      </x:c>
      <x:c r="B61" s="18" t="str">
        <x:v>風琴機針 DCx27 #12</x:v>
      </x:c>
      <x:c r="C61" s="18" t="str">
        <x:v>DCx27 #12</x:v>
      </x:c>
      <x:c r="D61" s="18" t="str">
        <x:v>Needle</x:v>
      </x:c>
      <x:c r="E61" s="18" t="str">
        <x:v>Consumable</x:v>
      </x:c>
      <x:c r="F61" s="18" t="str">
        <x:v>ORGAN/風琴</x:v>
      </x:c>
      <x:c r="G61" s="18" t="str">
        <x:v>Overlock</x:v>
      </x:c>
      <x:c r="H61" s="18" t="str">
        <x:v>包</x:v>
      </x:c>
      <x:c r="I61" s="19" t="n">
        <x:v>46024</x:v>
      </x:c>
      <x:c r="J61" s="19" t="n">
        <x:v>46189</x:v>
      </x:c>
      <x:c r="K61" s="18" t="n">
        <x:v>11</x:v>
      </x:c>
      <x:c r="L61" s="18" t="n">
        <x:v>1100</x:v>
      </x:c>
      <x:c r="M61" s="21" t="n">
        <x:v>1430</x:v>
      </x:c>
      <x:c r="N61" s="21" t="n">
        <x:v>1.3</x:v>
      </x:c>
      <x:c r="O61" s="21" t="n">
        <x:v>1.3</x:v>
      </x:c>
      <x:c r="P61" s="21" t="n">
        <x:v>1.3</x:v>
      </x:c>
      <x:c r="Q61" s="21" t="n">
        <x:v>1.3</x:v>
      </x:c>
      <x:c r="R61" s="21" t="n">
        <x:v>1.3</x:v>
      </x:c>
      <x:c r="S61" s="40" t="n">
        <x:f>IF(N61=0,0,(O61-N61)/N61)</x:f>
        <x:v>0</x:v>
      </x:c>
      <x:c r="T61" s="21" t="n">
        <x:f>O61*1.10</x:f>
        <x:v>1.4300000000000002</x:v>
      </x:c>
      <x:c r="U61" s="18" t="str">
        <x:f>IF(K61&gt;=3,"High",IF(K61=2,"Medium","Low"))</x:f>
        <x:v>High</x:v>
      </x:c>
      <x:c r="V61" s="18" t="str">
        <x:f>IF(S61&gt;0.10,"Price Varies",IF(K61&gt;=2,"Stable","Single Record"))</x:f>
        <x:v>Stable</x:v>
      </x:c>
      <x:c r="W61" s="18" t="str"/>
    </x:row>
    <x:row r="62">
      <x:c r="A62" s="18" t="str">
        <x:v>ND-DCX27-14</x:v>
      </x:c>
      <x:c r="B62" s="18" t="str">
        <x:v>風琴機針 DCx27 #14</x:v>
      </x:c>
      <x:c r="C62" s="18" t="str">
        <x:v>DCx27 #14</x:v>
      </x:c>
      <x:c r="D62" s="18" t="str">
        <x:v>Needle</x:v>
      </x:c>
      <x:c r="E62" s="18" t="str">
        <x:v>Consumable</x:v>
      </x:c>
      <x:c r="F62" s="18" t="str">
        <x:v>ORGAN/風琴</x:v>
      </x:c>
      <x:c r="G62" s="18" t="str">
        <x:v>Overlock</x:v>
      </x:c>
      <x:c r="H62" s="18" t="str">
        <x:v>包</x:v>
      </x:c>
      <x:c r="I62" s="19" t="n">
        <x:v>46065</x:v>
      </x:c>
      <x:c r="J62" s="19" t="n">
        <x:v>46175</x:v>
      </x:c>
      <x:c r="K62" s="18" t="n">
        <x:v>3</x:v>
      </x:c>
      <x:c r="L62" s="18" t="n">
        <x:v>250</x:v>
      </x:c>
      <x:c r="M62" s="21" t="n">
        <x:v>325</x:v>
      </x:c>
      <x:c r="N62" s="21" t="n">
        <x:v>1.3</x:v>
      </x:c>
      <x:c r="O62" s="21" t="n">
        <x:v>1.3</x:v>
      </x:c>
      <x:c r="P62" s="21" t="n">
        <x:v>1.3</x:v>
      </x:c>
      <x:c r="Q62" s="21" t="n">
        <x:v>1.3</x:v>
      </x:c>
      <x:c r="R62" s="21" t="n">
        <x:v>1.3</x:v>
      </x:c>
      <x:c r="S62" s="40" t="n">
        <x:f>IF(N62=0,0,(O62-N62)/N62)</x:f>
        <x:v>0</x:v>
      </x:c>
      <x:c r="T62" s="21" t="n">
        <x:f>O62*1.10</x:f>
        <x:v>1.4300000000000002</x:v>
      </x:c>
      <x:c r="U62" s="18" t="str">
        <x:f>IF(K62&gt;=3,"High",IF(K62=2,"Medium","Low"))</x:f>
        <x:v>High</x:v>
      </x:c>
      <x:c r="V62" s="18" t="str">
        <x:f>IF(S62&gt;0.10,"Price Varies",IF(K62&gt;=2,"Stable","Single Record"))</x:f>
        <x:v>Stable</x:v>
      </x:c>
      <x:c r="W62" s="18" t="str"/>
    </x:row>
    <x:row r="63">
      <x:c r="A63" s="18" t="str">
        <x:v>ND-DCX27-16</x:v>
      </x:c>
      <x:c r="B63" s="18" t="str">
        <x:v>風琴機針 DCx27 #16</x:v>
      </x:c>
      <x:c r="C63" s="18" t="str">
        <x:v>DCx27 #16</x:v>
      </x:c>
      <x:c r="D63" s="18" t="str">
        <x:v>Needle</x:v>
      </x:c>
      <x:c r="E63" s="18" t="str">
        <x:v>Consumable</x:v>
      </x:c>
      <x:c r="F63" s="18" t="str">
        <x:v>ORGAN/風琴</x:v>
      </x:c>
      <x:c r="G63" s="18" t="str">
        <x:v>Overlock</x:v>
      </x:c>
      <x:c r="H63" s="18" t="str">
        <x:v>包</x:v>
      </x:c>
      <x:c r="I63" s="19" t="n">
        <x:v>46065</x:v>
      </x:c>
      <x:c r="J63" s="19" t="n">
        <x:v>46175</x:v>
      </x:c>
      <x:c r="K63" s="18" t="n">
        <x:v>3</x:v>
      </x:c>
      <x:c r="L63" s="18" t="n">
        <x:v>200</x:v>
      </x:c>
      <x:c r="M63" s="21" t="n">
        <x:v>260</x:v>
      </x:c>
      <x:c r="N63" s="21" t="n">
        <x:v>1.3</x:v>
      </x:c>
      <x:c r="O63" s="21" t="n">
        <x:v>1.3</x:v>
      </x:c>
      <x:c r="P63" s="21" t="n">
        <x:v>1.3</x:v>
      </x:c>
      <x:c r="Q63" s="21" t="n">
        <x:v>1.3</x:v>
      </x:c>
      <x:c r="R63" s="21" t="n">
        <x:v>1.3</x:v>
      </x:c>
      <x:c r="S63" s="40" t="n">
        <x:f>IF(N63=0,0,(O63-N63)/N63)</x:f>
        <x:v>0</x:v>
      </x:c>
      <x:c r="T63" s="21" t="n">
        <x:f>O63*1.10</x:f>
        <x:v>1.4300000000000002</x:v>
      </x:c>
      <x:c r="U63" s="18" t="str">
        <x:f>IF(K63&gt;=3,"High",IF(K63=2,"Medium","Low"))</x:f>
        <x:v>High</x:v>
      </x:c>
      <x:c r="V63" s="18" t="str">
        <x:f>IF(S63&gt;0.10,"Price Varies",IF(K63&gt;=2,"Stable","Single Record"))</x:f>
        <x:v>Stable</x:v>
      </x:c>
      <x:c r="W63" s="18" t="str"/>
    </x:row>
    <x:row r="64">
      <x:c r="A64" s="18" t="str">
        <x:v>ND-DPX17-16</x:v>
      </x:c>
      <x:c r="B64" s="18" t="str">
        <x:v>風琴機針 DPx17 #16</x:v>
      </x:c>
      <x:c r="C64" s="18" t="str">
        <x:v>DPx17 #16</x:v>
      </x:c>
      <x:c r="D64" s="18" t="str">
        <x:v>Needle</x:v>
      </x:c>
      <x:c r="E64" s="18" t="str">
        <x:v>Consumable</x:v>
      </x:c>
      <x:c r="F64" s="18" t="str">
        <x:v>ORGAN/風琴</x:v>
      </x:c>
      <x:c r="G64" s="18" t="str">
        <x:v>Buttonhole / Special</x:v>
      </x:c>
      <x:c r="H64" s="18" t="str">
        <x:v>包</x:v>
      </x:c>
      <x:c r="I64" s="19" t="n">
        <x:v>46135</x:v>
      </x:c>
      <x:c r="J64" s="19" t="n">
        <x:v>46135</x:v>
      </x:c>
      <x:c r="K64" s="18" t="n">
        <x:v>1</x:v>
      </x:c>
      <x:c r="L64" s="18" t="n">
        <x:v>50</x:v>
      </x:c>
      <x:c r="M64" s="21" t="n">
        <x:v>65</x:v>
      </x:c>
      <x:c r="N64" s="21" t="n">
        <x:v>1.3</x:v>
      </x:c>
      <x:c r="O64" s="21" t="n">
        <x:v>1.3</x:v>
      </x:c>
      <x:c r="P64" s="21" t="n">
        <x:v>1.3</x:v>
      </x:c>
      <x:c r="Q64" s="21" t="n">
        <x:v>1.3</x:v>
      </x:c>
      <x:c r="R64" s="21" t="n">
        <x:v>1.3</x:v>
      </x:c>
      <x:c r="S64" s="40" t="n">
        <x:f>IF(N64=0,0,(O64-N64)/N64)</x:f>
        <x:v>0</x:v>
      </x:c>
      <x:c r="T64" s="21" t="n">
        <x:f>O64*1.10</x:f>
        <x:v>1.4300000000000002</x:v>
      </x:c>
      <x:c r="U64" s="18" t="str">
        <x:f>IF(K64&gt;=3,"High",IF(K64=2,"Medium","Low"))</x:f>
        <x:v>Low</x:v>
      </x:c>
      <x:c r="V64" s="18" t="str">
        <x:f>IF(S64&gt;0.10,"Price Varies",IF(K64&gt;=2,"Stable","Single Record"))</x:f>
        <x:v>Single Record</x:v>
      </x:c>
      <x:c r="W64" s="18" t="str"/>
    </x:row>
    <x:row r="65">
      <x:c r="A65" s="18" t="str">
        <x:v>ND-DPX5-14</x:v>
      </x:c>
      <x:c r="B65" s="18" t="str">
        <x:v>風琴機針 DPx5 #14</x:v>
      </x:c>
      <x:c r="C65" s="18" t="str">
        <x:v>DPx5 #14</x:v>
      </x:c>
      <x:c r="D65" s="18" t="str">
        <x:v>Needle</x:v>
      </x:c>
      <x:c r="E65" s="18" t="str">
        <x:v>Consumable</x:v>
      </x:c>
      <x:c r="F65" s="18" t="str">
        <x:v>ORGAN/風琴</x:v>
      </x:c>
      <x:c r="G65" s="18" t="str">
        <x:v>Lockstitch</x:v>
      </x:c>
      <x:c r="H65" s="18" t="str">
        <x:v>包</x:v>
      </x:c>
      <x:c r="I65" s="19" t="n">
        <x:v>46065</x:v>
      </x:c>
      <x:c r="J65" s="19" t="n">
        <x:v>46175</x:v>
      </x:c>
      <x:c r="K65" s="18" t="n">
        <x:v>3</x:v>
      </x:c>
      <x:c r="L65" s="18" t="n">
        <x:v>200</x:v>
      </x:c>
      <x:c r="M65" s="21" t="n">
        <x:v>156</x:v>
      </x:c>
      <x:c r="N65" s="21" t="n">
        <x:v>0.78</x:v>
      </x:c>
      <x:c r="O65" s="21" t="n">
        <x:v>0.78</x:v>
      </x:c>
      <x:c r="P65" s="21" t="n">
        <x:v>0.7799999999999999</x:v>
      </x:c>
      <x:c r="Q65" s="21" t="n">
        <x:v>0.78</x:v>
      </x:c>
      <x:c r="R65" s="21" t="n">
        <x:v>0.78</x:v>
      </x:c>
      <x:c r="S65" s="40" t="n">
        <x:f>IF(N65=0,0,(O65-N65)/N65)</x:f>
        <x:v>0</x:v>
      </x:c>
      <x:c r="T65" s="21" t="n">
        <x:f>O65*1.10</x:f>
        <x:v>0.8580000000000001</x:v>
      </x:c>
      <x:c r="U65" s="18" t="str">
        <x:f>IF(K65&gt;=3,"High",IF(K65=2,"Medium","Low"))</x:f>
        <x:v>High</x:v>
      </x:c>
      <x:c r="V65" s="18" t="str">
        <x:f>IF(S65&gt;0.10,"Price Varies",IF(K65&gt;=2,"Stable","Single Record"))</x:f>
        <x:v>Stable</x:v>
      </x:c>
      <x:c r="W65" s="18" t="str"/>
    </x:row>
    <x:row r="66">
      <x:c r="A66" s="18" t="str">
        <x:v>ND-DPX5-16</x:v>
      </x:c>
      <x:c r="B66" s="18" t="str">
        <x:v>風琴機針 DPx5 #16</x:v>
      </x:c>
      <x:c r="C66" s="18" t="str">
        <x:v>DPx5 #16</x:v>
      </x:c>
      <x:c r="D66" s="18" t="str">
        <x:v>Needle</x:v>
      </x:c>
      <x:c r="E66" s="18" t="str">
        <x:v>Consumable</x:v>
      </x:c>
      <x:c r="F66" s="18" t="str">
        <x:v>ORGAN/風琴</x:v>
      </x:c>
      <x:c r="G66" s="18" t="str">
        <x:v>Lockstitch</x:v>
      </x:c>
      <x:c r="H66" s="18" t="str">
        <x:v>包</x:v>
      </x:c>
      <x:c r="I66" s="19" t="n">
        <x:v>46065</x:v>
      </x:c>
      <x:c r="J66" s="19" t="n">
        <x:v>46175</x:v>
      </x:c>
      <x:c r="K66" s="18" t="n">
        <x:v>2</x:v>
      </x:c>
      <x:c r="L66" s="18" t="n">
        <x:v>150</x:v>
      </x:c>
      <x:c r="M66" s="21" t="n">
        <x:v>117</x:v>
      </x:c>
      <x:c r="N66" s="21" t="n">
        <x:v>0.78</x:v>
      </x:c>
      <x:c r="O66" s="21" t="n">
        <x:v>0.78</x:v>
      </x:c>
      <x:c r="P66" s="21" t="n">
        <x:v>0.78</x:v>
      </x:c>
      <x:c r="Q66" s="21" t="n">
        <x:v>0.78</x:v>
      </x:c>
      <x:c r="R66" s="21" t="n">
        <x:v>0.78</x:v>
      </x:c>
      <x:c r="S66" s="40" t="n">
        <x:f>IF(N66=0,0,(O66-N66)/N66)</x:f>
        <x:v>0</x:v>
      </x:c>
      <x:c r="T66" s="21" t="n">
        <x:f>O66*1.10</x:f>
        <x:v>0.8580000000000001</x:v>
      </x:c>
      <x:c r="U66" s="18" t="str">
        <x:f>IF(K66&gt;=3,"High",IF(K66=2,"Medium","Low"))</x:f>
        <x:v>Medium</x:v>
      </x:c>
      <x:c r="V66" s="18" t="str">
        <x:f>IF(S66&gt;0.10,"Price Varies",IF(K66&gt;=2,"Stable","Single Record"))</x:f>
        <x:v>Stable</x:v>
      </x:c>
      <x:c r="W66" s="18" t="str"/>
    </x:row>
    <x:row r="67">
      <x:c r="A67" s="18" t="str">
        <x:v>ND-UOX113-12</x:v>
      </x:c>
      <x:c r="B67" s="18" t="str">
        <x:v>風琴機針 UOx113 #12</x:v>
      </x:c>
      <x:c r="C67" s="18" t="str">
        <x:v>UOx113 #12</x:v>
      </x:c>
      <x:c r="D67" s="18" t="str">
        <x:v>Needle</x:v>
      </x:c>
      <x:c r="E67" s="18" t="str">
        <x:v>Consumable</x:v>
      </x:c>
      <x:c r="F67" s="18" t="str">
        <x:v>ORGAN/風琴</x:v>
      </x:c>
      <x:c r="G67" s="18" t="str">
        <x:v>Multi-needle</x:v>
      </x:c>
      <x:c r="H67" s="18" t="str">
        <x:v>包</x:v>
      </x:c>
      <x:c r="I67" s="19" t="n">
        <x:v>46116</x:v>
      </x:c>
      <x:c r="J67" s="19" t="n">
        <x:v>46182</x:v>
      </x:c>
      <x:c r="K67" s="18" t="n">
        <x:v>7</x:v>
      </x:c>
      <x:c r="L67" s="18" t="n">
        <x:v>530</x:v>
      </x:c>
      <x:c r="M67" s="21" t="n">
        <x:v>1590</x:v>
      </x:c>
      <x:c r="N67" s="21" t="n">
        <x:v>3</x:v>
      </x:c>
      <x:c r="O67" s="21" t="n">
        <x:v>3</x:v>
      </x:c>
      <x:c r="P67" s="21" t="n">
        <x:v>3</x:v>
      </x:c>
      <x:c r="Q67" s="21" t="n">
        <x:v>3</x:v>
      </x:c>
      <x:c r="R67" s="21" t="n">
        <x:v>3</x:v>
      </x:c>
      <x:c r="S67" s="40" t="n">
        <x:f>IF(N67=0,0,(O67-N67)/N67)</x:f>
        <x:v>0</x:v>
      </x:c>
      <x:c r="T67" s="21" t="n">
        <x:f>O67*1.10</x:f>
        <x:v>3.3000000000000003</x:v>
      </x:c>
      <x:c r="U67" s="18" t="str">
        <x:f>IF(K67&gt;=3,"High",IF(K67=2,"Medium","Low"))</x:f>
        <x:v>High</x:v>
      </x:c>
      <x:c r="V67" s="18" t="str">
        <x:f>IF(S67&gt;0.10,"Price Varies",IF(K67&gt;=2,"Stable","Single Record"))</x:f>
        <x:v>Stable</x:v>
      </x:c>
      <x:c r="W67" s="18" t="str"/>
    </x:row>
    <x:row r="68">
      <x:c r="A68" s="18" t="str">
        <x:v>ND-UOX113-14</x:v>
      </x:c>
      <x:c r="B68" s="18" t="str">
        <x:v>風琴機針 UOx113 #14</x:v>
      </x:c>
      <x:c r="C68" s="18" t="str">
        <x:v>UOx113 #14</x:v>
      </x:c>
      <x:c r="D68" s="18" t="str">
        <x:v>Needle</x:v>
      </x:c>
      <x:c r="E68" s="18" t="str">
        <x:v>Consumable</x:v>
      </x:c>
      <x:c r="F68" s="18" t="str">
        <x:v>ORGAN/風琴</x:v>
      </x:c>
      <x:c r="G68" s="18" t="str">
        <x:v>Multi-needle</x:v>
      </x:c>
      <x:c r="H68" s="18" t="str">
        <x:v>包</x:v>
      </x:c>
      <x:c r="I68" s="19" t="n">
        <x:v>46024</x:v>
      </x:c>
      <x:c r="J68" s="19" t="n">
        <x:v>46197</x:v>
      </x:c>
      <x:c r="K68" s="18" t="n">
        <x:v>7</x:v>
      </x:c>
      <x:c r="L68" s="18" t="n">
        <x:v>550</x:v>
      </x:c>
      <x:c r="M68" s="21" t="n">
        <x:v>1650</x:v>
      </x:c>
      <x:c r="N68" s="21" t="n">
        <x:v>3</x:v>
      </x:c>
      <x:c r="O68" s="21" t="n">
        <x:v>3</x:v>
      </x:c>
      <x:c r="P68" s="21" t="n">
        <x:v>3</x:v>
      </x:c>
      <x:c r="Q68" s="21" t="n">
        <x:v>3</x:v>
      </x:c>
      <x:c r="R68" s="21" t="n">
        <x:v>3</x:v>
      </x:c>
      <x:c r="S68" s="40" t="n">
        <x:f>IF(N68=0,0,(O68-N68)/N68)</x:f>
        <x:v>0</x:v>
      </x:c>
      <x:c r="T68" s="21" t="n">
        <x:f>O68*1.10</x:f>
        <x:v>3.3000000000000003</x:v>
      </x:c>
      <x:c r="U68" s="18" t="str">
        <x:f>IF(K68&gt;=3,"High",IF(K68=2,"Medium","Low"))</x:f>
        <x:v>High</x:v>
      </x:c>
      <x:c r="V68" s="18" t="str">
        <x:f>IF(S68&gt;0.10,"Price Varies",IF(K68&gt;=2,"Stable","Single Record"))</x:f>
        <x:v>Stable</x:v>
      </x:c>
      <x:c r="W68" s="18" t="str"/>
    </x:row>
    <x:row r="69">
      <x:c r="A69" s="18" t="str">
        <x:v>ND-UOX113-16</x:v>
      </x:c>
      <x:c r="B69" s="18" t="str">
        <x:v>風琴機針 UOx113 #16</x:v>
      </x:c>
      <x:c r="C69" s="18" t="str">
        <x:v>UOx113 #16</x:v>
      </x:c>
      <x:c r="D69" s="18" t="str">
        <x:v>Needle</x:v>
      </x:c>
      <x:c r="E69" s="18" t="str">
        <x:v>Consumable</x:v>
      </x:c>
      <x:c r="F69" s="18" t="str">
        <x:v>ORGAN/風琴</x:v>
      </x:c>
      <x:c r="G69" s="18" t="str">
        <x:v>Multi-needle</x:v>
      </x:c>
      <x:c r="H69" s="18" t="str">
        <x:v>包</x:v>
      </x:c>
      <x:c r="I69" s="19" t="n">
        <x:v>46106</x:v>
      </x:c>
      <x:c r="J69" s="19" t="n">
        <x:v>46197</x:v>
      </x:c>
      <x:c r="K69" s="18" t="n">
        <x:v>2</x:v>
      </x:c>
      <x:c r="L69" s="18" t="n">
        <x:v>100</x:v>
      </x:c>
      <x:c r="M69" s="21" t="n">
        <x:v>300</x:v>
      </x:c>
      <x:c r="N69" s="21" t="n">
        <x:v>3</x:v>
      </x:c>
      <x:c r="O69" s="21" t="n">
        <x:v>3</x:v>
      </x:c>
      <x:c r="P69" s="21" t="n">
        <x:v>3</x:v>
      </x:c>
      <x:c r="Q69" s="21" t="n">
        <x:v>3</x:v>
      </x:c>
      <x:c r="R69" s="21" t="n">
        <x:v>3</x:v>
      </x:c>
      <x:c r="S69" s="40" t="n">
        <x:f>IF(N69=0,0,(O69-N69)/N69)</x:f>
        <x:v>0</x:v>
      </x:c>
      <x:c r="T69" s="21" t="n">
        <x:f>O69*1.10</x:f>
        <x:v>3.3000000000000003</x:v>
      </x:c>
      <x:c r="U69" s="18" t="str">
        <x:f>IF(K69&gt;=3,"High",IF(K69=2,"Medium","Low"))</x:f>
        <x:v>Medium</x:v>
      </x:c>
      <x:c r="V69" s="18" t="str">
        <x:f>IF(S69&gt;0.10,"Price Varies",IF(K69&gt;=2,"Stable","Single Record"))</x:f>
        <x:v>Stable</x:v>
      </x:c>
      <x:c r="W69" s="18" t="str"/>
    </x:row>
    <x:row r="70">
      <x:c r="A70" s="18" t="str">
        <x:v>ND-UYX128-11</x:v>
      </x:c>
      <x:c r="B70" s="18" t="str">
        <x:v>風琴機針 UYx128 #11</x:v>
      </x:c>
      <x:c r="C70" s="18" t="str">
        <x:v>UYx128 #11</x:v>
      </x:c>
      <x:c r="D70" s="18" t="str">
        <x:v>Needle</x:v>
      </x:c>
      <x:c r="E70" s="18" t="str">
        <x:v>Consumable</x:v>
      </x:c>
      <x:c r="F70" s="18" t="str">
        <x:v>ORGAN/風琴</x:v>
      </x:c>
      <x:c r="G70" s="18" t="str">
        <x:v>Multi-needle / Chainstitch</x:v>
      </x:c>
      <x:c r="H70" s="18" t="str">
        <x:v>包</x:v>
      </x:c>
      <x:c r="I70" s="19" t="n">
        <x:v>46024</x:v>
      </x:c>
      <x:c r="J70" s="19" t="n">
        <x:v>46051</x:v>
      </x:c>
      <x:c r="K70" s="18" t="n">
        <x:v>4</x:v>
      </x:c>
      <x:c r="L70" s="18" t="n">
        <x:v>400</x:v>
      </x:c>
      <x:c r="M70" s="21" t="n">
        <x:v>712</x:v>
      </x:c>
      <x:c r="N70" s="21" t="n">
        <x:v>1.78</x:v>
      </x:c>
      <x:c r="O70" s="21" t="n">
        <x:v>1.78</x:v>
      </x:c>
      <x:c r="P70" s="21" t="n">
        <x:v>1.78</x:v>
      </x:c>
      <x:c r="Q70" s="21" t="n">
        <x:v>1.78</x:v>
      </x:c>
      <x:c r="R70" s="21" t="n">
        <x:v>1.78</x:v>
      </x:c>
      <x:c r="S70" s="40" t="n">
        <x:f>IF(N70=0,0,(O70-N70)/N70)</x:f>
        <x:v>0</x:v>
      </x:c>
      <x:c r="T70" s="21" t="n">
        <x:f>O70*1.10</x:f>
        <x:v>1.9580000000000002</x:v>
      </x:c>
      <x:c r="U70" s="18" t="str">
        <x:f>IF(K70&gt;=3,"High",IF(K70=2,"Medium","Low"))</x:f>
        <x:v>High</x:v>
      </x:c>
      <x:c r="V70" s="18" t="str">
        <x:f>IF(S70&gt;0.10,"Price Varies",IF(K70&gt;=2,"Stable","Single Record"))</x:f>
        <x:v>Stable</x:v>
      </x:c>
      <x:c r="W70" s="18" t="str"/>
    </x:row>
    <x:row r="71">
      <x:c r="A71" s="18" t="str">
        <x:v>ND-UYX128-12</x:v>
      </x:c>
      <x:c r="B71" s="18" t="str">
        <x:v>風琴機針 UYx128 #12</x:v>
      </x:c>
      <x:c r="C71" s="18" t="str">
        <x:v>UYx128 #12</x:v>
      </x:c>
      <x:c r="D71" s="18" t="str">
        <x:v>Needle</x:v>
      </x:c>
      <x:c r="E71" s="18" t="str">
        <x:v>Consumable</x:v>
      </x:c>
      <x:c r="F71" s="18" t="str">
        <x:v>ORGAN/風琴</x:v>
      </x:c>
      <x:c r="G71" s="18" t="str">
        <x:v>Multi-needle / Chainstitch</x:v>
      </x:c>
      <x:c r="H71" s="18" t="str">
        <x:v>包</x:v>
      </x:c>
      <x:c r="I71" s="19" t="n">
        <x:v>46090</x:v>
      </x:c>
      <x:c r="J71" s="19" t="n">
        <x:v>46182</x:v>
      </x:c>
      <x:c r="K71" s="18" t="n">
        <x:v>7</x:v>
      </x:c>
      <x:c r="L71" s="18" t="n">
        <x:v>750</x:v>
      </x:c>
      <x:c r="M71" s="21" t="n">
        <x:v>1335</x:v>
      </x:c>
      <x:c r="N71" s="21" t="n">
        <x:v>1.78</x:v>
      </x:c>
      <x:c r="O71" s="21" t="n">
        <x:v>1.78</x:v>
      </x:c>
      <x:c r="P71" s="21" t="n">
        <x:v>1.78</x:v>
      </x:c>
      <x:c r="Q71" s="21" t="n">
        <x:v>1.78</x:v>
      </x:c>
      <x:c r="R71" s="21" t="n">
        <x:v>1.78</x:v>
      </x:c>
      <x:c r="S71" s="40" t="n">
        <x:f>IF(N71=0,0,(O71-N71)/N71)</x:f>
        <x:v>0</x:v>
      </x:c>
      <x:c r="T71" s="21" t="n">
        <x:f>O71*1.10</x:f>
        <x:v>1.9580000000000002</x:v>
      </x:c>
      <x:c r="U71" s="18" t="str">
        <x:f>IF(K71&gt;=3,"High",IF(K71=2,"Medium","Low"))</x:f>
        <x:v>High</x:v>
      </x:c>
      <x:c r="V71" s="18" t="str">
        <x:f>IF(S71&gt;0.10,"Price Varies",IF(K71&gt;=2,"Stable","Single Record"))</x:f>
        <x:v>Stable</x:v>
      </x:c>
      <x:c r="W71" s="18" t="str"/>
    </x:row>
    <x:row r="72">
      <x:c r="A72" s="18" t="str">
        <x:v>ND-UYX128-14</x:v>
      </x:c>
      <x:c r="B72" s="18" t="str">
        <x:v>風琴機針 UYx128 #14</x:v>
      </x:c>
      <x:c r="C72" s="18" t="str">
        <x:v>UYx128 #14</x:v>
      </x:c>
      <x:c r="D72" s="18" t="str">
        <x:v>Needle</x:v>
      </x:c>
      <x:c r="E72" s="18" t="str">
        <x:v>Consumable</x:v>
      </x:c>
      <x:c r="F72" s="18" t="str">
        <x:v>ORGAN/風琴</x:v>
      </x:c>
      <x:c r="G72" s="18" t="str">
        <x:v>Multi-needle / Chainstitch</x:v>
      </x:c>
      <x:c r="H72" s="18" t="str">
        <x:v>包</x:v>
      </x:c>
      <x:c r="I72" s="19" t="n">
        <x:v>46085</x:v>
      </x:c>
      <x:c r="J72" s="19" t="n">
        <x:v>46189</x:v>
      </x:c>
      <x:c r="K72" s="18" t="n">
        <x:v>3</x:v>
      </x:c>
      <x:c r="L72" s="18" t="n">
        <x:v>300</x:v>
      </x:c>
      <x:c r="M72" s="21" t="n">
        <x:v>534</x:v>
      </x:c>
      <x:c r="N72" s="21" t="n">
        <x:v>1.78</x:v>
      </x:c>
      <x:c r="O72" s="21" t="n">
        <x:v>1.78</x:v>
      </x:c>
      <x:c r="P72" s="21" t="n">
        <x:v>1.78</x:v>
      </x:c>
      <x:c r="Q72" s="21" t="n">
        <x:v>1.78</x:v>
      </x:c>
      <x:c r="R72" s="21" t="n">
        <x:v>1.78</x:v>
      </x:c>
      <x:c r="S72" s="40" t="n">
        <x:f>IF(N72=0,0,(O72-N72)/N72)</x:f>
        <x:v>0</x:v>
      </x:c>
      <x:c r="T72" s="21" t="n">
        <x:f>O72*1.10</x:f>
        <x:v>1.9580000000000002</x:v>
      </x:c>
      <x:c r="U72" s="18" t="str">
        <x:f>IF(K72&gt;=3,"High",IF(K72=2,"Medium","Low"))</x:f>
        <x:v>High</x:v>
      </x:c>
      <x:c r="V72" s="18" t="str">
        <x:f>IF(S72&gt;0.10,"Price Varies",IF(K72&gt;=2,"Stable","Single Record"))</x:f>
        <x:v>Stable</x:v>
      </x:c>
      <x:c r="W72" s="18" t="str"/>
    </x:row>
    <x:row r="73">
      <x:c r="A73" s="18" t="str">
        <x:v>NP-E22</x:v>
      </x:c>
      <x:c r="B73" s="18" t="str">
        <x:v>E22 針板</x:v>
      </x:c>
      <x:c r="C73" s="18" t="str">
        <x:v>E22</x:v>
      </x:c>
      <x:c r="D73" s="18" t="str">
        <x:v>Needle Plate/Feed Dog</x:v>
      </x:c>
      <x:c r="E73" s="18" t="str">
        <x:v>Spare Part</x:v>
      </x:c>
      <x:c r="F73" s="18" t="str"/>
      <x:c r="G73" s="18" t="str">
        <x:v>Single Needle</x:v>
      </x:c>
      <x:c r="H73" s="18" t="str">
        <x:v>個</x:v>
      </x:c>
      <x:c r="I73" s="19" t="n">
        <x:v>46067</x:v>
      </x:c>
      <x:c r="J73" s="19" t="n">
        <x:v>46182</x:v>
      </x:c>
      <x:c r="K73" s="18" t="n">
        <x:v>2</x:v>
      </x:c>
      <x:c r="L73" s="18" t="n">
        <x:v>80</x:v>
      </x:c>
      <x:c r="M73" s="21" t="n">
        <x:v>28</x:v>
      </x:c>
      <x:c r="N73" s="21" t="n">
        <x:v>0.35</x:v>
      </x:c>
      <x:c r="O73" s="21" t="n">
        <x:v>0.35</x:v>
      </x:c>
      <x:c r="P73" s="21" t="n">
        <x:v>0.35</x:v>
      </x:c>
      <x:c r="Q73" s="21" t="n">
        <x:v>0.35</x:v>
      </x:c>
      <x:c r="R73" s="21" t="n">
        <x:v>0.35</x:v>
      </x:c>
      <x:c r="S73" s="40" t="n">
        <x:f>IF(N73=0,0,(O73-N73)/N73)</x:f>
        <x:v>0</x:v>
      </x:c>
      <x:c r="T73" s="21" t="n">
        <x:f>O73*1.10</x:f>
        <x:v>0.385</x:v>
      </x:c>
      <x:c r="U73" s="18" t="str">
        <x:f>IF(K73&gt;=3,"High",IF(K73=2,"Medium","Low"))</x:f>
        <x:v>Medium</x:v>
      </x:c>
      <x:c r="V73" s="18" t="str">
        <x:f>IF(S73&gt;0.10,"Price Varies",IF(K73&gt;=2,"Stable","Single Record"))</x:f>
        <x:v>Stable</x:v>
      </x:c>
      <x:c r="W73" s="18" t="str"/>
    </x:row>
    <x:row r="74">
      <x:c r="A74" s="18" t="str">
        <x:v>FD-H208K</x:v>
      </x:c>
      <x:c r="B74" s="18" t="str">
        <x:v>H208K 牙齒</x:v>
      </x:c>
      <x:c r="C74" s="18" t="str">
        <x:v>H208K</x:v>
      </x:c>
      <x:c r="D74" s="18" t="str">
        <x:v>Needle Plate/Feed Dog</x:v>
      </x:c>
      <x:c r="E74" s="18" t="str">
        <x:v>Spare Part</x:v>
      </x:c>
      <x:c r="F74" s="18" t="str"/>
      <x:c r="G74" s="18" t="str">
        <x:v>Sewing Machine</x:v>
      </x:c>
      <x:c r="H74" s="18" t="str">
        <x:v>個</x:v>
      </x:c>
      <x:c r="I74" s="19" t="n">
        <x:v>46171</x:v>
      </x:c>
      <x:c r="J74" s="19" t="n">
        <x:v>46171</x:v>
      </x:c>
      <x:c r="K74" s="18" t="n">
        <x:v>1</x:v>
      </x:c>
      <x:c r="L74" s="18" t="n">
        <x:v>5</x:v>
      </x:c>
      <x:c r="M74" s="21" t="n">
        <x:v>16.25</x:v>
      </x:c>
      <x:c r="N74" s="21" t="n">
        <x:v>3.25</x:v>
      </x:c>
      <x:c r="O74" s="21" t="n">
        <x:v>3.25</x:v>
      </x:c>
      <x:c r="P74" s="21" t="n">
        <x:v>3.25</x:v>
      </x:c>
      <x:c r="Q74" s="21" t="n">
        <x:v>3.25</x:v>
      </x:c>
      <x:c r="R74" s="21" t="n">
        <x:v>3.25</x:v>
      </x:c>
      <x:c r="S74" s="40" t="n">
        <x:f>IF(N74=0,0,(O74-N74)/N74)</x:f>
        <x:v>0</x:v>
      </x:c>
      <x:c r="T74" s="21" t="n">
        <x:f>O74*1.10</x:f>
        <x:v>3.575</x:v>
      </x:c>
      <x:c r="U74" s="18" t="str">
        <x:f>IF(K74&gt;=3,"High",IF(K74=2,"Medium","Low"))</x:f>
        <x:v>Low</x:v>
      </x:c>
      <x:c r="V74" s="18" t="str">
        <x:f>IF(S74&gt;0.10,"Price Varies",IF(K74&gt;=2,"Stable","Single Record"))</x:f>
        <x:v>Single Record</x:v>
      </x:c>
      <x:c r="W74" s="18" t="str"/>
    </x:row>
    <x:row r="75">
      <x:c r="A75" s="18" t="str">
        <x:v>FD-SIRUBA747K-SET</x:v>
      </x:c>
      <x:c r="B75" s="18" t="str">
        <x:v>SIRUBA-747K 牙齒組</x:v>
      </x:c>
      <x:c r="C75" s="18" t="str">
        <x:v>747K</x:v>
      </x:c>
      <x:c r="D75" s="18" t="str">
        <x:v>Needle Plate/Feed Dog</x:v>
      </x:c>
      <x:c r="E75" s="18" t="str">
        <x:v>Spare Part</x:v>
      </x:c>
      <x:c r="F75" s="18" t="str">
        <x:v>SIRUBA</x:v>
      </x:c>
      <x:c r="G75" s="18" t="str">
        <x:v>Overlock</x:v>
      </x:c>
      <x:c r="H75" s="18" t="str">
        <x:v>套</x:v>
      </x:c>
      <x:c r="I75" s="19" t="n">
        <x:v>46067</x:v>
      </x:c>
      <x:c r="J75" s="19" t="n">
        <x:v>46067</x:v>
      </x:c>
      <x:c r="K75" s="18" t="n">
        <x:v>1</x:v>
      </x:c>
      <x:c r="L75" s="18" t="n">
        <x:v>10</x:v>
      </x:c>
      <x:c r="M75" s="21" t="n">
        <x:v>65</x:v>
      </x:c>
      <x:c r="N75" s="21" t="n">
        <x:v>6.5</x:v>
      </x:c>
      <x:c r="O75" s="21" t="n">
        <x:v>6.5</x:v>
      </x:c>
      <x:c r="P75" s="21" t="n">
        <x:v>6.5</x:v>
      </x:c>
      <x:c r="Q75" s="21" t="n">
        <x:v>6.5</x:v>
      </x:c>
      <x:c r="R75" s="21" t="n">
        <x:v>6.5</x:v>
      </x:c>
      <x:c r="S75" s="40" t="n">
        <x:f>IF(N75=0,0,(O75-N75)/N75)</x:f>
        <x:v>0</x:v>
      </x:c>
      <x:c r="T75" s="21" t="n">
        <x:f>O75*1.10</x:f>
        <x:v>7.15</x:v>
      </x:c>
      <x:c r="U75" s="18" t="str">
        <x:f>IF(K75&gt;=3,"High",IF(K75=2,"Medium","Low"))</x:f>
        <x:v>Low</x:v>
      </x:c>
      <x:c r="V75" s="18" t="str">
        <x:f>IF(S75&gt;0.10,"Price Varies",IF(K75&gt;=2,"Stable","Single Record"))</x:f>
        <x:v>Single Record</x:v>
      </x:c>
      <x:c r="W75" s="18" t="str"/>
    </x:row>
    <x:row r="76">
      <x:c r="A76" s="18" t="str">
        <x:v>NP-SIRUBA747K</x:v>
      </x:c>
      <x:c r="B76" s="18" t="str">
        <x:v>SIRUBA-747K 針板</x:v>
      </x:c>
      <x:c r="C76" s="18" t="str">
        <x:v>747K</x:v>
      </x:c>
      <x:c r="D76" s="18" t="str">
        <x:v>Needle Plate/Feed Dog</x:v>
      </x:c>
      <x:c r="E76" s="18" t="str">
        <x:v>Spare Part</x:v>
      </x:c>
      <x:c r="F76" s="18" t="str">
        <x:v>SIRUBA</x:v>
      </x:c>
      <x:c r="G76" s="18" t="str">
        <x:v>Overlock</x:v>
      </x:c>
      <x:c r="H76" s="18" t="str">
        <x:v>個</x:v>
      </x:c>
      <x:c r="I76" s="19" t="n">
        <x:v>46067</x:v>
      </x:c>
      <x:c r="J76" s="19" t="n">
        <x:v>46067</x:v>
      </x:c>
      <x:c r="K76" s="18" t="n">
        <x:v>1</x:v>
      </x:c>
      <x:c r="L76" s="18" t="n">
        <x:v>20</x:v>
      </x:c>
      <x:c r="M76" s="21" t="n">
        <x:v>50</x:v>
      </x:c>
      <x:c r="N76" s="21" t="n">
        <x:v>2.5</x:v>
      </x:c>
      <x:c r="O76" s="21" t="n">
        <x:v>2.5</x:v>
      </x:c>
      <x:c r="P76" s="21" t="n">
        <x:v>2.5</x:v>
      </x:c>
      <x:c r="Q76" s="21" t="n">
        <x:v>2.5</x:v>
      </x:c>
      <x:c r="R76" s="21" t="n">
        <x:v>2.5</x:v>
      </x:c>
      <x:c r="S76" s="40" t="n">
        <x:f>IF(N76=0,0,(O76-N76)/N76)</x:f>
        <x:v>0</x:v>
      </x:c>
      <x:c r="T76" s="21" t="n">
        <x:f>O76*1.10</x:f>
        <x:v>2.75</x:v>
      </x:c>
      <x:c r="U76" s="18" t="str">
        <x:f>IF(K76&gt;=3,"High",IF(K76=2,"Medium","Low"))</x:f>
        <x:v>Low</x:v>
      </x:c>
      <x:c r="V76" s="18" t="str">
        <x:f>IF(S76&gt;0.10,"Price Varies",IF(K76&gt;=2,"Stable","Single Record"))</x:f>
        <x:v>Single Record</x:v>
      </x:c>
      <x:c r="W76" s="18" t="str"/>
    </x:row>
    <x:row r="77">
      <x:c r="A77" s="18" t="str">
        <x:v>FD-SIRUBA747KS-SMALL-ORIG</x:v>
      </x:c>
      <x:c r="B77" s="18" t="str">
        <x:v>SIRUBA-747KS小頭拷克牙齒組（原裝）</x:v>
      </x:c>
      <x:c r="C77" s="18" t="str">
        <x:v>747KS</x:v>
      </x:c>
      <x:c r="D77" s="18" t="str">
        <x:v>Needle Plate/Feed Dog</x:v>
      </x:c>
      <x:c r="E77" s="18" t="str">
        <x:v>Spare Part</x:v>
      </x:c>
      <x:c r="F77" s="18" t="str">
        <x:v>SIRUBA</x:v>
      </x:c>
      <x:c r="G77" s="18" t="str">
        <x:v>Overlock</x:v>
      </x:c>
      <x:c r="H77" s="18" t="str">
        <x:v>套</x:v>
      </x:c>
      <x:c r="I77" s="19" t="n">
        <x:v>46182</x:v>
      </x:c>
      <x:c r="J77" s="19" t="n">
        <x:v>46182</x:v>
      </x:c>
      <x:c r="K77" s="18" t="n">
        <x:v>1</x:v>
      </x:c>
      <x:c r="L77" s="18" t="n">
        <x:v>5</x:v>
      </x:c>
      <x:c r="M77" s="21" t="n">
        <x:v>75</x:v>
      </x:c>
      <x:c r="N77" s="21" t="n">
        <x:v>15</x:v>
      </x:c>
      <x:c r="O77" s="21" t="n">
        <x:v>15</x:v>
      </x:c>
      <x:c r="P77" s="21" t="n">
        <x:v>15</x:v>
      </x:c>
      <x:c r="Q77" s="21" t="n">
        <x:v>15</x:v>
      </x:c>
      <x:c r="R77" s="21" t="n">
        <x:v>15</x:v>
      </x:c>
      <x:c r="S77" s="40" t="n">
        <x:f>IF(N77=0,0,(O77-N77)/N77)</x:f>
        <x:v>0</x:v>
      </x:c>
      <x:c r="T77" s="21" t="n">
        <x:f>O77*1.10</x:f>
        <x:v>16.5</x:v>
      </x:c>
      <x:c r="U77" s="18" t="str">
        <x:f>IF(K77&gt;=3,"High",IF(K77=2,"Medium","Low"))</x:f>
        <x:v>Low</x:v>
      </x:c>
      <x:c r="V77" s="18" t="str">
        <x:f>IF(S77&gt;0.10,"Price Varies",IF(K77&gt;=2,"Stable","Single Record"))</x:f>
        <x:v>Single Record</x:v>
      </x:c>
      <x:c r="W77" s="18" t="str"/>
    </x:row>
    <x:row r="78">
      <x:c r="A78" s="18" t="str">
        <x:v>FD-SN-E-TYPE</x:v>
      </x:c>
      <x:c r="B78" s="18" t="str">
        <x:v>平車E型牙齒</x:v>
      </x:c>
      <x:c r="C78" s="18" t="str">
        <x:v>E Type</x:v>
      </x:c>
      <x:c r="D78" s="18" t="str">
        <x:v>Needle Plate/Feed Dog</x:v>
      </x:c>
      <x:c r="E78" s="18" t="str">
        <x:v>Spare Part</x:v>
      </x:c>
      <x:c r="F78" s="18" t="str"/>
      <x:c r="G78" s="18" t="str">
        <x:v>Single Needle</x:v>
      </x:c>
      <x:c r="H78" s="18" t="str">
        <x:v>個</x:v>
      </x:c>
      <x:c r="I78" s="19" t="n">
        <x:v>46182</x:v>
      </x:c>
      <x:c r="J78" s="19" t="n">
        <x:v>46182</x:v>
      </x:c>
      <x:c r="K78" s="18" t="n">
        <x:v>1</x:v>
      </x:c>
      <x:c r="L78" s="18" t="n">
        <x:v>100</x:v>
      </x:c>
      <x:c r="M78" s="21" t="n">
        <x:v>50</x:v>
      </x:c>
      <x:c r="N78" s="21" t="n">
        <x:v>0.5</x:v>
      </x:c>
      <x:c r="O78" s="21" t="n">
        <x:v>0.5</x:v>
      </x:c>
      <x:c r="P78" s="21" t="n">
        <x:v>0.5</x:v>
      </x:c>
      <x:c r="Q78" s="21" t="n">
        <x:v>0.5</x:v>
      </x:c>
      <x:c r="R78" s="21" t="n">
        <x:v>0.5</x:v>
      </x:c>
      <x:c r="S78" s="40" t="n">
        <x:f>IF(N78=0,0,(O78-N78)/N78)</x:f>
        <x:v>0</x:v>
      </x:c>
      <x:c r="T78" s="21" t="n">
        <x:f>O78*1.10</x:f>
        <x:v>0.55</x:v>
      </x:c>
      <x:c r="U78" s="18" t="str">
        <x:f>IF(K78&gt;=3,"High",IF(K78=2,"Medium","Low"))</x:f>
        <x:v>Low</x:v>
      </x:c>
      <x:c r="V78" s="18" t="str">
        <x:f>IF(S78&gt;0.10,"Price Varies",IF(K78&gt;=2,"Stable","Single Record"))</x:f>
        <x:v>Single Record</x:v>
      </x:c>
      <x:c r="W78" s="18" t="str"/>
    </x:row>
    <x:row r="79">
      <x:c r="A79" s="18" t="str">
        <x:v>SP-SN-THREAD-SPRING</x:v>
      </x:c>
      <x:c r="B79" s="18" t="str">
        <x:v>平車跳線彈簧</x:v>
      </x:c>
      <x:c r="C79" s="18" t="str">
        <x:v>Thread Take-up Spring</x:v>
      </x:c>
      <x:c r="D79" s="18" t="str">
        <x:v>Other</x:v>
      </x:c>
      <x:c r="E79" s="18" t="str">
        <x:v>Spare Part</x:v>
      </x:c>
      <x:c r="F79" s="18" t="str"/>
      <x:c r="G79" s="18" t="str">
        <x:v>Single Needle</x:v>
      </x:c>
      <x:c r="H79" s="18" t="str">
        <x:v>個</x:v>
      </x:c>
      <x:c r="I79" s="19" t="n">
        <x:v>46144</x:v>
      </x:c>
      <x:c r="J79" s="19" t="n">
        <x:v>46144</x:v>
      </x:c>
      <x:c r="K79" s="18" t="n">
        <x:v>1</x:v>
      </x:c>
      <x:c r="L79" s="18" t="n">
        <x:v>100</x:v>
      </x:c>
      <x:c r="M79" s="21" t="n">
        <x:v>10</x:v>
      </x:c>
      <x:c r="N79" s="21" t="n">
        <x:v>0.1</x:v>
      </x:c>
      <x:c r="O79" s="21" t="n">
        <x:v>0.1</x:v>
      </x:c>
      <x:c r="P79" s="21" t="n">
        <x:v>0.1</x:v>
      </x:c>
      <x:c r="Q79" s="21" t="n">
        <x:v>0.1</x:v>
      </x:c>
      <x:c r="R79" s="21" t="n">
        <x:v>0.1</x:v>
      </x:c>
      <x:c r="S79" s="40" t="n">
        <x:f>IF(N79=0,0,(O79-N79)/N79)</x:f>
        <x:v>0</x:v>
      </x:c>
      <x:c r="T79" s="21" t="n">
        <x:f>O79*1.10</x:f>
        <x:v>0.11000000000000001</x:v>
      </x:c>
      <x:c r="U79" s="18" t="str">
        <x:f>IF(K79&gt;=3,"High",IF(K79=2,"Medium","Low"))</x:f>
        <x:v>Low</x:v>
      </x:c>
      <x:c r="V79" s="18" t="str">
        <x:f>IF(S79&gt;0.10,"Price Varies",IF(K79&gt;=2,"Stable","Single Record"))</x:f>
        <x:v>Single Record</x:v>
      </x:c>
      <x:c r="W79" s="18" t="str"/>
    </x:row>
    <x:row r="80">
      <x:c r="A80" s="18" t="str">
        <x:v>PF-CL1-16N</x:v>
      </x:c>
      <x:c r="B80" s="18" t="str">
        <x:v>CL1/16N 壓腳</x:v>
      </x:c>
      <x:c r="C80" s="18" t="str">
        <x:v>CL1/16N</x:v>
      </x:c>
      <x:c r="D80" s="18" t="str">
        <x:v>Presser Foot</x:v>
      </x:c>
      <x:c r="E80" s="18" t="str">
        <x:v>Spare Part</x:v>
      </x:c>
      <x:c r="F80" s="18" t="str"/>
      <x:c r="G80" s="18" t="str">
        <x:v>Single Needle</x:v>
      </x:c>
      <x:c r="H80" s="18" t="str">
        <x:v>個</x:v>
      </x:c>
      <x:c r="I80" s="19" t="n">
        <x:v>46086</x:v>
      </x:c>
      <x:c r="J80" s="19" t="n">
        <x:v>46144</x:v>
      </x:c>
      <x:c r="K80" s="18" t="n">
        <x:v>2</x:v>
      </x:c>
      <x:c r="L80" s="18" t="n">
        <x:v>40</x:v>
      </x:c>
      <x:c r="M80" s="21" t="n">
        <x:v>24</x:v>
      </x:c>
      <x:c r="N80" s="21" t="n">
        <x:v>0.6</x:v>
      </x:c>
      <x:c r="O80" s="21" t="n">
        <x:v>0.6</x:v>
      </x:c>
      <x:c r="P80" s="21" t="n">
        <x:v>0.6</x:v>
      </x:c>
      <x:c r="Q80" s="21" t="n">
        <x:v>0.6</x:v>
      </x:c>
      <x:c r="R80" s="21" t="n">
        <x:v>0.6</x:v>
      </x:c>
      <x:c r="S80" s="40" t="n">
        <x:f>IF(N80=0,0,(O80-N80)/N80)</x:f>
        <x:v>0</x:v>
      </x:c>
      <x:c r="T80" s="21" t="n">
        <x:f>O80*1.10</x:f>
        <x:v>0.66</x:v>
      </x:c>
      <x:c r="U80" s="18" t="str">
        <x:f>IF(K80&gt;=3,"High",IF(K80=2,"Medium","Low"))</x:f>
        <x:v>Medium</x:v>
      </x:c>
      <x:c r="V80" s="18" t="str">
        <x:f>IF(S80&gt;0.10,"Price Varies",IF(K80&gt;=2,"Stable","Single Record"))</x:f>
        <x:v>Stable</x:v>
      </x:c>
      <x:c r="W80" s="18" t="str"/>
    </x:row>
    <x:row r="81">
      <x:c r="A81" s="18" t="str">
        <x:v>PF-CR1-16N</x:v>
      </x:c>
      <x:c r="B81" s="18" t="str">
        <x:v>CR1/16N 壓腳</x:v>
      </x:c>
      <x:c r="C81" s="18" t="str">
        <x:v>CR1/16N</x:v>
      </x:c>
      <x:c r="D81" s="18" t="str">
        <x:v>Presser Foot</x:v>
      </x:c>
      <x:c r="E81" s="18" t="str">
        <x:v>Spare Part</x:v>
      </x:c>
      <x:c r="F81" s="18" t="str"/>
      <x:c r="G81" s="18" t="str">
        <x:v>Single Needle</x:v>
      </x:c>
      <x:c r="H81" s="18" t="str">
        <x:v>個</x:v>
      </x:c>
      <x:c r="I81" s="19" t="n">
        <x:v>46086</x:v>
      </x:c>
      <x:c r="J81" s="19" t="n">
        <x:v>46086</x:v>
      </x:c>
      <x:c r="K81" s="18" t="n">
        <x:v>1</x:v>
      </x:c>
      <x:c r="L81" s="18" t="n">
        <x:v>20</x:v>
      </x:c>
      <x:c r="M81" s="21" t="n">
        <x:v>12</x:v>
      </x:c>
      <x:c r="N81" s="21" t="n">
        <x:v>0.6</x:v>
      </x:c>
      <x:c r="O81" s="21" t="n">
        <x:v>0.6</x:v>
      </x:c>
      <x:c r="P81" s="21" t="n">
        <x:v>0.6</x:v>
      </x:c>
      <x:c r="Q81" s="21" t="n">
        <x:v>0.6</x:v>
      </x:c>
      <x:c r="R81" s="21" t="n">
        <x:v>0.6</x:v>
      </x:c>
      <x:c r="S81" s="40" t="n">
        <x:f>IF(N81=0,0,(O81-N81)/N81)</x:f>
        <x:v>0</x:v>
      </x:c>
      <x:c r="T81" s="21" t="n">
        <x:f>O81*1.10</x:f>
        <x:v>0.66</x:v>
      </x:c>
      <x:c r="U81" s="18" t="str">
        <x:f>IF(K81&gt;=3,"High",IF(K81=2,"Medium","Low"))</x:f>
        <x:v>Low</x:v>
      </x:c>
      <x:c r="V81" s="18" t="str">
        <x:f>IF(S81&gt;0.10,"Price Varies",IF(K81&gt;=2,"Stable","Single Record"))</x:f>
        <x:v>Single Record</x:v>
      </x:c>
      <x:c r="W81" s="18" t="str"/>
    </x:row>
    <x:row r="82">
      <x:c r="A82" s="18" t="str">
        <x:v>PF-JUKI781</x:v>
      </x:c>
      <x:c r="B82" s="18" t="str">
        <x:v>JUKI-781 壓腳</x:v>
      </x:c>
      <x:c r="C82" s="18" t="str">
        <x:v>JUKI-781</x:v>
      </x:c>
      <x:c r="D82" s="18" t="str">
        <x:v>Presser Foot</x:v>
      </x:c>
      <x:c r="E82" s="18" t="str">
        <x:v>Spare Part</x:v>
      </x:c>
      <x:c r="F82" s="18" t="str">
        <x:v>JUKI</x:v>
      </x:c>
      <x:c r="G82" s="18" t="str">
        <x:v>Buttonhole</x:v>
      </x:c>
      <x:c r="H82" s="18" t="str">
        <x:v>個</x:v>
      </x:c>
      <x:c r="I82" s="19" t="n">
        <x:v>46116</x:v>
      </x:c>
      <x:c r="J82" s="19" t="n">
        <x:v>46116</x:v>
      </x:c>
      <x:c r="K82" s="18" t="n">
        <x:v>1</x:v>
      </x:c>
      <x:c r="L82" s="18" t="n">
        <x:v>3</x:v>
      </x:c>
      <x:c r="M82" s="21" t="n">
        <x:v>18</x:v>
      </x:c>
      <x:c r="N82" s="21" t="n">
        <x:v>6</x:v>
      </x:c>
      <x:c r="O82" s="21" t="n">
        <x:v>6</x:v>
      </x:c>
      <x:c r="P82" s="21" t="n">
        <x:v>6</x:v>
      </x:c>
      <x:c r="Q82" s="21" t="n">
        <x:v>6</x:v>
      </x:c>
      <x:c r="R82" s="21" t="n">
        <x:v>6</x:v>
      </x:c>
      <x:c r="S82" s="40" t="n">
        <x:f>IF(N82=0,0,(O82-N82)/N82)</x:f>
        <x:v>0</x:v>
      </x:c>
      <x:c r="T82" s="21" t="n">
        <x:f>O82*1.10</x:f>
        <x:v>6.6000000000000005</x:v>
      </x:c>
      <x:c r="U82" s="18" t="str">
        <x:f>IF(K82&gt;=3,"High",IF(K82=2,"Medium","Low"))</x:f>
        <x:v>Low</x:v>
      </x:c>
      <x:c r="V82" s="18" t="str">
        <x:f>IF(S82&gt;0.10,"Price Varies",IF(K82&gt;=2,"Stable","Single Record"))</x:f>
        <x:v>Single Record</x:v>
      </x:c>
      <x:c r="W82" s="18" t="str"/>
    </x:row>
    <x:row r="83">
      <x:c r="A83" s="18" t="str">
        <x:v>PF-S950-STEEL</x:v>
      </x:c>
      <x:c r="B83" s="18" t="str">
        <x:v>S950壓腳（全鋼）</x:v>
      </x:c>
      <x:c r="C83" s="18" t="str">
        <x:v>S950</x:v>
      </x:c>
      <x:c r="D83" s="18" t="str">
        <x:v>Presser Foot</x:v>
      </x:c>
      <x:c r="E83" s="18" t="str">
        <x:v>Spare Part</x:v>
      </x:c>
      <x:c r="F83" s="18" t="str"/>
      <x:c r="G83" s="18" t="str">
        <x:v>Single Needle</x:v>
      </x:c>
      <x:c r="H83" s="18" t="str">
        <x:v>個</x:v>
      </x:c>
      <x:c r="I83" s="19" t="n">
        <x:v>46182</x:v>
      </x:c>
      <x:c r="J83" s="19" t="n">
        <x:v>46182</x:v>
      </x:c>
      <x:c r="K83" s="18" t="n">
        <x:v>1</x:v>
      </x:c>
      <x:c r="L83" s="18" t="n">
        <x:v>10</x:v>
      </x:c>
      <x:c r="M83" s="21" t="n">
        <x:v>18</x:v>
      </x:c>
      <x:c r="N83" s="21" t="n">
        <x:v>1.8</x:v>
      </x:c>
      <x:c r="O83" s="21" t="n">
        <x:v>1.8</x:v>
      </x:c>
      <x:c r="P83" s="21" t="n">
        <x:v>1.8</x:v>
      </x:c>
      <x:c r="Q83" s="21" t="n">
        <x:v>1.8</x:v>
      </x:c>
      <x:c r="R83" s="21" t="n">
        <x:v>1.8</x:v>
      </x:c>
      <x:c r="S83" s="40" t="n">
        <x:f>IF(N83=0,0,(O83-N83)/N83)</x:f>
        <x:v>0</x:v>
      </x:c>
      <x:c r="T83" s="21" t="n">
        <x:f>O83*1.10</x:f>
        <x:v>1.9800000000000002</x:v>
      </x:c>
      <x:c r="U83" s="18" t="str">
        <x:f>IF(K83&gt;=3,"High",IF(K83=2,"Medium","Low"))</x:f>
        <x:v>Low</x:v>
      </x:c>
      <x:c r="V83" s="18" t="str">
        <x:f>IF(S83&gt;0.10,"Price Varies",IF(K83&gt;=2,"Stable","Single Record"))</x:f>
        <x:v>Single Record</x:v>
      </x:c>
      <x:c r="W83" s="18" t="str"/>
    </x:row>
    <x:row r="84">
      <x:c r="A84" s="18" t="str">
        <x:v>TL-TAPE-19GL</x:v>
      </x:c>
      <x:c r="B84" s="18" t="str">
        <x:v>19GL 大皮尺</x:v>
      </x:c>
      <x:c r="C84" s="18" t="str">
        <x:v>19GL</x:v>
      </x:c>
      <x:c r="D84" s="18" t="str">
        <x:v>Tools</x:v>
      </x:c>
      <x:c r="E84" s="18" t="str">
        <x:v>Tool</x:v>
      </x:c>
      <x:c r="F84" s="18" t="str"/>
      <x:c r="G84" s="18" t="str">
        <x:v>Measuring</x:v>
      </x:c>
      <x:c r="H84" s="18" t="str">
        <x:v>條</x:v>
      </x:c>
      <x:c r="I84" s="19" t="n">
        <x:v>46144</x:v>
      </x:c>
      <x:c r="J84" s="19" t="n">
        <x:v>46144</x:v>
      </x:c>
      <x:c r="K84" s="18" t="n">
        <x:v>1</x:v>
      </x:c>
      <x:c r="L84" s="18" t="n">
        <x:v>10</x:v>
      </x:c>
      <x:c r="M84" s="21" t="n">
        <x:v>6.5</x:v>
      </x:c>
      <x:c r="N84" s="21" t="n">
        <x:v>0.65</x:v>
      </x:c>
      <x:c r="O84" s="21" t="n">
        <x:v>0.65</x:v>
      </x:c>
      <x:c r="P84" s="21" t="n">
        <x:v>0.65</x:v>
      </x:c>
      <x:c r="Q84" s="21" t="n">
        <x:v>0.65</x:v>
      </x:c>
      <x:c r="R84" s="21" t="n">
        <x:v>0.65</x:v>
      </x:c>
      <x:c r="S84" s="40" t="n">
        <x:f>IF(N84=0,0,(O84-N84)/N84)</x:f>
        <x:v>0</x:v>
      </x:c>
      <x:c r="T84" s="21" t="n">
        <x:f>O84*1.10</x:f>
        <x:v>0.7150000000000001</x:v>
      </x:c>
      <x:c r="U84" s="18" t="str">
        <x:f>IF(K84&gt;=3,"High",IF(K84=2,"Medium","Low"))</x:f>
        <x:v>Low</x:v>
      </x:c>
      <x:c r="V84" s="18" t="str">
        <x:f>IF(S84&gt;0.10,"Price Varies",IF(K84&gt;=2,"Stable","Single Record"))</x:f>
        <x:v>Single Record</x:v>
      </x:c>
      <x:c r="W84" s="18" t="str"/>
    </x:row>
    <x:row r="85">
      <x:c r="A85" s="18" t="str">
        <x:v>TL-SCREWDRIVER-FLAT-JINGMU</x:v>
      </x:c>
      <x:c r="B85" s="18" t="str">
        <x:v>京木一字螺絲刀</x:v>
      </x:c>
      <x:c r="C85" s="18" t="str">
        <x:v>Flat</x:v>
      </x:c>
      <x:c r="D85" s="18" t="str">
        <x:v>Tools</x:v>
      </x:c>
      <x:c r="E85" s="18" t="str">
        <x:v>Tool</x:v>
      </x:c>
      <x:c r="F85" s="18" t="str">
        <x:v>京木</x:v>
      </x:c>
      <x:c r="G85" s="18" t="str">
        <x:v>Maintenance</x:v>
      </x:c>
      <x:c r="H85" s="18" t="str">
        <x:v>個</x:v>
      </x:c>
      <x:c r="I85" s="19" t="n">
        <x:v>46024</x:v>
      </x:c>
      <x:c r="J85" s="19" t="n">
        <x:v>46024</x:v>
      </x:c>
      <x:c r="K85" s="18" t="n">
        <x:v>1</x:v>
      </x:c>
      <x:c r="L85" s="18" t="n">
        <x:v>1</x:v>
      </x:c>
      <x:c r="M85" s="21" t="n">
        <x:v>7</x:v>
      </x:c>
      <x:c r="N85" s="21" t="n">
        <x:v>7</x:v>
      </x:c>
      <x:c r="O85" s="21" t="n">
        <x:v>7</x:v>
      </x:c>
      <x:c r="P85" s="21" t="n">
        <x:v>7</x:v>
      </x:c>
      <x:c r="Q85" s="21" t="n">
        <x:v>7</x:v>
      </x:c>
      <x:c r="R85" s="21" t="n">
        <x:v>7</x:v>
      </x:c>
      <x:c r="S85" s="40" t="n">
        <x:f>IF(N85=0,0,(O85-N85)/N85)</x:f>
        <x:v>0</x:v>
      </x:c>
      <x:c r="T85" s="21" t="n">
        <x:f>O85*1.10</x:f>
        <x:v>7.700000000000001</x:v>
      </x:c>
      <x:c r="U85" s="18" t="str">
        <x:f>IF(K85&gt;=3,"High",IF(K85=2,"Medium","Low"))</x:f>
        <x:v>Low</x:v>
      </x:c>
      <x:c r="V85" s="18" t="str">
        <x:f>IF(S85&gt;0.10,"Price Varies",IF(K85&gt;=2,"Stable","Single Record"))</x:f>
        <x:v>Single Record</x:v>
      </x:c>
      <x:c r="W85" s="18" t="str"/>
    </x:row>
    <x:row r="86">
      <x:c r="A86" s="18" t="str">
        <x:v>TL-HEX-WRENCH-JINGMU</x:v>
      </x:c>
      <x:c r="B86" s="18" t="str">
        <x:v>京木六角扳手</x:v>
      </x:c>
      <x:c r="C86" s="18" t="str">
        <x:v>Set</x:v>
      </x:c>
      <x:c r="D86" s="18" t="str">
        <x:v>Tools</x:v>
      </x:c>
      <x:c r="E86" s="18" t="str">
        <x:v>Tool</x:v>
      </x:c>
      <x:c r="F86" s="18" t="str">
        <x:v>京木</x:v>
      </x:c>
      <x:c r="G86" s="18" t="str">
        <x:v>Maintenance</x:v>
      </x:c>
      <x:c r="H86" s="18" t="str">
        <x:v>套</x:v>
      </x:c>
      <x:c r="I86" s="19" t="n">
        <x:v>46024</x:v>
      </x:c>
      <x:c r="J86" s="19" t="n">
        <x:v>46024</x:v>
      </x:c>
      <x:c r="K86" s="18" t="n">
        <x:v>1</x:v>
      </x:c>
      <x:c r="L86" s="18" t="n">
        <x:v>1</x:v>
      </x:c>
      <x:c r="M86" s="21" t="n">
        <x:v>20</x:v>
      </x:c>
      <x:c r="N86" s="21" t="n">
        <x:v>20</x:v>
      </x:c>
      <x:c r="O86" s="21" t="n">
        <x:v>20</x:v>
      </x:c>
      <x:c r="P86" s="21" t="n">
        <x:v>20</x:v>
      </x:c>
      <x:c r="Q86" s="21" t="n">
        <x:v>20</x:v>
      </x:c>
      <x:c r="R86" s="21" t="n">
        <x:v>20</x:v>
      </x:c>
      <x:c r="S86" s="40" t="n">
        <x:f>IF(N86=0,0,(O86-N86)/N86)</x:f>
        <x:v>0</x:v>
      </x:c>
      <x:c r="T86" s="21" t="n">
        <x:f>O86*1.10</x:f>
        <x:v>22</x:v>
      </x:c>
      <x:c r="U86" s="18" t="str">
        <x:f>IF(K86&gt;=3,"High",IF(K86=2,"Medium","Low"))</x:f>
        <x:v>Low</x:v>
      </x:c>
      <x:c r="V86" s="18" t="str">
        <x:f>IF(S86&gt;0.10,"Price Varies",IF(K86&gt;=2,"Stable","Single Record"))</x:f>
        <x:v>Single Record</x:v>
      </x:c>
      <x:c r="W86" s="18" t="str"/>
    </x:row>
    <x:row r="87">
      <x:c r="A87" s="18" t="str">
        <x:v>TL-SOLDERING-IRON-150W-TW</x:v>
      </x:c>
      <x:c r="B87" s="18" t="str">
        <x:v>台灣產電烙鐵</x:v>
      </x:c>
      <x:c r="C87" s="18" t="str">
        <x:v>150W</x:v>
      </x:c>
      <x:c r="D87" s="18" t="str">
        <x:v>Tools</x:v>
      </x:c>
      <x:c r="E87" s="18" t="str">
        <x:v>Tool</x:v>
      </x:c>
      <x:c r="F87" s="18" t="str">
        <x:v>Taiwan</x:v>
      </x:c>
      <x:c r="G87" s="18" t="str">
        <x:v>Electrical</x:v>
      </x:c>
      <x:c r="H87" s="18" t="str">
        <x:v>把</x:v>
      </x:c>
      <x:c r="I87" s="19" t="n">
        <x:v>46181</x:v>
      </x:c>
      <x:c r="J87" s="19" t="n">
        <x:v>46181</x:v>
      </x:c>
      <x:c r="K87" s="18" t="n">
        <x:v>1</x:v>
      </x:c>
      <x:c r="L87" s="18" t="n">
        <x:v>2</x:v>
      </x:c>
      <x:c r="M87" s="21" t="n">
        <x:v>40</x:v>
      </x:c>
      <x:c r="N87" s="21" t="n">
        <x:v>20</x:v>
      </x:c>
      <x:c r="O87" s="21" t="n">
        <x:v>20</x:v>
      </x:c>
      <x:c r="P87" s="21" t="n">
        <x:v>20</x:v>
      </x:c>
      <x:c r="Q87" s="21" t="n">
        <x:v>20</x:v>
      </x:c>
      <x:c r="R87" s="21" t="n">
        <x:v>20</x:v>
      </x:c>
      <x:c r="S87" s="40" t="n">
        <x:f>IF(N87=0,0,(O87-N87)/N87)</x:f>
        <x:v>0</x:v>
      </x:c>
      <x:c r="T87" s="21" t="n">
        <x:f>O87*1.10</x:f>
        <x:v>22</x:v>
      </x:c>
      <x:c r="U87" s="18" t="str">
        <x:f>IF(K87&gt;=3,"High",IF(K87=2,"Medium","Low"))</x:f>
        <x:v>Low</x:v>
      </x:c>
      <x:c r="V87" s="18" t="str">
        <x:f>IF(S87&gt;0.10,"Price Varies",IF(K87&gt;=2,"Stable","Single Record"))</x:f>
        <x:v>Single Record</x:v>
      </x:c>
      <x:c r="W87" s="18" t="str"/>
    </x:row>
    <x:row r="88">
      <x:c r="A88" s="18" t="str">
        <x:v>TL-SCISSOR-ZHANGXIAO-10IN</x:v>
      </x:c>
      <x:c r="B88" s="18" t="str">
        <x:v>張小牌10吋大剪刀</x:v>
      </x:c>
      <x:c r="C88" s="18" t="str">
        <x:v>10 inch</x:v>
      </x:c>
      <x:c r="D88" s="18" t="str">
        <x:v>Tools</x:v>
      </x:c>
      <x:c r="E88" s="18" t="str">
        <x:v>Tool</x:v>
      </x:c>
      <x:c r="F88" s="18" t="str">
        <x:v>張小牌</x:v>
      </x:c>
      <x:c r="G88" s="18" t="str">
        <x:v>Cutting/Sewing</x:v>
      </x:c>
      <x:c r="H88" s="18" t="str">
        <x:v>個</x:v>
      </x:c>
      <x:c r="I88" s="19" t="n">
        <x:v>46144</x:v>
      </x:c>
      <x:c r="J88" s="19" t="n">
        <x:v>46144</x:v>
      </x:c>
      <x:c r="K88" s="18" t="n">
        <x:v>1</x:v>
      </x:c>
      <x:c r="L88" s="18" t="n">
        <x:v>11</x:v>
      </x:c>
      <x:c r="M88" s="21" t="n">
        <x:v>77</x:v>
      </x:c>
      <x:c r="N88" s="21" t="n">
        <x:v>7</x:v>
      </x:c>
      <x:c r="O88" s="21" t="n">
        <x:v>7</x:v>
      </x:c>
      <x:c r="P88" s="21" t="n">
        <x:v>7</x:v>
      </x:c>
      <x:c r="Q88" s="21" t="n">
        <x:v>7</x:v>
      </x:c>
      <x:c r="R88" s="21" t="n">
        <x:v>7</x:v>
      </x:c>
      <x:c r="S88" s="40" t="n">
        <x:f>IF(N88=0,0,(O88-N88)/N88)</x:f>
        <x:v>0</x:v>
      </x:c>
      <x:c r="T88" s="21" t="n">
        <x:f>O88*1.10</x:f>
        <x:v>7.700000000000001</x:v>
      </x:c>
      <x:c r="U88" s="18" t="str">
        <x:f>IF(K88&gt;=3,"High",IF(K88=2,"Medium","Low"))</x:f>
        <x:v>Low</x:v>
      </x:c>
      <x:c r="V88" s="18" t="str">
        <x:f>IF(S88&gt;0.10,"Price Varies",IF(K88&gt;=2,"Stable","Single Record"))</x:f>
        <x:v>Single Record</x:v>
      </x:c>
      <x:c r="W88" s="18" t="str"/>
    </x:row>
    <x:row r="89">
      <x:c r="A89" s="18" t="str">
        <x:v>TL-THREAD-SNIP-GLOBE</x:v>
      </x:c>
      <x:c r="B89" s="18" t="str">
        <x:v>環球沙剪</x:v>
      </x:c>
      <x:c r="C89" s="18" t="str">
        <x:v>Thread Snip</x:v>
      </x:c>
      <x:c r="D89" s="18" t="str">
        <x:v>Tools</x:v>
      </x:c>
      <x:c r="E89" s="18" t="str">
        <x:v>Tool</x:v>
      </x:c>
      <x:c r="F89" s="18" t="str">
        <x:v>環球</x:v>
      </x:c>
      <x:c r="G89" s="18" t="str">
        <x:v>Sewing</x:v>
      </x:c>
      <x:c r="H89" s="18" t="str">
        <x:v>打</x:v>
      </x:c>
      <x:c r="I89" s="19" t="n">
        <x:v>46060</x:v>
      </x:c>
      <x:c r="J89" s="19" t="n">
        <x:v>46189</x:v>
      </x:c>
      <x:c r="K89" s="18" t="n">
        <x:v>4</x:v>
      </x:c>
      <x:c r="L89" s="18" t="n">
        <x:v>40</x:v>
      </x:c>
      <x:c r="M89" s="21" t="n">
        <x:v>92</x:v>
      </x:c>
      <x:c r="N89" s="21" t="n">
        <x:v>2.3</x:v>
      </x:c>
      <x:c r="O89" s="21" t="n">
        <x:v>2.3</x:v>
      </x:c>
      <x:c r="P89" s="21" t="n">
        <x:v>2.3</x:v>
      </x:c>
      <x:c r="Q89" s="21" t="n">
        <x:v>2.3</x:v>
      </x:c>
      <x:c r="R89" s="21" t="n">
        <x:v>2.3</x:v>
      </x:c>
      <x:c r="S89" s="40" t="n">
        <x:f>IF(N89=0,0,(O89-N89)/N89)</x:f>
        <x:v>0</x:v>
      </x:c>
      <x:c r="T89" s="21" t="n">
        <x:f>O89*1.10</x:f>
        <x:v>2.53</x:v>
      </x:c>
      <x:c r="U89" s="18" t="str">
        <x:f>IF(K89&gt;=3,"High",IF(K89=2,"Medium","Low"))</x:f>
        <x:v>High</x:v>
      </x:c>
      <x:c r="V89" s="18" t="str">
        <x:f>IF(S89&gt;0.10,"Price Varies",IF(K89&gt;=2,"Stable","Single Record"))</x:f>
        <x:v>Stable</x:v>
      </x:c>
      <x:c r="W89" s="18" t="str">
        <x:v>原始發票寫「沙剪刀」，依同價同品項合併至環球沙剪</x:v>
      </x:c>
    </x:row>
    <x:row r="90">
      <x:c r="A90" s="18" t="str">
        <x:v>TL-BULLET-CRIMPING-PLIERS</x:v>
      </x:c>
      <x:c r="B90" s="18" t="str">
        <x:v>電工子彈鉗</x:v>
      </x:c>
      <x:c r="C90" s="18" t="str">
        <x:v>Good Quality</x:v>
      </x:c>
      <x:c r="D90" s="18" t="str">
        <x:v>Tools</x:v>
      </x:c>
      <x:c r="E90" s="18" t="str">
        <x:v>Tool</x:v>
      </x:c>
      <x:c r="F90" s="18" t="str"/>
      <x:c r="G90" s="18" t="str">
        <x:v>Electrical</x:v>
      </x:c>
      <x:c r="H90" s="18" t="str">
        <x:v>個</x:v>
      </x:c>
      <x:c r="I90" s="19" t="n">
        <x:v>46197</x:v>
      </x:c>
      <x:c r="J90" s="19" t="n">
        <x:v>46197</x:v>
      </x:c>
      <x:c r="K90" s="18" t="n">
        <x:v>1</x:v>
      </x:c>
      <x:c r="L90" s="18" t="n">
        <x:v>1</x:v>
      </x:c>
      <x:c r="M90" s="21" t="n">
        <x:v>7</x:v>
      </x:c>
      <x:c r="N90" s="21" t="n">
        <x:v>7</x:v>
      </x:c>
      <x:c r="O90" s="21" t="n">
        <x:v>7</x:v>
      </x:c>
      <x:c r="P90" s="21" t="n">
        <x:v>7</x:v>
      </x:c>
      <x:c r="Q90" s="21" t="n">
        <x:v>7</x:v>
      </x:c>
      <x:c r="R90" s="21" t="n">
        <x:v>7</x:v>
      </x:c>
      <x:c r="S90" s="40" t="n">
        <x:f>IF(N90=0,0,(O90-N90)/N90)</x:f>
        <x:v>0</x:v>
      </x:c>
      <x:c r="T90" s="21" t="n">
        <x:f>O90*1.10</x:f>
        <x:v>7.700000000000001</x:v>
      </x:c>
      <x:c r="U90" s="18" t="str">
        <x:f>IF(K90&gt;=3,"High",IF(K90=2,"Medium","Low"))</x:f>
        <x:v>Low</x:v>
      </x:c>
      <x:c r="V90" s="18" t="str">
        <x:f>IF(S90&gt;0.10,"Price Varies",IF(K90&gt;=2,"Stable","Single Record"))</x:f>
        <x:v>Single Record</x:v>
      </x:c>
      <x:c r="W90" s="18" t="str"/>
    </x:row>
  </x:sheetData>
  <x:mergeCells>
    <x:mergeCell ref="A1:W1"/>
    <x:mergeCell ref="A2:W2"/>
  </x:mergeCells>
  <x:conditionalFormatting sqref="S5:S90">
    <x:cfRule type="expression" dxfId="2" priority="1">
      <x:formula>S5&gt;0.10</x:formula>
    </x:cfRule>
  </x:conditionalFormatting>
  <x:conditionalFormatting sqref="U5:U90">
    <x:cfRule type="expression" dxfId="3" priority="2">
      <x:formula>U5="High"</x:formula>
    </x:cfRule>
  </x:conditionalFormatting>
  <x:conditionalFormatting sqref="V5:V90">
    <x:cfRule type="expression" dxfId="4" priority="3">
      <x:formula>V5="Price Varies"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96f9070dc14471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3" hidden="0" customWidth="1"/>
    <x:col min="6" max="6" width="13" hidden="0" customWidth="1"/>
    <x:col min="7" max="7" width="14" hidden="0" customWidth="1"/>
    <x:col min="8" max="8" width="11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>
      <x:c r="A1" s="28" t="str">
        <x:v>每月採購費用總表（含機針費用與占比）</x:v>
      </x:c>
      <x:c r="B1" s="28" t="str">
        <x:v>每月採購費用總表（含機針費用與占比）</x:v>
      </x:c>
      <x:c r="C1" s="28" t="str">
        <x:v>每月採購費用總表（含機針費用與占比）</x:v>
      </x:c>
      <x:c r="D1" s="28" t="str">
        <x:v>每月採購費用總表（含機針費用與占比）</x:v>
      </x:c>
      <x:c r="E1" s="28" t="str">
        <x:v>每月採購費用總表（含機針費用與占比）</x:v>
      </x:c>
      <x:c r="F1" s="28" t="str">
        <x:v>每月採購費用總表（含機針費用與占比）</x:v>
      </x:c>
      <x:c r="G1" s="28" t="str">
        <x:v>每月採購費用總表（含機針費用與占比）</x:v>
      </x:c>
      <x:c r="H1" s="28" t="str">
        <x:v>每月採購費用總表（含機針費用與占比）</x:v>
      </x:c>
      <x:c r="I1" s="28" t="str">
        <x:v>每月採購費用總表（含機針費用與占比）</x:v>
      </x:c>
      <x:c r="J1" s="28" t="str">
        <x:v>每月採購費用總表（含機針費用與占比）</x:v>
      </x:c>
      <x:c r="K1" s="28" t="str">
        <x:v>每月採購費用總表（含機針費用與占比）</x:v>
      </x:c>
    </x:row>
    <x:row r="3">
      <x:c r="A3" s="6" t="str">
        <x:v>月份</x:v>
      </x:c>
      <x:c r="B3" s="6" t="str">
        <x:v>未稅費用</x:v>
      </x:c>
      <x:c r="C3" s="6" t="str">
        <x:v>VAT 10%</x:v>
      </x:c>
      <x:c r="D3" s="6" t="str">
        <x:v>含稅總額</x:v>
      </x:c>
      <x:c r="E3" s="6" t="str">
        <x:v>交易筆數</x:v>
      </x:c>
      <x:c r="F3" s="6" t="str">
        <x:v>標準品項數</x:v>
      </x:c>
      <x:c r="G3" s="262" t="str">
        <x:v>機針費用</x:v>
      </x:c>
      <x:c r="H3" s="262" t="str">
        <x:v>機針占未稅費用</x:v>
      </x:c>
      <x:c r="I3" s="6" t="str">
        <x:v>維修服務</x:v>
      </x:c>
      <x:c r="J3" s="6" t="str">
        <x:v>耗材費用</x:v>
      </x:c>
      <x:c r="K3" s="6" t="str">
        <x:v>零件費用</x:v>
      </x:c>
    </x:row>
    <x:row r="4">
      <x:c r="A4" s="18" t="str">
        <x:v>2026 Jan</x:v>
      </x:c>
      <x:c r="B4" s="21" t="n">
        <x:v>2610</x:v>
      </x:c>
      <x:c r="C4" s="21" t="n">
        <x:v>261</x:v>
      </x:c>
      <x:c r="D4" s="21" t="n">
        <x:v>2871</x:v>
      </x:c>
      <x:c r="E4" s="18" t="n">
        <x:v>26</x:v>
      </x:c>
      <x:c r="F4" s="18" t="n">
        <x:v>20</x:v>
      </x:c>
      <x:c r="G4" s="258" t="n">
        <x:v>1702</x:v>
      </x:c>
      <x:c r="H4" s="259" t="n">
        <x:f>G4/B4</x:f>
        <x:v>0.6521072796934866</x:v>
      </x:c>
      <x:c r="I4" s="21" t="n">
        <x:v>0</x:v>
      </x:c>
      <x:c r="J4" s="21" t="n">
        <x:v>1873</x:v>
      </x:c>
      <x:c r="K4" s="21" t="n">
        <x:v>239</x:v>
      </x:c>
    </x:row>
    <x:row r="5">
      <x:c r="A5" s="18" t="str">
        <x:v>2026 Feb</x:v>
      </x:c>
      <x:c r="B5" s="21" t="n">
        <x:v>1850.9</x:v>
      </x:c>
      <x:c r="C5" s="21" t="n">
        <x:v>185.09</x:v>
      </x:c>
      <x:c r="D5" s="21" t="n">
        <x:v>2035.99</x:v>
      </x:c>
      <x:c r="E5" s="18" t="n">
        <x:v>17</x:v>
      </x:c>
      <x:c r="F5" s="18" t="n">
        <x:v>16</x:v>
      </x:c>
      <x:c r="G5" s="258" t="n">
        <x:v>1172</x:v>
      </x:c>
      <x:c r="H5" s="259" t="n">
        <x:f>G5/B5</x:f>
        <x:v>0.6332054676103517</x:v>
      </x:c>
      <x:c r="I5" s="21" t="n">
        <x:v>0</x:v>
      </x:c>
      <x:c r="J5" s="21" t="n">
        <x:v>1392.4</x:v>
      </x:c>
      <x:c r="K5" s="21" t="n">
        <x:v>435.5</x:v>
      </x:c>
    </x:row>
    <x:row r="6">
      <x:c r="A6" s="18" t="str">
        <x:v>2026 Mar</x:v>
      </x:c>
      <x:c r="B6" s="21" t="n">
        <x:v>3032</x:v>
      </x:c>
      <x:c r="C6" s="21" t="n">
        <x:v>303.2</x:v>
      </x:c>
      <x:c r="D6" s="21" t="n">
        <x:v>3335.2</x:v>
      </x:c>
      <x:c r="E6" s="18" t="n">
        <x:v>29</x:v>
      </x:c>
      <x:c r="F6" s="18" t="n">
        <x:v>28</x:v>
      </x:c>
      <x:c r="G6" s="258" t="n">
        <x:v>1296</x:v>
      </x:c>
      <x:c r="H6" s="259" t="n">
        <x:f>G6/B6</x:f>
        <x:v>0.42744063324538256</x:v>
      </x:c>
      <x:c r="I6" s="21" t="n">
        <x:v>360</x:v>
      </x:c>
      <x:c r="J6" s="21" t="n">
        <x:v>1598</x:v>
      </x:c>
      <x:c r="K6" s="21" t="n">
        <x:v>1062.5</x:v>
      </x:c>
    </x:row>
    <x:row r="7">
      <x:c r="A7" s="18" t="str">
        <x:v>2026 Apr</x:v>
      </x:c>
      <x:c r="B7" s="21" t="n">
        <x:v>1736</x:v>
      </x:c>
      <x:c r="C7" s="21" t="n">
        <x:v>173.6</x:v>
      </x:c>
      <x:c r="D7" s="21" t="n">
        <x:v>1909.6</x:v>
      </x:c>
      <x:c r="E7" s="18" t="n">
        <x:v>18</x:v>
      </x:c>
      <x:c r="F7" s="18" t="n">
        <x:v>13</x:v>
      </x:c>
      <x:c r="G7" s="258" t="n">
        <x:v>1541</x:v>
      </x:c>
      <x:c r="H7" s="259" t="n">
        <x:f>G7/B7</x:f>
        <x:v>0.8876728110599078</x:v>
      </x:c>
      <x:c r="I7" s="21" t="n">
        <x:v>0</x:v>
      </x:c>
      <x:c r="J7" s="21" t="n">
        <x:v>1695</x:v>
      </x:c>
      <x:c r="K7" s="21" t="n">
        <x:v>41</x:v>
      </x:c>
    </x:row>
    <x:row r="8">
      <x:c r="A8" s="18" t="str">
        <x:v>2026 May</x:v>
      </x:c>
      <x:c r="B8" s="21" t="n">
        <x:v>2572.5</x:v>
      </x:c>
      <x:c r="C8" s="21" t="n">
        <x:v>257.25</x:v>
      </x:c>
      <x:c r="D8" s="21" t="n">
        <x:v>2829.75</x:v>
      </x:c>
      <x:c r="E8" s="18" t="n">
        <x:v>31</x:v>
      </x:c>
      <x:c r="F8" s="18" t="n">
        <x:v>28</x:v>
      </x:c>
      <x:c r="G8" s="258" t="n">
        <x:v>997</x:v>
      </x:c>
      <x:c r="H8" s="259" t="n">
        <x:f>G8/B8</x:f>
        <x:v>0.38756073858114676</x:v>
      </x:c>
      <x:c r="I8" s="21" t="n">
        <x:v>0</x:v>
      </x:c>
      <x:c r="J8" s="21" t="n">
        <x:v>1328.5</x:v>
      </x:c>
      <x:c r="K8" s="21" t="n">
        <x:v>473.5</x:v>
      </x:c>
    </x:row>
    <x:row r="9">
      <x:c r="A9" s="18" t="str">
        <x:v>2026 Jun</x:v>
      </x:c>
      <x:c r="B9" s="21" t="n">
        <x:v>2761.75</x:v>
      </x:c>
      <x:c r="C9" s="21" t="n">
        <x:v>276.18</x:v>
      </x:c>
      <x:c r="D9" s="21" t="n">
        <x:v>3037.93</x:v>
      </x:c>
      <x:c r="E9" s="18" t="n">
        <x:v>31</x:v>
      </x:c>
      <x:c r="F9" s="18" t="n">
        <x:v>26</x:v>
      </x:c>
      <x:c r="G9" s="258" t="n">
        <x:v>2234</x:v>
      </x:c>
      <x:c r="H9" s="259" t="n">
        <x:f>G9/B9</x:f>
        <x:v>0.8089073956730334</x:v>
      </x:c>
      <x:c r="I9" s="21" t="n">
        <x:v>0</x:v>
      </x:c>
      <x:c r="J9" s="21" t="n">
        <x:v>2472</x:v>
      </x:c>
      <x:c r="K9" s="21" t="n">
        <x:v>231.25</x:v>
      </x:c>
    </x:row>
    <x:row r="10">
      <x:c r="A10" s="50" t="str">
        <x:v>TOTAL</x:v>
      </x:c>
      <x:c r="B10" s="51" t="n">
        <x:f>SUM(B4:B9)</x:f>
        <x:v>14563.15</x:v>
      </x:c>
      <x:c r="C10" s="51" t="n">
        <x:f>SUM(C4:C9)</x:f>
        <x:v>1456.32</x:v>
      </x:c>
      <x:c r="D10" s="51" t="n">
        <x:f>SUM(D4:D9)</x:f>
        <x:v>16019.47</x:v>
      </x:c>
      <x:c r="E10" s="50" t="n">
        <x:f>SUM(E4:E9)</x:f>
        <x:v>152</x:v>
      </x:c>
      <x:c r="F10" s="50" t="n">
        <x:v>86</x:v>
      </x:c>
      <x:c r="G10" s="260" t="n">
        <x:f>SUM(G4:G9)</x:f>
        <x:v>8942</x:v>
      </x:c>
      <x:c r="H10" s="261" t="n">
        <x:f>G10/B10</x:f>
        <x:v>0.6140155117539818</x:v>
      </x:c>
      <x:c r="I10" s="51" t="n">
        <x:f>SUM(I4:I9)</x:f>
        <x:v>360</x:v>
      </x:c>
      <x:c r="J10" s="51" t="n">
        <x:f>SUM(J4:J9)</x:f>
        <x:v>10358.9</x:v>
      </x:c>
      <x:c r="K10" s="51" t="n">
        <x:f>SUM(K4:K9)</x:f>
        <x:v>2482.75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d17de6a93e4e4ed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32" hidden="0" customWidth="1"/>
    <x:col min="3" max="3" width="9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2" hidden="0" customWidth="1"/>
    <x:col min="16" max="16" width="15" hidden="0" customWidth="1"/>
    <x:col min="17" max="17" width="12" hidden="0" customWidth="1"/>
  </x:cols>
  <x:sheetData>
    <x:row r="1">
      <x:c r="A1" s="28" t="str">
        <x:v>Repeated Item Price Comparison | Historical Unit Price (USD)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  <x:c r="M1" s="28"/>
      <x:c r="N1" s="28"/>
      <x:c r="O1" s="28"/>
      <x:c r="P1" s="28"/>
      <x:c r="Q1" s="28"/>
    </x:row>
    <x:row r="3">
      <x:c r="A3" s="6" t="str">
        <x:v>Part No</x:v>
      </x:c>
      <x:c r="B3" s="6" t="str">
        <x:v>Standard Name</x:v>
      </x:c>
      <x:c r="C3" s="6" t="str">
        <x:v>Unit</x:v>
      </x:c>
      <x:c r="D3" s="6" t="str">
        <x:v>Purchases</x:v>
      </x:c>
      <x:c r="E3" s="6" t="str">
        <x:v>Jan</x:v>
      </x:c>
      <x:c r="F3" s="6" t="str">
        <x:v>Feb</x:v>
      </x:c>
      <x:c r="G3" s="6" t="str">
        <x:v>Mar</x:v>
      </x:c>
      <x:c r="H3" s="6" t="str">
        <x:v>Apr</x:v>
      </x:c>
      <x:c r="I3" s="6" t="str">
        <x:v>May</x:v>
      </x:c>
      <x:c r="J3" s="6" t="str">
        <x:v>Jun</x:v>
      </x:c>
      <x:c r="K3" s="6" t="str">
        <x:v>Min</x:v>
      </x:c>
      <x:c r="L3" s="6" t="str">
        <x:v>Max</x:v>
      </x:c>
      <x:c r="M3" s="6" t="str">
        <x:v>First</x:v>
      </x:c>
      <x:c r="N3" s="6" t="str">
        <x:v>Last</x:v>
      </x:c>
      <x:c r="O3" s="6" t="str">
        <x:v>Change %</x:v>
      </x:c>
      <x:c r="P3" s="6" t="str">
        <x:v>Upper Trigger</x:v>
      </x:c>
      <x:c r="Q3" s="6" t="str">
        <x:v>Status</x:v>
      </x:c>
    </x:row>
    <x:row r="4">
      <x:c r="A4" s="18" t="str">
        <x:v>ND-DCX27-12</x:v>
      </x:c>
      <x:c r="B4" s="18" t="str">
        <x:v>風琴機針 DCx27 #12</x:v>
      </x:c>
      <x:c r="C4" s="18" t="str">
        <x:v>包</x:v>
      </x:c>
      <x:c r="D4" s="18" t="n">
        <x:v>11</x:v>
      </x:c>
      <x:c r="E4" s="21" t="n">
        <x:v>1.3</x:v>
      </x:c>
      <x:c r="F4" s="21"/>
      <x:c r="G4" s="21" t="n">
        <x:v>1.3</x:v>
      </x:c>
      <x:c r="H4" s="21" t="n">
        <x:v>1.3</x:v>
      </x:c>
      <x:c r="I4" s="21"/>
      <x:c r="J4" s="21" t="n">
        <x:v>1.3</x:v>
      </x:c>
      <x:c r="K4" s="21" t="n">
        <x:v>1.3</x:v>
      </x:c>
      <x:c r="L4" s="21" t="n">
        <x:v>1.3</x:v>
      </x:c>
      <x:c r="M4" s="21" t="n">
        <x:v>1.3</x:v>
      </x:c>
      <x:c r="N4" s="21" t="n">
        <x:v>1.3</x:v>
      </x:c>
      <x:c r="O4" s="40" t="n">
        <x:f>IF(M4=0,0,(N4-M4)/M4)</x:f>
        <x:v>0</x:v>
      </x:c>
      <x:c r="P4" s="21" t="n">
        <x:f>L4*1.10</x:f>
        <x:v>1.4300000000000002</x:v>
      </x:c>
      <x:c r="Q4" s="18" t="str">
        <x:f>IF(ABS(O4)&gt;0.10,"Review",IF(K4=L4,"Stable","Watch"))</x:f>
        <x:v>Stable</x:v>
      </x:c>
    </x:row>
    <x:row r="5">
      <x:c r="A5" s="18" t="str">
        <x:v>ND-UOX113-12</x:v>
      </x:c>
      <x:c r="B5" s="18" t="str">
        <x:v>風琴機針 UOx113 #12</x:v>
      </x:c>
      <x:c r="C5" s="18" t="str">
        <x:v>包</x:v>
      </x:c>
      <x:c r="D5" s="18" t="n">
        <x:v>7</x:v>
      </x:c>
      <x:c r="E5" s="21"/>
      <x:c r="F5" s="21"/>
      <x:c r="G5" s="21"/>
      <x:c r="H5" s="21" t="n">
        <x:v>3</x:v>
      </x:c>
      <x:c r="I5" s="21" t="n">
        <x:v>3</x:v>
      </x:c>
      <x:c r="J5" s="21" t="n">
        <x:v>3</x:v>
      </x:c>
      <x:c r="K5" s="21" t="n">
        <x:v>3</x:v>
      </x:c>
      <x:c r="L5" s="21" t="n">
        <x:v>3</x:v>
      </x:c>
      <x:c r="M5" s="21" t="n">
        <x:v>3</x:v>
      </x:c>
      <x:c r="N5" s="21" t="n">
        <x:v>3</x:v>
      </x:c>
      <x:c r="O5" s="40" t="n">
        <x:f>IF(M5=0,0,(N5-M5)/M5)</x:f>
        <x:v>0</x:v>
      </x:c>
      <x:c r="P5" s="21" t="n">
        <x:f>L5*1.10</x:f>
        <x:v>3.3000000000000003</x:v>
      </x:c>
      <x:c r="Q5" s="18" t="str">
        <x:f>IF(ABS(O5)&gt;0.10,"Review",IF(K5=L5,"Stable","Watch"))</x:f>
        <x:v>Stable</x:v>
      </x:c>
    </x:row>
    <x:row r="6">
      <x:c r="A6" s="18" t="str">
        <x:v>ND-UOX113-14</x:v>
      </x:c>
      <x:c r="B6" s="18" t="str">
        <x:v>風琴機針 UOx113 #14</x:v>
      </x:c>
      <x:c r="C6" s="18" t="str">
        <x:v>包</x:v>
      </x:c>
      <x:c r="D6" s="18" t="n">
        <x:v>7</x:v>
      </x:c>
      <x:c r="E6" s="21" t="n">
        <x:v>3</x:v>
      </x:c>
      <x:c r="F6" s="21" t="n">
        <x:v>3</x:v>
      </x:c>
      <x:c r="G6" s="21" t="n">
        <x:v>3</x:v>
      </x:c>
      <x:c r="H6" s="21"/>
      <x:c r="I6" s="21"/>
      <x:c r="J6" s="21" t="n">
        <x:v>3</x:v>
      </x:c>
      <x:c r="K6" s="21" t="n">
        <x:v>3</x:v>
      </x:c>
      <x:c r="L6" s="21" t="n">
        <x:v>3</x:v>
      </x:c>
      <x:c r="M6" s="21" t="n">
        <x:v>3</x:v>
      </x:c>
      <x:c r="N6" s="21" t="n">
        <x:v>3</x:v>
      </x:c>
      <x:c r="O6" s="40" t="n">
        <x:f>IF(M6=0,0,(N6-M6)/M6)</x:f>
        <x:v>0</x:v>
      </x:c>
      <x:c r="P6" s="21" t="n">
        <x:f>L6*1.10</x:f>
        <x:v>3.3000000000000003</x:v>
      </x:c>
      <x:c r="Q6" s="18" t="str">
        <x:f>IF(ABS(O6)&gt;0.10,"Review",IF(K6=L6,"Stable","Watch"))</x:f>
        <x:v>Stable</x:v>
      </x:c>
    </x:row>
    <x:row r="7">
      <x:c r="A7" s="18" t="str">
        <x:v>ND-UYX128-12</x:v>
      </x:c>
      <x:c r="B7" s="18" t="str">
        <x:v>風琴機針 UYx128 #12</x:v>
      </x:c>
      <x:c r="C7" s="18" t="str">
        <x:v>包</x:v>
      </x:c>
      <x:c r="D7" s="18" t="n">
        <x:v>7</x:v>
      </x:c>
      <x:c r="E7" s="21"/>
      <x:c r="F7" s="21"/>
      <x:c r="G7" s="21" t="n">
        <x:v>1.78</x:v>
      </x:c>
      <x:c r="H7" s="21" t="n">
        <x:v>1.78</x:v>
      </x:c>
      <x:c r="I7" s="21" t="n">
        <x:v>1.78</x:v>
      </x:c>
      <x:c r="J7" s="21" t="n">
        <x:v>1.78</x:v>
      </x:c>
      <x:c r="K7" s="21" t="n">
        <x:v>1.78</x:v>
      </x:c>
      <x:c r="L7" s="21" t="n">
        <x:v>1.78</x:v>
      </x:c>
      <x:c r="M7" s="21" t="n">
        <x:v>1.78</x:v>
      </x:c>
      <x:c r="N7" s="21" t="n">
        <x:v>1.78</x:v>
      </x:c>
      <x:c r="O7" s="40" t="n">
        <x:f>IF(M7=0,0,(N7-M7)/M7)</x:f>
        <x:v>0</x:v>
      </x:c>
      <x:c r="P7" s="21" t="n">
        <x:f>L7*1.10</x:f>
        <x:v>1.9580000000000002</x:v>
      </x:c>
      <x:c r="Q7" s="18" t="str">
        <x:f>IF(ABS(O7)&gt;0.10,"Review",IF(K7=L7,"Stable","Watch"))</x:f>
        <x:v>Stable</x:v>
      </x:c>
    </x:row>
    <x:row r="8">
      <x:c r="A8" s="18" t="str">
        <x:v>TL-THREAD-SNIP-GLOBE</x:v>
      </x:c>
      <x:c r="B8" s="18" t="str">
        <x:v>環球沙剪</x:v>
      </x:c>
      <x:c r="C8" s="18" t="str">
        <x:v>打</x:v>
      </x:c>
      <x:c r="D8" s="18" t="n">
        <x:v>4</x:v>
      </x:c>
      <x:c r="E8" s="21"/>
      <x:c r="F8" s="21" t="n">
        <x:v>2.3</x:v>
      </x:c>
      <x:c r="G8" s="21" t="n">
        <x:v>2.3</x:v>
      </x:c>
      <x:c r="H8" s="21"/>
      <x:c r="I8" s="21" t="n">
        <x:v>2.3</x:v>
      </x:c>
      <x:c r="J8" s="21" t="n">
        <x:v>2.3</x:v>
      </x:c>
      <x:c r="K8" s="21" t="n">
        <x:v>2.3</x:v>
      </x:c>
      <x:c r="L8" s="21" t="n">
        <x:v>2.3</x:v>
      </x:c>
      <x:c r="M8" s="21" t="n">
        <x:v>2.3</x:v>
      </x:c>
      <x:c r="N8" s="21" t="n">
        <x:v>2.3</x:v>
      </x:c>
      <x:c r="O8" s="40" t="n">
        <x:f>IF(M8=0,0,(N8-M8)/M8)</x:f>
        <x:v>0</x:v>
      </x:c>
      <x:c r="P8" s="21" t="n">
        <x:f>L8*1.10</x:f>
        <x:v>2.53</x:v>
      </x:c>
      <x:c r="Q8" s="18" t="str">
        <x:f>IF(ABS(O8)&gt;0.10,"Review",IF(K8=L8,"Stable","Watch"))</x:f>
        <x:v>Stable</x:v>
      </x:c>
    </x:row>
    <x:row r="9">
      <x:c r="A9" s="18" t="str">
        <x:v>ND-UYX128-11</x:v>
      </x:c>
      <x:c r="B9" s="18" t="str">
        <x:v>風琴機針 UYx128 #11</x:v>
      </x:c>
      <x:c r="C9" s="18" t="str">
        <x:v>包</x:v>
      </x:c>
      <x:c r="D9" s="18" t="n">
        <x:v>4</x:v>
      </x:c>
      <x:c r="E9" s="21" t="n">
        <x:v>1.78</x:v>
      </x:c>
      <x:c r="F9" s="21"/>
      <x:c r="G9" s="21"/>
      <x:c r="H9" s="21"/>
      <x:c r="I9" s="21"/>
      <x:c r="J9" s="21"/>
      <x:c r="K9" s="21" t="n">
        <x:v>1.78</x:v>
      </x:c>
      <x:c r="L9" s="21" t="n">
        <x:v>1.78</x:v>
      </x:c>
      <x:c r="M9" s="21" t="n">
        <x:v>1.78</x:v>
      </x:c>
      <x:c r="N9" s="21" t="n">
        <x:v>1.78</x:v>
      </x:c>
      <x:c r="O9" s="40" t="n">
        <x:f>IF(M9=0,0,(N9-M9)/M9)</x:f>
        <x:v>0</x:v>
      </x:c>
      <x:c r="P9" s="21" t="n">
        <x:f>L9*1.10</x:f>
        <x:v>1.9580000000000002</x:v>
      </x:c>
      <x:c r="Q9" s="18" t="str">
        <x:f>IF(ABS(O9)&gt;0.10,"Review",IF(K9=L9,"Stable","Watch"))</x:f>
        <x:v>Stable</x:v>
      </x:c>
    </x:row>
    <x:row r="10">
      <x:c r="A10" s="18" t="str">
        <x:v>CN-TEFLON-STRIP-1MM</x:v>
      </x:c>
      <x:c r="B10" s="18" t="str">
        <x:v>鐵氟龍條</x:v>
      </x:c>
      <x:c r="C10" s="18" t="str">
        <x:v>條</x:v>
      </x:c>
      <x:c r="D10" s="18" t="n">
        <x:v>3</x:v>
      </x:c>
      <x:c r="E10" s="21"/>
      <x:c r="F10" s="21" t="n">
        <x:v>1.8</x:v>
      </x:c>
      <x:c r="G10" s="21"/>
      <x:c r="H10" s="21" t="n">
        <x:v>1.8</x:v>
      </x:c>
      <x:c r="I10" s="21"/>
      <x:c r="J10" s="21" t="n">
        <x:v>1.8</x:v>
      </x:c>
      <x:c r="K10" s="21" t="n">
        <x:v>1.8</x:v>
      </x:c>
      <x:c r="L10" s="21" t="n">
        <x:v>1.8</x:v>
      </x:c>
      <x:c r="M10" s="21" t="n">
        <x:v>1.8</x:v>
      </x:c>
      <x:c r="N10" s="21" t="n">
        <x:v>1.8</x:v>
      </x:c>
      <x:c r="O10" s="40" t="n">
        <x:f>IF(M10=0,0,(N10-M10)/M10)</x:f>
        <x:v>0</x:v>
      </x:c>
      <x:c r="P10" s="21" t="n">
        <x:f>L10*1.10</x:f>
        <x:v>1.9800000000000002</x:v>
      </x:c>
      <x:c r="Q10" s="18" t="str">
        <x:f>IF(ABS(O10)&gt;0.10,"Review",IF(K10=L10,"Stable","Watch"))</x:f>
        <x:v>Stable</x:v>
      </x:c>
    </x:row>
    <x:row r="11">
      <x:c r="A11" s="18" t="str">
        <x:v>ND-DBX1-14</x:v>
      </x:c>
      <x:c r="B11" s="18" t="str">
        <x:v>風琴機針 DBx1 #14</x:v>
      </x:c>
      <x:c r="C11" s="18" t="str">
        <x:v>包</x:v>
      </x:c>
      <x:c r="D11" s="18" t="n">
        <x:v>3</x:v>
      </x:c>
      <x:c r="E11" s="21"/>
      <x:c r="F11" s="21" t="n">
        <x:v>0.78</x:v>
      </x:c>
      <x:c r="G11" s="21"/>
      <x:c r="H11" s="21" t="n">
        <x:v>0.78</x:v>
      </x:c>
      <x:c r="I11" s="21"/>
      <x:c r="J11" s="21" t="n">
        <x:v>0.78</x:v>
      </x:c>
      <x:c r="K11" s="21" t="n">
        <x:v>0.78</x:v>
      </x:c>
      <x:c r="L11" s="21" t="n">
        <x:v>0.78</x:v>
      </x:c>
      <x:c r="M11" s="21" t="n">
        <x:v>0.78</x:v>
      </x:c>
      <x:c r="N11" s="21" t="n">
        <x:v>0.78</x:v>
      </x:c>
      <x:c r="O11" s="40" t="n">
        <x:f>IF(M11=0,0,(N11-M11)/M11)</x:f>
        <x:v>0</x:v>
      </x:c>
      <x:c r="P11" s="21" t="n">
        <x:f>L11*1.10</x:f>
        <x:v>0.8580000000000001</x:v>
      </x:c>
      <x:c r="Q11" s="18" t="str">
        <x:f>IF(ABS(O11)&gt;0.10,"Review",IF(K11=L11,"Stable","Watch"))</x:f>
        <x:v>Stable</x:v>
      </x:c>
    </x:row>
    <x:row r="12">
      <x:c r="A12" s="18" t="str">
        <x:v>ND-DBX1-16</x:v>
      </x:c>
      <x:c r="B12" s="18" t="str">
        <x:v>風琴機針 DBx1 #16</x:v>
      </x:c>
      <x:c r="C12" s="18" t="str">
        <x:v>包</x:v>
      </x:c>
      <x:c r="D12" s="18" t="n">
        <x:v>3</x:v>
      </x:c>
      <x:c r="E12" s="21"/>
      <x:c r="F12" s="21" t="n">
        <x:v>0.78</x:v>
      </x:c>
      <x:c r="G12" s="21"/>
      <x:c r="H12" s="21" t="n">
        <x:v>0.78</x:v>
      </x:c>
      <x:c r="I12" s="21"/>
      <x:c r="J12" s="21" t="n">
        <x:v>0.78</x:v>
      </x:c>
      <x:c r="K12" s="21" t="n">
        <x:v>0.78</x:v>
      </x:c>
      <x:c r="L12" s="21" t="n">
        <x:v>0.78</x:v>
      </x:c>
      <x:c r="M12" s="21" t="n">
        <x:v>0.78</x:v>
      </x:c>
      <x:c r="N12" s="21" t="n">
        <x:v>0.78</x:v>
      </x:c>
      <x:c r="O12" s="40" t="n">
        <x:f>IF(M12=0,0,(N12-M12)/M12)</x:f>
        <x:v>0</x:v>
      </x:c>
      <x:c r="P12" s="21" t="n">
        <x:f>L12*1.10</x:f>
        <x:v>0.8580000000000001</x:v>
      </x:c>
      <x:c r="Q12" s="18" t="str">
        <x:f>IF(ABS(O12)&gt;0.10,"Review",IF(K12=L12,"Stable","Watch"))</x:f>
        <x:v>Stable</x:v>
      </x:c>
    </x:row>
    <x:row r="13">
      <x:c r="A13" s="18" t="str">
        <x:v>ND-DCX27-14</x:v>
      </x:c>
      <x:c r="B13" s="18" t="str">
        <x:v>風琴機針 DCx27 #14</x:v>
      </x:c>
      <x:c r="C13" s="18" t="str">
        <x:v>包</x:v>
      </x:c>
      <x:c r="D13" s="18" t="n">
        <x:v>3</x:v>
      </x:c>
      <x:c r="E13" s="21"/>
      <x:c r="F13" s="21" t="n">
        <x:v>1.3</x:v>
      </x:c>
      <x:c r="G13" s="21"/>
      <x:c r="H13" s="21"/>
      <x:c r="I13" s="21" t="n">
        <x:v>1.3</x:v>
      </x:c>
      <x:c r="J13" s="21" t="n">
        <x:v>1.3</x:v>
      </x:c>
      <x:c r="K13" s="21" t="n">
        <x:v>1.3</x:v>
      </x:c>
      <x:c r="L13" s="21" t="n">
        <x:v>1.3</x:v>
      </x:c>
      <x:c r="M13" s="21" t="n">
        <x:v>1.3</x:v>
      </x:c>
      <x:c r="N13" s="21" t="n">
        <x:v>1.3</x:v>
      </x:c>
      <x:c r="O13" s="40" t="n">
        <x:f>IF(M13=0,0,(N13-M13)/M13)</x:f>
        <x:v>0</x:v>
      </x:c>
      <x:c r="P13" s="21" t="n">
        <x:f>L13*1.10</x:f>
        <x:v>1.4300000000000002</x:v>
      </x:c>
      <x:c r="Q13" s="18" t="str">
        <x:f>IF(ABS(O13)&gt;0.10,"Review",IF(K13=L13,"Stable","Watch"))</x:f>
        <x:v>Stable</x:v>
      </x:c>
    </x:row>
    <x:row r="14">
      <x:c r="A14" s="18" t="str">
        <x:v>ND-DCX27-16</x:v>
      </x:c>
      <x:c r="B14" s="18" t="str">
        <x:v>風琴機針 DCx27 #16</x:v>
      </x:c>
      <x:c r="C14" s="18" t="str">
        <x:v>包</x:v>
      </x:c>
      <x:c r="D14" s="18" t="n">
        <x:v>3</x:v>
      </x:c>
      <x:c r="E14" s="21"/>
      <x:c r="F14" s="21" t="n">
        <x:v>1.3</x:v>
      </x:c>
      <x:c r="G14" s="21"/>
      <x:c r="H14" s="21" t="n">
        <x:v>1.3</x:v>
      </x:c>
      <x:c r="I14" s="21"/>
      <x:c r="J14" s="21" t="n">
        <x:v>1.3</x:v>
      </x:c>
      <x:c r="K14" s="21" t="n">
        <x:v>1.3</x:v>
      </x:c>
      <x:c r="L14" s="21" t="n">
        <x:v>1.3</x:v>
      </x:c>
      <x:c r="M14" s="21" t="n">
        <x:v>1.3</x:v>
      </x:c>
      <x:c r="N14" s="21" t="n">
        <x:v>1.3</x:v>
      </x:c>
      <x:c r="O14" s="40" t="n">
        <x:f>IF(M14=0,0,(N14-M14)/M14)</x:f>
        <x:v>0</x:v>
      </x:c>
      <x:c r="P14" s="21" t="n">
        <x:f>L14*1.10</x:f>
        <x:v>1.4300000000000002</x:v>
      </x:c>
      <x:c r="Q14" s="18" t="str">
        <x:f>IF(ABS(O14)&gt;0.10,"Review",IF(K14=L14,"Stable","Watch"))</x:f>
        <x:v>Stable</x:v>
      </x:c>
    </x:row>
    <x:row r="15">
      <x:c r="A15" s="18" t="str">
        <x:v>ND-DPX5-14</x:v>
      </x:c>
      <x:c r="B15" s="18" t="str">
        <x:v>風琴機針 DPx5 #14</x:v>
      </x:c>
      <x:c r="C15" s="18" t="str">
        <x:v>包</x:v>
      </x:c>
      <x:c r="D15" s="18" t="n">
        <x:v>3</x:v>
      </x:c>
      <x:c r="E15" s="21"/>
      <x:c r="F15" s="21" t="n">
        <x:v>0.78</x:v>
      </x:c>
      <x:c r="G15" s="21"/>
      <x:c r="H15" s="21" t="n">
        <x:v>0.78</x:v>
      </x:c>
      <x:c r="I15" s="21"/>
      <x:c r="J15" s="21" t="n">
        <x:v>0.78</x:v>
      </x:c>
      <x:c r="K15" s="21" t="n">
        <x:v>0.78</x:v>
      </x:c>
      <x:c r="L15" s="21" t="n">
        <x:v>0.78</x:v>
      </x:c>
      <x:c r="M15" s="21" t="n">
        <x:v>0.78</x:v>
      </x:c>
      <x:c r="N15" s="21" t="n">
        <x:v>0.78</x:v>
      </x:c>
      <x:c r="O15" s="40" t="n">
        <x:f>IF(M15=0,0,(N15-M15)/M15)</x:f>
        <x:v>0</x:v>
      </x:c>
      <x:c r="P15" s="21" t="n">
        <x:f>L15*1.10</x:f>
        <x:v>0.8580000000000001</x:v>
      </x:c>
      <x:c r="Q15" s="18" t="str">
        <x:f>IF(ABS(O15)&gt;0.10,"Review",IF(K15=L15,"Stable","Watch"))</x:f>
        <x:v>Stable</x:v>
      </x:c>
    </x:row>
    <x:row r="16">
      <x:c r="A16" s="18" t="str">
        <x:v>ND-UYX128-14</x:v>
      </x:c>
      <x:c r="B16" s="18" t="str">
        <x:v>風琴機針 UYx128 #14</x:v>
      </x:c>
      <x:c r="C16" s="18" t="str">
        <x:v>包</x:v>
      </x:c>
      <x:c r="D16" s="18" t="n">
        <x:v>3</x:v>
      </x:c>
      <x:c r="E16" s="21"/>
      <x:c r="F16" s="21"/>
      <x:c r="G16" s="21" t="n">
        <x:v>1.78</x:v>
      </x:c>
      <x:c r="H16" s="21"/>
      <x:c r="I16" s="21" t="n">
        <x:v>1.78</x:v>
      </x:c>
      <x:c r="J16" s="21" t="n">
        <x:v>1.78</x:v>
      </x:c>
      <x:c r="K16" s="21" t="n">
        <x:v>1.78</x:v>
      </x:c>
      <x:c r="L16" s="21" t="n">
        <x:v>1.78</x:v>
      </x:c>
      <x:c r="M16" s="21" t="n">
        <x:v>1.78</x:v>
      </x:c>
      <x:c r="N16" s="21" t="n">
        <x:v>1.78</x:v>
      </x:c>
      <x:c r="O16" s="40" t="n">
        <x:f>IF(M16=0,0,(N16-M16)/M16)</x:f>
        <x:v>0</x:v>
      </x:c>
      <x:c r="P16" s="21" t="n">
        <x:f>L16*1.10</x:f>
        <x:v>1.9580000000000002</x:v>
      </x:c>
      <x:c r="Q16" s="18" t="str">
        <x:f>IF(ABS(O16)&gt;0.10,"Review",IF(K16=L16,"Stable","Watch"))</x:f>
        <x:v>Stable</x:v>
      </x:c>
    </x:row>
    <x:row r="17">
      <x:c r="A17" s="18" t="str">
        <x:v>CH-502-GLUE-LARGE</x:v>
      </x:c>
      <x:c r="B17" s="18" t="str">
        <x:v>502膠水（大瓶）</x:v>
      </x:c>
      <x:c r="C17" s="18" t="str">
        <x:v>瓶</x:v>
      </x:c>
      <x:c r="D17" s="18" t="n">
        <x:v>2</x:v>
      </x:c>
      <x:c r="E17" s="21"/>
      <x:c r="F17" s="21"/>
      <x:c r="G17" s="21" t="n">
        <x:v>0.65</x:v>
      </x:c>
      <x:c r="H17" s="21"/>
      <x:c r="I17" s="21" t="n">
        <x:v>0.65</x:v>
      </x:c>
      <x:c r="J17" s="21"/>
      <x:c r="K17" s="21" t="n">
        <x:v>0.65</x:v>
      </x:c>
      <x:c r="L17" s="21" t="n">
        <x:v>0.65</x:v>
      </x:c>
      <x:c r="M17" s="21" t="n">
        <x:v>0.65</x:v>
      </x:c>
      <x:c r="N17" s="21" t="n">
        <x:v>0.65</x:v>
      </x:c>
      <x:c r="O17" s="40" t="n">
        <x:f>IF(M17=0,0,(N17-M17)/M17)</x:f>
        <x:v>0</x:v>
      </x:c>
      <x:c r="P17" s="21" t="n">
        <x:f>L17*1.10</x:f>
        <x:v>0.7150000000000001</x:v>
      </x:c>
      <x:c r="Q17" s="18" t="str">
        <x:f>IF(ABS(O17)&gt;0.10,"Review",IF(K17=L17,"Stable","Watch"))</x:f>
        <x:v>Stable</x:v>
      </x:c>
    </x:row>
    <x:row r="18">
      <x:c r="A18" s="18" t="str">
        <x:v>PF-CL1-16N</x:v>
      </x:c>
      <x:c r="B18" s="18" t="str">
        <x:v>CL1/16N 壓腳</x:v>
      </x:c>
      <x:c r="C18" s="18" t="str">
        <x:v>個</x:v>
      </x:c>
      <x:c r="D18" s="18" t="n">
        <x:v>2</x:v>
      </x:c>
      <x:c r="E18" s="21"/>
      <x:c r="F18" s="21"/>
      <x:c r="G18" s="21" t="n">
        <x:v>0.6</x:v>
      </x:c>
      <x:c r="H18" s="21"/>
      <x:c r="I18" s="21" t="n">
        <x:v>0.6</x:v>
      </x:c>
      <x:c r="J18" s="21"/>
      <x:c r="K18" s="21" t="n">
        <x:v>0.6</x:v>
      </x:c>
      <x:c r="L18" s="21" t="n">
        <x:v>0.6</x:v>
      </x:c>
      <x:c r="M18" s="21" t="n">
        <x:v>0.6</x:v>
      </x:c>
      <x:c r="N18" s="21" t="n">
        <x:v>0.6</x:v>
      </x:c>
      <x:c r="O18" s="40" t="n">
        <x:f>IF(M18=0,0,(N18-M18)/M18)</x:f>
        <x:v>0</x:v>
      </x:c>
      <x:c r="P18" s="21" t="n">
        <x:f>L18*1.10</x:f>
        <x:v>0.66</x:v>
      </x:c>
      <x:c r="Q18" s="18" t="str">
        <x:f>IF(ABS(O18)&gt;0.10,"Review",IF(K18=L18,"Stable","Watch"))</x:f>
        <x:v>Stable</x:v>
      </x:c>
    </x:row>
    <x:row r="19">
      <x:c r="A19" s="18" t="str">
        <x:v>NP-E22</x:v>
      </x:c>
      <x:c r="B19" s="18" t="str">
        <x:v>E22 針板</x:v>
      </x:c>
      <x:c r="C19" s="18" t="str">
        <x:v>個</x:v>
      </x:c>
      <x:c r="D19" s="18" t="n">
        <x:v>2</x:v>
      </x:c>
      <x:c r="E19" s="21"/>
      <x:c r="F19" s="21" t="n">
        <x:v>0.35</x:v>
      </x:c>
      <x:c r="G19" s="21"/>
      <x:c r="H19" s="21"/>
      <x:c r="I19" s="21"/>
      <x:c r="J19" s="21" t="n">
        <x:v>0.35</x:v>
      </x:c>
      <x:c r="K19" s="21" t="n">
        <x:v>0.35</x:v>
      </x:c>
      <x:c r="L19" s="21" t="n">
        <x:v>0.35</x:v>
      </x:c>
      <x:c r="M19" s="21" t="n">
        <x:v>0.35</x:v>
      </x:c>
      <x:c r="N19" s="21" t="n">
        <x:v>0.35</x:v>
      </x:c>
      <x:c r="O19" s="40" t="n">
        <x:f>IF(M19=0,0,(N19-M19)/M19)</x:f>
        <x:v>0</x:v>
      </x:c>
      <x:c r="P19" s="21" t="n">
        <x:f>L19*1.10</x:f>
        <x:v>0.385</x:v>
      </x:c>
      <x:c r="Q19" s="18" t="str">
        <x:f>IF(ABS(O19)&gt;0.10,"Review",IF(K19=L19,"Stable","Watch"))</x:f>
        <x:v>Stable</x:v>
      </x:c>
    </x:row>
    <x:row r="20">
      <x:c r="A20" s="18" t="str">
        <x:v>CH-JJW830</x:v>
      </x:c>
      <x:c r="B20" s="18" t="str">
        <x:v>JJW-830</x:v>
      </x:c>
      <x:c r="C20" s="18" t="str">
        <x:v>瓶</x:v>
      </x:c>
      <x:c r="D20" s="18" t="n">
        <x:v>2</x:v>
      </x:c>
      <x:c r="E20" s="21" t="n">
        <x:v>2.8</x:v>
      </x:c>
      <x:c r="F20" s="21" t="n">
        <x:v>2.8</x:v>
      </x:c>
      <x:c r="G20" s="21"/>
      <x:c r="H20" s="21"/>
      <x:c r="I20" s="21"/>
      <x:c r="J20" s="21"/>
      <x:c r="K20" s="21" t="n">
        <x:v>2.8</x:v>
      </x:c>
      <x:c r="L20" s="21" t="n">
        <x:v>2.8</x:v>
      </x:c>
      <x:c r="M20" s="21" t="n">
        <x:v>2.8</x:v>
      </x:c>
      <x:c r="N20" s="21" t="n">
        <x:v>2.8</x:v>
      </x:c>
      <x:c r="O20" s="40" t="n">
        <x:f>IF(M20=0,0,(N20-M20)/M20)</x:f>
        <x:v>0</x:v>
      </x:c>
      <x:c r="P20" s="21" t="n">
        <x:f>L20*1.10</x:f>
        <x:v>3.08</x:v>
      </x:c>
      <x:c r="Q20" s="18" t="str">
        <x:f>IF(ABS(O20)&gt;0.10,"Review",IF(K20=L20,"Stable","Watch"))</x:f>
        <x:v>Stable</x:v>
      </x:c>
    </x:row>
    <x:row r="21">
      <x:c r="A21" s="18" t="str">
        <x:v>KN-JUKI8700A-MOVING</x:v>
      </x:c>
      <x:c r="B21" s="18" t="str">
        <x:v>JUKI-8700A 活動刀</x:v>
      </x:c>
      <x:c r="C21" s="18" t="str">
        <x:v>個</x:v>
      </x:c>
      <x:c r="D21" s="18" t="n">
        <x:v>2</x:v>
      </x:c>
      <x:c r="E21" s="21"/>
      <x:c r="F21" s="21"/>
      <x:c r="G21" s="21"/>
      <x:c r="H21" s="21" t="n">
        <x:v>2.3</x:v>
      </x:c>
      <x:c r="I21" s="21" t="n">
        <x:v>2.5</x:v>
      </x:c>
      <x:c r="J21" s="21"/>
      <x:c r="K21" s="21" t="n">
        <x:v>2.3</x:v>
      </x:c>
      <x:c r="L21" s="21" t="n">
        <x:v>2.5</x:v>
      </x:c>
      <x:c r="M21" s="21" t="n">
        <x:v>2.3</x:v>
      </x:c>
      <x:c r="N21" s="21" t="n">
        <x:v>2.5</x:v>
      </x:c>
      <x:c r="O21" s="40" t="n">
        <x:f>IF(M21=0,0,(N21-M21)/M21)</x:f>
        <x:v>0.08695652173913052</x:v>
      </x:c>
      <x:c r="P21" s="21" t="n">
        <x:f>L21*1.10</x:f>
        <x:v>2.75</x:v>
      </x:c>
      <x:c r="Q21" s="18" t="str">
        <x:f>IF(ABS(O21)&gt;0.10,"Review",IF(K21=L21,"Stable","Watch"))</x:f>
        <x:v>Watch</x:v>
      </x:c>
    </x:row>
    <x:row r="22">
      <x:c r="A22" s="18" t="str">
        <x:v>MT-SIRUBA747KD-COUPLER</x:v>
      </x:c>
      <x:c r="B22" s="18" t="str">
        <x:v>SIRUBA-747KD 馬達聯軸器</x:v>
      </x:c>
      <x:c r="C22" s="18" t="str">
        <x:v>個</x:v>
      </x:c>
      <x:c r="D22" s="18" t="n">
        <x:v>2</x:v>
      </x:c>
      <x:c r="E22" s="21"/>
      <x:c r="F22" s="21" t="n">
        <x:v>9.5</x:v>
      </x:c>
      <x:c r="G22" s="21"/>
      <x:c r="H22" s="21"/>
      <x:c r="I22" s="21" t="n">
        <x:v>9.5</x:v>
      </x:c>
      <x:c r="J22" s="21"/>
      <x:c r="K22" s="21" t="n">
        <x:v>9.5</x:v>
      </x:c>
      <x:c r="L22" s="21" t="n">
        <x:v>9.5</x:v>
      </x:c>
      <x:c r="M22" s="21" t="n">
        <x:v>9.5</x:v>
      </x:c>
      <x:c r="N22" s="21" t="n">
        <x:v>9.5</x:v>
      </x:c>
      <x:c r="O22" s="40" t="n">
        <x:f>IF(M22=0,0,(N22-M22)/M22)</x:f>
        <x:v>0</x:v>
      </x:c>
      <x:c r="P22" s="21" t="n">
        <x:f>L22*1.10</x:f>
        <x:v>10.450000000000001</x:v>
      </x:c>
      <x:c r="Q22" s="18" t="str">
        <x:f>IF(ABS(O22)&gt;0.10,"Review",IF(K22=L22,"Stable","Watch"))</x:f>
        <x:v>Stable</x:v>
      </x:c>
    </x:row>
    <x:row r="23">
      <x:c r="A23" s="18" t="str">
        <x:v>BC-SN-ELECTRONIC</x:v>
      </x:c>
      <x:c r="B23" s="18" t="str">
        <x:v>平車電子梭殼</x:v>
      </x:c>
      <x:c r="C23" s="18" t="str">
        <x:v>個</x:v>
      </x:c>
      <x:c r="D23" s="18" t="n">
        <x:v>2</x:v>
      </x:c>
      <x:c r="E23" s="21"/>
      <x:c r="F23" s="21"/>
      <x:c r="G23" s="21" t="n">
        <x:v>0.45</x:v>
      </x:c>
      <x:c r="H23" s="21"/>
      <x:c r="I23" s="21" t="n">
        <x:v>0.45</x:v>
      </x:c>
      <x:c r="J23" s="21"/>
      <x:c r="K23" s="21" t="n">
        <x:v>0.45</x:v>
      </x:c>
      <x:c r="L23" s="21" t="n">
        <x:v>0.45</x:v>
      </x:c>
      <x:c r="M23" s="21" t="n">
        <x:v>0.45</x:v>
      </x:c>
      <x:c r="N23" s="21" t="n">
        <x:v>0.45</x:v>
      </x:c>
      <x:c r="O23" s="40" t="n">
        <x:f>IF(M23=0,0,(N23-M23)/M23)</x:f>
        <x:v>0</x:v>
      </x:c>
      <x:c r="P23" s="21" t="n">
        <x:f>L23*1.10</x:f>
        <x:v>0.49500000000000005</x:v>
      </x:c>
      <x:c r="Q23" s="18" t="str">
        <x:f>IF(ABS(O23)&gt;0.10,"Review",IF(K23=L23,"Stable","Watch"))</x:f>
        <x:v>Stable</x:v>
      </x:c>
    </x:row>
    <x:row r="24">
      <x:c r="A24" s="18" t="str">
        <x:v>CN-SEWING-OIL-30L</x:v>
      </x:c>
      <x:c r="B24" s="18" t="str">
        <x:v>強化型針車油</x:v>
      </x:c>
      <x:c r="C24" s="18" t="str">
        <x:v>桶</x:v>
      </x:c>
      <x:c r="D24" s="18" t="n">
        <x:v>2</x:v>
      </x:c>
      <x:c r="E24" s="21"/>
      <x:c r="F24" s="21"/>
      <x:c r="G24" s="21"/>
      <x:c r="H24" s="21"/>
      <x:c r="I24" s="21" t="n">
        <x:v>65</x:v>
      </x:c>
      <x:c r="J24" s="21"/>
      <x:c r="K24" s="21" t="n">
        <x:v>65</x:v>
      </x:c>
      <x:c r="L24" s="21" t="n">
        <x:v>65</x:v>
      </x:c>
      <x:c r="M24" s="21" t="n">
        <x:v>65</x:v>
      </x:c>
      <x:c r="N24" s="21" t="n">
        <x:v>65</x:v>
      </x:c>
      <x:c r="O24" s="40" t="n">
        <x:f>IF(M24=0,0,(N24-M24)/M24)</x:f>
        <x:v>0</x:v>
      </x:c>
      <x:c r="P24" s="21" t="n">
        <x:f>L24*1.10</x:f>
        <x:v>71.5</x:v>
      </x:c>
      <x:c r="Q24" s="18" t="str">
        <x:f>IF(ABS(O24)&gt;0.10,"Review",IF(K24=L24,"Stable","Watch"))</x:f>
        <x:v>Stable</x:v>
      </x:c>
    </x:row>
    <x:row r="25">
      <x:c r="A25" s="18" t="str">
        <x:v>KN-KR23-UPPER</x:v>
      </x:c>
      <x:c r="B25" s="18" t="str">
        <x:v>拷克上刀 KR23</x:v>
      </x:c>
      <x:c r="C25" s="18" t="str">
        <x:v>支</x:v>
      </x:c>
      <x:c r="D25" s="18" t="n">
        <x:v>2</x:v>
      </x:c>
      <x:c r="E25" s="21"/>
      <x:c r="F25" s="21"/>
      <x:c r="G25" s="21" t="n">
        <x:v>0.6</x:v>
      </x:c>
      <x:c r="H25" s="21"/>
      <x:c r="I25" s="21" t="n">
        <x:v>0.6</x:v>
      </x:c>
      <x:c r="J25" s="21"/>
      <x:c r="K25" s="21" t="n">
        <x:v>0.6</x:v>
      </x:c>
      <x:c r="L25" s="21" t="n">
        <x:v>0.6</x:v>
      </x:c>
      <x:c r="M25" s="21" t="n">
        <x:v>0.6</x:v>
      </x:c>
      <x:c r="N25" s="21" t="n">
        <x:v>0.6</x:v>
      </x:c>
      <x:c r="O25" s="40" t="n">
        <x:f>IF(M25=0,0,(N25-M25)/M25)</x:f>
        <x:v>0</x:v>
      </x:c>
      <x:c r="P25" s="21" t="n">
        <x:f>L25*1.10</x:f>
        <x:v>0.66</x:v>
      </x:c>
      <x:c r="Q25" s="18" t="str">
        <x:f>IF(ABS(O25)&gt;0.10,"Review",IF(K25=L25,"Stable","Watch"))</x:f>
        <x:v>Stable</x:v>
      </x:c>
    </x:row>
    <x:row r="26">
      <x:c r="A26" s="18" t="str">
        <x:v>LP-LP226-UPPER</x:v>
      </x:c>
      <x:c r="B26" s="18" t="str">
        <x:v>拷克上勾針 LP226</x:v>
      </x:c>
      <x:c r="C26" s="18" t="str">
        <x:v>個</x:v>
      </x:c>
      <x:c r="D26" s="18" t="n">
        <x:v>2</x:v>
      </x:c>
      <x:c r="E26" s="21"/>
      <x:c r="F26" s="21"/>
      <x:c r="G26" s="21" t="n">
        <x:v>1.5</x:v>
      </x:c>
      <x:c r="H26" s="21"/>
      <x:c r="I26" s="21" t="n">
        <x:v>1.5</x:v>
      </x:c>
      <x:c r="J26" s="21"/>
      <x:c r="K26" s="21" t="n">
        <x:v>1.5</x:v>
      </x:c>
      <x:c r="L26" s="21" t="n">
        <x:v>1.5</x:v>
      </x:c>
      <x:c r="M26" s="21" t="n">
        <x:v>1.5</x:v>
      </x:c>
      <x:c r="N26" s="21" t="n">
        <x:v>1.5</x:v>
      </x:c>
      <x:c r="O26" s="40" t="n">
        <x:f>IF(M26=0,0,(N26-M26)/M26)</x:f>
        <x:v>0</x:v>
      </x:c>
      <x:c r="P26" s="21" t="n">
        <x:f>L26*1.10</x:f>
        <x:v>1.6500000000000001</x:v>
      </x:c>
      <x:c r="Q26" s="18" t="str">
        <x:f>IF(ABS(O26)&gt;0.10,"Review",IF(K26=L26,"Stable","Watch"))</x:f>
        <x:v>Stable</x:v>
      </x:c>
    </x:row>
    <x:row r="27">
      <x:c r="A27" s="18" t="str">
        <x:v>IR-ES94A-SHOE</x:v>
      </x:c>
      <x:c r="B27" s="18" t="str">
        <x:v>熨斗鞋 ES-94(A)</x:v>
      </x:c>
      <x:c r="C27" s="18" t="str">
        <x:v>個</x:v>
      </x:c>
      <x:c r="D27" s="18" t="n">
        <x:v>2</x:v>
      </x:c>
      <x:c r="E27" s="21" t="n">
        <x:v>1.8</x:v>
      </x:c>
      <x:c r="F27" s="21"/>
      <x:c r="G27" s="21"/>
      <x:c r="H27" s="21"/>
      <x:c r="I27" s="21" t="n">
        <x:v>1.8</x:v>
      </x:c>
      <x:c r="J27" s="21"/>
      <x:c r="K27" s="21" t="n">
        <x:v>1.8</x:v>
      </x:c>
      <x:c r="L27" s="21" t="n">
        <x:v>1.8</x:v>
      </x:c>
      <x:c r="M27" s="21" t="n">
        <x:v>1.8</x:v>
      </x:c>
      <x:c r="N27" s="21" t="n">
        <x:v>1.8</x:v>
      </x:c>
      <x:c r="O27" s="40" t="n">
        <x:f>IF(M27=0,0,(N27-M27)/M27)</x:f>
        <x:v>0</x:v>
      </x:c>
      <x:c r="P27" s="21" t="n">
        <x:f>L27*1.10</x:f>
        <x:v>1.9800000000000002</x:v>
      </x:c>
      <x:c r="Q27" s="18" t="str">
        <x:f>IF(ABS(O27)&gt;0.10,"Review",IF(K27=L27,"Stable","Watch"))</x:f>
        <x:v>Stable</x:v>
      </x:c>
    </x:row>
    <x:row r="28">
      <x:c r="A28" s="18" t="str">
        <x:v>CN-NUMBER-PAPER-5</x:v>
      </x:c>
      <x:c r="B28" s="18" t="str">
        <x:v>編號紙 #5</x:v>
      </x:c>
      <x:c r="C28" s="18" t="str">
        <x:v>箱</x:v>
      </x:c>
      <x:c r="D28" s="18" t="n">
        <x:v>2</x:v>
      </x:c>
      <x:c r="E28" s="21"/>
      <x:c r="F28" s="21"/>
      <x:c r="G28" s="21" t="n">
        <x:v>110</x:v>
      </x:c>
      <x:c r="H28" s="21"/>
      <x:c r="I28" s="21"/>
      <x:c r="J28" s="21" t="n">
        <x:v>110</x:v>
      </x:c>
      <x:c r="K28" s="21" t="n">
        <x:v>110</x:v>
      </x:c>
      <x:c r="L28" s="21" t="n">
        <x:v>110</x:v>
      </x:c>
      <x:c r="M28" s="21" t="n">
        <x:v>110</x:v>
      </x:c>
      <x:c r="N28" s="21" t="n">
        <x:v>110</x:v>
      </x:c>
      <x:c r="O28" s="40" t="n">
        <x:f>IF(M28=0,0,(N28-M28)/M28)</x:f>
        <x:v>0</x:v>
      </x:c>
      <x:c r="P28" s="21" t="n">
        <x:f>L28*1.10</x:f>
        <x:v>121.00000000000001</x:v>
      </x:c>
      <x:c r="Q28" s="18" t="str">
        <x:f>IF(ABS(O28)&gt;0.10,"Review",IF(K28=L28,"Stable","Watch"))</x:f>
        <x:v>Stable</x:v>
      </x:c>
    </x:row>
    <x:row r="29">
      <x:c r="A29" s="18" t="str">
        <x:v>IR-HANGING-BOTTLE-SET-KR</x:v>
      </x:c>
      <x:c r="B29" s="18" t="str">
        <x:v>韓國吊瓶熨斗組</x:v>
      </x:c>
      <x:c r="C29" s="18" t="str">
        <x:v>把</x:v>
      </x:c>
      <x:c r="D29" s="18" t="n">
        <x:v>2</x:v>
      </x:c>
      <x:c r="E29" s="21" t="n">
        <x:v>29</x:v>
      </x:c>
      <x:c r="F29" s="21"/>
      <x:c r="G29" s="21"/>
      <x:c r="H29" s="21"/>
      <x:c r="I29" s="21" t="n">
        <x:v>29</x:v>
      </x:c>
      <x:c r="J29" s="21"/>
      <x:c r="K29" s="21" t="n">
        <x:v>29</x:v>
      </x:c>
      <x:c r="L29" s="21" t="n">
        <x:v>29</x:v>
      </x:c>
      <x:c r="M29" s="21" t="n">
        <x:v>29</x:v>
      </x:c>
      <x:c r="N29" s="21" t="n">
        <x:v>29</x:v>
      </x:c>
      <x:c r="O29" s="40" t="n">
        <x:f>IF(M29=0,0,(N29-M29)/M29)</x:f>
        <x:v>0</x:v>
      </x:c>
      <x:c r="P29" s="21" t="n">
        <x:f>L29*1.10</x:f>
        <x:v>31.900000000000002</x:v>
      </x:c>
      <x:c r="Q29" s="18" t="str">
        <x:f>IF(ABS(O29)&gt;0.10,"Review",IF(K29=L29,"Stable","Watch"))</x:f>
        <x:v>Stable</x:v>
      </x:c>
    </x:row>
    <x:row r="30">
      <x:c r="A30" s="18" t="str">
        <x:v>ND-DBX1-12</x:v>
      </x:c>
      <x:c r="B30" s="18" t="str">
        <x:v>風琴機針 DBx1 #12</x:v>
      </x:c>
      <x:c r="C30" s="18" t="str">
        <x:v>包</x:v>
      </x:c>
      <x:c r="D30" s="18" t="n">
        <x:v>2</x:v>
      </x:c>
      <x:c r="E30" s="21"/>
      <x:c r="F30" s="21"/>
      <x:c r="G30" s="21" t="n">
        <x:v>0.78</x:v>
      </x:c>
      <x:c r="H30" s="21"/>
      <x:c r="I30" s="21"/>
      <x:c r="J30" s="21" t="n">
        <x:v>0.78</x:v>
      </x:c>
      <x:c r="K30" s="21" t="n">
        <x:v>0.78</x:v>
      </x:c>
      <x:c r="L30" s="21" t="n">
        <x:v>0.78</x:v>
      </x:c>
      <x:c r="M30" s="21" t="n">
        <x:v>0.78</x:v>
      </x:c>
      <x:c r="N30" s="21" t="n">
        <x:v>0.78</x:v>
      </x:c>
      <x:c r="O30" s="40" t="n">
        <x:f>IF(M30=0,0,(N30-M30)/M30)</x:f>
        <x:v>0</x:v>
      </x:c>
      <x:c r="P30" s="21" t="n">
        <x:f>L30*1.10</x:f>
        <x:v>0.8580000000000001</x:v>
      </x:c>
      <x:c r="Q30" s="18" t="str">
        <x:f>IF(ABS(O30)&gt;0.10,"Review",IF(K30=L30,"Stable","Watch"))</x:f>
        <x:v>Stable</x:v>
      </x:c>
    </x:row>
    <x:row r="31">
      <x:c r="A31" s="18" t="str">
        <x:v>ND-DPX5-16</x:v>
      </x:c>
      <x:c r="B31" s="18" t="str">
        <x:v>風琴機針 DPx5 #16</x:v>
      </x:c>
      <x:c r="C31" s="18" t="str">
        <x:v>包</x:v>
      </x:c>
      <x:c r="D31" s="18" t="n">
        <x:v>2</x:v>
      </x:c>
      <x:c r="E31" s="21"/>
      <x:c r="F31" s="21" t="n">
        <x:v>0.78</x:v>
      </x:c>
      <x:c r="G31" s="21"/>
      <x:c r="H31" s="21"/>
      <x:c r="I31" s="21"/>
      <x:c r="J31" s="21" t="n">
        <x:v>0.78</x:v>
      </x:c>
      <x:c r="K31" s="21" t="n">
        <x:v>0.78</x:v>
      </x:c>
      <x:c r="L31" s="21" t="n">
        <x:v>0.78</x:v>
      </x:c>
      <x:c r="M31" s="21" t="n">
        <x:v>0.78</x:v>
      </x:c>
      <x:c r="N31" s="21" t="n">
        <x:v>0.78</x:v>
      </x:c>
      <x:c r="O31" s="40" t="n">
        <x:f>IF(M31=0,0,(N31-M31)/M31)</x:f>
        <x:v>0</x:v>
      </x:c>
      <x:c r="P31" s="21" t="n">
        <x:f>L31*1.10</x:f>
        <x:v>0.8580000000000001</x:v>
      </x:c>
      <x:c r="Q31" s="18" t="str">
        <x:f>IF(ABS(O31)&gt;0.10,"Review",IF(K31=L31,"Stable","Watch"))</x:f>
        <x:v>Stable</x:v>
      </x:c>
    </x:row>
    <x:row r="32">
      <x:c r="A32" s="18" t="str">
        <x:v>ND-UOX113-16</x:v>
      </x:c>
      <x:c r="B32" s="18" t="str">
        <x:v>風琴機針 UOx113 #16</x:v>
      </x:c>
      <x:c r="C32" s="18" t="str">
        <x:v>包</x:v>
      </x:c>
      <x:c r="D32" s="18" t="n">
        <x:v>2</x:v>
      </x:c>
      <x:c r="E32" s="21"/>
      <x:c r="F32" s="21"/>
      <x:c r="G32" s="21" t="n">
        <x:v>3</x:v>
      </x:c>
      <x:c r="H32" s="21"/>
      <x:c r="I32" s="21"/>
      <x:c r="J32" s="21" t="n">
        <x:v>3</x:v>
      </x:c>
      <x:c r="K32" s="21" t="n">
        <x:v>3</x:v>
      </x:c>
      <x:c r="L32" s="21" t="n">
        <x:v>3</x:v>
      </x:c>
      <x:c r="M32" s="21" t="n">
        <x:v>3</x:v>
      </x:c>
      <x:c r="N32" s="21" t="n">
        <x:v>3</x:v>
      </x:c>
      <x:c r="O32" s="40" t="n">
        <x:f>IF(M32=0,0,(N32-M32)/M32)</x:f>
        <x:v>0</x:v>
      </x:c>
      <x:c r="P32" s="21" t="n">
        <x:f>L32*1.10</x:f>
        <x:v>3.3000000000000003</x:v>
      </x:c>
      <x:c r="Q32" s="18" t="str">
        <x:f>IF(ABS(O32)&gt;0.10,"Review",IF(K32=L32,"Stable","Watch"))</x:f>
        <x:v>Stable</x:v>
      </x:c>
    </x:row>
  </x:sheetData>
  <x:mergeCells>
    <x:mergeCell ref="A1:Q1"/>
  </x:mergeCells>
  <x:conditionalFormatting sqref="O4:O32">
    <x:cfRule type="expression" dxfId="5" priority="1">
      <x:formula>ABS(O4)&gt;0.10</x:formula>
    </x:cfRule>
  </x:conditionalFormatting>
  <x:conditionalFormatting sqref="Q4:Q32">
    <x:cfRule type="expression" dxfId="6" priority="2">
      <x:formula>Q4="Stable"</x:formula>
    </x:cfRule>
    <x:cfRule type="expression" dxfId="7" priority="3">
      <x:formula>Q4="Watch"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d8ab544e26948c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34" hidden="0" customWidth="1"/>
    <x:col min="3" max="3" width="11" hidden="0" customWidth="1"/>
    <x:col min="4" max="4" width="11" hidden="0" customWidth="1"/>
    <x:col min="5" max="5" width="22" hidden="0" customWidth="1"/>
    <x:col min="6" max="6" width="22" hidden="0" customWidth="1"/>
    <x:col min="7" max="7" width="16" hidden="0" customWidth="1"/>
    <x:col min="8" max="8" width="26" hidden="0" customWidth="1"/>
    <x:col min="9" max="9" width="10" hidden="0" customWidth="1"/>
    <x:col min="10" max="10" width="12" hidden="0" customWidth="1"/>
    <x:col min="11" max="11" width="12" hidden="0" customWidth="1"/>
    <x:col min="12" max="12" width="52" hidden="0" customWidth="1"/>
  </x:cols>
  <x:sheetData>
    <x:row r="1">
      <x:c r="A1" s="28" t="str">
        <x:v>Import-ready Master List for vrt_spare_parts HTML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</x:row>
    <x:row r="2">
      <x:c r="A2" s="34" t="str">
        <x:v>A:D 欄位依系統 OCR/匯入畫面固定為 PART NO / NAME / QTY / PRICE；QTY 預設為0，避免把歷史購買量誤當現有庫存。</x:v>
      </x:c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</x:row>
    <x:row r="4">
      <x:c r="A4" s="6" t="str">
        <x:v>PART NO</x:v>
      </x:c>
      <x:c r="B4" s="6" t="str">
        <x:v>NAME</x:v>
      </x:c>
      <x:c r="C4" s="6" t="str">
        <x:v>QTY</x:v>
      </x:c>
      <x:c r="D4" s="6" t="str">
        <x:v>PRICE</x:v>
      </x:c>
      <x:c r="E4" s="6" t="str">
        <x:v>SPEC</x:v>
      </x:c>
      <x:c r="F4" s="6" t="str">
        <x:v>CATEGORY</x:v>
      </x:c>
      <x:c r="G4" s="6" t="str">
        <x:v>BRAND</x:v>
      </x:c>
      <x:c r="H4" s="6" t="str">
        <x:v>MACHINE TYPE</x:v>
      </x:c>
      <x:c r="I4" s="6" t="str">
        <x:v>UNIT</x:v>
      </x:c>
      <x:c r="J4" s="6" t="str">
        <x:v>MIN STOCK</x:v>
      </x:c>
      <x:c r="K4" s="6" t="str">
        <x:v>MAX STOCK</x:v>
      </x:c>
      <x:c r="L4" s="6" t="str">
        <x:v>REMARK</x:v>
      </x:c>
    </x:row>
    <x:row r="5">
      <x:c r="A5" s="18" t="str">
        <x:v>BB-JUKI1900</x:v>
      </x:c>
      <x:c r="B5" s="18" t="str">
        <x:v>JUKI-1900 梭芯</x:v>
      </x:c>
      <x:c r="C5" s="18" t="n">
        <x:v>0</x:v>
      </x:c>
      <x:c r="D5" s="21" t="n">
        <x:v>0.2</x:v>
      </x:c>
      <x:c r="E5" s="18" t="str">
        <x:v>1900</x:v>
      </x:c>
      <x:c r="F5" s="18" t="str">
        <x:v>Bobbin/Shuttle</x:v>
      </x:c>
      <x:c r="G5" s="18" t="str">
        <x:v>JUKI</x:v>
      </x:c>
      <x:c r="H5" s="18" t="str">
        <x:v>Bartack</x:v>
      </x:c>
      <x:c r="I5" s="18" t="str">
        <x:v>個</x:v>
      </x:c>
      <x:c r="J5" s="18" t="n">
        <x:v>5</x:v>
      </x:c>
      <x:c r="K5" s="18" t="n">
        <x:v>20</x:v>
      </x:c>
      <x:c r="L5" s="18" t="str">
        <x:v>Historical 2026-05-02 to 2026-05-02; Min $0.20, Max $0.20, Purchases 1</x:v>
      </x:c>
    </x:row>
    <x:row r="6">
      <x:c r="A6" s="18" t="str">
        <x:v>BC-SN-ELECTRONIC</x:v>
      </x:c>
      <x:c r="B6" s="18" t="str">
        <x:v>平車電子梭殼</x:v>
      </x:c>
      <x:c r="C6" s="18" t="n">
        <x:v>0</x:v>
      </x:c>
      <x:c r="D6" s="21" t="n">
        <x:v>0.45</x:v>
      </x:c>
      <x:c r="E6" s="18" t="str">
        <x:v>Electronic Type</x:v>
      </x:c>
      <x:c r="F6" s="18" t="str">
        <x:v>Bobbin/Shuttle</x:v>
      </x:c>
      <x:c r="G6" s="18" t="str"/>
      <x:c r="H6" s="18" t="str">
        <x:v>Single Needle</x:v>
      </x:c>
      <x:c r="I6" s="18" t="str">
        <x:v>個</x:v>
      </x:c>
      <x:c r="J6" s="18" t="n">
        <x:v>5</x:v>
      </x:c>
      <x:c r="K6" s="18" t="n">
        <x:v>20</x:v>
      </x:c>
      <x:c r="L6" s="18" t="str">
        <x:v>Historical 2026-03-05 to 2026-05-02; Min $0.45, Max $0.45, Purchases 2</x:v>
      </x:c>
    </x:row>
    <x:row r="7">
      <x:c r="A7" s="18" t="str">
        <x:v>BB-SN-ALUMINUM</x:v>
      </x:c>
      <x:c r="B7" s="18" t="str">
        <x:v>平車電子梭芯（鋁）</x:v>
      </x:c>
      <x:c r="C7" s="18" t="n">
        <x:v>0</x:v>
      </x:c>
      <x:c r="D7" s="21" t="n">
        <x:v>0.1</x:v>
      </x:c>
      <x:c r="E7" s="18" t="str">
        <x:v>Aluminum</x:v>
      </x:c>
      <x:c r="F7" s="18" t="str">
        <x:v>Bobbin/Shuttle</x:v>
      </x:c>
      <x:c r="G7" s="18" t="str"/>
      <x:c r="H7" s="18" t="str">
        <x:v>Single Needle</x:v>
      </x:c>
      <x:c r="I7" s="18" t="str">
        <x:v>個</x:v>
      </x:c>
      <x:c r="J7" s="18" t="n">
        <x:v>5</x:v>
      </x:c>
      <x:c r="K7" s="18" t="n">
        <x:v>20</x:v>
      </x:c>
      <x:c r="L7" s="18" t="str">
        <x:v>Historical 2026-03-05 to 2026-03-05; Min $0.10, Max $0.10, Purchases 1</x:v>
      </x:c>
    </x:row>
    <x:row r="8">
      <x:c r="A8" s="18" t="str">
        <x:v>BB-TWIN-NEEDLE-SMALL-AL</x:v>
      </x:c>
      <x:c r="B8" s="18" t="str">
        <x:v>平雙針小梭芯（鋁）</x:v>
      </x:c>
      <x:c r="C8" s="18" t="n">
        <x:v>0</x:v>
      </x:c>
      <x:c r="D8" s="21" t="n">
        <x:v>0.2</x:v>
      </x:c>
      <x:c r="E8" s="18" t="str">
        <x:v>Aluminum</x:v>
      </x:c>
      <x:c r="F8" s="18" t="str">
        <x:v>Bobbin/Shuttle</x:v>
      </x:c>
      <x:c r="G8" s="18" t="str"/>
      <x:c r="H8" s="18" t="str">
        <x:v>Twin Needle</x:v>
      </x:c>
      <x:c r="I8" s="18" t="str">
        <x:v>個</x:v>
      </x:c>
      <x:c r="J8" s="18" t="n">
        <x:v>5</x:v>
      </x:c>
      <x:c r="K8" s="18" t="n">
        <x:v>20</x:v>
      </x:c>
      <x:c r="L8" s="18" t="str">
        <x:v>Historical 2026-05-02 to 2026-05-02; Min $0.20, Max $0.20, Purchases 1</x:v>
      </x:c>
    </x:row>
    <x:row r="9">
      <x:c r="A9" s="18" t="str">
        <x:v>CH-502-GLUE-LARGE</x:v>
      </x:c>
      <x:c r="B9" s="18" t="str">
        <x:v>502膠水（大瓶）</x:v>
      </x:c>
      <x:c r="C9" s="18" t="n">
        <x:v>0</x:v>
      </x:c>
      <x:c r="D9" s="21" t="n">
        <x:v>0.65</x:v>
      </x:c>
      <x:c r="E9" s="18" t="str">
        <x:v>Large Bottle</x:v>
      </x:c>
      <x:c r="F9" s="18" t="str">
        <x:v>Consumable/Chemical</x:v>
      </x:c>
      <x:c r="G9" s="18" t="str"/>
      <x:c r="H9" s="18" t="str">
        <x:v>Maintenance</x:v>
      </x:c>
      <x:c r="I9" s="18" t="str">
        <x:v>瓶</x:v>
      </x:c>
      <x:c r="J9" s="18" t="n">
        <x:v>10</x:v>
      </x:c>
      <x:c r="K9" s="18" t="n">
        <x:v>100</x:v>
      </x:c>
      <x:c r="L9" s="18" t="str">
        <x:v>Historical 2026-03-25 to 2026-05-26; Min $0.65, Max $0.65, Purchases 2</x:v>
      </x:c>
    </x:row>
    <x:row r="10">
      <x:c r="A10" s="18" t="str">
        <x:v>CH-530-CLEANER-SPRAY</x:v>
      </x:c>
      <x:c r="B10" s="18" t="str">
        <x:v>530噴頭型全能水</x:v>
      </x:c>
      <x:c r="C10" s="18" t="n">
        <x:v>0</x:v>
      </x:c>
      <x:c r="D10" s="21" t="n">
        <x:v>3.5</x:v>
      </x:c>
      <x:c r="E10" s="18" t="str">
        <x:v>530</x:v>
      </x:c>
      <x:c r="F10" s="18" t="str">
        <x:v>Consumable/Chemical</x:v>
      </x:c>
      <x:c r="G10" s="18" t="str"/>
      <x:c r="H10" s="18" t="str">
        <x:v>Cleaning</x:v>
      </x:c>
      <x:c r="I10" s="18" t="str">
        <x:v>瓶</x:v>
      </x:c>
      <x:c r="J10" s="18" t="n">
        <x:v>10</x:v>
      </x:c>
      <x:c r="K10" s="18" t="n">
        <x:v>100</x:v>
      </x:c>
      <x:c r="L10" s="18" t="str">
        <x:v>Historical 2026-01-21 to 2026-01-21; Min $3.50, Max $3.50, Purchases 1</x:v>
      </x:c>
    </x:row>
    <x:row r="11">
      <x:c r="A11" s="18" t="str">
        <x:v>CH-JJW830</x:v>
      </x:c>
      <x:c r="B11" s="18" t="str">
        <x:v>JJW-830</x:v>
      </x:c>
      <x:c r="C11" s="18" t="n">
        <x:v>0</x:v>
      </x:c>
      <x:c r="D11" s="21" t="n">
        <x:v>2.8</x:v>
      </x:c>
      <x:c r="E11" s="18" t="str">
        <x:v>JJW-830</x:v>
      </x:c>
      <x:c r="F11" s="18" t="str">
        <x:v>Consumable/Chemical</x:v>
      </x:c>
      <x:c r="G11" s="18" t="str"/>
      <x:c r="H11" s="18" t="str">
        <x:v>Maintenance</x:v>
      </x:c>
      <x:c r="I11" s="18" t="str">
        <x:v>瓶</x:v>
      </x:c>
      <x:c r="J11" s="18" t="n">
        <x:v>10</x:v>
      </x:c>
      <x:c r="K11" s="18" t="n">
        <x:v>100</x:v>
      </x:c>
      <x:c r="L11" s="18" t="str">
        <x:v>Historical 2026-01-05 to 2026-02-07; Min $2.80, Max $2.80, Purchases 2</x:v>
      </x:c>
    </x:row>
    <x:row r="12">
      <x:c r="A12" s="18" t="str">
        <x:v>CH-YIMEIJING-STAIN-REMOVER</x:v>
      </x:c>
      <x:c r="B12" s="18" t="str">
        <x:v>台灣產強效益美精去污劑</x:v>
      </x:c>
      <x:c r="C12" s="18" t="n">
        <x:v>0</x:v>
      </x:c>
      <x:c r="D12" s="21" t="n">
        <x:v>6.5</x:v>
      </x:c>
      <x:c r="E12" s="18" t="str">
        <x:v>Strong</x:v>
      </x:c>
      <x:c r="F12" s="18" t="str">
        <x:v>Consumable/Chemical</x:v>
      </x:c>
      <x:c r="G12" s="18" t="str">
        <x:v>Taiwan</x:v>
      </x:c>
      <x:c r="H12" s="18" t="str">
        <x:v>Cleaning</x:v>
      </x:c>
      <x:c r="I12" s="18" t="str">
        <x:v>罐</x:v>
      </x:c>
      <x:c r="J12" s="18" t="n">
        <x:v>10</x:v>
      </x:c>
      <x:c r="K12" s="18" t="n">
        <x:v>100</x:v>
      </x:c>
      <x:c r="L12" s="18" t="str">
        <x:v>Historical 2026-03-10 to 2026-03-10; Min $6.50, Max $6.50, Purchases 1</x:v>
      </x:c>
    </x:row>
    <x:row r="13">
      <x:c r="A13" s="18" t="str">
        <x:v>CN-SEWING-OIL-30L</x:v>
      </x:c>
      <x:c r="B13" s="18" t="str">
        <x:v>強化型針車油</x:v>
      </x:c>
      <x:c r="C13" s="18" t="n">
        <x:v>0</x:v>
      </x:c>
      <x:c r="D13" s="21" t="n">
        <x:v>65</x:v>
      </x:c>
      <x:c r="E13" s="18" t="str">
        <x:v>30L</x:v>
      </x:c>
      <x:c r="F13" s="18" t="str">
        <x:v>Consumable/Chemical</x:v>
      </x:c>
      <x:c r="G13" s="18" t="str"/>
      <x:c r="H13" s="18" t="str">
        <x:v>Sewing Machine</x:v>
      </x:c>
      <x:c r="I13" s="18" t="str">
        <x:v>桶</x:v>
      </x:c>
      <x:c r="J13" s="18" t="n">
        <x:v>10</x:v>
      </x:c>
      <x:c r="K13" s="18" t="n">
        <x:v>100</x:v>
      </x:c>
      <x:c r="L13" s="18" t="str">
        <x:v>Historical 2026-05-12 to 2026-05-26; Min $65.00, Max $65.00, Purchases 2</x:v>
      </x:c>
    </x:row>
    <x:row r="14">
      <x:c r="A14" s="18" t="str">
        <x:v>CH-12D-STAIN-REMOVER-JP</x:v>
      </x:c>
      <x:c r="B14" s="18" t="str">
        <x:v>日本12.D強力去污靈</x:v>
      </x:c>
      <x:c r="C14" s="18" t="n">
        <x:v>0</x:v>
      </x:c>
      <x:c r="D14" s="21" t="n">
        <x:v>9</x:v>
      </x:c>
      <x:c r="E14" s="18" t="str">
        <x:v>12.D</x:v>
      </x:c>
      <x:c r="F14" s="18" t="str">
        <x:v>Consumable/Chemical</x:v>
      </x:c>
      <x:c r="G14" s="18" t="str">
        <x:v>Japan</x:v>
      </x:c>
      <x:c r="H14" s="18" t="str">
        <x:v>Cleaning</x:v>
      </x:c>
      <x:c r="I14" s="18" t="str">
        <x:v>瓶</x:v>
      </x:c>
      <x:c r="J14" s="18" t="n">
        <x:v>10</x:v>
      </x:c>
      <x:c r="K14" s="18" t="n">
        <x:v>100</x:v>
      </x:c>
      <x:c r="L14" s="18" t="str">
        <x:v>Historical 2026-01-16 to 2026-01-16; Min $9.00, Max $9.00, Purchases 1</x:v>
      </x:c>
    </x:row>
    <x:row r="15">
      <x:c r="A15" s="18" t="str">
        <x:v>CN-SANDPAPER-280</x:v>
      </x:c>
      <x:c r="B15" s="18" t="str">
        <x:v>砂紙 #280</x:v>
      </x:c>
      <x:c r="C15" s="18" t="n">
        <x:v>0</x:v>
      </x:c>
      <x:c r="D15" s="21" t="n">
        <x:v>21</x:v>
      </x:c>
      <x:c r="E15" s="18" t="str">
        <x:v>#280</x:v>
      </x:c>
      <x:c r="F15" s="18" t="str">
        <x:v>Consumable/Chemical</x:v>
      </x:c>
      <x:c r="G15" s="18" t="str"/>
      <x:c r="H15" s="18" t="str">
        <x:v>Maintenance</x:v>
      </x:c>
      <x:c r="I15" s="18" t="str">
        <x:v>包</x:v>
      </x:c>
      <x:c r="J15" s="18" t="n">
        <x:v>10</x:v>
      </x:c>
      <x:c r="K15" s="18" t="n">
        <x:v>100</x:v>
      </x:c>
      <x:c r="L15" s="18" t="str">
        <x:v>Historical 2026-05-02 to 2026-05-02; Min $21.00, Max $21.00, Purchases 1</x:v>
      </x:c>
    </x:row>
    <x:row r="16">
      <x:c r="A16" s="18" t="str">
        <x:v>CN-NUMBER-PAPER-5</x:v>
      </x:c>
      <x:c r="B16" s="18" t="str">
        <x:v>編號紙 #5</x:v>
      </x:c>
      <x:c r="C16" s="18" t="n">
        <x:v>0</x:v>
      </x:c>
      <x:c r="D16" s="21" t="n">
        <x:v>110</x:v>
      </x:c>
      <x:c r="E16" s="18" t="str">
        <x:v>No.5</x:v>
      </x:c>
      <x:c r="F16" s="18" t="str">
        <x:v>Consumable/Chemical</x:v>
      </x:c>
      <x:c r="G16" s="18" t="str"/>
      <x:c r="H16" s="18" t="str">
        <x:v>Cutting/Bundle</x:v>
      </x:c>
      <x:c r="I16" s="18" t="str">
        <x:v>箱</x:v>
      </x:c>
      <x:c r="J16" s="18" t="n">
        <x:v>10</x:v>
      </x:c>
      <x:c r="K16" s="18" t="n">
        <x:v>100</x:v>
      </x:c>
      <x:c r="L16" s="18" t="str">
        <x:v>Historical 2026-03-09 to 2026-06-16; Min $110.00, Max $110.00, Purchases 2</x:v>
      </x:c>
    </x:row>
    <x:row r="17">
      <x:c r="A17" s="18" t="str">
        <x:v>CN-TEFLON-STRIP-1MM</x:v>
      </x:c>
      <x:c r="B17" s="18" t="str">
        <x:v>鐵氟龍條</x:v>
      </x:c>
      <x:c r="C17" s="18" t="n">
        <x:v>0</x:v>
      </x:c>
      <x:c r="D17" s="21" t="n">
        <x:v>1.8</x:v>
      </x:c>
      <x:c r="E17" s="18" t="str">
        <x:v>1.0 mm</x:v>
      </x:c>
      <x:c r="F17" s="18" t="str">
        <x:v>Consumable/Chemical</x:v>
      </x:c>
      <x:c r="G17" s="18" t="str">
        <x:v>Teflon</x:v>
      </x:c>
      <x:c r="H17" s="18" t="str">
        <x:v>Ironing/Sealing</x:v>
      </x:c>
      <x:c r="I17" s="18" t="str">
        <x:v>條</x:v>
      </x:c>
      <x:c r="J17" s="18" t="n">
        <x:v>10</x:v>
      </x:c>
      <x:c r="K17" s="18" t="n">
        <x:v>100</x:v>
      </x:c>
      <x:c r="L17" s="18" t="str">
        <x:v>Historical 2026-02-02 to 2026-06-08; Min $1.80, Max $1.80, Purchases 3</x:v>
      </x:c>
    </x:row>
    <x:row r="18">
      <x:c r="A18" s="18" t="str">
        <x:v>CN-TAILOR-CHALK-PANDA-KR</x:v>
      </x:c>
      <x:c r="B18" s="18" t="str">
        <x:v>韓國熊貓圓形畫粉</x:v>
      </x:c>
      <x:c r="C18" s="18" t="n">
        <x:v>0</x:v>
      </x:c>
      <x:c r="D18" s="21" t="n">
        <x:v>1.8</x:v>
      </x:c>
      <x:c r="E18" s="18" t="str">
        <x:v>Round</x:v>
      </x:c>
      <x:c r="F18" s="18" t="str">
        <x:v>Consumable/Chemical</x:v>
      </x:c>
      <x:c r="G18" s="18" t="str">
        <x:v>Panda/Korea</x:v>
      </x:c>
      <x:c r="H18" s="18" t="str">
        <x:v>Marking</x:v>
      </x:c>
      <x:c r="I18" s="18" t="str">
        <x:v>盒</x:v>
      </x:c>
      <x:c r="J18" s="18" t="n">
        <x:v>10</x:v>
      </x:c>
      <x:c r="K18" s="18" t="n">
        <x:v>100</x:v>
      </x:c>
      <x:c r="L18" s="18" t="str">
        <x:v>Historical 2026-05-26 to 2026-05-26; Min $1.80, Max $1.80, Purchases 1</x:v>
      </x:c>
    </x:row>
    <x:row r="19">
      <x:c r="A19" s="18" t="str">
        <x:v>CT-505C3-224-10IN</x:v>
      </x:c>
      <x:c r="B19" s="18" t="str">
        <x:v>505C3-224組 10吋</x:v>
      </x:c>
      <x:c r="C19" s="18" t="n">
        <x:v>0</x:v>
      </x:c>
      <x:c r="D19" s="21" t="n">
        <x:v>50</x:v>
      </x:c>
      <x:c r="E19" s="18" t="str">
        <x:v>505C3-224, 10in</x:v>
      </x:c>
      <x:c r="F19" s="18" t="str">
        <x:v>Cutting</x:v>
      </x:c>
      <x:c r="G19" s="18" t="str"/>
      <x:c r="H19" s="18" t="str">
        <x:v>Cutting Machine</x:v>
      </x:c>
      <x:c r="I19" s="18" t="str">
        <x:v>個</x:v>
      </x:c>
      <x:c r="J19" s="18" t="n">
        <x:v>5</x:v>
      </x:c>
      <x:c r="K19" s="18" t="n">
        <x:v>20</x:v>
      </x:c>
      <x:c r="L19" s="18" t="str">
        <x:v>Historical 2026-01-20 to 2026-01-20; Min $50.00, Max $50.00, Purchases 1</x:v>
      </x:c>
    </x:row>
    <x:row r="20">
      <x:c r="A20" s="18" t="str">
        <x:v>SAF-METAL-GLOVE-3F-M</x:v>
      </x:c>
      <x:c r="B20" s="18" t="str">
        <x:v>三指鐵手套 M碼</x:v>
      </x:c>
      <x:c r="C20" s="18" t="n">
        <x:v>0</x:v>
      </x:c>
      <x:c r="D20" s="21" t="n">
        <x:v>33</x:v>
      </x:c>
      <x:c r="E20" s="18" t="str">
        <x:v>3-finger, M</x:v>
      </x:c>
      <x:c r="F20" s="18" t="str">
        <x:v>Cutting</x:v>
      </x:c>
      <x:c r="G20" s="18" t="str"/>
      <x:c r="H20" s="18" t="str">
        <x:v>Cutting Safety</x:v>
      </x:c>
      <x:c r="I20" s="18" t="str">
        <x:v>支</x:v>
      </x:c>
      <x:c r="J20" s="18" t="n">
        <x:v>5</x:v>
      </x:c>
      <x:c r="K20" s="18" t="n">
        <x:v>20</x:v>
      </x:c>
      <x:c r="L20" s="18" t="str">
        <x:v>Historical 2026-01-14 to 2026-01-14; Min $33.00, Max $33.00, Purchases 1</x:v>
      </x:c>
    </x:row>
    <x:row r="21">
      <x:c r="A21" s="18" t="str">
        <x:v>CT-YUANYI-SPREADER-CHAIN</x:v>
      </x:c>
      <x:c r="B21" s="18" t="str">
        <x:v>元一自動拉布機鏈條</x:v>
      </x:c>
      <x:c r="C21" s="18" t="n">
        <x:v>0</x:v>
      </x:c>
      <x:c r="D21" s="21" t="n">
        <x:v>45</x:v>
      </x:c>
      <x:c r="E21" s="18" t="str">
        <x:v>Automatic Spreader</x:v>
      </x:c>
      <x:c r="F21" s="18" t="str">
        <x:v>Cutting</x:v>
      </x:c>
      <x:c r="G21" s="18" t="str">
        <x:v>元一</x:v>
      </x:c>
      <x:c r="H21" s="18" t="str">
        <x:v>Cutting</x:v>
      </x:c>
      <x:c r="I21" s="18" t="str">
        <x:v>條</x:v>
      </x:c>
      <x:c r="J21" s="18" t="n">
        <x:v>5</x:v>
      </x:c>
      <x:c r="K21" s="18" t="n">
        <x:v>20</x:v>
      </x:c>
      <x:c r="L21" s="18" t="str">
        <x:v>Historical 2026-03-04 to 2026-03-04; Min $45.00, Max $45.00, Purchases 1</x:v>
      </x:c>
    </x:row>
    <x:row r="22">
      <x:c r="A22" s="18" t="str">
        <x:v>CT-CUTTER-BASE-SET</x:v>
      </x:c>
      <x:c r="B22" s="18" t="str">
        <x:v>裁刀底盤組</x:v>
      </x:c>
      <x:c r="C22" s="18" t="n">
        <x:v>0</x:v>
      </x:c>
      <x:c r="D22" s="21" t="n">
        <x:v>38</x:v>
      </x:c>
      <x:c r="E22" s="18" t="str">
        <x:v>Set</x:v>
      </x:c>
      <x:c r="F22" s="18" t="str">
        <x:v>Cutting</x:v>
      </x:c>
      <x:c r="G22" s="18" t="str"/>
      <x:c r="H22" s="18" t="str">
        <x:v>Cutting Machine</x:v>
      </x:c>
      <x:c r="I22" s="18" t="str">
        <x:v>套</x:v>
      </x:c>
      <x:c r="J22" s="18" t="n">
        <x:v>5</x:v>
      </x:c>
      <x:c r="K22" s="18" t="n">
        <x:v>20</x:v>
      </x:c>
      <x:c r="L22" s="18" t="str">
        <x:v>Historical 2026-05-12 to 2026-05-12; Min $38.00, Max $38.00, Purchases 1</x:v>
      </x:c>
    </x:row>
    <x:row r="23">
      <x:c r="A23" s="18" t="str">
        <x:v>CT-SCISSOR-ZIGZAG-9IN</x:v>
      </x:c>
      <x:c r="B23" s="18" t="str">
        <x:v>裁床不鏽鋼齒型花邊大剪刀</x:v>
      </x:c>
      <x:c r="C23" s="18" t="n">
        <x:v>0</x:v>
      </x:c>
      <x:c r="D23" s="21" t="n">
        <x:v>25</x:v>
      </x:c>
      <x:c r="E23" s="18" t="str">
        <x:v>9 inch</x:v>
      </x:c>
      <x:c r="F23" s="18" t="str">
        <x:v>Cutting</x:v>
      </x:c>
      <x:c r="G23" s="18" t="str"/>
      <x:c r="H23" s="18" t="str">
        <x:v>Cutting</x:v>
      </x:c>
      <x:c r="I23" s="18" t="str">
        <x:v>把</x:v>
      </x:c>
      <x:c r="J23" s="18" t="n">
        <x:v>5</x:v>
      </x:c>
      <x:c r="K23" s="18" t="n">
        <x:v>20</x:v>
      </x:c>
      <x:c r="L23" s="18" t="str">
        <x:v>Historical 2026-01-23 to 2026-01-23; Min $25.00, Max $25.00, Purchases 1</x:v>
      </x:c>
    </x:row>
    <x:row r="24">
      <x:c r="A24" s="18" t="str">
        <x:v>EL-JUKI1790-IC-BOARD</x:v>
      </x:c>
      <x:c r="B24" s="18" t="str">
        <x:v>1790電子鎖眼機 IC 主板</x:v>
      </x:c>
      <x:c r="C24" s="18" t="n">
        <x:v>0</x:v>
      </x:c>
      <x:c r="D24" s="21" t="n">
        <x:v>120</x:v>
      </x:c>
      <x:c r="E24" s="18" t="str">
        <x:v>JUKI 1790</x:v>
      </x:c>
      <x:c r="F24" s="18" t="str">
        <x:v>Electrical/Control</x:v>
      </x:c>
      <x:c r="G24" s="18" t="str">
        <x:v>JUKI</x:v>
      </x:c>
      <x:c r="H24" s="18" t="str">
        <x:v>Buttonhole</x:v>
      </x:c>
      <x:c r="I24" s="18" t="str">
        <x:v>板</x:v>
      </x:c>
      <x:c r="J24" s="18" t="n">
        <x:v>5</x:v>
      </x:c>
      <x:c r="K24" s="18" t="n">
        <x:v>20</x:v>
      </x:c>
      <x:c r="L24" s="18" t="str">
        <x:v>Historical 2026-02-02 to 2026-02-02; Min $120.00, Max $120.00, Purchases 1</x:v>
      </x:c>
    </x:row>
    <x:row r="25">
      <x:c r="A25" s="18" t="str">
        <x:v>EL-TSM600-HIGH-TEMP-MOTOR</x:v>
      </x:c>
      <x:c r="B25" s="18" t="str">
        <x:v>600型燙襯機大溫電機</x:v>
      </x:c>
      <x:c r="C25" s="18" t="n">
        <x:v>0</x:v>
      </x:c>
      <x:c r="D25" s="21" t="n">
        <x:v>18</x:v>
      </x:c>
      <x:c r="E25" s="18" t="str">
        <x:v>TSM-600</x:v>
      </x:c>
      <x:c r="F25" s="18" t="str">
        <x:v>Electrical/Control</x:v>
      </x:c>
      <x:c r="G25" s="18" t="str"/>
      <x:c r="H25" s="18" t="str">
        <x:v>TSM-600 Fusing Machine</x:v>
      </x:c>
      <x:c r="I25" s="18" t="str">
        <x:v>個</x:v>
      </x:c>
      <x:c r="J25" s="18" t="n">
        <x:v>5</x:v>
      </x:c>
      <x:c r="K25" s="18" t="n">
        <x:v>20</x:v>
      </x:c>
      <x:c r="L25" s="18" t="str">
        <x:v>Historical 2025-12-15 to 2025-12-15; Min $18.00, Max $18.00, Purchases 1</x:v>
      </x:c>
    </x:row>
    <x:row r="26">
      <x:c r="A26" s="18" t="str">
        <x:v>EL-TSM600-SOCKET</x:v>
      </x:c>
      <x:c r="B26" s="18" t="str">
        <x:v>600型燙襯機接電座</x:v>
      </x:c>
      <x:c r="C26" s="18" t="n">
        <x:v>0</x:v>
      </x:c>
      <x:c r="D26" s="21" t="n">
        <x:v>5</x:v>
      </x:c>
      <x:c r="E26" s="18" t="str">
        <x:v>TSM-600</x:v>
      </x:c>
      <x:c r="F26" s="18" t="str">
        <x:v>Electrical/Control</x:v>
      </x:c>
      <x:c r="G26" s="18" t="str"/>
      <x:c r="H26" s="18" t="str">
        <x:v>TSM-600 Fusing Machine</x:v>
      </x:c>
      <x:c r="I26" s="18" t="str">
        <x:v>個</x:v>
      </x:c>
      <x:c r="J26" s="18" t="n">
        <x:v>5</x:v>
      </x:c>
      <x:c r="K26" s="18" t="n">
        <x:v>20</x:v>
      </x:c>
      <x:c r="L26" s="18" t="str">
        <x:v>Historical 2025-12-15 to 2025-12-15; Min $5.00, Max $5.00, Purchases 1</x:v>
      </x:c>
    </x:row>
    <x:row r="27">
      <x:c r="A27" s="18" t="str">
        <x:v>EL-TSM600-REGULATOR</x:v>
      </x:c>
      <x:c r="B27" s="18" t="str">
        <x:v>600型燙襯機調電器</x:v>
      </x:c>
      <x:c r="C27" s="18" t="n">
        <x:v>0</x:v>
      </x:c>
      <x:c r="D27" s="21" t="n">
        <x:v>12</x:v>
      </x:c>
      <x:c r="E27" s="18" t="str">
        <x:v>TSM-600</x:v>
      </x:c>
      <x:c r="F27" s="18" t="str">
        <x:v>Electrical/Control</x:v>
      </x:c>
      <x:c r="G27" s="18" t="str"/>
      <x:c r="H27" s="18" t="str">
        <x:v>TSM-600 Fusing Machine</x:v>
      </x:c>
      <x:c r="I27" s="18" t="str">
        <x:v>個</x:v>
      </x:c>
      <x:c r="J27" s="18" t="n">
        <x:v>5</x:v>
      </x:c>
      <x:c r="K27" s="18" t="n">
        <x:v>20</x:v>
      </x:c>
      <x:c r="L27" s="18" t="str">
        <x:v>Historical 2025-12-15 to 2025-12-15; Min $12.00, Max $12.00, Purchases 1</x:v>
      </x:c>
    </x:row>
    <x:row r="28">
      <x:c r="A28" s="18" t="str">
        <x:v>EL-TSM600-HEATER-BLOCK</x:v>
      </x:c>
      <x:c r="B28" s="18" t="str">
        <x:v>600型燙襯機電塊</x:v>
      </x:c>
      <x:c r="C28" s="18" t="n">
        <x:v>0</x:v>
      </x:c>
      <x:c r="D28" s="21" t="n">
        <x:v>25</x:v>
      </x:c>
      <x:c r="E28" s="18" t="str">
        <x:v>TSM-600</x:v>
      </x:c>
      <x:c r="F28" s="18" t="str">
        <x:v>Electrical/Control</x:v>
      </x:c>
      <x:c r="G28" s="18" t="str"/>
      <x:c r="H28" s="18" t="str">
        <x:v>TSM-600 Fusing Machine</x:v>
      </x:c>
      <x:c r="I28" s="18" t="str">
        <x:v>個</x:v>
      </x:c>
      <x:c r="J28" s="18" t="n">
        <x:v>5</x:v>
      </x:c>
      <x:c r="K28" s="18" t="n">
        <x:v>20</x:v>
      </x:c>
      <x:c r="L28" s="18" t="str">
        <x:v>Historical 2025-12-15 to 2025-12-15; Min $25.00, Max $25.00, Purchases 1</x:v>
      </x:c>
    </x:row>
    <x:row r="29">
      <x:c r="A29" s="18" t="str">
        <x:v>EL-JUKI7000A-SCREEN-FILM</x:v>
      </x:c>
      <x:c r="B29" s="18" t="str">
        <x:v>JUKI-7000A 螢幕貼</x:v>
      </x:c>
      <x:c r="C29" s="18" t="n">
        <x:v>0</x:v>
      </x:c>
      <x:c r="D29" s="21" t="n">
        <x:v>6</x:v>
      </x:c>
      <x:c r="E29" s="18" t="str">
        <x:v>7000A</x:v>
      </x:c>
      <x:c r="F29" s="18" t="str">
        <x:v>Electrical/Control</x:v>
      </x:c>
      <x:c r="G29" s="18" t="str">
        <x:v>JUKI</x:v>
      </x:c>
      <x:c r="H29" s="18" t="str">
        <x:v>Single Needle</x:v>
      </x:c>
      <x:c r="I29" s="18" t="str">
        <x:v>個</x:v>
      </x:c>
      <x:c r="J29" s="18" t="n">
        <x:v>10</x:v>
      </x:c>
      <x:c r="K29" s="18" t="n">
        <x:v>100</x:v>
      </x:c>
      <x:c r="L29" s="18" t="str">
        <x:v>Historical 2026-04-23 to 2026-04-23; Min $6.00, Max $6.00, Purchases 1</x:v>
      </x:c>
    </x:row>
    <x:row r="30">
      <x:c r="A30" s="18" t="str">
        <x:v>EL-JUKI8700A-SCREEN-FILM</x:v>
      </x:c>
      <x:c r="B30" s="18" t="str">
        <x:v>JUKI-8700A 螢幕貼</x:v>
      </x:c>
      <x:c r="C30" s="18" t="n">
        <x:v>0</x:v>
      </x:c>
      <x:c r="D30" s="21" t="n">
        <x:v>5.8</x:v>
      </x:c>
      <x:c r="E30" s="18" t="str">
        <x:v>8700A</x:v>
      </x:c>
      <x:c r="F30" s="18" t="str">
        <x:v>Electrical/Control</x:v>
      </x:c>
      <x:c r="G30" s="18" t="str">
        <x:v>JUKI</x:v>
      </x:c>
      <x:c r="H30" s="18" t="str">
        <x:v>Single Needle</x:v>
      </x:c>
      <x:c r="I30" s="18" t="str">
        <x:v>個</x:v>
      </x:c>
      <x:c r="J30" s="18" t="n">
        <x:v>10</x:v>
      </x:c>
      <x:c r="K30" s="18" t="n">
        <x:v>100</x:v>
      </x:c>
      <x:c r="L30" s="18" t="str">
        <x:v>Historical 2026-04-23 to 2026-04-23; Min $5.80, Max $5.80, Purchases 1</x:v>
      </x:c>
    </x:row>
    <x:row r="31">
      <x:c r="A31" s="18" t="str">
        <x:v>EL-TSM600-TEMP-CONTROLLER</x:v>
      </x:c>
      <x:c r="B31" s="18" t="str">
        <x:v>TSM-600燙襯機溫控器</x:v>
      </x:c>
      <x:c r="C31" s="18" t="n">
        <x:v>0</x:v>
      </x:c>
      <x:c r="D31" s="21" t="n">
        <x:v>69</x:v>
      </x:c>
      <x:c r="E31" s="18" t="str">
        <x:v>TSM-600</x:v>
      </x:c>
      <x:c r="F31" s="18" t="str">
        <x:v>Electrical/Control</x:v>
      </x:c>
      <x:c r="G31" s="18" t="str"/>
      <x:c r="H31" s="18" t="str">
        <x:v>TSM-600 Fusing Machine</x:v>
      </x:c>
      <x:c r="I31" s="18" t="str">
        <x:v>個</x:v>
      </x:c>
      <x:c r="J31" s="18" t="n">
        <x:v>5</x:v>
      </x:c>
      <x:c r="K31" s="18" t="n">
        <x:v>20</x:v>
      </x:c>
      <x:c r="L31" s="18" t="str">
        <x:v>Historical 2025-12-15 to 2025-12-15; Min $69.00, Max $69.00, Purchases 1</x:v>
      </x:c>
    </x:row>
    <x:row r="32">
      <x:c r="A32" s="18" t="str">
        <x:v>EL-TSM600-SIDE-SWITCH</x:v>
      </x:c>
      <x:c r="B32" s="18" t="str">
        <x:v>TSM-600燙襯機邊開關</x:v>
      </x:c>
      <x:c r="C32" s="18" t="n">
        <x:v>0</x:v>
      </x:c>
      <x:c r="D32" s="21" t="n">
        <x:v>2.5</x:v>
      </x:c>
      <x:c r="E32" s="18" t="str">
        <x:v>TSM-600</x:v>
      </x:c>
      <x:c r="F32" s="18" t="str">
        <x:v>Electrical/Control</x:v>
      </x:c>
      <x:c r="G32" s="18" t="str"/>
      <x:c r="H32" s="18" t="str">
        <x:v>TSM-600 Fusing Machine</x:v>
      </x:c>
      <x:c r="I32" s="18" t="str">
        <x:v>個</x:v>
      </x:c>
      <x:c r="J32" s="18" t="n">
        <x:v>5</x:v>
      </x:c>
      <x:c r="K32" s="18" t="n">
        <x:v>20</x:v>
      </x:c>
      <x:c r="L32" s="18" t="str">
        <x:v>Historical 2025-12-15 to 2025-12-15; Min $2.50, Max $2.50, Purchases 1</x:v>
      </x:c>
    </x:row>
    <x:row r="33">
      <x:c r="A33" s="18" t="str">
        <x:v>EL-YUANYI-SPREADER-SIGNAL-CABLE</x:v>
      </x:c>
      <x:c r="B33" s="18" t="str">
        <x:v>元一自動拉布機信號線</x:v>
      </x:c>
      <x:c r="C33" s="18" t="n">
        <x:v>0</x:v>
      </x:c>
      <x:c r="D33" s="21" t="n">
        <x:v>45</x:v>
      </x:c>
      <x:c r="E33" s="18" t="str">
        <x:v>Automatic Spreader</x:v>
      </x:c>
      <x:c r="F33" s="18" t="str">
        <x:v>Electrical/Control</x:v>
      </x:c>
      <x:c r="G33" s="18" t="str">
        <x:v>元一</x:v>
      </x:c>
      <x:c r="H33" s="18" t="str">
        <x:v>Cutting</x:v>
      </x:c>
      <x:c r="I33" s="18" t="str">
        <x:v>條</x:v>
      </x:c>
      <x:c r="J33" s="18" t="n">
        <x:v>5</x:v>
      </x:c>
      <x:c r="K33" s="18" t="n">
        <x:v>20</x:v>
      </x:c>
      <x:c r="L33" s="18" t="str">
        <x:v>Historical 2026-03-04 to 2026-03-04; Min $45.00, Max $45.00, Purchases 1</x:v>
      </x:c>
    </x:row>
    <x:row r="34">
      <x:c r="A34" s="18" t="str">
        <x:v>EL-YUANYI-SPREADER-EXT-CABLE</x:v>
      </x:c>
      <x:c r="B34" s="18" t="str">
        <x:v>元一自動拉布機行程電磁延長信號線</x:v>
      </x:c>
      <x:c r="C34" s="18" t="n">
        <x:v>0</x:v>
      </x:c>
      <x:c r="D34" s="21" t="n">
        <x:v>65</x:v>
      </x:c>
      <x:c r="E34" s="18" t="str">
        <x:v>Automatic Spreader</x:v>
      </x:c>
      <x:c r="F34" s="18" t="str">
        <x:v>Electrical/Control</x:v>
      </x:c>
      <x:c r="G34" s="18" t="str">
        <x:v>元一</x:v>
      </x:c>
      <x:c r="H34" s="18" t="str">
        <x:v>Cutting</x:v>
      </x:c>
      <x:c r="I34" s="18" t="str">
        <x:v>條</x:v>
      </x:c>
      <x:c r="J34" s="18" t="n">
        <x:v>5</x:v>
      </x:c>
      <x:c r="K34" s="18" t="n">
        <x:v>20</x:v>
      </x:c>
      <x:c r="L34" s="18" t="str">
        <x:v>Historical 2026-03-04 to 2026-03-04; Min $65.00, Max $65.00, Purchases 1</x:v>
      </x:c>
    </x:row>
    <x:row r="35">
      <x:c r="A35" s="18" t="str">
        <x:v>EL-YUANYI-SPREADER-RAIL</x:v>
      </x:c>
      <x:c r="B35" s="18" t="str">
        <x:v>元一自動拉布機電滑軌</x:v>
      </x:c>
      <x:c r="C35" s="18" t="n">
        <x:v>0</x:v>
      </x:c>
      <x:c r="D35" s="21" t="n">
        <x:v>95</x:v>
      </x:c>
      <x:c r="E35" s="18" t="str">
        <x:v>Automatic Spreader</x:v>
      </x:c>
      <x:c r="F35" s="18" t="str">
        <x:v>Electrical/Control</x:v>
      </x:c>
      <x:c r="G35" s="18" t="str">
        <x:v>元一</x:v>
      </x:c>
      <x:c r="H35" s="18" t="str">
        <x:v>Cutting</x:v>
      </x:c>
      <x:c r="I35" s="18" t="str">
        <x:v>台</x:v>
      </x:c>
      <x:c r="J35" s="18" t="n">
        <x:v>5</x:v>
      </x:c>
      <x:c r="K35" s="18" t="n">
        <x:v>20</x:v>
      </x:c>
      <x:c r="L35" s="18" t="str">
        <x:v>Historical 2026-03-04 to 2026-03-04; Min $95.00, Max $95.00, Purchases 1</x:v>
      </x:c>
    </x:row>
    <x:row r="36">
      <x:c r="A36" s="18" t="str">
        <x:v>EL-SOLDERING-HEATER-150W-TW</x:v>
      </x:c>
      <x:c r="B36" s="18" t="str">
        <x:v>台灣產電烙鐵發熱芯</x:v>
      </x:c>
      <x:c r="C36" s="18" t="n">
        <x:v>0</x:v>
      </x:c>
      <x:c r="D36" s="21" t="n">
        <x:v>7</x:v>
      </x:c>
      <x:c r="E36" s="18" t="str">
        <x:v>150W</x:v>
      </x:c>
      <x:c r="F36" s="18" t="str">
        <x:v>Electrical/Control</x:v>
      </x:c>
      <x:c r="G36" s="18" t="str">
        <x:v>Taiwan</x:v>
      </x:c>
      <x:c r="H36" s="18" t="str">
        <x:v>Electrical</x:v>
      </x:c>
      <x:c r="I36" s="18" t="str">
        <x:v>支</x:v>
      </x:c>
      <x:c r="J36" s="18" t="n">
        <x:v>5</x:v>
      </x:c>
      <x:c r="K36" s="18" t="n">
        <x:v>20</x:v>
      </x:c>
      <x:c r="L36" s="18" t="str">
        <x:v>Historical 2026-06-08 to 2026-06-08; Min $7.00, Max $7.00, Purchases 1</x:v>
      </x:c>
    </x:row>
    <x:row r="37">
      <x:c r="A37" s="18" t="str">
        <x:v>EL-SOLDERING-IRON-TIP-TW</x:v>
      </x:c>
      <x:c r="B37" s="18" t="str">
        <x:v>台灣電烙鐵頭</x:v>
      </x:c>
      <x:c r="C37" s="18" t="n">
        <x:v>0</x:v>
      </x:c>
      <x:c r="D37" s="21" t="n">
        <x:v>6</x:v>
      </x:c>
      <x:c r="E37" s="18" t="str">
        <x:v>Tip</x:v>
      </x:c>
      <x:c r="F37" s="18" t="str">
        <x:v>Electrical/Control</x:v>
      </x:c>
      <x:c r="G37" s="18" t="str">
        <x:v>Taiwan</x:v>
      </x:c>
      <x:c r="H37" s="18" t="str">
        <x:v>Electrical</x:v>
      </x:c>
      <x:c r="I37" s="18" t="str">
        <x:v>支</x:v>
      </x:c>
      <x:c r="J37" s="18" t="n">
        <x:v>5</x:v>
      </x:c>
      <x:c r="K37" s="18" t="n">
        <x:v>20</x:v>
      </x:c>
      <x:c r="L37" s="18" t="str">
        <x:v>Historical 2026-06-08 to 2026-06-08; Min $6.00, Max $6.00, Purchases 1</x:v>
      </x:c>
    </x:row>
    <x:row r="38">
      <x:c r="A38" s="18" t="str">
        <x:v>EL-TECO-STARTER-SWITCH-JP</x:v>
      </x:c>
      <x:c r="B38" s="18" t="str">
        <x:v>東元啟動組合開關（日本）</x:v>
      </x:c>
      <x:c r="C38" s="18" t="n">
        <x:v>0</x:v>
      </x:c>
      <x:c r="D38" s="21" t="n">
        <x:v>28.5</x:v>
      </x:c>
      <x:c r="E38" s="18" t="str">
        <x:v>Starter Combination</x:v>
      </x:c>
      <x:c r="F38" s="18" t="str">
        <x:v>Electrical/Control</x:v>
      </x:c>
      <x:c r="G38" s="18" t="str">
        <x:v>TECO/東元</x:v>
      </x:c>
      <x:c r="H38" s="18" t="str">
        <x:v>Motor Control</x:v>
      </x:c>
      <x:c r="I38" s="18" t="str">
        <x:v>組</x:v>
      </x:c>
      <x:c r="J38" s="18" t="n">
        <x:v>5</x:v>
      </x:c>
      <x:c r="K38" s="18" t="n">
        <x:v>20</x:v>
      </x:c>
      <x:c r="L38" s="18" t="str">
        <x:v>Historical 2026-03-21 to 2026-03-21; Min $28.50, Max $28.50, Purchases 1</x:v>
      </x:c>
    </x:row>
    <x:row r="39">
      <x:c r="A39" s="18" t="str">
        <x:v>EL-SOLDER-BAR-065KG-63</x:v>
      </x:c>
      <x:c r="B39" s="18" t="str">
        <x:v>焊錫條 0.65kg 63%</x:v>
      </x:c>
      <x:c r="C39" s="18" t="n">
        <x:v>0</x:v>
      </x:c>
      <x:c r="D39" s="21" t="n">
        <x:v>15</x:v>
      </x:c>
      <x:c r="E39" s="18" t="str">
        <x:v>0.65kg, 63%</x:v>
      </x:c>
      <x:c r="F39" s="18" t="str">
        <x:v>Electrical/Control</x:v>
      </x:c>
      <x:c r="G39" s="18" t="str"/>
      <x:c r="H39" s="18" t="str">
        <x:v>Electrical</x:v>
      </x:c>
      <x:c r="I39" s="18" t="str">
        <x:v>個</x:v>
      </x:c>
      <x:c r="J39" s="18" t="n">
        <x:v>10</x:v>
      </x:c>
      <x:c r="K39" s="18" t="n">
        <x:v>100</x:v>
      </x:c>
      <x:c r="L39" s="18" t="str">
        <x:v>Historical 2026-03-09 to 2026-03-09; Min $15.00, Max $15.00, Purchases 1</x:v>
      </x:c>
    </x:row>
    <x:row r="40">
      <x:c r="A40" s="18" t="str">
        <x:v>EL-SOLDER-PASTE</x:v>
      </x:c>
      <x:c r="B40" s="18" t="str">
        <x:v>焊錫膏</x:v>
      </x:c>
      <x:c r="C40" s="18" t="n">
        <x:v>0</x:v>
      </x:c>
      <x:c r="D40" s="21" t="n">
        <x:v>8</x:v>
      </x:c>
      <x:c r="E40" s="18" t="str">
        <x:v>Solder Paste</x:v>
      </x:c>
      <x:c r="F40" s="18" t="str">
        <x:v>Electrical/Control</x:v>
      </x:c>
      <x:c r="G40" s="18" t="str"/>
      <x:c r="H40" s="18" t="str">
        <x:v>Electrical</x:v>
      </x:c>
      <x:c r="I40" s="18" t="str">
        <x:v>罐</x:v>
      </x:c>
      <x:c r="J40" s="18" t="n">
        <x:v>10</x:v>
      </x:c>
      <x:c r="K40" s="18" t="n">
        <x:v>100</x:v>
      </x:c>
      <x:c r="L40" s="18" t="str">
        <x:v>Historical 2026-03-09 to 2026-03-09; Min $8.00, Max $8.00, Purchases 1</x:v>
      </x:c>
    </x:row>
    <x:row r="41">
      <x:c r="A41" s="18" t="str">
        <x:v>EL-INSULATION-BOARD-1MM-YL</x:v>
      </x:c>
      <x:c r="B41" s="18" t="str">
        <x:v>絕緣板（黃）</x:v>
      </x:c>
      <x:c r="C41" s="18" t="n">
        <x:v>0</x:v>
      </x:c>
      <x:c r="D41" s="21" t="n">
        <x:v>24</x:v>
      </x:c>
      <x:c r="E41" s="18" t="str">
        <x:v>1.0 mm</x:v>
      </x:c>
      <x:c r="F41" s="18" t="str">
        <x:v>Electrical/Control</x:v>
      </x:c>
      <x:c r="G41" s="18" t="str"/>
      <x:c r="H41" s="18" t="str">
        <x:v>Electrical</x:v>
      </x:c>
      <x:c r="I41" s="18" t="str">
        <x:v>張</x:v>
      </x:c>
      <x:c r="J41" s="18" t="n">
        <x:v>10</x:v>
      </x:c>
      <x:c r="K41" s="18" t="n">
        <x:v>100</x:v>
      </x:c>
      <x:c r="L41" s="18" t="str">
        <x:v>Historical 2026-05-02 to 2026-05-02; Min $24.00, Max $24.00, Purchases 1</x:v>
      </x:c>
    </x:row>
    <x:row r="42">
      <x:c r="A42" s="18" t="str">
        <x:v>EL-INSULATION-TAPE</x:v>
      </x:c>
      <x:c r="B42" s="18" t="str">
        <x:v>電工膠布</x:v>
      </x:c>
      <x:c r="C42" s="18" t="n">
        <x:v>0</x:v>
      </x:c>
      <x:c r="D42" s="21" t="n">
        <x:v>5</x:v>
      </x:c>
      <x:c r="E42" s="18" t="str">
        <x:v>Electrical Tape</x:v>
      </x:c>
      <x:c r="F42" s="18" t="str">
        <x:v>Electrical/Control</x:v>
      </x:c>
      <x:c r="G42" s="18" t="str"/>
      <x:c r="H42" s="18" t="str">
        <x:v>Electrical</x:v>
      </x:c>
      <x:c r="I42" s="18" t="str">
        <x:v>卷</x:v>
      </x:c>
      <x:c r="J42" s="18" t="n">
        <x:v>10</x:v>
      </x:c>
      <x:c r="K42" s="18" t="n">
        <x:v>100</x:v>
      </x:c>
      <x:c r="L42" s="18" t="str">
        <x:v>Historical 2026-02-02 to 2026-02-02; Min $5.00, Max $5.00, Purchases 1</x:v>
      </x:c>
    </x:row>
    <x:row r="43">
      <x:c r="A43" s="18" t="str">
        <x:v>EQ-FABRIC-CUTTER-RAIL</x:v>
      </x:c>
      <x:c r="B43" s="18" t="str">
        <x:v>斷布機（含軌道）</x:v>
      </x:c>
      <x:c r="C43" s="18" t="n">
        <x:v>0</x:v>
      </x:c>
      <x:c r="D43" s="21" t="n">
        <x:v>175</x:v>
      </x:c>
      <x:c r="E43" s="18" t="str">
        <x:v>With Rail</x:v>
      </x:c>
      <x:c r="F43" s="18" t="str">
        <x:v>Equipment</x:v>
      </x:c>
      <x:c r="G43" s="18" t="str"/>
      <x:c r="H43" s="18" t="str">
        <x:v>Cutting</x:v>
      </x:c>
      <x:c r="I43" s="18" t="str">
        <x:v>台</x:v>
      </x:c>
      <x:c r="J43" s="18" t="n">
        <x:v>0</x:v>
      </x:c>
      <x:c r="K43" s="18" t="n">
        <x:v>5</x:v>
      </x:c>
      <x:c r="L43" s="18" t="str">
        <x:v>Historical 2026-05-26 to 2026-05-26; Min $175.00, Max $175.00, Purchases 1</x:v>
      </x:c>
    </x:row>
    <x:row r="44">
      <x:c r="A44" s="18" t="str">
        <x:v>IR-HANGING-BOTTLE-SWITCH</x:v>
      </x:c>
      <x:c r="B44" s="18" t="str">
        <x:v>吊瓶熨斗開關</x:v>
      </x:c>
      <x:c r="C44" s="18" t="n">
        <x:v>0</x:v>
      </x:c>
      <x:c r="D44" s="21" t="n">
        <x:v>4.5</x:v>
      </x:c>
      <x:c r="E44" s="18" t="str">
        <x:v>Switch</x:v>
      </x:c>
      <x:c r="F44" s="18" t="str">
        <x:v>Ironing/Heat Transfer</x:v>
      </x:c>
      <x:c r="G44" s="18" t="str"/>
      <x:c r="H44" s="18" t="str">
        <x:v>Iron</x:v>
      </x:c>
      <x:c r="I44" s="18" t="str">
        <x:v>個</x:v>
      </x:c>
      <x:c r="J44" s="18" t="n">
        <x:v>5</x:v>
      </x:c>
      <x:c r="K44" s="18" t="n">
        <x:v>20</x:v>
      </x:c>
      <x:c r="L44" s="18" t="str">
        <x:v>Historical 2026-05-26 to 2026-05-26; Min $4.50, Max $4.50, Purchases 1</x:v>
      </x:c>
    </x:row>
    <x:row r="45">
      <x:c r="A45" s="18" t="str">
        <x:v>IR-ES94A-SHOE</x:v>
      </x:c>
      <x:c r="B45" s="18" t="str">
        <x:v>熨斗鞋 ES-94(A)</x:v>
      </x:c>
      <x:c r="C45" s="18" t="n">
        <x:v>0</x:v>
      </x:c>
      <x:c r="D45" s="21" t="n">
        <x:v>1.8</x:v>
      </x:c>
      <x:c r="E45" s="18" t="str">
        <x:v>ES-94(A)</x:v>
      </x:c>
      <x:c r="F45" s="18" t="str">
        <x:v>Ironing/Heat Transfer</x:v>
      </x:c>
      <x:c r="G45" s="18" t="str"/>
      <x:c r="H45" s="18" t="str">
        <x:v>Iron</x:v>
      </x:c>
      <x:c r="I45" s="18" t="str">
        <x:v>個</x:v>
      </x:c>
      <x:c r="J45" s="18" t="n">
        <x:v>10</x:v>
      </x:c>
      <x:c r="K45" s="18" t="n">
        <x:v>100</x:v>
      </x:c>
      <x:c r="L45" s="18" t="str">
        <x:v>Historical 2026-01-05 to 2026-05-02; Min $1.80, Max $1.80, Purchases 2</x:v>
      </x:c>
    </x:row>
    <x:row r="46">
      <x:c r="A46" s="18" t="str">
        <x:v>HT-HIGH-TEMP-PAD</x:v>
      </x:c>
      <x:c r="B46" s="18" t="str">
        <x:v>熱轉印高溫墊</x:v>
      </x:c>
      <x:c r="C46" s="18" t="n">
        <x:v>0</x:v>
      </x:c>
      <x:c r="D46" s="21" t="n">
        <x:v>23</x:v>
      </x:c>
      <x:c r="E46" s="18" t="str">
        <x:v>High Temperature</x:v>
      </x:c>
      <x:c r="F46" s="18" t="str">
        <x:v>Ironing/Heat Transfer</x:v>
      </x:c>
      <x:c r="G46" s="18" t="str"/>
      <x:c r="H46" s="18" t="str">
        <x:v>Heat Transfer</x:v>
      </x:c>
      <x:c r="I46" s="18" t="str">
        <x:v>張</x:v>
      </x:c>
      <x:c r="J46" s="18" t="n">
        <x:v>10</x:v>
      </x:c>
      <x:c r="K46" s="18" t="n">
        <x:v>100</x:v>
      </x:c>
      <x:c r="L46" s="18" t="str">
        <x:v>Historical 2026-03-10 to 2026-03-10; Min $23.00, Max $23.00, Purchases 1</x:v>
      </x:c>
    </x:row>
    <x:row r="47">
      <x:c r="A47" s="18" t="str">
        <x:v>IR-HANGING-BOTTLE-SET-KR</x:v>
      </x:c>
      <x:c r="B47" s="18" t="str">
        <x:v>韓國吊瓶熨斗組</x:v>
      </x:c>
      <x:c r="C47" s="18" t="n">
        <x:v>0</x:v>
      </x:c>
      <x:c r="D47" s="21" t="n">
        <x:v>29</x:v>
      </x:c>
      <x:c r="E47" s="18" t="str">
        <x:v>Complete Set</x:v>
      </x:c>
      <x:c r="F47" s="18" t="str">
        <x:v>Ironing/Heat Transfer</x:v>
      </x:c>
      <x:c r="G47" s="18" t="str">
        <x:v>Korea</x:v>
      </x:c>
      <x:c r="H47" s="18" t="str">
        <x:v>Iron</x:v>
      </x:c>
      <x:c r="I47" s="18" t="str">
        <x:v>把</x:v>
      </x:c>
      <x:c r="J47" s="18" t="n">
        <x:v>0</x:v>
      </x:c>
      <x:c r="K47" s="18" t="n">
        <x:v>5</x:v>
      </x:c>
      <x:c r="L47" s="18" t="str">
        <x:v>Historical 2026-01-05 to 2026-05-02; Min $29.00, Max $29.00, Purchases 2</x:v>
      </x:c>
    </x:row>
    <x:row r="48">
      <x:c r="A48" s="18" t="str">
        <x:v>LP-747-THREAD-HOOK</x:v>
      </x:c>
      <x:c r="B48" s="18" t="str">
        <x:v>747鎖針線鉤</x:v>
      </x:c>
      <x:c r="C48" s="18" t="n">
        <x:v>0</x:v>
      </x:c>
      <x:c r="D48" s="21" t="n">
        <x:v>0.05</x:v>
      </x:c>
      <x:c r="E48" s="18" t="str">
        <x:v>747</x:v>
      </x:c>
      <x:c r="F48" s="18" t="str">
        <x:v>Knife/Looper</x:v>
      </x:c>
      <x:c r="G48" s="18" t="str"/>
      <x:c r="H48" s="18" t="str">
        <x:v>Overlock</x:v>
      </x:c>
      <x:c r="I48" s="18" t="str">
        <x:v>個</x:v>
      </x:c>
      <x:c r="J48" s="18" t="n">
        <x:v>5</x:v>
      </x:c>
      <x:c r="K48" s="18" t="n">
        <x:v>20</x:v>
      </x:c>
      <x:c r="L48" s="18" t="str">
        <x:v>Historical 2026-05-02 to 2026-05-02; Min $0.05, Max $0.05, Purchases 1</x:v>
      </x:c>
    </x:row>
    <x:row r="49">
      <x:c r="A49" s="18" t="str">
        <x:v>KN-BROTHER-FIXED</x:v>
      </x:c>
      <x:c r="B49" s="18" t="str">
        <x:v>Brother 固定刀</x:v>
      </x:c>
      <x:c r="C49" s="18" t="n">
        <x:v>0</x:v>
      </x:c>
      <x:c r="D49" s="21" t="n">
        <x:v>1.2</x:v>
      </x:c>
      <x:c r="E49" s="18" t="str">
        <x:v>Fixed Knife</x:v>
      </x:c>
      <x:c r="F49" s="18" t="str">
        <x:v>Knife/Looper</x:v>
      </x:c>
      <x:c r="G49" s="18" t="str">
        <x:v>Brother</x:v>
      </x:c>
      <x:c r="H49" s="18" t="str">
        <x:v>Sewing Machine</x:v>
      </x:c>
      <x:c r="I49" s="18" t="str">
        <x:v>支</x:v>
      </x:c>
      <x:c r="J49" s="18" t="n">
        <x:v>5</x:v>
      </x:c>
      <x:c r="K49" s="18" t="n">
        <x:v>20</x:v>
      </x:c>
      <x:c r="L49" s="18" t="str">
        <x:v>Historical 2026-05-26 to 2026-05-26; Min $1.20, Max $1.20, Purchases 1</x:v>
      </x:c>
    </x:row>
    <x:row r="50">
      <x:c r="A50" s="18" t="str">
        <x:v>KN-JUKI8700A-MOVING</x:v>
      </x:c>
      <x:c r="B50" s="18" t="str">
        <x:v>JUKI-8700A 活動刀</x:v>
      </x:c>
      <x:c r="C50" s="18" t="n">
        <x:v>0</x:v>
      </x:c>
      <x:c r="D50" s="21" t="n">
        <x:v>2.5</x:v>
      </x:c>
      <x:c r="E50" s="18" t="str">
        <x:v>8700A</x:v>
      </x:c>
      <x:c r="F50" s="18" t="str">
        <x:v>Knife/Looper</x:v>
      </x:c>
      <x:c r="G50" s="18" t="str">
        <x:v>JUKI</x:v>
      </x:c>
      <x:c r="H50" s="18" t="str">
        <x:v>Single Needle</x:v>
      </x:c>
      <x:c r="I50" s="18" t="str">
        <x:v>個</x:v>
      </x:c>
      <x:c r="J50" s="18" t="n">
        <x:v>5</x:v>
      </x:c>
      <x:c r="K50" s="18" t="n">
        <x:v>20</x:v>
      </x:c>
      <x:c r="L50" s="18" t="str">
        <x:v>Historical 2026-04-23 to 2026-05-02; Min $2.30, Max $2.50, Purchases 2</x:v>
      </x:c>
    </x:row>
    <x:row r="51">
      <x:c r="A51" s="18" t="str">
        <x:v>KN-KR23-UPPER</x:v>
      </x:c>
      <x:c r="B51" s="18" t="str">
        <x:v>拷克上刀 KR23</x:v>
      </x:c>
      <x:c r="C51" s="18" t="n">
        <x:v>0</x:v>
      </x:c>
      <x:c r="D51" s="21" t="n">
        <x:v>0.6</x:v>
      </x:c>
      <x:c r="E51" s="18" t="str">
        <x:v>KR23</x:v>
      </x:c>
      <x:c r="F51" s="18" t="str">
        <x:v>Knife/Looper</x:v>
      </x:c>
      <x:c r="G51" s="18" t="str"/>
      <x:c r="H51" s="18" t="str">
        <x:v>Overlock</x:v>
      </x:c>
      <x:c r="I51" s="18" t="str">
        <x:v>支</x:v>
      </x:c>
      <x:c r="J51" s="18" t="n">
        <x:v>5</x:v>
      </x:c>
      <x:c r="K51" s="18" t="n">
        <x:v>20</x:v>
      </x:c>
      <x:c r="L51" s="18" t="str">
        <x:v>Historical 2026-03-05 to 2026-05-26; Min $0.60, Max $0.60, Purchases 2</x:v>
      </x:c>
    </x:row>
    <x:row r="52">
      <x:c r="A52" s="18" t="str">
        <x:v>LP-LP226-UPPER</x:v>
      </x:c>
      <x:c r="B52" s="18" t="str">
        <x:v>拷克上勾針 LP226</x:v>
      </x:c>
      <x:c r="C52" s="18" t="n">
        <x:v>0</x:v>
      </x:c>
      <x:c r="D52" s="21" t="n">
        <x:v>1.5</x:v>
      </x:c>
      <x:c r="E52" s="18" t="str">
        <x:v>LP226</x:v>
      </x:c>
      <x:c r="F52" s="18" t="str">
        <x:v>Knife/Looper</x:v>
      </x:c>
      <x:c r="G52" s="18" t="str"/>
      <x:c r="H52" s="18" t="str">
        <x:v>Overlock</x:v>
      </x:c>
      <x:c r="I52" s="18" t="str">
        <x:v>個</x:v>
      </x:c>
      <x:c r="J52" s="18" t="n">
        <x:v>5</x:v>
      </x:c>
      <x:c r="K52" s="18" t="n">
        <x:v>20</x:v>
      </x:c>
      <x:c r="L52" s="18" t="str">
        <x:v>Historical 2026-03-05 to 2026-05-26; Min $1.50, Max $1.50, Purchases 2</x:v>
      </x:c>
    </x:row>
    <x:row r="53">
      <x:c r="A53" s="18" t="str">
        <x:v>KN-BUTTONHOLE-3-4</x:v>
      </x:c>
      <x:c r="B53" s="18" t="str">
        <x:v>鎖眼刀</x:v>
      </x:c>
      <x:c r="C53" s="18" t="n">
        <x:v>0</x:v>
      </x:c>
      <x:c r="D53" s="21" t="n">
        <x:v>2.5</x:v>
      </x:c>
      <x:c r="E53" s="18" t="str">
        <x:v>3/4 inch</x:v>
      </x:c>
      <x:c r="F53" s="18" t="str">
        <x:v>Knife/Looper</x:v>
      </x:c>
      <x:c r="G53" s="18" t="str"/>
      <x:c r="H53" s="18" t="str">
        <x:v>Buttonhole</x:v>
      </x:c>
      <x:c r="I53" s="18" t="str">
        <x:v>盒</x:v>
      </x:c>
      <x:c r="J53" s="18" t="n">
        <x:v>5</x:v>
      </x:c>
      <x:c r="K53" s="18" t="n">
        <x:v>20</x:v>
      </x:c>
      <x:c r="L53" s="18" t="str">
        <x:v>Historical 2026-06-08 to 2026-06-08; Min $2.50, Max $2.50, Purchases 1</x:v>
      </x:c>
    </x:row>
    <x:row r="54">
      <x:c r="A54" s="18" t="str">
        <x:v>MT-SIRUBA747KD-COUPLER</x:v>
      </x:c>
      <x:c r="B54" s="18" t="str">
        <x:v>SIRUBA-747KD 馬達聯軸器</x:v>
      </x:c>
      <x:c r="C54" s="18" t="n">
        <x:v>0</x:v>
      </x:c>
      <x:c r="D54" s="21" t="n">
        <x:v>9.5</x:v>
      </x:c>
      <x:c r="E54" s="18" t="str">
        <x:v>747KD</x:v>
      </x:c>
      <x:c r="F54" s="18" t="str">
        <x:v>Motor/Drive</x:v>
      </x:c>
      <x:c r="G54" s="18" t="str">
        <x:v>SIRUBA</x:v>
      </x:c>
      <x:c r="H54" s="18" t="str">
        <x:v>Overlock</x:v>
      </x:c>
      <x:c r="I54" s="18" t="str">
        <x:v>個</x:v>
      </x:c>
      <x:c r="J54" s="18" t="n">
        <x:v>5</x:v>
      </x:c>
      <x:c r="K54" s="18" t="n">
        <x:v>20</x:v>
      </x:c>
      <x:c r="L54" s="18" t="str">
        <x:v>Historical 2026-02-14 to 2026-05-26; Min $9.50, Max $9.50, Purchases 2</x:v>
      </x:c>
    </x:row>
    <x:row r="55">
      <x:c r="A55" s="18" t="str">
        <x:v>MT-YUANYI-SPREADER-BALANCE-MOTOR</x:v>
      </x:c>
      <x:c r="B55" s="18" t="str">
        <x:v>元一自動拉布機封邊平衡馬達</x:v>
      </x:c>
      <x:c r="C55" s="18" t="n">
        <x:v>0</x:v>
      </x:c>
      <x:c r="D55" s="21" t="n">
        <x:v>250</x:v>
      </x:c>
      <x:c r="E55" s="18" t="str">
        <x:v>Automatic Spreader</x:v>
      </x:c>
      <x:c r="F55" s="18" t="str">
        <x:v>Motor/Drive</x:v>
      </x:c>
      <x:c r="G55" s="18" t="str">
        <x:v>元一</x:v>
      </x:c>
      <x:c r="H55" s="18" t="str">
        <x:v>Cutting</x:v>
      </x:c>
      <x:c r="I55" s="18" t="str">
        <x:v>個</x:v>
      </x:c>
      <x:c r="J55" s="18" t="n">
        <x:v>5</x:v>
      </x:c>
      <x:c r="K55" s="18" t="n">
        <x:v>20</x:v>
      </x:c>
      <x:c r="L55" s="18" t="str">
        <x:v>Historical 2026-03-13 to 2026-03-13; Min $250.00, Max $250.00, Purchases 1</x:v>
      </x:c>
    </x:row>
    <x:row r="56">
      <x:c r="A56" s="18" t="str">
        <x:v>ND-DBX1-11</x:v>
      </x:c>
      <x:c r="B56" s="18" t="str">
        <x:v>風琴機針 DBx1 #11</x:v>
      </x:c>
      <x:c r="C56" s="18" t="n">
        <x:v>0</x:v>
      </x:c>
      <x:c r="D56" s="21" t="n">
        <x:v>0.78</x:v>
      </x:c>
      <x:c r="E56" s="18" t="str">
        <x:v>DBx1 #11</x:v>
      </x:c>
      <x:c r="F56" s="18" t="str">
        <x:v>Needle</x:v>
      </x:c>
      <x:c r="G56" s="18" t="str">
        <x:v>ORGAN/風琴</x:v>
      </x:c>
      <x:c r="H56" s="18" t="str">
        <x:v>Single Needle</x:v>
      </x:c>
      <x:c r="I56" s="18" t="str">
        <x:v>包</x:v>
      </x:c>
      <x:c r="J56" s="18" t="n">
        <x:v>50</x:v>
      </x:c>
      <x:c r="K56" s="18" t="n">
        <x:v>300</x:v>
      </x:c>
      <x:c r="L56" s="18" t="str">
        <x:v>Historical 2026-03-25 to 2026-03-25; Min $0.78, Max $0.78, Purchases 1</x:v>
      </x:c>
    </x:row>
    <x:row r="57">
      <x:c r="A57" s="18" t="str">
        <x:v>ND-DBX1-12</x:v>
      </x:c>
      <x:c r="B57" s="18" t="str">
        <x:v>風琴機針 DBx1 #12</x:v>
      </x:c>
      <x:c r="C57" s="18" t="n">
        <x:v>0</x:v>
      </x:c>
      <x:c r="D57" s="21" t="n">
        <x:v>0.78</x:v>
      </x:c>
      <x:c r="E57" s="18" t="str">
        <x:v>DBx1 #12</x:v>
      </x:c>
      <x:c r="F57" s="18" t="str">
        <x:v>Needle</x:v>
      </x:c>
      <x:c r="G57" s="18" t="str">
        <x:v>ORGAN/風琴</x:v>
      </x:c>
      <x:c r="H57" s="18" t="str">
        <x:v>Single Needle</x:v>
      </x:c>
      <x:c r="I57" s="18" t="str">
        <x:v>包</x:v>
      </x:c>
      <x:c r="J57" s="18" t="n">
        <x:v>50</x:v>
      </x:c>
      <x:c r="K57" s="18" t="n">
        <x:v>300</x:v>
      </x:c>
      <x:c r="L57" s="18" t="str">
        <x:v>Historical 2026-03-25 to 2026-06-16; Min $0.78, Max $0.78, Purchases 2</x:v>
      </x:c>
    </x:row>
    <x:row r="58">
      <x:c r="A58" s="18" t="str">
        <x:v>ND-DBX1-14</x:v>
      </x:c>
      <x:c r="B58" s="18" t="str">
        <x:v>風琴機針 DBx1 #14</x:v>
      </x:c>
      <x:c r="C58" s="18" t="n">
        <x:v>0</x:v>
      </x:c>
      <x:c r="D58" s="21" t="n">
        <x:v>0.78</x:v>
      </x:c>
      <x:c r="E58" s="18" t="str">
        <x:v>DBx1 #14</x:v>
      </x:c>
      <x:c r="F58" s="18" t="str">
        <x:v>Needle</x:v>
      </x:c>
      <x:c r="G58" s="18" t="str">
        <x:v>ORGAN/風琴</x:v>
      </x:c>
      <x:c r="H58" s="18" t="str">
        <x:v>Single Needle</x:v>
      </x:c>
      <x:c r="I58" s="18" t="str">
        <x:v>包</x:v>
      </x:c>
      <x:c r="J58" s="18" t="n">
        <x:v>50</x:v>
      </x:c>
      <x:c r="K58" s="18" t="n">
        <x:v>300</x:v>
      </x:c>
      <x:c r="L58" s="18" t="str">
        <x:v>Historical 2026-02-12 to 2026-06-02; Min $0.78, Max $0.78, Purchases 3</x:v>
      </x:c>
    </x:row>
    <x:row r="59">
      <x:c r="A59" s="18" t="str">
        <x:v>ND-DBX1-16</x:v>
      </x:c>
      <x:c r="B59" s="18" t="str">
        <x:v>風琴機針 DBx1 #16</x:v>
      </x:c>
      <x:c r="C59" s="18" t="n">
        <x:v>0</x:v>
      </x:c>
      <x:c r="D59" s="21" t="n">
        <x:v>0.78</x:v>
      </x:c>
      <x:c r="E59" s="18" t="str">
        <x:v>DBx1 #16</x:v>
      </x:c>
      <x:c r="F59" s="18" t="str">
        <x:v>Needle</x:v>
      </x:c>
      <x:c r="G59" s="18" t="str">
        <x:v>ORGAN/風琴</x:v>
      </x:c>
      <x:c r="H59" s="18" t="str">
        <x:v>Single Needle</x:v>
      </x:c>
      <x:c r="I59" s="18" t="str">
        <x:v>包</x:v>
      </x:c>
      <x:c r="J59" s="18" t="n">
        <x:v>50</x:v>
      </x:c>
      <x:c r="K59" s="18" t="n">
        <x:v>300</x:v>
      </x:c>
      <x:c r="L59" s="18" t="str">
        <x:v>Historical 2026-02-12 to 2026-06-02; Min $0.78, Max $0.78, Purchases 3</x:v>
      </x:c>
    </x:row>
    <x:row r="60">
      <x:c r="A60" s="18" t="str">
        <x:v>ND-DBX1-9</x:v>
      </x:c>
      <x:c r="B60" s="18" t="str">
        <x:v>風琴機針 DBx1 #9</x:v>
      </x:c>
      <x:c r="C60" s="18" t="n">
        <x:v>0</x:v>
      </x:c>
      <x:c r="D60" s="21" t="n">
        <x:v>0.78</x:v>
      </x:c>
      <x:c r="E60" s="18" t="str">
        <x:v>DBx1 #9</x:v>
      </x:c>
      <x:c r="F60" s="18" t="str">
        <x:v>Needle</x:v>
      </x:c>
      <x:c r="G60" s="18" t="str">
        <x:v>ORGAN/風琴</x:v>
      </x:c>
      <x:c r="H60" s="18" t="str">
        <x:v>Single Needle</x:v>
      </x:c>
      <x:c r="I60" s="18" t="str">
        <x:v>包</x:v>
      </x:c>
      <x:c r="J60" s="18" t="n">
        <x:v>50</x:v>
      </x:c>
      <x:c r="K60" s="18" t="n">
        <x:v>300</x:v>
      </x:c>
      <x:c r="L60" s="18" t="str">
        <x:v>Historical 2026-03-25 to 2026-03-25; Min $0.78, Max $0.78, Purchases 1</x:v>
      </x:c>
    </x:row>
    <x:row r="61">
      <x:c r="A61" s="18" t="str">
        <x:v>ND-DCX27-12</x:v>
      </x:c>
      <x:c r="B61" s="18" t="str">
        <x:v>風琴機針 DCx27 #12</x:v>
      </x:c>
      <x:c r="C61" s="18" t="n">
        <x:v>0</x:v>
      </x:c>
      <x:c r="D61" s="21" t="n">
        <x:v>1.3</x:v>
      </x:c>
      <x:c r="E61" s="18" t="str">
        <x:v>DCx27 #12</x:v>
      </x:c>
      <x:c r="F61" s="18" t="str">
        <x:v>Needle</x:v>
      </x:c>
      <x:c r="G61" s="18" t="str">
        <x:v>ORGAN/風琴</x:v>
      </x:c>
      <x:c r="H61" s="18" t="str">
        <x:v>Overlock</x:v>
      </x:c>
      <x:c r="I61" s="18" t="str">
        <x:v>包</x:v>
      </x:c>
      <x:c r="J61" s="18" t="n">
        <x:v>50</x:v>
      </x:c>
      <x:c r="K61" s="18" t="n">
        <x:v>300</x:v>
      </x:c>
      <x:c r="L61" s="18" t="str">
        <x:v>Historical 2026-01-02 to 2026-06-16; Min $1.30, Max $1.30, Purchases 11</x:v>
      </x:c>
    </x:row>
    <x:row r="62">
      <x:c r="A62" s="18" t="str">
        <x:v>ND-DCX27-14</x:v>
      </x:c>
      <x:c r="B62" s="18" t="str">
        <x:v>風琴機針 DCx27 #14</x:v>
      </x:c>
      <x:c r="C62" s="18" t="n">
        <x:v>0</x:v>
      </x:c>
      <x:c r="D62" s="21" t="n">
        <x:v>1.3</x:v>
      </x:c>
      <x:c r="E62" s="18" t="str">
        <x:v>DCx27 #14</x:v>
      </x:c>
      <x:c r="F62" s="18" t="str">
        <x:v>Needle</x:v>
      </x:c>
      <x:c r="G62" s="18" t="str">
        <x:v>ORGAN/風琴</x:v>
      </x:c>
      <x:c r="H62" s="18" t="str">
        <x:v>Overlock</x:v>
      </x:c>
      <x:c r="I62" s="18" t="str">
        <x:v>包</x:v>
      </x:c>
      <x:c r="J62" s="18" t="n">
        <x:v>50</x:v>
      </x:c>
      <x:c r="K62" s="18" t="n">
        <x:v>300</x:v>
      </x:c>
      <x:c r="L62" s="18" t="str">
        <x:v>Historical 2026-02-12 to 2026-06-02; Min $1.30, Max $1.30, Purchases 3</x:v>
      </x:c>
    </x:row>
    <x:row r="63">
      <x:c r="A63" s="18" t="str">
        <x:v>ND-DCX27-16</x:v>
      </x:c>
      <x:c r="B63" s="18" t="str">
        <x:v>風琴機針 DCx27 #16</x:v>
      </x:c>
      <x:c r="C63" s="18" t="n">
        <x:v>0</x:v>
      </x:c>
      <x:c r="D63" s="21" t="n">
        <x:v>1.3</x:v>
      </x:c>
      <x:c r="E63" s="18" t="str">
        <x:v>DCx27 #16</x:v>
      </x:c>
      <x:c r="F63" s="18" t="str">
        <x:v>Needle</x:v>
      </x:c>
      <x:c r="G63" s="18" t="str">
        <x:v>ORGAN/風琴</x:v>
      </x:c>
      <x:c r="H63" s="18" t="str">
        <x:v>Overlock</x:v>
      </x:c>
      <x:c r="I63" s="18" t="str">
        <x:v>包</x:v>
      </x:c>
      <x:c r="J63" s="18" t="n">
        <x:v>50</x:v>
      </x:c>
      <x:c r="K63" s="18" t="n">
        <x:v>300</x:v>
      </x:c>
      <x:c r="L63" s="18" t="str">
        <x:v>Historical 2026-02-12 to 2026-06-02; Min $1.30, Max $1.30, Purchases 3</x:v>
      </x:c>
    </x:row>
    <x:row r="64">
      <x:c r="A64" s="18" t="str">
        <x:v>ND-DPX17-16</x:v>
      </x:c>
      <x:c r="B64" s="18" t="str">
        <x:v>風琴機針 DPx17 #16</x:v>
      </x:c>
      <x:c r="C64" s="18" t="n">
        <x:v>0</x:v>
      </x:c>
      <x:c r="D64" s="21" t="n">
        <x:v>1.3</x:v>
      </x:c>
      <x:c r="E64" s="18" t="str">
        <x:v>DPx17 #16</x:v>
      </x:c>
      <x:c r="F64" s="18" t="str">
        <x:v>Needle</x:v>
      </x:c>
      <x:c r="G64" s="18" t="str">
        <x:v>ORGAN/風琴</x:v>
      </x:c>
      <x:c r="H64" s="18" t="str">
        <x:v>Buttonhole / Special</x:v>
      </x:c>
      <x:c r="I64" s="18" t="str">
        <x:v>包</x:v>
      </x:c>
      <x:c r="J64" s="18" t="n">
        <x:v>50</x:v>
      </x:c>
      <x:c r="K64" s="18" t="n">
        <x:v>300</x:v>
      </x:c>
      <x:c r="L64" s="18" t="str">
        <x:v>Historical 2026-04-23 to 2026-04-23; Min $1.30, Max $1.30, Purchases 1</x:v>
      </x:c>
    </x:row>
    <x:row r="65">
      <x:c r="A65" s="18" t="str">
        <x:v>ND-DPX5-14</x:v>
      </x:c>
      <x:c r="B65" s="18" t="str">
        <x:v>風琴機針 DPx5 #14</x:v>
      </x:c>
      <x:c r="C65" s="18" t="n">
        <x:v>0</x:v>
      </x:c>
      <x:c r="D65" s="21" t="n">
        <x:v>0.78</x:v>
      </x:c>
      <x:c r="E65" s="18" t="str">
        <x:v>DPx5 #14</x:v>
      </x:c>
      <x:c r="F65" s="18" t="str">
        <x:v>Needle</x:v>
      </x:c>
      <x:c r="G65" s="18" t="str">
        <x:v>ORGAN/風琴</x:v>
      </x:c>
      <x:c r="H65" s="18" t="str">
        <x:v>Lockstitch</x:v>
      </x:c>
      <x:c r="I65" s="18" t="str">
        <x:v>包</x:v>
      </x:c>
      <x:c r="J65" s="18" t="n">
        <x:v>50</x:v>
      </x:c>
      <x:c r="K65" s="18" t="n">
        <x:v>300</x:v>
      </x:c>
      <x:c r="L65" s="18" t="str">
        <x:v>Historical 2026-02-12 to 2026-06-02; Min $0.78, Max $0.78, Purchases 3</x:v>
      </x:c>
    </x:row>
    <x:row r="66">
      <x:c r="A66" s="18" t="str">
        <x:v>ND-DPX5-16</x:v>
      </x:c>
      <x:c r="B66" s="18" t="str">
        <x:v>風琴機針 DPx5 #16</x:v>
      </x:c>
      <x:c r="C66" s="18" t="n">
        <x:v>0</x:v>
      </x:c>
      <x:c r="D66" s="21" t="n">
        <x:v>0.78</x:v>
      </x:c>
      <x:c r="E66" s="18" t="str">
        <x:v>DPx5 #16</x:v>
      </x:c>
      <x:c r="F66" s="18" t="str">
        <x:v>Needle</x:v>
      </x:c>
      <x:c r="G66" s="18" t="str">
        <x:v>ORGAN/風琴</x:v>
      </x:c>
      <x:c r="H66" s="18" t="str">
        <x:v>Lockstitch</x:v>
      </x:c>
      <x:c r="I66" s="18" t="str">
        <x:v>包</x:v>
      </x:c>
      <x:c r="J66" s="18" t="n">
        <x:v>50</x:v>
      </x:c>
      <x:c r="K66" s="18" t="n">
        <x:v>300</x:v>
      </x:c>
      <x:c r="L66" s="18" t="str">
        <x:v>Historical 2026-02-12 to 2026-06-02; Min $0.78, Max $0.78, Purchases 2</x:v>
      </x:c>
    </x:row>
    <x:row r="67">
      <x:c r="A67" s="18" t="str">
        <x:v>ND-UOX113-12</x:v>
      </x:c>
      <x:c r="B67" s="18" t="str">
        <x:v>風琴機針 UOx113 #12</x:v>
      </x:c>
      <x:c r="C67" s="18" t="n">
        <x:v>0</x:v>
      </x:c>
      <x:c r="D67" s="21" t="n">
        <x:v>3</x:v>
      </x:c>
      <x:c r="E67" s="18" t="str">
        <x:v>UOx113 #12</x:v>
      </x:c>
      <x:c r="F67" s="18" t="str">
        <x:v>Needle</x:v>
      </x:c>
      <x:c r="G67" s="18" t="str">
        <x:v>ORGAN/風琴</x:v>
      </x:c>
      <x:c r="H67" s="18" t="str">
        <x:v>Multi-needle</x:v>
      </x:c>
      <x:c r="I67" s="18" t="str">
        <x:v>包</x:v>
      </x:c>
      <x:c r="J67" s="18" t="n">
        <x:v>50</x:v>
      </x:c>
      <x:c r="K67" s="18" t="n">
        <x:v>300</x:v>
      </x:c>
      <x:c r="L67" s="18" t="str">
        <x:v>Historical 2026-04-04 to 2026-06-09; Min $3.00, Max $3.00, Purchases 7</x:v>
      </x:c>
    </x:row>
    <x:row r="68">
      <x:c r="A68" s="18" t="str">
        <x:v>ND-UOX113-14</x:v>
      </x:c>
      <x:c r="B68" s="18" t="str">
        <x:v>風琴機針 UOx113 #14</x:v>
      </x:c>
      <x:c r="C68" s="18" t="n">
        <x:v>0</x:v>
      </x:c>
      <x:c r="D68" s="21" t="n">
        <x:v>3</x:v>
      </x:c>
      <x:c r="E68" s="18" t="str">
        <x:v>UOx113 #14</x:v>
      </x:c>
      <x:c r="F68" s="18" t="str">
        <x:v>Needle</x:v>
      </x:c>
      <x:c r="G68" s="18" t="str">
        <x:v>ORGAN/風琴</x:v>
      </x:c>
      <x:c r="H68" s="18" t="str">
        <x:v>Multi-needle</x:v>
      </x:c>
      <x:c r="I68" s="18" t="str">
        <x:v>包</x:v>
      </x:c>
      <x:c r="J68" s="18" t="n">
        <x:v>50</x:v>
      </x:c>
      <x:c r="K68" s="18" t="n">
        <x:v>300</x:v>
      </x:c>
      <x:c r="L68" s="18" t="str">
        <x:v>Historical 2026-01-02 to 2026-06-24; Min $3.00, Max $3.00, Purchases 7</x:v>
      </x:c>
    </x:row>
    <x:row r="69">
      <x:c r="A69" s="18" t="str">
        <x:v>ND-UOX113-16</x:v>
      </x:c>
      <x:c r="B69" s="18" t="str">
        <x:v>風琴機針 UOx113 #16</x:v>
      </x:c>
      <x:c r="C69" s="18" t="n">
        <x:v>0</x:v>
      </x:c>
      <x:c r="D69" s="21" t="n">
        <x:v>3</x:v>
      </x:c>
      <x:c r="E69" s="18" t="str">
        <x:v>UOx113 #16</x:v>
      </x:c>
      <x:c r="F69" s="18" t="str">
        <x:v>Needle</x:v>
      </x:c>
      <x:c r="G69" s="18" t="str">
        <x:v>ORGAN/風琴</x:v>
      </x:c>
      <x:c r="H69" s="18" t="str">
        <x:v>Multi-needle</x:v>
      </x:c>
      <x:c r="I69" s="18" t="str">
        <x:v>包</x:v>
      </x:c>
      <x:c r="J69" s="18" t="n">
        <x:v>50</x:v>
      </x:c>
      <x:c r="K69" s="18" t="n">
        <x:v>300</x:v>
      </x:c>
      <x:c r="L69" s="18" t="str">
        <x:v>Historical 2026-03-25 to 2026-06-24; Min $3.00, Max $3.00, Purchases 2</x:v>
      </x:c>
    </x:row>
    <x:row r="70">
      <x:c r="A70" s="18" t="str">
        <x:v>ND-UYX128-11</x:v>
      </x:c>
      <x:c r="B70" s="18" t="str">
        <x:v>風琴機針 UYx128 #11</x:v>
      </x:c>
      <x:c r="C70" s="18" t="n">
        <x:v>0</x:v>
      </x:c>
      <x:c r="D70" s="21" t="n">
        <x:v>1.78</x:v>
      </x:c>
      <x:c r="E70" s="18" t="str">
        <x:v>UYx128 #11</x:v>
      </x:c>
      <x:c r="F70" s="18" t="str">
        <x:v>Needle</x:v>
      </x:c>
      <x:c r="G70" s="18" t="str">
        <x:v>ORGAN/風琴</x:v>
      </x:c>
      <x:c r="H70" s="18" t="str">
        <x:v>Multi-needle / Chainstitch</x:v>
      </x:c>
      <x:c r="I70" s="18" t="str">
        <x:v>包</x:v>
      </x:c>
      <x:c r="J70" s="18" t="n">
        <x:v>50</x:v>
      </x:c>
      <x:c r="K70" s="18" t="n">
        <x:v>300</x:v>
      </x:c>
      <x:c r="L70" s="18" t="str">
        <x:v>Historical 2026-01-02 to 2026-01-29; Min $1.78, Max $1.78, Purchases 4</x:v>
      </x:c>
    </x:row>
    <x:row r="71">
      <x:c r="A71" s="18" t="str">
        <x:v>ND-UYX128-12</x:v>
      </x:c>
      <x:c r="B71" s="18" t="str">
        <x:v>風琴機針 UYx128 #12</x:v>
      </x:c>
      <x:c r="C71" s="18" t="n">
        <x:v>0</x:v>
      </x:c>
      <x:c r="D71" s="21" t="n">
        <x:v>1.78</x:v>
      </x:c>
      <x:c r="E71" s="18" t="str">
        <x:v>UYx128 #12</x:v>
      </x:c>
      <x:c r="F71" s="18" t="str">
        <x:v>Needle</x:v>
      </x:c>
      <x:c r="G71" s="18" t="str">
        <x:v>ORGAN/風琴</x:v>
      </x:c>
      <x:c r="H71" s="18" t="str">
        <x:v>Multi-needle / Chainstitch</x:v>
      </x:c>
      <x:c r="I71" s="18" t="str">
        <x:v>包</x:v>
      </x:c>
      <x:c r="J71" s="18" t="n">
        <x:v>50</x:v>
      </x:c>
      <x:c r="K71" s="18" t="n">
        <x:v>300</x:v>
      </x:c>
      <x:c r="L71" s="18" t="str">
        <x:v>Historical 2026-03-09 to 2026-06-09; Min $1.78, Max $1.78, Purchases 7</x:v>
      </x:c>
    </x:row>
    <x:row r="72">
      <x:c r="A72" s="18" t="str">
        <x:v>ND-UYX128-14</x:v>
      </x:c>
      <x:c r="B72" s="18" t="str">
        <x:v>風琴機針 UYx128 #14</x:v>
      </x:c>
      <x:c r="C72" s="18" t="n">
        <x:v>0</x:v>
      </x:c>
      <x:c r="D72" s="21" t="n">
        <x:v>1.78</x:v>
      </x:c>
      <x:c r="E72" s="18" t="str">
        <x:v>UYx128 #14</x:v>
      </x:c>
      <x:c r="F72" s="18" t="str">
        <x:v>Needle</x:v>
      </x:c>
      <x:c r="G72" s="18" t="str">
        <x:v>ORGAN/風琴</x:v>
      </x:c>
      <x:c r="H72" s="18" t="str">
        <x:v>Multi-needle / Chainstitch</x:v>
      </x:c>
      <x:c r="I72" s="18" t="str">
        <x:v>包</x:v>
      </x:c>
      <x:c r="J72" s="18" t="n">
        <x:v>50</x:v>
      </x:c>
      <x:c r="K72" s="18" t="n">
        <x:v>300</x:v>
      </x:c>
      <x:c r="L72" s="18" t="str">
        <x:v>Historical 2026-03-04 to 2026-06-16; Min $1.78, Max $1.78, Purchases 3</x:v>
      </x:c>
    </x:row>
    <x:row r="73">
      <x:c r="A73" s="18" t="str">
        <x:v>NP-E22</x:v>
      </x:c>
      <x:c r="B73" s="18" t="str">
        <x:v>E22 針板</x:v>
      </x:c>
      <x:c r="C73" s="18" t="n">
        <x:v>0</x:v>
      </x:c>
      <x:c r="D73" s="21" t="n">
        <x:v>0.35</x:v>
      </x:c>
      <x:c r="E73" s="18" t="str">
        <x:v>E22</x:v>
      </x:c>
      <x:c r="F73" s="18" t="str">
        <x:v>Needle Plate/Feed Dog</x:v>
      </x:c>
      <x:c r="G73" s="18" t="str"/>
      <x:c r="H73" s="18" t="str">
        <x:v>Single Needle</x:v>
      </x:c>
      <x:c r="I73" s="18" t="str">
        <x:v>個</x:v>
      </x:c>
      <x:c r="J73" s="18" t="n">
        <x:v>5</x:v>
      </x:c>
      <x:c r="K73" s="18" t="n">
        <x:v>20</x:v>
      </x:c>
      <x:c r="L73" s="18" t="str">
        <x:v>Historical 2026-02-14 to 2026-06-09; Min $0.35, Max $0.35, Purchases 2</x:v>
      </x:c>
    </x:row>
    <x:row r="74">
      <x:c r="A74" s="18" t="str">
        <x:v>FD-H208K</x:v>
      </x:c>
      <x:c r="B74" s="18" t="str">
        <x:v>H208K 牙齒</x:v>
      </x:c>
      <x:c r="C74" s="18" t="n">
        <x:v>0</x:v>
      </x:c>
      <x:c r="D74" s="21" t="n">
        <x:v>3.25</x:v>
      </x:c>
      <x:c r="E74" s="18" t="str">
        <x:v>H208K</x:v>
      </x:c>
      <x:c r="F74" s="18" t="str">
        <x:v>Needle Plate/Feed Dog</x:v>
      </x:c>
      <x:c r="G74" s="18" t="str"/>
      <x:c r="H74" s="18" t="str">
        <x:v>Sewing Machine</x:v>
      </x:c>
      <x:c r="I74" s="18" t="str">
        <x:v>個</x:v>
      </x:c>
      <x:c r="J74" s="18" t="n">
        <x:v>5</x:v>
      </x:c>
      <x:c r="K74" s="18" t="n">
        <x:v>20</x:v>
      </x:c>
      <x:c r="L74" s="18" t="str">
        <x:v>Historical 2026-05-29 to 2026-05-29; Min $3.25, Max $3.25, Purchases 1</x:v>
      </x:c>
    </x:row>
    <x:row r="75">
      <x:c r="A75" s="18" t="str">
        <x:v>FD-SIRUBA747K-SET</x:v>
      </x:c>
      <x:c r="B75" s="18" t="str">
        <x:v>SIRUBA-747K 牙齒組</x:v>
      </x:c>
      <x:c r="C75" s="18" t="n">
        <x:v>0</x:v>
      </x:c>
      <x:c r="D75" s="21" t="n">
        <x:v>6.5</x:v>
      </x:c>
      <x:c r="E75" s="18" t="str">
        <x:v>747K</x:v>
      </x:c>
      <x:c r="F75" s="18" t="str">
        <x:v>Needle Plate/Feed Dog</x:v>
      </x:c>
      <x:c r="G75" s="18" t="str">
        <x:v>SIRUBA</x:v>
      </x:c>
      <x:c r="H75" s="18" t="str">
        <x:v>Overlock</x:v>
      </x:c>
      <x:c r="I75" s="18" t="str">
        <x:v>套</x:v>
      </x:c>
      <x:c r="J75" s="18" t="n">
        <x:v>5</x:v>
      </x:c>
      <x:c r="K75" s="18" t="n">
        <x:v>20</x:v>
      </x:c>
      <x:c r="L75" s="18" t="str">
        <x:v>Historical 2026-02-14 to 2026-02-14; Min $6.50, Max $6.50, Purchases 1</x:v>
      </x:c>
    </x:row>
    <x:row r="76">
      <x:c r="A76" s="18" t="str">
        <x:v>NP-SIRUBA747K</x:v>
      </x:c>
      <x:c r="B76" s="18" t="str">
        <x:v>SIRUBA-747K 針板</x:v>
      </x:c>
      <x:c r="C76" s="18" t="n">
        <x:v>0</x:v>
      </x:c>
      <x:c r="D76" s="21" t="n">
        <x:v>2.5</x:v>
      </x:c>
      <x:c r="E76" s="18" t="str">
        <x:v>747K</x:v>
      </x:c>
      <x:c r="F76" s="18" t="str">
        <x:v>Needle Plate/Feed Dog</x:v>
      </x:c>
      <x:c r="G76" s="18" t="str">
        <x:v>SIRUBA</x:v>
      </x:c>
      <x:c r="H76" s="18" t="str">
        <x:v>Overlock</x:v>
      </x:c>
      <x:c r="I76" s="18" t="str">
        <x:v>個</x:v>
      </x:c>
      <x:c r="J76" s="18" t="n">
        <x:v>5</x:v>
      </x:c>
      <x:c r="K76" s="18" t="n">
        <x:v>20</x:v>
      </x:c>
      <x:c r="L76" s="18" t="str">
        <x:v>Historical 2026-02-14 to 2026-02-14; Min $2.50, Max $2.50, Purchases 1</x:v>
      </x:c>
    </x:row>
    <x:row r="77">
      <x:c r="A77" s="18" t="str">
        <x:v>FD-SIRUBA747KS-SMALL-ORIG</x:v>
      </x:c>
      <x:c r="B77" s="18" t="str">
        <x:v>SIRUBA-747KS小頭拷克牙齒組（原裝）</x:v>
      </x:c>
      <x:c r="C77" s="18" t="n">
        <x:v>0</x:v>
      </x:c>
      <x:c r="D77" s="21" t="n">
        <x:v>15</x:v>
      </x:c>
      <x:c r="E77" s="18" t="str">
        <x:v>747KS</x:v>
      </x:c>
      <x:c r="F77" s="18" t="str">
        <x:v>Needle Plate/Feed Dog</x:v>
      </x:c>
      <x:c r="G77" s="18" t="str">
        <x:v>SIRUBA</x:v>
      </x:c>
      <x:c r="H77" s="18" t="str">
        <x:v>Overlock</x:v>
      </x:c>
      <x:c r="I77" s="18" t="str">
        <x:v>套</x:v>
      </x:c>
      <x:c r="J77" s="18" t="n">
        <x:v>5</x:v>
      </x:c>
      <x:c r="K77" s="18" t="n">
        <x:v>20</x:v>
      </x:c>
      <x:c r="L77" s="18" t="str">
        <x:v>Historical 2026-06-09 to 2026-06-09; Min $15.00, Max $15.00, Purchases 1</x:v>
      </x:c>
    </x:row>
    <x:row r="78">
      <x:c r="A78" s="18" t="str">
        <x:v>FD-SN-E-TYPE</x:v>
      </x:c>
      <x:c r="B78" s="18" t="str">
        <x:v>平車E型牙齒</x:v>
      </x:c>
      <x:c r="C78" s="18" t="n">
        <x:v>0</x:v>
      </x:c>
      <x:c r="D78" s="21" t="n">
        <x:v>0.5</x:v>
      </x:c>
      <x:c r="E78" s="18" t="str">
        <x:v>E Type</x:v>
      </x:c>
      <x:c r="F78" s="18" t="str">
        <x:v>Needle Plate/Feed Dog</x:v>
      </x:c>
      <x:c r="G78" s="18" t="str"/>
      <x:c r="H78" s="18" t="str">
        <x:v>Single Needle</x:v>
      </x:c>
      <x:c r="I78" s="18" t="str">
        <x:v>個</x:v>
      </x:c>
      <x:c r="J78" s="18" t="n">
        <x:v>5</x:v>
      </x:c>
      <x:c r="K78" s="18" t="n">
        <x:v>20</x:v>
      </x:c>
      <x:c r="L78" s="18" t="str">
        <x:v>Historical 2026-06-09 to 2026-06-09; Min $0.50, Max $0.50, Purchases 1</x:v>
      </x:c>
    </x:row>
    <x:row r="79">
      <x:c r="A79" s="18" t="str">
        <x:v>SP-SN-THREAD-SPRING</x:v>
      </x:c>
      <x:c r="B79" s="18" t="str">
        <x:v>平車跳線彈簧</x:v>
      </x:c>
      <x:c r="C79" s="18" t="n">
        <x:v>0</x:v>
      </x:c>
      <x:c r="D79" s="21" t="n">
        <x:v>0.1</x:v>
      </x:c>
      <x:c r="E79" s="18" t="str">
        <x:v>Thread Take-up Spring</x:v>
      </x:c>
      <x:c r="F79" s="18" t="str">
        <x:v>Other</x:v>
      </x:c>
      <x:c r="G79" s="18" t="str"/>
      <x:c r="H79" s="18" t="str">
        <x:v>Single Needle</x:v>
      </x:c>
      <x:c r="I79" s="18" t="str">
        <x:v>個</x:v>
      </x:c>
      <x:c r="J79" s="18" t="n">
        <x:v>5</x:v>
      </x:c>
      <x:c r="K79" s="18" t="n">
        <x:v>20</x:v>
      </x:c>
      <x:c r="L79" s="18" t="str">
        <x:v>Historical 2026-05-02 to 2026-05-02; Min $0.10, Max $0.10, Purchases 1</x:v>
      </x:c>
    </x:row>
    <x:row r="80">
      <x:c r="A80" s="18" t="str">
        <x:v>PF-CL1-16N</x:v>
      </x:c>
      <x:c r="B80" s="18" t="str">
        <x:v>CL1/16N 壓腳</x:v>
      </x:c>
      <x:c r="C80" s="18" t="n">
        <x:v>0</x:v>
      </x:c>
      <x:c r="D80" s="21" t="n">
        <x:v>0.6</x:v>
      </x:c>
      <x:c r="E80" s="18" t="str">
        <x:v>CL1/16N</x:v>
      </x:c>
      <x:c r="F80" s="18" t="str">
        <x:v>Presser Foot</x:v>
      </x:c>
      <x:c r="G80" s="18" t="str"/>
      <x:c r="H80" s="18" t="str">
        <x:v>Single Needle</x:v>
      </x:c>
      <x:c r="I80" s="18" t="str">
        <x:v>個</x:v>
      </x:c>
      <x:c r="J80" s="18" t="n">
        <x:v>5</x:v>
      </x:c>
      <x:c r="K80" s="18" t="n">
        <x:v>20</x:v>
      </x:c>
      <x:c r="L80" s="18" t="str">
        <x:v>Historical 2026-03-05 to 2026-05-02; Min $0.60, Max $0.60, Purchases 2</x:v>
      </x:c>
    </x:row>
    <x:row r="81">
      <x:c r="A81" s="18" t="str">
        <x:v>PF-CR1-16N</x:v>
      </x:c>
      <x:c r="B81" s="18" t="str">
        <x:v>CR1/16N 壓腳</x:v>
      </x:c>
      <x:c r="C81" s="18" t="n">
        <x:v>0</x:v>
      </x:c>
      <x:c r="D81" s="21" t="n">
        <x:v>0.6</x:v>
      </x:c>
      <x:c r="E81" s="18" t="str">
        <x:v>CR1/16N</x:v>
      </x:c>
      <x:c r="F81" s="18" t="str">
        <x:v>Presser Foot</x:v>
      </x:c>
      <x:c r="G81" s="18" t="str"/>
      <x:c r="H81" s="18" t="str">
        <x:v>Single Needle</x:v>
      </x:c>
      <x:c r="I81" s="18" t="str">
        <x:v>個</x:v>
      </x:c>
      <x:c r="J81" s="18" t="n">
        <x:v>5</x:v>
      </x:c>
      <x:c r="K81" s="18" t="n">
        <x:v>20</x:v>
      </x:c>
      <x:c r="L81" s="18" t="str">
        <x:v>Historical 2026-03-05 to 2026-03-05; Min $0.60, Max $0.60, Purchases 1</x:v>
      </x:c>
    </x:row>
    <x:row r="82">
      <x:c r="A82" s="18" t="str">
        <x:v>PF-JUKI781</x:v>
      </x:c>
      <x:c r="B82" s="18" t="str">
        <x:v>JUKI-781 壓腳</x:v>
      </x:c>
      <x:c r="C82" s="18" t="n">
        <x:v>0</x:v>
      </x:c>
      <x:c r="D82" s="21" t="n">
        <x:v>6</x:v>
      </x:c>
      <x:c r="E82" s="18" t="str">
        <x:v>JUKI-781</x:v>
      </x:c>
      <x:c r="F82" s="18" t="str">
        <x:v>Presser Foot</x:v>
      </x:c>
      <x:c r="G82" s="18" t="str">
        <x:v>JUKI</x:v>
      </x:c>
      <x:c r="H82" s="18" t="str">
        <x:v>Buttonhole</x:v>
      </x:c>
      <x:c r="I82" s="18" t="str">
        <x:v>個</x:v>
      </x:c>
      <x:c r="J82" s="18" t="n">
        <x:v>5</x:v>
      </x:c>
      <x:c r="K82" s="18" t="n">
        <x:v>20</x:v>
      </x:c>
      <x:c r="L82" s="18" t="str">
        <x:v>Historical 2026-04-04 to 2026-04-04; Min $6.00, Max $6.00, Purchases 1</x:v>
      </x:c>
    </x:row>
    <x:row r="83">
      <x:c r="A83" s="18" t="str">
        <x:v>PF-S950-STEEL</x:v>
      </x:c>
      <x:c r="B83" s="18" t="str">
        <x:v>S950壓腳（全鋼）</x:v>
      </x:c>
      <x:c r="C83" s="18" t="n">
        <x:v>0</x:v>
      </x:c>
      <x:c r="D83" s="21" t="n">
        <x:v>1.8</x:v>
      </x:c>
      <x:c r="E83" s="18" t="str">
        <x:v>S950</x:v>
      </x:c>
      <x:c r="F83" s="18" t="str">
        <x:v>Presser Foot</x:v>
      </x:c>
      <x:c r="G83" s="18" t="str"/>
      <x:c r="H83" s="18" t="str">
        <x:v>Single Needle</x:v>
      </x:c>
      <x:c r="I83" s="18" t="str">
        <x:v>個</x:v>
      </x:c>
      <x:c r="J83" s="18" t="n">
        <x:v>5</x:v>
      </x:c>
      <x:c r="K83" s="18" t="n">
        <x:v>20</x:v>
      </x:c>
      <x:c r="L83" s="18" t="str">
        <x:v>Historical 2026-06-09 to 2026-06-09; Min $1.80, Max $1.80, Purchases 1</x:v>
      </x:c>
    </x:row>
    <x:row r="84">
      <x:c r="A84" s="18" t="str">
        <x:v>TL-TAPE-19GL</x:v>
      </x:c>
      <x:c r="B84" s="18" t="str">
        <x:v>19GL 大皮尺</x:v>
      </x:c>
      <x:c r="C84" s="18" t="n">
        <x:v>0</x:v>
      </x:c>
      <x:c r="D84" s="21" t="n">
        <x:v>0.65</x:v>
      </x:c>
      <x:c r="E84" s="18" t="str">
        <x:v>19GL</x:v>
      </x:c>
      <x:c r="F84" s="18" t="str">
        <x:v>Tools</x:v>
      </x:c>
      <x:c r="G84" s="18" t="str"/>
      <x:c r="H84" s="18" t="str">
        <x:v>Measuring</x:v>
      </x:c>
      <x:c r="I84" s="18" t="str">
        <x:v>條</x:v>
      </x:c>
      <x:c r="J84" s="18" t="n">
        <x:v>5</x:v>
      </x:c>
      <x:c r="K84" s="18" t="n">
        <x:v>20</x:v>
      </x:c>
      <x:c r="L84" s="18" t="str">
        <x:v>Historical 2026-05-02 to 2026-05-02; Min $0.65, Max $0.65, Purchases 1</x:v>
      </x:c>
    </x:row>
    <x:row r="85">
      <x:c r="A85" s="18" t="str">
        <x:v>TL-SCREWDRIVER-FLAT-JINGMU</x:v>
      </x:c>
      <x:c r="B85" s="18" t="str">
        <x:v>京木一字螺絲刀</x:v>
      </x:c>
      <x:c r="C85" s="18" t="n">
        <x:v>0</x:v>
      </x:c>
      <x:c r="D85" s="21" t="n">
        <x:v>7</x:v>
      </x:c>
      <x:c r="E85" s="18" t="str">
        <x:v>Flat</x:v>
      </x:c>
      <x:c r="F85" s="18" t="str">
        <x:v>Tools</x:v>
      </x:c>
      <x:c r="G85" s="18" t="str">
        <x:v>京木</x:v>
      </x:c>
      <x:c r="H85" s="18" t="str">
        <x:v>Maintenance</x:v>
      </x:c>
      <x:c r="I85" s="18" t="str">
        <x:v>個</x:v>
      </x:c>
      <x:c r="J85" s="18" t="n">
        <x:v>5</x:v>
      </x:c>
      <x:c r="K85" s="18" t="n">
        <x:v>20</x:v>
      </x:c>
      <x:c r="L85" s="18" t="str">
        <x:v>Historical 2026-01-02 to 2026-01-02; Min $7.00, Max $7.00, Purchases 1</x:v>
      </x:c>
    </x:row>
    <x:row r="86">
      <x:c r="A86" s="18" t="str">
        <x:v>TL-HEX-WRENCH-JINGMU</x:v>
      </x:c>
      <x:c r="B86" s="18" t="str">
        <x:v>京木六角扳手</x:v>
      </x:c>
      <x:c r="C86" s="18" t="n">
        <x:v>0</x:v>
      </x:c>
      <x:c r="D86" s="21" t="n">
        <x:v>20</x:v>
      </x:c>
      <x:c r="E86" s="18" t="str">
        <x:v>Set</x:v>
      </x:c>
      <x:c r="F86" s="18" t="str">
        <x:v>Tools</x:v>
      </x:c>
      <x:c r="G86" s="18" t="str">
        <x:v>京木</x:v>
      </x:c>
      <x:c r="H86" s="18" t="str">
        <x:v>Maintenance</x:v>
      </x:c>
      <x:c r="I86" s="18" t="str">
        <x:v>套</x:v>
      </x:c>
      <x:c r="J86" s="18" t="n">
        <x:v>5</x:v>
      </x:c>
      <x:c r="K86" s="18" t="n">
        <x:v>20</x:v>
      </x:c>
      <x:c r="L86" s="18" t="str">
        <x:v>Historical 2026-01-02 to 2026-01-02; Min $20.00, Max $20.00, Purchases 1</x:v>
      </x:c>
    </x:row>
    <x:row r="87">
      <x:c r="A87" s="18" t="str">
        <x:v>TL-SOLDERING-IRON-150W-TW</x:v>
      </x:c>
      <x:c r="B87" s="18" t="str">
        <x:v>台灣產電烙鐵</x:v>
      </x:c>
      <x:c r="C87" s="18" t="n">
        <x:v>0</x:v>
      </x:c>
      <x:c r="D87" s="21" t="n">
        <x:v>20</x:v>
      </x:c>
      <x:c r="E87" s="18" t="str">
        <x:v>150W</x:v>
      </x:c>
      <x:c r="F87" s="18" t="str">
        <x:v>Tools</x:v>
      </x:c>
      <x:c r="G87" s="18" t="str">
        <x:v>Taiwan</x:v>
      </x:c>
      <x:c r="H87" s="18" t="str">
        <x:v>Electrical</x:v>
      </x:c>
      <x:c r="I87" s="18" t="str">
        <x:v>把</x:v>
      </x:c>
      <x:c r="J87" s="18" t="n">
        <x:v>5</x:v>
      </x:c>
      <x:c r="K87" s="18" t="n">
        <x:v>20</x:v>
      </x:c>
      <x:c r="L87" s="18" t="str">
        <x:v>Historical 2026-06-08 to 2026-06-08; Min $20.00, Max $20.00, Purchases 1</x:v>
      </x:c>
    </x:row>
    <x:row r="88">
      <x:c r="A88" s="18" t="str">
        <x:v>TL-SCISSOR-ZHANGXIAO-10IN</x:v>
      </x:c>
      <x:c r="B88" s="18" t="str">
        <x:v>張小牌10吋大剪刀</x:v>
      </x:c>
      <x:c r="C88" s="18" t="n">
        <x:v>0</x:v>
      </x:c>
      <x:c r="D88" s="21" t="n">
        <x:v>7</x:v>
      </x:c>
      <x:c r="E88" s="18" t="str">
        <x:v>10 inch</x:v>
      </x:c>
      <x:c r="F88" s="18" t="str">
        <x:v>Tools</x:v>
      </x:c>
      <x:c r="G88" s="18" t="str">
        <x:v>張小牌</x:v>
      </x:c>
      <x:c r="H88" s="18" t="str">
        <x:v>Cutting/Sewing</x:v>
      </x:c>
      <x:c r="I88" s="18" t="str">
        <x:v>個</x:v>
      </x:c>
      <x:c r="J88" s="18" t="n">
        <x:v>5</x:v>
      </x:c>
      <x:c r="K88" s="18" t="n">
        <x:v>20</x:v>
      </x:c>
      <x:c r="L88" s="18" t="str">
        <x:v>Historical 2026-05-02 to 2026-05-02; Min $7.00, Max $7.00, Purchases 1</x:v>
      </x:c>
    </x:row>
    <x:row r="89">
      <x:c r="A89" s="18" t="str">
        <x:v>TL-THREAD-SNIP-GLOBE</x:v>
      </x:c>
      <x:c r="B89" s="18" t="str">
        <x:v>環球沙剪</x:v>
      </x:c>
      <x:c r="C89" s="18" t="n">
        <x:v>0</x:v>
      </x:c>
      <x:c r="D89" s="21" t="n">
        <x:v>2.3</x:v>
      </x:c>
      <x:c r="E89" s="18" t="str">
        <x:v>Thread Snip</x:v>
      </x:c>
      <x:c r="F89" s="18" t="str">
        <x:v>Tools</x:v>
      </x:c>
      <x:c r="G89" s="18" t="str">
        <x:v>環球</x:v>
      </x:c>
      <x:c r="H89" s="18" t="str">
        <x:v>Sewing</x:v>
      </x:c>
      <x:c r="I89" s="18" t="str">
        <x:v>打</x:v>
      </x:c>
      <x:c r="J89" s="18" t="n">
        <x:v>5</x:v>
      </x:c>
      <x:c r="K89" s="18" t="n">
        <x:v>20</x:v>
      </x:c>
      <x:c r="L89" s="18" t="str">
        <x:v>Historical 2026-02-07 to 2026-06-16; Min $2.30, Max $2.30, Purchases 4</x:v>
      </x:c>
    </x:row>
    <x:row r="90">
      <x:c r="A90" s="18" t="str">
        <x:v>TL-BULLET-CRIMPING-PLIERS</x:v>
      </x:c>
      <x:c r="B90" s="18" t="str">
        <x:v>電工子彈鉗</x:v>
      </x:c>
      <x:c r="C90" s="18" t="n">
        <x:v>0</x:v>
      </x:c>
      <x:c r="D90" s="21" t="n">
        <x:v>7</x:v>
      </x:c>
      <x:c r="E90" s="18" t="str">
        <x:v>Good Quality</x:v>
      </x:c>
      <x:c r="F90" s="18" t="str">
        <x:v>Tools</x:v>
      </x:c>
      <x:c r="G90" s="18" t="str"/>
      <x:c r="H90" s="18" t="str">
        <x:v>Electrical</x:v>
      </x:c>
      <x:c r="I90" s="18" t="str">
        <x:v>個</x:v>
      </x:c>
      <x:c r="J90" s="18" t="n">
        <x:v>5</x:v>
      </x:c>
      <x:c r="K90" s="18" t="n">
        <x:v>20</x:v>
      </x:c>
      <x:c r="L90" s="18" t="str">
        <x:v>Historical 2026-06-24 to 2026-06-24; Min $7.00, Max $7.00, Purchases 1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42a2f419e48f42a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36" hidden="0" customWidth="1"/>
    <x:col min="4" max="4" width="28" hidden="0" customWidth="1"/>
    <x:col min="5" max="5" width="34" hidden="0" customWidth="1"/>
    <x:col min="6" max="6" width="9" hidden="0" customWidth="1"/>
    <x:col min="7" max="7" width="12" hidden="0" customWidth="1"/>
    <x:col min="8" max="8" width="12" hidden="0" customWidth="1"/>
    <x:col min="9" max="9" width="52" hidden="0" customWidth="1"/>
    <x:col min="10" max="10" width="31" hidden="0" customWidth="1"/>
  </x:cols>
  <x:sheetData>
    <x:row r="1">
      <x:c r="A1" s="28" t="str">
        <x:v>Items Requiring Manual Confirmation</x:v>
      </x:c>
      <x:c r="B1" s="28"/>
      <x:c r="C1" s="28"/>
      <x:c r="D1" s="28"/>
      <x:c r="E1" s="28"/>
      <x:c r="F1" s="28"/>
      <x:c r="G1" s="28"/>
      <x:c r="H1" s="28"/>
      <x:c r="I1" s="28"/>
      <x:c r="J1" s="28"/>
    </x:row>
    <x:row r="3">
      <x:c r="A3" s="6" t="str">
        <x:v>Date</x:v>
      </x:c>
      <x:c r="B3" s="6" t="str">
        <x:v>Invoice No</x:v>
      </x:c>
      <x:c r="C3" s="6" t="str">
        <x:v>Raw Item Name</x:v>
      </x:c>
      <x:c r="D3" s="6" t="str">
        <x:v>Standard Part No</x:v>
      </x:c>
      <x:c r="E3" s="6" t="str">
        <x:v>Standard Name</x:v>
      </x:c>
      <x:c r="F3" s="6" t="str">
        <x:v>Qty</x:v>
      </x:c>
      <x:c r="G3" s="6" t="str">
        <x:v>Unit Price</x:v>
      </x:c>
      <x:c r="H3" s="6" t="str">
        <x:v>Confidence</x:v>
      </x:c>
      <x:c r="I3" s="6" t="str">
        <x:v>Reason / Note</x:v>
      </x:c>
      <x:c r="J3" s="6" t="str">
        <x:v>Source File</x:v>
      </x:c>
    </x:row>
    <x:row r="4">
      <x:c r="A4" s="19" t="n">
        <x:v>46006</x:v>
      </x:c>
      <x:c r="B4" s="18" t="str">
        <x:v>YI-000091</x:v>
      </x:c>
      <x:c r="C4" s="18" t="str">
        <x:v>維修:600燙襯機</x:v>
      </x:c>
      <x:c r="D4" s="18" t="str">
        <x:v>SV-TSM600-REPAIR</x:v>
      </x:c>
      <x:c r="E4" s="18" t="str">
        <x:v>600燙襯機維修服務</x:v>
      </x:c>
      <x:c r="F4" s="18" t="n">
        <x:v>1</x:v>
      </x:c>
      <x:c r="G4" s="21" t="n">
        <x:v>0</x:v>
      </x:c>
      <x:c r="H4" s="18" t="str">
        <x:v>High</x:v>
      </x:c>
      <x:c r="I4" s="18" t="str">
        <x:v>發票列示金額為空白／零</x:v>
      </x:c>
      <x:c r="J4" s="18" t="str">
        <x:v>Yi New Sewing Machine_Jan.'26.pdf</x:v>
      </x:c>
    </x:row>
    <x:row r="5">
      <x:c r="A5" s="19" t="n">
        <x:v>46006</x:v>
      </x:c>
      <x:c r="B5" s="18" t="str">
        <x:v>YI-000091</x:v>
      </x:c>
      <x:c r="C5" s="18" t="str">
        <x:v>600型燙襯機大溫電機</x:v>
      </x:c>
      <x:c r="D5" s="18" t="str">
        <x:v>EL-TSM600-HIGH-TEMP-MOTOR</x:v>
      </x:c>
      <x:c r="E5" s="18" t="str">
        <x:v>600型燙襯機大溫電機</x:v>
      </x:c>
      <x:c r="F5" s="18" t="n">
        <x:v>1</x:v>
      </x:c>
      <x:c r="G5" s="21" t="n">
        <x:v>18</x:v>
      </x:c>
      <x:c r="H5" s="18" t="str">
        <x:v>Medium</x:v>
      </x:c>
      <x:c r="I5" s="18" t="str">
        <x:v>原始品名較不常見，建議以實物或供應商料號確認</x:v>
      </x:c>
      <x:c r="J5" s="18" t="str">
        <x:v>Yi New Sewing Machine_Jan.'26.pdf</x:v>
      </x:c>
    </x:row>
    <x:row r="6">
      <x:c r="A6" s="19" t="n">
        <x:v>46042</x:v>
      </x:c>
      <x:c r="B6" s="18" t="str">
        <x:v>YI-000100</x:v>
      </x:c>
      <x:c r="C6" s="18" t="str">
        <x:v>505c3-224組-10in</x:v>
      </x:c>
      <x:c r="D6" s="18" t="str">
        <x:v>CT-505C3-224-10IN</x:v>
      </x:c>
      <x:c r="E6" s="18" t="str">
        <x:v>505C3-224組 10吋</x:v>
      </x:c>
      <x:c r="F6" s="18" t="n">
        <x:v>2</x:v>
      </x:c>
      <x:c r="G6" s="21" t="n">
        <x:v>50</x:v>
      </x:c>
      <x:c r="H6" s="18" t="str">
        <x:v>Medium</x:v>
      </x:c>
      <x:c r="I6" s="18" t="str">
        <x:v>原始品名保留；建議補機型與實物照片</x:v>
      </x:c>
      <x:c r="J6" s="18" t="str">
        <x:v>Yi New Sewing Machine_Jan.'26.pdf</x:v>
      </x:c>
    </x:row>
    <x:row r="7">
      <x:c r="A7" s="19" t="n">
        <x:v>46090</x:v>
      </x:c>
      <x:c r="B7" s="18" t="str">
        <x:v>YI-000114</x:v>
      </x:c>
      <x:c r="C7" s="18" t="str">
        <x:v>沙剪刀</x:v>
      </x:c>
      <x:c r="D7" s="18" t="str">
        <x:v>TL-THREAD-SNIP-GLOBE</x:v>
      </x:c>
      <x:c r="E7" s="18" t="str">
        <x:v>環球沙剪</x:v>
      </x:c>
      <x:c r="F7" s="18" t="n">
        <x:v>5</x:v>
      </x:c>
      <x:c r="G7" s="21" t="n">
        <x:v>2.3</x:v>
      </x:c>
      <x:c r="H7" s="18" t="str">
        <x:v>Medium</x:v>
      </x:c>
      <x:c r="I7" s="18" t="str">
        <x:v>原始發票寫「沙剪刀」，依同價同品項合併至環球沙剪</x:v>
      </x:c>
      <x:c r="J7" s="18" t="str">
        <x:v>Yi New Sewing Machine_Mar.'26.pdf</x:v>
      </x:c>
    </x:row>
    <x:row r="8">
      <x:c r="A8" s="19" t="n">
        <x:v>46091</x:v>
      </x:c>
      <x:c r="B8" s="18" t="str">
        <x:v>YI-000116</x:v>
      </x:c>
      <x:c r="C8" s="18" t="str">
        <x:v>台灣產強效益美精去污劑</x:v>
      </x:c>
      <x:c r="D8" s="18" t="str">
        <x:v>CH-YIMEIJING-STAIN-REMOVER</x:v>
      </x:c>
      <x:c r="E8" s="18" t="str">
        <x:v>台灣產強效益美精去污劑</x:v>
      </x:c>
      <x:c r="F8" s="18" t="n">
        <x:v>1</x:v>
      </x:c>
      <x:c r="G8" s="21" t="n">
        <x:v>6.5</x:v>
      </x:c>
      <x:c r="H8" s="18" t="str">
        <x:v>Medium</x:v>
      </x:c>
      <x:c r="I8" s="18" t="str">
        <x:v>原始中文辨識可能需供應商再次確認</x:v>
      </x:c>
      <x:c r="J8" s="18" t="str">
        <x:v>Yi New Sewing Machine_Mar.'26.pdf</x:v>
      </x:c>
    </x:row>
    <x:row r="9">
      <x:c r="A9" s="19" t="n">
        <x:v>46144</x:v>
      </x:c>
      <x:c r="B9" s="18" t="str">
        <x:v>YI-000128</x:v>
      </x:c>
      <x:c r="C9" s="18" t="str">
        <x:v>JUKI-8700活動刀</x:v>
      </x:c>
      <x:c r="D9" s="18" t="str">
        <x:v>KN-JUKI8700A-MOVING</x:v>
      </x:c>
      <x:c r="E9" s="18" t="str">
        <x:v>JUKI-8700A 活動刀</x:v>
      </x:c>
      <x:c r="F9" s="18" t="n">
        <x:v>10</x:v>
      </x:c>
      <x:c r="G9" s="21" t="n">
        <x:v>2.5</x:v>
      </x:c>
      <x:c r="H9" s="18" t="str">
        <x:v>Medium</x:v>
      </x:c>
      <x:c r="I9" s="18" t="str">
        <x:v>原始發票型號寫8700，與4月8700A合併比較</x:v>
      </x:c>
      <x:c r="J9" s="18" t="str">
        <x:v>Yi New Sewing Machine_May.'26.pdf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0220526400ba424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32" hidden="0" customWidth="1"/>
    <x:col min="4" max="4" width="26" hidden="0" customWidth="1"/>
    <x:col min="5" max="5" width="34" hidden="0" customWidth="1"/>
    <x:col min="6" max="6" width="20" hidden="0" customWidth="1"/>
  </x:cols>
  <x:sheetData>
    <x:row r="1">
      <x:c r="A1" s="28" t="str">
        <x:v>Price Comparison Rules &amp; Part Number Logic</x:v>
      </x:c>
      <x:c r="B1" s="28"/>
      <x:c r="C1" s="28"/>
      <x:c r="D1" s="28"/>
      <x:c r="E1" s="28"/>
      <x:c r="F1" s="28"/>
    </x:row>
    <x:row r="3">
      <x:c r="A3" s="6" t="str">
        <x:v>Rule</x:v>
      </x:c>
      <x:c r="B3" s="6" t="str">
        <x:v>Definition</x:v>
      </x:c>
      <x:c r="C3" s="6" t="str">
        <x:v>Action</x:v>
      </x:c>
      <x:c r="D3" s="6" t="str">
        <x:v>Example</x:v>
      </x:c>
      <x:c r="E3" s="6" t="str">
        <x:v>Why</x:v>
      </x:c>
      <x:c r="F3" s="6" t="str">
        <x:v>System Use</x:v>
      </x:c>
    </x:row>
    <x:row r="4">
      <x:c r="A4" s="18" t="str">
        <x:v>Normal</x:v>
      </x:c>
      <x:c r="B4" s="18" t="str">
        <x:v>New price &lt;= historical max</x:v>
      </x:c>
      <x:c r="C4" s="18" t="str">
        <x:v>Accept after normal review</x:v>
      </x:c>
      <x:c r="D4" s="18" t="str">
        <x:v>DCx27 #12 &lt;= $1.30</x:v>
      </x:c>
      <x:c r="E4" s="18" t="str">
        <x:v>Within actual historical range</x:v>
      </x:c>
      <x:c r="F4" s="18" t="str">
        <x:v>Green</x:v>
      </x:c>
    </x:row>
    <x:row r="5">
      <x:c r="A5" s="18" t="str">
        <x:v>Watch</x:v>
      </x:c>
      <x:c r="B5" s="18" t="str">
        <x:v>Historical max &lt; new price &lt;= upper trigger</x:v>
      </x:c>
      <x:c r="C5" s="18" t="str">
        <x:v>Confirm quantity/unit/spec</x:v>
      </x:c>
      <x:c r="D5" s="18" t="str">
        <x:v>$1.30 to $1.43</x:v>
      </x:c>
      <x:c r="E5" s="18" t="str">
        <x:v>Possible small market or packaging change</x:v>
      </x:c>
      <x:c r="F5" s="18" t="str">
        <x:v>Amber</x:v>
      </x:c>
    </x:row>
    <x:row r="6">
      <x:c r="A6" s="18" t="str">
        <x:v>Review</x:v>
      </x:c>
      <x:c r="B6" s="18" t="str">
        <x:v>New price &gt; historical max × 1.10</x:v>
      </x:c>
      <x:c r="C6" s="18" t="str">
        <x:v>Require quotation and approval</x:v>
      </x:c>
      <x:c r="D6" s="18" t="str">
        <x:v>DCx27 #12 &gt; $1.43</x:v>
      </x:c>
      <x:c r="E6" s="18" t="str">
        <x:v>More than 10% above known maximum</x:v>
      </x:c>
      <x:c r="F6" s="18" t="str">
        <x:v>Red</x:v>
      </x:c>
    </x:row>
    <x:row r="7">
      <x:c r="A7" s="18" t="str">
        <x:v>Duplicate item</x:v>
      </x:c>
      <x:c r="B7" s="18" t="str">
        <x:v>Same standardized Part No already exists</x:v>
      </x:c>
      <x:c r="C7" s="18" t="str">
        <x:v>Update price/history; do not create duplicate</x:v>
      </x:c>
      <x:c r="D7" s="18" t="str">
        <x:v>ORGAN / 風琴 / Organ</x:v>
      </x:c>
      <x:c r="E7" s="18" t="str">
        <x:v>Different writing can be same item</x:v>
      </x:c>
      <x:c r="F7" s="18" t="str">
        <x:v>Match by Part No</x:v>
      </x:c>
    </x:row>
    <x:row r="8">
      <x:c r="A8" s="18" t="str">
        <x:v>Unit mismatch</x:v>
      </x:c>
      <x:c r="B8" s="18" t="str">
        <x:v>Same item but unit changes</x:v>
      </x:c>
      <x:c r="C8" s="18" t="str">
        <x:v>Do not compare until converted</x:v>
      </x:c>
      <x:c r="D8" s="18" t="str">
        <x:v>包 vs 盒</x:v>
      </x:c>
      <x:c r="E8" s="18" t="str">
        <x:v>Unit-price comparison would be misleading</x:v>
      </x:c>
      <x:c r="F8" s="18" t="str">
        <x:v>Block import</x:v>
      </x:c>
    </x:row>
    <x:row r="9">
      <x:c r="A9" s="18" t="str">
        <x:v>Single record</x:v>
      </x:c>
      <x:c r="B9" s="18" t="str">
        <x:v>Only one historical purchase</x:v>
      </x:c>
      <x:c r="C9" s="18" t="str">
        <x:v>Use ±10% as provisional range</x:v>
      </x:c>
      <x:c r="D9" s="18" t="str">
        <x:v>One-off equipment</x:v>
      </x:c>
      <x:c r="E9" s="18" t="str">
        <x:v>Insufficient history</x:v>
      </x:c>
      <x:c r="F9" s="18" t="str">
        <x:v>Low reliability</x:v>
      </x:c>
    </x:row>
    <x:row r="12">
      <x:c r="A12" s="6" t="str">
        <x:v>Code Prefix</x:v>
      </x:c>
      <x:c r="B12" s="6" t="str">
        <x:v>Category</x:v>
      </x:c>
      <x:c r="C12" s="6" t="str">
        <x:v>Meaning</x:v>
      </x:c>
      <x:c r="D12" s="6" t="str">
        <x:v>Example Part No</x:v>
      </x:c>
      <x:c r="E12" s="6" t="str">
        <x:v>Example Name</x:v>
      </x:c>
      <x:c r="F12" s="6" t="str">
        <x:v>Notes</x:v>
      </x:c>
    </x:row>
    <x:row r="13">
      <x:c r="A13" s="18" t="str">
        <x:v>ND</x:v>
      </x:c>
      <x:c r="B13" s="18" t="str">
        <x:v>Needle</x:v>
      </x:c>
      <x:c r="C13" s="18" t="str">
        <x:v>Machine needle</x:v>
      </x:c>
      <x:c r="D13" s="18" t="str">
        <x:v>ND-DCX27-12</x:v>
      </x:c>
      <x:c r="E13" s="18" t="str">
        <x:v>風琴機針 DCx27 #12</x:v>
      </x:c>
      <x:c r="F13" s="18" t="str">
        <x:v>型號與針號必須分開</x:v>
      </x:c>
    </x:row>
    <x:row r="14">
      <x:c r="A14" s="18" t="str">
        <x:v>PF</x:v>
      </x:c>
      <x:c r="B14" s="18" t="str">
        <x:v>Presser Foot</x:v>
      </x:c>
      <x:c r="C14" s="18" t="str">
        <x:v>Presser foot</x:v>
      </x:c>
      <x:c r="D14" s="18" t="str">
        <x:v>PF-CL1-16N</x:v>
      </x:c>
      <x:c r="E14" s="18" t="str">
        <x:v>CL1/16N 壓腳</x:v>
      </x:c>
      <x:c r="F14" s="18" t="str"/>
    </x:row>
    <x:row r="15">
      <x:c r="A15" s="18" t="str">
        <x:v>NP</x:v>
      </x:c>
      <x:c r="B15" s="18" t="str">
        <x:v>Needle Plate</x:v>
      </x:c>
      <x:c r="C15" s="18" t="str">
        <x:v>Needle plate</x:v>
      </x:c>
      <x:c r="D15" s="18" t="str">
        <x:v>NP-E22</x:v>
      </x:c>
      <x:c r="E15" s="18" t="str">
        <x:v>E22 針板</x:v>
      </x:c>
      <x:c r="F15" s="18" t="str"/>
    </x:row>
    <x:row r="16">
      <x:c r="A16" s="18" t="str">
        <x:v>FD</x:v>
      </x:c>
      <x:c r="B16" s="18" t="str">
        <x:v>Feed Dog</x:v>
      </x:c>
      <x:c r="C16" s="18" t="str">
        <x:v>Feed dog / tooth</x:v>
      </x:c>
      <x:c r="D16" s="18" t="str">
        <x:v>FD-H208K</x:v>
      </x:c>
      <x:c r="E16" s="18" t="str">
        <x:v>H208K 牙齒</x:v>
      </x:c>
      <x:c r="F16" s="18" t="str"/>
    </x:row>
    <x:row r="17">
      <x:c r="A17" s="18" t="str">
        <x:v>KN</x:v>
      </x:c>
      <x:c r="B17" s="18" t="str">
        <x:v>Knife</x:v>
      </x:c>
      <x:c r="C17" s="18" t="str">
        <x:v>Knife / cutting blade</x:v>
      </x:c>
      <x:c r="D17" s="18" t="str">
        <x:v>KN-KR23-UPPER</x:v>
      </x:c>
      <x:c r="E17" s="18" t="str">
        <x:v>拷克上刀 KR23</x:v>
      </x:c>
      <x:c r="F17" s="18" t="str"/>
    </x:row>
    <x:row r="18">
      <x:c r="A18" s="18" t="str">
        <x:v>LP</x:v>
      </x:c>
      <x:c r="B18" s="18" t="str">
        <x:v>Looper</x:v>
      </x:c>
      <x:c r="C18" s="18" t="str">
        <x:v>Looper / hook</x:v>
      </x:c>
      <x:c r="D18" s="18" t="str">
        <x:v>LP-LP226-UPPER</x:v>
      </x:c>
      <x:c r="E18" s="18" t="str">
        <x:v>拷克上勾針 LP226</x:v>
      </x:c>
      <x:c r="F18" s="18" t="str"/>
    </x:row>
    <x:row r="19">
      <x:c r="A19" s="18" t="str">
        <x:v>EL</x:v>
      </x:c>
      <x:c r="B19" s="18" t="str">
        <x:v>Electrical</x:v>
      </x:c>
      <x:c r="C19" s="18" t="str">
        <x:v>Electrical/control part</x:v>
      </x:c>
      <x:c r="D19" s="18" t="str">
        <x:v>EL-TSM600-TEMP-CONTROLLER</x:v>
      </x:c>
      <x:c r="E19" s="18" t="str">
        <x:v>燙襯機溫控器</x:v>
      </x:c>
      <x:c r="F19" s="18" t="str"/>
    </x:row>
    <x:row r="20">
      <x:c r="A20" s="18" t="str">
        <x:v>MT</x:v>
      </x:c>
      <x:c r="B20" s="18" t="str">
        <x:v>Motor/Drive</x:v>
      </x:c>
      <x:c r="C20" s="18" t="str">
        <x:v>Motor/coupler</x:v>
      </x:c>
      <x:c r="D20" s="18" t="str">
        <x:v>MT-SIRUBA747KD-COUPLER</x:v>
      </x:c>
      <x:c r="E20" s="18" t="str">
        <x:v>馬達聯軸器</x:v>
      </x:c>
      <x:c r="F20" s="18" t="str"/>
    </x:row>
    <x:row r="21">
      <x:c r="A21" s="18" t="str">
        <x:v>CN/CH</x:v>
      </x:c>
      <x:c r="B21" s="18" t="str">
        <x:v>Consumable</x:v>
      </x:c>
      <x:c r="C21" s="18" t="str">
        <x:v>General/chemical consumable</x:v>
      </x:c>
      <x:c r="D21" s="18" t="str">
        <x:v>CN-TEFLON-STRIP-1MM</x:v>
      </x:c>
      <x:c r="E21" s="18" t="str">
        <x:v>鐵氟龍條</x:v>
      </x:c>
      <x:c r="F21" s="18" t="str"/>
    </x:row>
    <x:row r="22">
      <x:c r="A22" s="18" t="str">
        <x:v>TL</x:v>
      </x:c>
      <x:c r="B22" s="18" t="str">
        <x:v>Tool</x:v>
      </x:c>
      <x:c r="C22" s="18" t="str">
        <x:v>Maintenance or cutting tool</x:v>
      </x:c>
      <x:c r="D22" s="18" t="str">
        <x:v>TL-THREAD-SNIP-GLOBE</x:v>
      </x:c>
      <x:c r="E22" s="18" t="str">
        <x:v>環球沙剪</x:v>
      </x:c>
      <x:c r="F22" s="18" t="str"/>
    </x:row>
    <x:row r="23">
      <x:c r="A23" s="18" t="str">
        <x:v>EQ</x:v>
      </x:c>
      <x:c r="B23" s="18" t="str">
        <x:v>Equipment</x:v>
      </x:c>
      <x:c r="C23" s="18" t="str">
        <x:v>Complete equipment</x:v>
      </x:c>
      <x:c r="D23" s="18" t="str">
        <x:v>EQ-FABRIC-CUTTER-RAIL</x:v>
      </x:c>
      <x:c r="E23" s="18" t="str">
        <x:v>斷布機（含軌道）</x:v>
      </x:c>
      <x:c r="F23" s="18" t="str"/>
    </x:row>
    <x:row r="24">
      <x:c r="A24" s="18" t="str">
        <x:v>SV</x:v>
      </x:c>
      <x:c r="B24" s="18" t="str">
        <x:v>Service</x:v>
      </x:c>
      <x:c r="C24" s="18" t="str">
        <x:v>Repair service</x:v>
      </x:c>
      <x:c r="D24" s="18" t="str">
        <x:v>SV-YUANYI-SPREADER-REPAIR</x:v>
      </x:c>
      <x:c r="E24" s="18" t="str">
        <x:v>拉布機維修</x:v>
      </x:c>
      <x:c r="F24" s="18" t="str">
        <x:v>不匯入庫存主檔</x:v>
      </x:c>
    </x:row>
  </x:sheetData>
  <x:mergeCells>
    <x:mergeCell ref="A1:F1"/>
  </x:mergeCells>
  <x:pageMargins left="0.7" right="0.7" top="0.75" bottom="0.75" header="0.3" footer="0.3"/>
  <x:tableParts count="2">
    <x:tablePart xmlns:r="http://schemas.openxmlformats.org/officeDocument/2006/relationships" r:id="R0feeb0630f294cff"/>
    <x:tablePart xmlns:r="http://schemas.openxmlformats.org/officeDocument/2006/relationships" r:id="R6e6fd042d85742a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2" hidden="0" customWidth="1"/>
    <x:col min="4" max="4" width="18" hidden="0" customWidth="1"/>
    <x:col min="5" max="5" width="25" hidden="0" customWidth="1"/>
    <x:col min="6" max="6" width="28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>
      <x:c r="A1" s="218" t="str">
        <x:v>VRT Machine Spare Parts Purchase &amp; Price Benchmark</x:v>
      </x:c>
      <x:c r="B1" s="218"/>
      <x:c r="C1" s="218"/>
      <x:c r="D1" s="218"/>
      <x:c r="E1" s="218"/>
      <x:c r="F1" s="218"/>
      <x:c r="G1" s="218"/>
      <x:c r="H1" s="218"/>
      <x:c r="I1" s="218"/>
      <x:c r="J1" s="218"/>
      <x:c r="K1" s="218"/>
      <x:c r="L1" s="218"/>
    </x:row>
    <x:row r="2">
      <x:c r="A2" s="218"/>
      <x:c r="B2" s="218"/>
      <x:c r="C2" s="218"/>
      <x:c r="D2" s="218"/>
      <x:c r="E2" s="218"/>
      <x:c r="F2" s="218"/>
      <x:c r="G2" s="218"/>
      <x:c r="H2" s="218"/>
      <x:c r="I2" s="218"/>
      <x:c r="J2" s="218"/>
      <x:c r="K2" s="218"/>
      <x:c r="L2" s="218"/>
    </x:row>
    <x:row r="3">
      <x:c r="A3" s="219" t="str">
        <x:v>Supplier: YI New Sewing Machine Co., Ltd | Source: Monthly Statements | Period: 2026 Jan-Jun | Currency: USD</x:v>
      </x:c>
      <x:c r="B3" s="219"/>
      <x:c r="C3" s="219"/>
      <x:c r="D3" s="219"/>
      <x:c r="E3" s="219"/>
      <x:c r="F3" s="219"/>
      <x:c r="G3" s="219"/>
      <x:c r="H3" s="219"/>
      <x:c r="I3" s="219"/>
      <x:c r="J3" s="219"/>
      <x:c r="K3" s="219"/>
      <x:c r="L3" s="219"/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</x:row>
    <x:row r="5">
      <x:c r="A5" s="92" t="str">
        <x:v>Subtotal
$14,563.15
Before VAT</x:v>
      </x:c>
      <x:c r="B5" s="93"/>
      <x:c r="C5" s="94"/>
      <x:c r="D5" s="92" t="str">
        <x:v>Grand Total
$16,019.47
Including 10% VAT</x:v>
      </x:c>
      <x:c r="E5" s="93"/>
      <x:c r="F5" s="94"/>
      <x:c r="G5" s="92" t="str">
        <x:v>Unique Master Items
86
Standardized Part Nos</x:v>
      </x:c>
      <x:c r="H5" s="93"/>
      <x:c r="I5" s="94"/>
      <x:c r="J5" s="92" t="str">
        <x:v>Transaction Lines
152
6 monthly statements</x:v>
      </x:c>
      <x:c r="K5" s="93"/>
      <x:c r="L5" s="94"/>
    </x:row>
    <x:row r="6">
      <x:c r="A6" s="95"/>
      <x:c r="B6" s="96"/>
      <x:c r="C6" s="97"/>
      <x:c r="D6" s="95"/>
      <x:c r="E6" s="96"/>
      <x:c r="F6" s="97"/>
      <x:c r="G6" s="95"/>
      <x:c r="H6" s="96"/>
      <x:c r="I6" s="97"/>
      <x:c r="J6" s="95"/>
      <x:c r="K6" s="96"/>
      <x:c r="L6" s="97"/>
    </x:row>
    <x:row r="7">
      <x:c r="A7" s="98"/>
      <x:c r="B7" s="99"/>
      <x:c r="C7" s="100"/>
      <x:c r="D7" s="98"/>
      <x:c r="E7" s="99"/>
      <x:c r="F7" s="100"/>
      <x:c r="G7" s="98"/>
      <x:c r="H7" s="99"/>
      <x:c r="I7" s="100"/>
      <x:c r="J7" s="98"/>
      <x:c r="K7" s="99"/>
      <x:c r="L7" s="100"/>
    </x:row>
    <x:row r="8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</x:row>
    <x:row r="9">
      <x:c r="A9" s="92" t="str">
        <x:v>Needle Spend
$8,942.00
61.4% of subtotal</x:v>
      </x:c>
      <x:c r="B9" s="93"/>
      <x:c r="C9" s="94"/>
      <x:c r="D9" s="92" t="str">
        <x:v>Repeated Items
29
Items with &gt;=2 price records</x:v>
      </x:c>
      <x:c r="E9" s="93"/>
      <x:c r="F9" s="94"/>
      <x:c r="G9" s="92" t="str">
        <x:v>Price Changes
1
JUKI-8700A moving knife</x:v>
      </x:c>
      <x:c r="H9" s="93"/>
      <x:c r="I9" s="94"/>
      <x:c r="J9" s="92" t="str">
        <x:v>Review Items
6
Name/model confirmation</x:v>
      </x:c>
      <x:c r="K9" s="93"/>
      <x:c r="L9" s="94"/>
    </x:row>
    <x:row r="10">
      <x:c r="A10" s="95"/>
      <x:c r="B10" s="96"/>
      <x:c r="C10" s="97"/>
      <x:c r="D10" s="95"/>
      <x:c r="E10" s="96"/>
      <x:c r="F10" s="97"/>
      <x:c r="G10" s="95"/>
      <x:c r="H10" s="96"/>
      <x:c r="I10" s="97"/>
      <x:c r="J10" s="95"/>
      <x:c r="K10" s="96"/>
      <x:c r="L10" s="97"/>
    </x:row>
    <x:row r="11">
      <x:c r="A11" s="98"/>
      <x:c r="B11" s="99"/>
      <x:c r="C11" s="100"/>
      <x:c r="D11" s="98"/>
      <x:c r="E11" s="99"/>
      <x:c r="F11" s="100"/>
      <x:c r="G11" s="98"/>
      <x:c r="H11" s="99"/>
      <x:c r="I11" s="100"/>
      <x:c r="J11" s="98"/>
      <x:c r="K11" s="99"/>
      <x:c r="L11" s="100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</x:row>
    <x:row r="13">
      <x:c r="A13" s="220" t="str">
        <x:v>Key Findings</x:v>
      </x:c>
      <x:c r="B13" s="220"/>
      <x:c r="C13" s="220"/>
      <x:c r="D13" s="220"/>
      <x:c r="E13" s="220"/>
      <x:c r="F13" s="220"/>
      <x:c r="G13" s="18"/>
      <x:c r="H13" s="18"/>
      <x:c r="I13" s="18"/>
      <x:c r="J13" s="18"/>
      <x:c r="K13" s="18"/>
      <x:c r="L13" s="18"/>
    </x:row>
    <x:row r="14">
      <x:c r="A14" s="221" t="str">
        <x:v>1</x:v>
      </x:c>
      <x:c r="B14" s="151" t="str">
        <x:v>Needles are the dominant spend</x:v>
      </x:c>
      <x:c r="C14" s="151" t="str">
        <x:v>$8,942.00 / 61.4% of subtotal</x:v>
      </x:c>
      <x:c r="D14" s="151" t="str">
        <x:v>Use fixed benchmark prices by needle model and size.</x:v>
      </x:c>
      <x:c r="E14" s="151"/>
      <x:c r="F14" s="152"/>
      <x:c r="G14" s="18"/>
      <x:c r="H14" s="18"/>
      <x:c r="I14" s="18"/>
      <x:c r="J14" s="18"/>
      <x:c r="K14" s="18"/>
      <x:c r="L14" s="18"/>
    </x:row>
    <x:row r="15">
      <x:c r="A15" s="222" t="str">
        <x:v>2</x:v>
      </x:c>
      <x:c r="B15" s="18" t="str">
        <x:v>Repeated prices are highly stable</x:v>
      </x:c>
      <x:c r="C15" s="18" t="str">
        <x:v>28 of 29 repeated items had no price change</x:v>
      </x:c>
      <x:c r="D15" s="18" t="str">
        <x:v>Suitable for automatic price-check rules.</x:v>
      </x:c>
      <x:c r="E15" s="18"/>
      <x:c r="F15" s="154"/>
      <x:c r="G15" s="18"/>
      <x:c r="H15" s="18"/>
      <x:c r="I15" s="18"/>
      <x:c r="J15" s="18"/>
      <x:c r="K15" s="18"/>
      <x:c r="L15" s="18"/>
    </x:row>
    <x:row r="16">
      <x:c r="A16" s="222" t="str">
        <x:v>3</x:v>
      </x:c>
      <x:c r="B16" s="18" t="str">
        <x:v>Only confirmed price movement</x:v>
      </x:c>
      <x:c r="C16" s="18" t="str">
        <x:v>JUKI-8700A moving knife: $2.30 -&gt; $2.50 (+8.7%)</x:v>
      </x:c>
      <x:c r="D16" s="18" t="str">
        <x:v>Watch, but still below the 10% review trigger.</x:v>
      </x:c>
      <x:c r="E16" s="18"/>
      <x:c r="F16" s="154"/>
      <x:c r="G16" s="18"/>
      <x:c r="H16" s="18"/>
      <x:c r="I16" s="18"/>
      <x:c r="J16" s="18"/>
      <x:c r="K16" s="18"/>
      <x:c r="L16" s="18"/>
    </x:row>
    <x:row r="17">
      <x:c r="A17" s="222" t="str">
        <x:v>4</x:v>
      </x:c>
      <x:c r="B17" s="18" t="str">
        <x:v>Highest month</x:v>
      </x:c>
      <x:c r="C17" s="18" t="str">
        <x:v>March subtotal $3,032.00</x:v>
      </x:c>
      <x:c r="D17" s="18" t="str">
        <x:v>Driven by automatic spreader repairs/parts.</x:v>
      </x:c>
      <x:c r="E17" s="18"/>
      <x:c r="F17" s="154"/>
      <x:c r="G17" s="18"/>
      <x:c r="H17" s="18"/>
      <x:c r="I17" s="18"/>
      <x:c r="J17" s="18"/>
      <x:c r="K17" s="18"/>
      <x:c r="L17" s="18"/>
    </x:row>
    <x:row r="18">
      <x:c r="A18" s="223" t="str">
        <x:v>5</x:v>
      </x:c>
      <x:c r="B18" s="156" t="str">
        <x:v>Recommended control</x:v>
      </x:c>
      <x:c r="C18" s="156" t="str">
        <x:v>Review new quote if &gt; historical max × 1.10</x:v>
      </x:c>
      <x:c r="D18" s="156" t="str">
        <x:v>Also block comparisons when units differ.</x:v>
      </x:c>
      <x:c r="E18" s="156"/>
      <x:c r="F18" s="157"/>
      <x:c r="G18" s="18"/>
      <x:c r="H18" s="18"/>
      <x:c r="I18" s="18"/>
      <x:c r="J18" s="18"/>
      <x:c r="K18" s="18"/>
      <x:c r="L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</x:row>
    <x:row r="21">
      <x:c r="A21" s="6" t="str">
        <x:v>Month</x:v>
      </x:c>
      <x:c r="B21" s="6" t="str">
        <x:v>Subtotal</x:v>
      </x:c>
      <x:c r="C21" s="6" t="str">
        <x:v>Grand Total</x:v>
      </x:c>
      <x:c r="D21" s="18"/>
      <x:c r="E21" s="6" t="str">
        <x:v>Category</x:v>
      </x:c>
      <x:c r="F21" s="6" t="str">
        <x:v>Spend</x:v>
      </x:c>
      <x:c r="G21" s="18"/>
      <x:c r="H21" s="18"/>
      <x:c r="I21" s="18"/>
      <x:c r="J21" s="18"/>
      <x:c r="K21" s="18"/>
      <x:c r="L21" s="18"/>
    </x:row>
    <x:row r="22">
      <x:c r="A22" s="18" t="str">
        <x:v>2026 Jan</x:v>
      </x:c>
      <x:c r="B22" s="21" t="n">
        <x:v>2610</x:v>
      </x:c>
      <x:c r="C22" s="21" t="n">
        <x:v>2871</x:v>
      </x:c>
      <x:c r="D22" s="18"/>
      <x:c r="E22" s="18" t="str">
        <x:v>Needle</x:v>
      </x:c>
      <x:c r="F22" s="21" t="n">
        <x:v>8942</x:v>
      </x:c>
      <x:c r="G22" s="18"/>
      <x:c r="H22" s="18"/>
      <x:c r="I22" s="18"/>
      <x:c r="J22" s="18"/>
      <x:c r="K22" s="18"/>
      <x:c r="L22" s="18"/>
    </x:row>
    <x:row r="23">
      <x:c r="A23" s="18" t="str">
        <x:v>2026 Feb</x:v>
      </x:c>
      <x:c r="B23" s="21" t="n">
        <x:v>1850.9</x:v>
      </x:c>
      <x:c r="C23" s="21" t="n">
        <x:v>2035.99</x:v>
      </x:c>
      <x:c r="D23" s="18"/>
      <x:c r="E23" s="18" t="str">
        <x:v>Electrical/Control</x:v>
      </x:c>
      <x:c r="F23" s="21" t="n">
        <x:v>1175</x:v>
      </x:c>
      <x:c r="G23" s="18"/>
      <x:c r="H23" s="18"/>
      <x:c r="I23" s="18"/>
      <x:c r="J23" s="18"/>
      <x:c r="K23" s="18"/>
      <x:c r="L23" s="18"/>
    </x:row>
    <x:row r="24">
      <x:c r="A24" s="18" t="str">
        <x:v>2026 Mar</x:v>
      </x:c>
      <x:c r="B24" s="21" t="n">
        <x:v>3032</x:v>
      </x:c>
      <x:c r="C24" s="21" t="n">
        <x:v>3335.2</x:v>
      </x:c>
      <x:c r="D24" s="18"/>
      <x:c r="E24" s="18" t="str">
        <x:v>Consumable/Chemical</x:v>
      </x:c>
      <x:c r="F24" s="21" t="n">
        <x:v>951.9</x:v>
      </x:c>
      <x:c r="G24" s="18"/>
      <x:c r="H24" s="18"/>
      <x:c r="I24" s="18"/>
      <x:c r="J24" s="18"/>
      <x:c r="K24" s="18"/>
      <x:c r="L24" s="18"/>
    </x:row>
    <x:row r="25">
      <x:c r="A25" s="18" t="str">
        <x:v>2026 Apr</x:v>
      </x:c>
      <x:c r="B25" s="21" t="n">
        <x:v>1736</x:v>
      </x:c>
      <x:c r="C25" s="21" t="n">
        <x:v>1909.6</x:v>
      </x:c>
      <x:c r="D25" s="18"/>
      <x:c r="E25" s="18" t="str">
        <x:v>Motor/Drive</x:v>
      </x:c>
      <x:c r="F25" s="21" t="n">
        <x:v>630</x:v>
      </x:c>
      <x:c r="G25" s="18"/>
      <x:c r="H25" s="18"/>
      <x:c r="I25" s="18"/>
      <x:c r="J25" s="18"/>
      <x:c r="K25" s="18"/>
      <x:c r="L25" s="18"/>
    </x:row>
    <x:row r="26">
      <x:c r="A26" s="18" t="str">
        <x:v>2026 May</x:v>
      </x:c>
      <x:c r="B26" s="21" t="n">
        <x:v>2572.5</x:v>
      </x:c>
      <x:c r="C26" s="21" t="n">
        <x:v>2829.75</x:v>
      </x:c>
      <x:c r="D26" s="18"/>
      <x:c r="E26" s="18" t="str">
        <x:v>Cutting</x:v>
      </x:c>
      <x:c r="F26" s="21" t="n">
        <x:v>621</x:v>
      </x:c>
      <x:c r="G26" s="18"/>
      <x:c r="H26" s="18"/>
      <x:c r="I26" s="18"/>
      <x:c r="J26" s="18"/>
      <x:c r="K26" s="18"/>
      <x:c r="L26" s="18"/>
    </x:row>
    <x:row r="27">
      <x:c r="A27" s="18" t="str">
        <x:v>2026 Jun</x:v>
      </x:c>
      <x:c r="B27" s="21" t="n">
        <x:v>2761.75</x:v>
      </x:c>
      <x:c r="C27" s="21" t="n">
        <x:v>3037.93</x:v>
      </x:c>
      <x:c r="D27" s="18"/>
      <x:c r="E27" s="18" t="str">
        <x:v>Equipment</x:v>
      </x:c>
      <x:c r="F27" s="21" t="n">
        <x:v>525</x:v>
      </x:c>
      <x:c r="G27" s="18"/>
      <x:c r="H27" s="18"/>
      <x:c r="I27" s="18"/>
      <x:c r="J27" s="18"/>
      <x:c r="K27" s="18"/>
      <x:c r="L27" s="18"/>
    </x:row>
    <x:row r="28">
      <x:c r="A28" s="18"/>
      <x:c r="B28" s="18"/>
      <x:c r="C28" s="18"/>
      <x:c r="D28" s="18"/>
      <x:c r="E28" s="18" t="str">
        <x:v>Ironing/Heat Transfer</x:v>
      </x:c>
      <x:c r="F28" s="21" t="n">
        <x:v>503</x:v>
      </x:c>
      <x:c r="G28" s="18"/>
      <x:c r="H28" s="18"/>
      <x:c r="I28" s="18"/>
      <x:c r="J28" s="18"/>
      <x:c r="K28" s="18"/>
      <x:c r="L28" s="18"/>
    </x:row>
    <x:row r="29">
      <x:c r="A29" s="18"/>
      <x:c r="B29" s="18"/>
      <x:c r="C29" s="18"/>
      <x:c r="D29" s="18"/>
      <x:c r="E29" s="18" t="str">
        <x:v>Repair Service</x:v>
      </x:c>
      <x:c r="F29" s="21" t="n">
        <x:v>360</x:v>
      </x:c>
      <x:c r="G29" s="220" t="str">
        <x:v>Core Needle Benchmark (USD / pack)</x:v>
      </x:c>
      <x:c r="H29" s="220"/>
      <x:c r="I29" s="220"/>
      <x:c r="J29" s="220"/>
      <x:c r="K29" s="220"/>
      <x:c r="L29" s="220"/>
    </x:row>
    <x:row r="30">
      <x:c r="A30" s="18"/>
      <x:c r="B30" s="18"/>
      <x:c r="C30" s="18"/>
      <x:c r="D30" s="18"/>
      <x:c r="E30" s="18"/>
      <x:c r="F30" s="18"/>
      <x:c r="G30" s="186" t="str">
        <x:v>DBx1 / DPx5</x:v>
      </x:c>
      <x:c r="H30" s="187" t="str">
        <x:v>$0.78</x:v>
      </x:c>
      <x:c r="I30" s="187" t="str">
        <x:v>DCx27</x:v>
      </x:c>
      <x:c r="J30" s="187" t="str">
        <x:v>$1.30</x:v>
      </x:c>
      <x:c r="K30" s="187" t="str">
        <x:v>UYx128</x:v>
      </x:c>
      <x:c r="L30" s="188" t="str">
        <x:v>$1.78</x:v>
      </x:c>
    </x:row>
    <x:row r="31">
      <x:c r="A31" s="18"/>
      <x:c r="B31" s="18"/>
      <x:c r="C31" s="18"/>
      <x:c r="D31" s="18"/>
      <x:c r="E31" s="18"/>
      <x:c r="F31" s="18"/>
      <x:c r="G31" s="189" t="str">
        <x:v>UOx113</x:v>
      </x:c>
      <x:c r="H31" s="190" t="str">
        <x:v>$3.00</x:v>
      </x:c>
      <x:c r="I31" s="190" t="str">
        <x:v>Rule</x:v>
      </x:c>
      <x:c r="J31" s="190" t="str">
        <x:v>Historical Max × 1.10</x:v>
      </x:c>
      <x:c r="K31" s="190" t="str">
        <x:v>Unit</x:v>
      </x:c>
      <x:c r="L31" s="191" t="str">
        <x:v>Must match</x:v>
      </x:c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</x:row>
  </x:sheetData>
  <x:mergeCells>
    <x:mergeCell ref="A1:L2"/>
    <x:mergeCell ref="A3:L3"/>
    <x:mergeCell ref="A5:C7"/>
    <x:mergeCell ref="D5:F7"/>
    <x:mergeCell ref="G5:I7"/>
    <x:mergeCell ref="J5:L7"/>
    <x:mergeCell ref="A9:C11"/>
    <x:mergeCell ref="D9:F11"/>
    <x:mergeCell ref="G9:I11"/>
    <x:mergeCell ref="J9:L11"/>
    <x:mergeCell ref="A13:F13"/>
    <x:mergeCell ref="G29:L29"/>
  </x:mergeCells>
  <x:pageMargins left="0.7" right="0.7" top="0.75" bottom="0.75" header="0.3" footer="0.3"/>
  <x:drawing xmlns:r="http://schemas.openxmlformats.org/officeDocument/2006/relationships" r:id="R5c9685a2c3ab4b4a"/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3" hidden="0" customWidth="1"/>
    <x:col min="3" max="3" width="18" hidden="0" customWidth="1"/>
    <x:col min="4" max="4" width="14" hidden="0" customWidth="1"/>
    <x:col min="5" max="5" width="14" hidden="0" customWidth="1"/>
    <x:col min="6" max="6" width="16" hidden="0" customWidth="1"/>
    <x:col min="7" max="7" width="16" hidden="0" customWidth="1"/>
    <x:col min="8" max="8" width="16" hidden="0" customWidth="1"/>
    <x:col min="9" max="9" width="14" hidden="0" customWidth="1"/>
    <x:col min="10" max="10" width="14" hidden="0" customWidth="1"/>
    <x:col min="11" max="11" width="12" hidden="0" customWidth="1"/>
    <x:col min="12" max="12" width="14" hidden="0" customWidth="1"/>
    <x:col min="13" max="13" width="12" hidden="0" customWidth="1"/>
    <x:col min="14" max="14" width="16" hidden="0" customWidth="1"/>
    <x:col min="15" max="15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</x:cols>
  <x:sheetData>
    <x:row r="1" ht="32" customHeight="1">
      <x:c r="A1" s="255" t="str">
        <x:v>VRT 2026年1–6月機修採購費用與機針占比</x:v>
      </x:c>
      <x:c r="B1" s="255"/>
      <x:c r="C1" s="255"/>
      <x:c r="D1" s="255"/>
      <x:c r="E1" s="255"/>
      <x:c r="F1" s="255"/>
      <x:c r="G1" s="255"/>
      <x:c r="H1" s="255"/>
      <x:c r="I1" s="255"/>
      <x:c r="J1" s="255"/>
      <x:c r="K1" s="18"/>
      <x:c r="L1" s="18"/>
      <x:c r="M1" s="18"/>
      <x:c r="N1" s="18"/>
      <x:c r="O1" s="18"/>
    </x:row>
    <x:row r="2" ht="34" customHeight="1">
      <x:c r="A2" s="236" t="str">
        <x:v>機針占比以每月未稅採購費用為分母；VAT與含稅總額另外列示，避免把稅額混入品項成本比較。</x:v>
      </x:c>
      <x:c r="B2" s="236"/>
      <x:c r="C2" s="236"/>
      <x:c r="D2" s="236"/>
      <x:c r="E2" s="236"/>
      <x:c r="F2" s="236"/>
      <x:c r="G2" s="236"/>
      <x:c r="H2" s="236"/>
      <x:c r="I2" s="236"/>
      <x:c r="J2" s="236"/>
      <x:c r="K2" s="18"/>
      <x:c r="L2" s="18"/>
      <x:c r="M2" s="18"/>
      <x:c r="N2" s="18"/>
      <x:c r="O2" s="18"/>
      <x:c r="Q2" s="265" t="str">
        <x:v>月份</x:v>
      </x:c>
      <x:c r="R2" s="265" t="str">
        <x:v>未稅費用</x:v>
      </x:c>
      <x:c r="S2" s="265" t="str">
        <x:v>機針費用</x:v>
      </x:c>
      <x:c r="T2" s="265" t="str">
        <x:v>非機針費用</x:v>
      </x:c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/>
      <x:c r="Q3" s="265" t="str">
        <x:v>2026-01</x:v>
      </x:c>
      <x:c r="R3" s="266" t="n">
        <x:f>B5</x:f>
        <x:v>2610</x:v>
      </x:c>
      <x:c r="S3" s="266" t="n">
        <x:f>E5</x:f>
        <x:v>1702</x:v>
      </x:c>
      <x:c r="T3" s="266" t="n">
        <x:f>G5</x:f>
        <x:v>908</x:v>
      </x:c>
    </x:row>
    <x:row r="4" ht="34" customHeight="1">
      <x:c r="A4" s="240" t="str">
        <x:v>月份</x:v>
      </x:c>
      <x:c r="B4" s="240" t="str">
        <x:v>未稅費用</x:v>
      </x:c>
      <x:c r="C4" s="240" t="str">
        <x:v>VAT 10%</x:v>
      </x:c>
      <x:c r="D4" s="240" t="str">
        <x:v>含稅總費用</x:v>
      </x:c>
      <x:c r="E4" s="240" t="str">
        <x:v>機針費用</x:v>
      </x:c>
      <x:c r="F4" s="240" t="str">
        <x:v>機針占未稅費用</x:v>
      </x:c>
      <x:c r="G4" s="240" t="str">
        <x:v>非機針費用</x:v>
      </x:c>
      <x:c r="H4" s="240" t="str">
        <x:v>非機針占比</x:v>
      </x:c>
      <x:c r="I4" s="240" t="str">
        <x:v>機針採購數量</x:v>
      </x:c>
      <x:c r="J4" s="240" t="str">
        <x:v>機針交易筆數</x:v>
      </x:c>
      <x:c r="K4" s="18"/>
      <x:c r="L4" s="18"/>
      <x:c r="M4" s="18"/>
      <x:c r="N4" s="18"/>
      <x:c r="O4" s="18"/>
      <x:c r="Q4" s="265" t="str">
        <x:v>2026-02</x:v>
      </x:c>
      <x:c r="R4" s="266" t="n">
        <x:f>B6</x:f>
        <x:v>1850.9</x:v>
      </x:c>
      <x:c r="S4" s="266" t="n">
        <x:f>E6</x:f>
        <x:v>1172</x:v>
      </x:c>
      <x:c r="T4" s="266" t="n">
        <x:f>G6</x:f>
        <x:v>678.9000000000001</x:v>
      </x:c>
    </x:row>
    <x:row r="5">
      <x:c r="A5" s="18" t="str">
        <x:v>2026-01</x:v>
      </x:c>
      <x:c r="B5" s="21" t="n">
        <x:f>SUMIFS('Transaction Detail'!$Q$2:$Q$153,'Transaction Detail'!$A$2:$A$153,$A5)</x:f>
        <x:v>2610</x:v>
      </x:c>
      <x:c r="C5" s="21" t="n">
        <x:f>ROUND(B5*10%,2)</x:f>
        <x:v>261</x:v>
      </x:c>
      <x:c r="D5" s="21" t="n">
        <x:f>B5+C5</x:f>
        <x:v>2871</x:v>
      </x:c>
      <x:c r="E5" s="21" t="n">
        <x:f>SUMIFS('Transaction Detail'!$Q$2:$Q$153,'Transaction Detail'!$A$2:$A$153,$A5,'Transaction Detail'!$I$2:$I$153,"Needle")</x:f>
        <x:v>1702</x:v>
      </x:c>
      <x:c r="F5" s="40" t="n">
        <x:f>IF(B5=0,0,E5/B5)</x:f>
        <x:v>0.6521072796934866</x:v>
      </x:c>
      <x:c r="G5" s="40" t="n">
        <x:f>B5-E5</x:f>
        <x:v>908</x:v>
      </x:c>
      <x:c r="H5" s="40" t="n">
        <x:f>IF(B5=0,0,G5/B5)</x:f>
        <x:v>0.3478927203065134</x:v>
      </x:c>
      <x:c r="I5" s="247" t="n">
        <x:f>SUMIFS('Transaction Detail'!$M$2:$M$153,'Transaction Detail'!$A$2:$A$153,$A5,'Transaction Detail'!$I$2:$I$153,"Needle")</x:f>
        <x:v>900</x:v>
      </x:c>
      <x:c r="J5" s="247" t="n">
        <x:f>COUNTIFS('Transaction Detail'!$A$2:$A$153,$A5,'Transaction Detail'!$I$2:$I$153,"Needle")</x:f>
        <x:v>9</x:v>
      </x:c>
      <x:c r="K5" s="18"/>
      <x:c r="L5" s="18"/>
      <x:c r="M5" s="18"/>
      <x:c r="N5" s="18"/>
      <x:c r="O5" s="18"/>
      <x:c r="Q5" s="265" t="str">
        <x:v>2026-03</x:v>
      </x:c>
      <x:c r="R5" s="266" t="n">
        <x:f>B7</x:f>
        <x:v>3032</x:v>
      </x:c>
      <x:c r="S5" s="266" t="n">
        <x:f>E7</x:f>
        <x:v>1296</x:v>
      </x:c>
      <x:c r="T5" s="266" t="n">
        <x:f>G7</x:f>
        <x:v>1736</x:v>
      </x:c>
    </x:row>
    <x:row r="6">
      <x:c r="A6" s="18" t="str">
        <x:v>2026-02</x:v>
      </x:c>
      <x:c r="B6" s="21" t="n">
        <x:f>SUMIFS('Transaction Detail'!$Q$2:$Q$153,'Transaction Detail'!$A$2:$A$153,$A6)</x:f>
        <x:v>1850.9</x:v>
      </x:c>
      <x:c r="C6" s="21" t="n">
        <x:f>ROUND(B6*10%,2)</x:f>
        <x:v>185.09</x:v>
      </x:c>
      <x:c r="D6" s="21" t="n">
        <x:f>B6+C6</x:f>
        <x:v>2035.99</x:v>
      </x:c>
      <x:c r="E6" s="21" t="n">
        <x:f>SUMIFS('Transaction Detail'!$Q$2:$Q$153,'Transaction Detail'!$A$2:$A$153,$A6,'Transaction Detail'!$I$2:$I$153,"Needle")</x:f>
        <x:v>1172</x:v>
      </x:c>
      <x:c r="F6" s="40" t="n">
        <x:f>IF(B6=0,0,E6/B6)</x:f>
        <x:v>0.6332054676103517</x:v>
      </x:c>
      <x:c r="G6" s="40" t="n">
        <x:f>B6-E6</x:f>
        <x:v>678.9000000000001</x:v>
      </x:c>
      <x:c r="H6" s="40" t="n">
        <x:f>IF(B6=0,0,G6/B6)</x:f>
        <x:v>0.3667945323896483</x:v>
      </x:c>
      <x:c r="I6" s="247" t="n">
        <x:f>SUMIFS('Transaction Detail'!$M$2:$M$153,'Transaction Detail'!$A$2:$A$153,$A6,'Transaction Detail'!$I$2:$I$153,"Needle")</x:f>
        <x:v>800</x:v>
      </x:c>
      <x:c r="J6" s="247" t="n">
        <x:f>COUNTIFS('Transaction Detail'!$A$2:$A$153,$A6,'Transaction Detail'!$I$2:$I$153,"Needle")</x:f>
        <x:v>8</x:v>
      </x:c>
      <x:c r="K6" s="18"/>
      <x:c r="L6" s="18"/>
      <x:c r="M6" s="18"/>
      <x:c r="N6" s="18"/>
      <x:c r="O6" s="18"/>
      <x:c r="Q6" s="265" t="str">
        <x:v>2026-04</x:v>
      </x:c>
      <x:c r="R6" s="266" t="n">
        <x:f>B8</x:f>
        <x:v>1736</x:v>
      </x:c>
      <x:c r="S6" s="266" t="n">
        <x:f>E8</x:f>
        <x:v>1541</x:v>
      </x:c>
      <x:c r="T6" s="266" t="n">
        <x:f>G8</x:f>
        <x:v>195</x:v>
      </x:c>
    </x:row>
    <x:row r="7">
      <x:c r="A7" s="18" t="str">
        <x:v>2026-03</x:v>
      </x:c>
      <x:c r="B7" s="21" t="n">
        <x:f>SUMIFS('Transaction Detail'!$Q$2:$Q$153,'Transaction Detail'!$A$2:$A$153,$A7)</x:f>
        <x:v>3032</x:v>
      </x:c>
      <x:c r="C7" s="21" t="n">
        <x:f>ROUND(B7*10%,2)</x:f>
        <x:v>303.2</x:v>
      </x:c>
      <x:c r="D7" s="21" t="n">
        <x:f>B7+C7</x:f>
        <x:v>3335.2</x:v>
      </x:c>
      <x:c r="E7" s="21" t="n">
        <x:f>SUMIFS('Transaction Detail'!$Q$2:$Q$153,'Transaction Detail'!$A$2:$A$153,$A7,'Transaction Detail'!$I$2:$I$153,"Needle")</x:f>
        <x:v>1296</x:v>
      </x:c>
      <x:c r="F7" s="40" t="n">
        <x:f>IF(B7=0,0,E7/B7)</x:f>
        <x:v>0.42744063324538256</x:v>
      </x:c>
      <x:c r="G7" s="40" t="n">
        <x:f>B7-E7</x:f>
        <x:v>1736</x:v>
      </x:c>
      <x:c r="H7" s="40" t="n">
        <x:f>IF(B7=0,0,G7/B7)</x:f>
        <x:v>0.5725593667546174</x:v>
      </x:c>
      <x:c r="I7" s="247" t="n">
        <x:f>SUMIFS('Transaction Detail'!$M$2:$M$153,'Transaction Detail'!$A$2:$A$153,$A7,'Transaction Detail'!$I$2:$I$153,"Needle")</x:f>
        <x:v>750</x:v>
      </x:c>
      <x:c r="J7" s="247" t="n">
        <x:f>COUNTIFS('Transaction Detail'!$A$2:$A$153,$A7,'Transaction Detail'!$I$2:$I$153,"Needle")</x:f>
        <x:v>9</x:v>
      </x:c>
      <x:c r="K7" s="18"/>
      <x:c r="L7" s="18"/>
      <x:c r="M7" s="18"/>
      <x:c r="N7" s="18"/>
      <x:c r="O7" s="18"/>
      <x:c r="Q7" s="265" t="str">
        <x:v>2026-05</x:v>
      </x:c>
      <x:c r="R7" s="266" t="n">
        <x:f>B9</x:f>
        <x:v>2572.5</x:v>
      </x:c>
      <x:c r="S7" s="266" t="n">
        <x:f>E9</x:f>
        <x:v>997</x:v>
      </x:c>
      <x:c r="T7" s="266" t="n">
        <x:f>G9</x:f>
        <x:v>1575.5</x:v>
      </x:c>
    </x:row>
    <x:row r="8">
      <x:c r="A8" s="18" t="str">
        <x:v>2026-04</x:v>
      </x:c>
      <x:c r="B8" s="21" t="n">
        <x:f>SUMIFS('Transaction Detail'!$Q$2:$Q$153,'Transaction Detail'!$A$2:$A$153,$A8)</x:f>
        <x:v>1736</x:v>
      </x:c>
      <x:c r="C8" s="21" t="n">
        <x:f>ROUND(B8*10%,2)</x:f>
        <x:v>173.6</x:v>
      </x:c>
      <x:c r="D8" s="21" t="n">
        <x:f>B8+C8</x:f>
        <x:v>1909.6</x:v>
      </x:c>
      <x:c r="E8" s="21" t="n">
        <x:f>SUMIFS('Transaction Detail'!$Q$2:$Q$153,'Transaction Detail'!$A$2:$A$153,$A8,'Transaction Detail'!$I$2:$I$153,"Needle")</x:f>
        <x:v>1541</x:v>
      </x:c>
      <x:c r="F8" s="40" t="n">
        <x:f>IF(B8=0,0,E8/B8)</x:f>
        <x:v>0.8876728110599078</x:v>
      </x:c>
      <x:c r="G8" s="40" t="n">
        <x:f>B8-E8</x:f>
        <x:v>195</x:v>
      </x:c>
      <x:c r="H8" s="40" t="n">
        <x:f>IF(B8=0,0,G8/B8)</x:f>
        <x:v>0.11232718894009217</x:v>
      </x:c>
      <x:c r="I8" s="247" t="n">
        <x:f>SUMIFS('Transaction Detail'!$M$2:$M$153,'Transaction Detail'!$A$2:$A$153,$A8,'Transaction Detail'!$I$2:$I$153,"Needle")</x:f>
        <x:v>1030</x:v>
      </x:c>
      <x:c r="J8" s="247" t="n">
        <x:f>COUNTIFS('Transaction Detail'!$A$2:$A$153,$A8,'Transaction Detail'!$I$2:$I$153,"Needle")</x:f>
        <x:v>13</x:v>
      </x:c>
      <x:c r="K8" s="18"/>
      <x:c r="L8" s="18"/>
      <x:c r="M8" s="18"/>
      <x:c r="N8" s="18"/>
      <x:c r="O8" s="18"/>
      <x:c r="Q8" s="265" t="str">
        <x:v>2026-06</x:v>
      </x:c>
      <x:c r="R8" s="266" t="n">
        <x:f>B10</x:f>
        <x:v>2761.75</x:v>
      </x:c>
      <x:c r="S8" s="266" t="n">
        <x:f>E10</x:f>
        <x:v>2234</x:v>
      </x:c>
      <x:c r="T8" s="266" t="n">
        <x:f>G10</x:f>
        <x:v>527.75</x:v>
      </x:c>
    </x:row>
    <x:row r="9">
      <x:c r="A9" s="18" t="str">
        <x:v>2026-05</x:v>
      </x:c>
      <x:c r="B9" s="21" t="n">
        <x:f>SUMIFS('Transaction Detail'!$Q$2:$Q$153,'Transaction Detail'!$A$2:$A$153,$A9)</x:f>
        <x:v>2572.5</x:v>
      </x:c>
      <x:c r="C9" s="21" t="n">
        <x:f>ROUND(B9*10%,2)</x:f>
        <x:v>257.25</x:v>
      </x:c>
      <x:c r="D9" s="21" t="n">
        <x:f>B9+C9</x:f>
        <x:v>2829.75</x:v>
      </x:c>
      <x:c r="E9" s="21" t="n">
        <x:f>SUMIFS('Transaction Detail'!$Q$2:$Q$153,'Transaction Detail'!$A$2:$A$153,$A9,'Transaction Detail'!$I$2:$I$153,"Needle")</x:f>
        <x:v>997</x:v>
      </x:c>
      <x:c r="F9" s="40" t="n">
        <x:f>IF(B9=0,0,E9/B9)</x:f>
        <x:v>0.38756073858114676</x:v>
      </x:c>
      <x:c r="G9" s="40" t="n">
        <x:f>B9-E9</x:f>
        <x:v>1575.5</x:v>
      </x:c>
      <x:c r="H9" s="40" t="n">
        <x:f>IF(B9=0,0,G9/B9)</x:f>
        <x:v>0.6124392614188533</x:v>
      </x:c>
      <x:c r="I9" s="247" t="n">
        <x:f>SUMIFS('Transaction Detail'!$M$2:$M$153,'Transaction Detail'!$A$2:$A$153,$A9,'Transaction Detail'!$I$2:$I$153,"Needle")</x:f>
        <x:v>450</x:v>
      </x:c>
      <x:c r="J9" s="247" t="n">
        <x:f>COUNTIFS('Transaction Detail'!$A$2:$A$153,$A9,'Transaction Detail'!$I$2:$I$153,"Needle")</x:f>
        <x:v>6</x:v>
      </x:c>
      <x:c r="K9" s="18"/>
      <x:c r="L9" s="18"/>
      <x:c r="M9" s="18"/>
      <x:c r="N9" s="18"/>
      <x:c r="O9" s="18"/>
    </x:row>
    <x:row r="10">
      <x:c r="A10" s="18" t="str">
        <x:v>2026-06</x:v>
      </x:c>
      <x:c r="B10" s="21" t="n">
        <x:f>SUMIFS('Transaction Detail'!$Q$2:$Q$153,'Transaction Detail'!$A$2:$A$153,$A10)</x:f>
        <x:v>2761.75</x:v>
      </x:c>
      <x:c r="C10" s="21" t="n">
        <x:f>ROUND(B10*10%,2)</x:f>
        <x:v>276.18</x:v>
      </x:c>
      <x:c r="D10" s="21" t="n">
        <x:f>B10+C10</x:f>
        <x:v>3037.93</x:v>
      </x:c>
      <x:c r="E10" s="21" t="n">
        <x:f>SUMIFS('Transaction Detail'!$Q$2:$Q$153,'Transaction Detail'!$A$2:$A$153,$A10,'Transaction Detail'!$I$2:$I$153,"Needle")</x:f>
        <x:v>2234</x:v>
      </x:c>
      <x:c r="F10" s="40" t="n">
        <x:f>IF(B10=0,0,E10/B10)</x:f>
        <x:v>0.8089073956730334</x:v>
      </x:c>
      <x:c r="G10" s="40" t="n">
        <x:f>B10-E10</x:f>
        <x:v>527.75</x:v>
      </x:c>
      <x:c r="H10" s="40" t="n">
        <x:f>IF(B10=0,0,G10/B10)</x:f>
        <x:v>0.1910926043269666</x:v>
      </x:c>
      <x:c r="I10" s="247" t="n">
        <x:f>SUMIFS('Transaction Detail'!$M$2:$M$153,'Transaction Detail'!$A$2:$A$153,$A10,'Transaction Detail'!$I$2:$I$153,"Needle")</x:f>
        <x:v>1250</x:v>
      </x:c>
      <x:c r="J10" s="247" t="n">
        <x:f>COUNTIFS('Transaction Detail'!$A$2:$A$153,$A10,'Transaction Detail'!$I$2:$I$153,"Needle")</x:f>
        <x:v>18</x:v>
      </x:c>
      <x:c r="K10" s="18"/>
      <x:c r="L10" s="18"/>
      <x:c r="M10" s="18"/>
      <x:c r="N10" s="18"/>
      <x:c r="O10" s="18"/>
    </x:row>
    <x:row r="11">
      <x:c r="A11" s="248" t="str">
        <x:v>合計</x:v>
      </x:c>
      <x:c r="B11" s="249" t="n">
        <x:f>SUM(B5:B10)</x:f>
        <x:v>14563.15</x:v>
      </x:c>
      <x:c r="C11" s="249" t="n">
        <x:f>SUM(C5:C10)</x:f>
        <x:v>1456.32</x:v>
      </x:c>
      <x:c r="D11" s="249" t="n">
        <x:f>SUM(D5:D10)</x:f>
        <x:v>16019.47</x:v>
      </x:c>
      <x:c r="E11" s="249" t="n">
        <x:f>SUM(E5:E10)</x:f>
        <x:v>8942</x:v>
      </x:c>
      <x:c r="F11" s="250" t="n">
        <x:f>IF(B11=0,0,E11/B11)</x:f>
        <x:v>0.6140155117539818</x:v>
      </x:c>
      <x:c r="G11" s="250" t="n">
        <x:f>SUM(G5:G10)</x:f>
        <x:v>5621.15</x:v>
      </x:c>
      <x:c r="H11" s="250" t="n">
        <x:f>IF(B11=0,0,G11/B11)</x:f>
        <x:v>0.38598448824601816</x:v>
      </x:c>
      <x:c r="I11" s="251" t="n">
        <x:f>SUM(I5:I10)</x:f>
        <x:v>5180</x:v>
      </x:c>
      <x:c r="J11" s="251" t="n">
        <x:f>SUM(J5:J10)</x:f>
        <x:v>63</x:v>
      </x:c>
      <x:c r="K11" s="18"/>
      <x:c r="L11" s="18"/>
      <x:c r="M11" s="18"/>
      <x:c r="N11" s="18"/>
      <x:c r="O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</x:row>
    <x:row r="14">
      <x:c r="A14" s="256" t="str">
        <x:v>機針型號每月費用明細（USD）</x:v>
      </x:c>
      <x:c r="B14" s="256"/>
      <x:c r="C14" s="256"/>
      <x:c r="D14" s="256"/>
      <x:c r="E14" s="256"/>
      <x:c r="F14" s="256"/>
      <x:c r="G14" s="256"/>
      <x:c r="H14" s="256"/>
      <x:c r="I14" s="256"/>
      <x:c r="J14" s="256"/>
      <x:c r="K14" s="256"/>
      <x:c r="L14" s="256"/>
      <x:c r="M14" s="256"/>
      <x:c r="N14" s="256"/>
      <x:c r="O14" s="256"/>
    </x:row>
    <x:row r="15" ht="36" customHeight="1">
      <x:c r="A15" s="240" t="str">
        <x:v>PART NO</x:v>
      </x:c>
      <x:c r="B15" s="240" t="str">
        <x:v>機針名稱</x:v>
      </x:c>
      <x:c r="C15" s="240" t="str">
        <x:v>規格</x:v>
      </x:c>
      <x:c r="D15" s="240" t="str">
        <x:v>單位</x:v>
      </x:c>
      <x:c r="E15" s="240" t="str">
        <x:v>最近單價</x:v>
      </x:c>
      <x:c r="F15" s="240" t="str">
        <x:v>1月費用</x:v>
      </x:c>
      <x:c r="G15" s="240" t="str">
        <x:v>2月費用</x:v>
      </x:c>
      <x:c r="H15" s="240" t="str">
        <x:v>3月費用</x:v>
      </x:c>
      <x:c r="I15" s="240" t="str">
        <x:v>4月費用</x:v>
      </x:c>
      <x:c r="J15" s="240" t="str">
        <x:v>5月費用</x:v>
      </x:c>
      <x:c r="K15" s="240" t="str">
        <x:v>6月費用</x:v>
      </x:c>
      <x:c r="L15" s="240" t="str">
        <x:v>累計費用</x:v>
      </x:c>
      <x:c r="M15" s="240" t="str">
        <x:v>累計數量</x:v>
      </x:c>
      <x:c r="N15" s="240" t="str">
        <x:v>占全部機針費用</x:v>
      </x:c>
      <x:c r="O15" s="240" t="str">
        <x:v>採購筆數</x:v>
      </x:c>
    </x:row>
    <x:row r="16">
      <x:c r="A16" s="18" t="str">
        <x:v>ND-DBX1-11</x:v>
      </x:c>
      <x:c r="B16" s="18" t="str">
        <x:v>風琴機針 DBx1 #11</x:v>
      </x:c>
      <x:c r="C16" s="18" t="str">
        <x:v>DBx1 #11</x:v>
      </x:c>
      <x:c r="D16" s="18" t="str">
        <x:v>包</x:v>
      </x:c>
      <x:c r="E16" s="21" t="n">
        <x:v>0.78</x:v>
      </x:c>
      <x:c r="F16" s="21" t="n">
        <x:f>SUMIFS('Transaction Detail'!$Q$2:$Q$153,'Transaction Detail'!$F$2:$F$153,$A16,'Transaction Detail'!$A$2:$A$153,"2026-01")</x:f>
        <x:v>0</x:v>
      </x:c>
      <x:c r="G16" s="21" t="n">
        <x:f>SUMIFS('Transaction Detail'!$Q$2:$Q$153,'Transaction Detail'!$F$2:$F$153,$A16,'Transaction Detail'!$A$2:$A$153,"2026-02")</x:f>
        <x:v>0</x:v>
      </x:c>
      <x:c r="H16" s="21" t="n">
        <x:f>SUMIFS('Transaction Detail'!$Q$2:$Q$153,'Transaction Detail'!$F$2:$F$153,$A16,'Transaction Detail'!$A$2:$A$153,"2026-03")</x:f>
        <x:v>39</x:v>
      </x:c>
      <x:c r="I16" s="21" t="n">
        <x:f>SUMIFS('Transaction Detail'!$Q$2:$Q$153,'Transaction Detail'!$F$2:$F$153,$A16,'Transaction Detail'!$A$2:$A$153,"2026-04")</x:f>
        <x:v>0</x:v>
      </x:c>
      <x:c r="J16" s="21" t="n">
        <x:f>SUMIFS('Transaction Detail'!$Q$2:$Q$153,'Transaction Detail'!$F$2:$F$153,$A16,'Transaction Detail'!$A$2:$A$153,"2026-05")</x:f>
        <x:v>0</x:v>
      </x:c>
      <x:c r="K16" s="21" t="n">
        <x:f>SUMIFS('Transaction Detail'!$Q$2:$Q$153,'Transaction Detail'!$F$2:$F$153,$A16,'Transaction Detail'!$A$2:$A$153,"2026-06")</x:f>
        <x:v>0</x:v>
      </x:c>
      <x:c r="L16" s="21" t="n">
        <x:f>SUM(F16:K16)</x:f>
        <x:v>39</x:v>
      </x:c>
      <x:c r="M16" s="247" t="n">
        <x:f>SUMIFS('Transaction Detail'!$M$2:$M$153,'Transaction Detail'!$F$2:$F$153,$A16,'Transaction Detail'!$I$2:$I$153,"Needle")</x:f>
        <x:v>50</x:v>
      </x:c>
      <x:c r="N16" s="40" t="n">
        <x:f>IF($E$11=0,0,L16/$E$11)</x:f>
        <x:v>0.004361440393647953</x:v>
      </x:c>
      <x:c r="O16" s="247" t="n">
        <x:f>COUNTIF('Transaction Detail'!$F$2:$F$153,$A16)</x:f>
        <x:v>1</x:v>
      </x:c>
    </x:row>
    <x:row r="17">
      <x:c r="A17" s="18" t="str">
        <x:v>ND-DBX1-12</x:v>
      </x:c>
      <x:c r="B17" s="18" t="str">
        <x:v>風琴機針 DBx1 #12</x:v>
      </x:c>
      <x:c r="C17" s="18" t="str">
        <x:v>DBx1 #12</x:v>
      </x:c>
      <x:c r="D17" s="18" t="str">
        <x:v>包</x:v>
      </x:c>
      <x:c r="E17" s="21" t="n">
        <x:v>0.78</x:v>
      </x:c>
      <x:c r="F17" s="21" t="n">
        <x:f>SUMIFS('Transaction Detail'!$Q$2:$Q$153,'Transaction Detail'!$F$2:$F$153,$A17,'Transaction Detail'!$A$2:$A$153,"2026-01")</x:f>
        <x:v>0</x:v>
      </x:c>
      <x:c r="G17" s="21" t="n">
        <x:f>SUMIFS('Transaction Detail'!$Q$2:$Q$153,'Transaction Detail'!$F$2:$F$153,$A17,'Transaction Detail'!$A$2:$A$153,"2026-02")</x:f>
        <x:v>0</x:v>
      </x:c>
      <x:c r="H17" s="21" t="n">
        <x:f>SUMIFS('Transaction Detail'!$Q$2:$Q$153,'Transaction Detail'!$F$2:$F$153,$A17,'Transaction Detail'!$A$2:$A$153,"2026-03")</x:f>
        <x:v>39</x:v>
      </x:c>
      <x:c r="I17" s="21" t="n">
        <x:f>SUMIFS('Transaction Detail'!$Q$2:$Q$153,'Transaction Detail'!$F$2:$F$153,$A17,'Transaction Detail'!$A$2:$A$153,"2026-04")</x:f>
        <x:v>0</x:v>
      </x:c>
      <x:c r="J17" s="21" t="n">
        <x:f>SUMIFS('Transaction Detail'!$Q$2:$Q$153,'Transaction Detail'!$F$2:$F$153,$A17,'Transaction Detail'!$A$2:$A$153,"2026-05")</x:f>
        <x:v>0</x:v>
      </x:c>
      <x:c r="K17" s="21" t="n">
        <x:f>SUMIFS('Transaction Detail'!$Q$2:$Q$153,'Transaction Detail'!$F$2:$F$153,$A17,'Transaction Detail'!$A$2:$A$153,"2026-06")</x:f>
        <x:v>39</x:v>
      </x:c>
      <x:c r="L17" s="21" t="n">
        <x:f>SUM(F17:K17)</x:f>
        <x:v>78</x:v>
      </x:c>
      <x:c r="M17" s="247" t="n">
        <x:f>SUMIFS('Transaction Detail'!$M$2:$M$153,'Transaction Detail'!$F$2:$F$153,$A17,'Transaction Detail'!$I$2:$I$153,"Needle")</x:f>
        <x:v>100</x:v>
      </x:c>
      <x:c r="N17" s="40" t="n">
        <x:f>IF($E$11=0,0,L17/$E$11)</x:f>
        <x:v>0.008722880787295906</x:v>
      </x:c>
      <x:c r="O17" s="247" t="n">
        <x:f>COUNTIF('Transaction Detail'!$F$2:$F$153,$A17)</x:f>
        <x:v>2</x:v>
      </x:c>
      <x:c r="Q17" t="str">
        <x:v>月份</x:v>
      </x:c>
      <x:c r="R17" t="str">
        <x:v>機針占比</x:v>
      </x:c>
    </x:row>
    <x:row r="18">
      <x:c r="A18" s="18" t="str">
        <x:v>ND-DBX1-14</x:v>
      </x:c>
      <x:c r="B18" s="18" t="str">
        <x:v>風琴機針 DBx1 #14</x:v>
      </x:c>
      <x:c r="C18" s="18" t="str">
        <x:v>DBx1 #14</x:v>
      </x:c>
      <x:c r="D18" s="18" t="str">
        <x:v>包</x:v>
      </x:c>
      <x:c r="E18" s="21" t="n">
        <x:v>0.78</x:v>
      </x:c>
      <x:c r="F18" s="21" t="n">
        <x:f>SUMIFS('Transaction Detail'!$Q$2:$Q$153,'Transaction Detail'!$F$2:$F$153,$A18,'Transaction Detail'!$A$2:$A$153,"2026-01")</x:f>
        <x:v>0</x:v>
      </x:c>
      <x:c r="G18" s="21" t="n">
        <x:f>SUMIFS('Transaction Detail'!$Q$2:$Q$153,'Transaction Detail'!$F$2:$F$153,$A18,'Transaction Detail'!$A$2:$A$153,"2026-02")</x:f>
        <x:v>78</x:v>
      </x:c>
      <x:c r="H18" s="21" t="n">
        <x:f>SUMIFS('Transaction Detail'!$Q$2:$Q$153,'Transaction Detail'!$F$2:$F$153,$A18,'Transaction Detail'!$A$2:$A$153,"2026-03")</x:f>
        <x:v>0</x:v>
      </x:c>
      <x:c r="I18" s="21" t="n">
        <x:f>SUMIFS('Transaction Detail'!$Q$2:$Q$153,'Transaction Detail'!$F$2:$F$153,$A18,'Transaction Detail'!$A$2:$A$153,"2026-04")</x:f>
        <x:v>39</x:v>
      </x:c>
      <x:c r="J18" s="21" t="n">
        <x:f>SUMIFS('Transaction Detail'!$Q$2:$Q$153,'Transaction Detail'!$F$2:$F$153,$A18,'Transaction Detail'!$A$2:$A$153,"2026-05")</x:f>
        <x:v>0</x:v>
      </x:c>
      <x:c r="K18" s="21" t="n">
        <x:f>SUMIFS('Transaction Detail'!$Q$2:$Q$153,'Transaction Detail'!$F$2:$F$153,$A18,'Transaction Detail'!$A$2:$A$153,"2026-06")</x:f>
        <x:v>39</x:v>
      </x:c>
      <x:c r="L18" s="21" t="n">
        <x:f>SUM(F18:K18)</x:f>
        <x:v>156</x:v>
      </x:c>
      <x:c r="M18" s="247" t="n">
        <x:f>SUMIFS('Transaction Detail'!$M$2:$M$153,'Transaction Detail'!$F$2:$F$153,$A18,'Transaction Detail'!$I$2:$I$153,"Needle")</x:f>
        <x:v>200</x:v>
      </x:c>
      <x:c r="N18" s="40" t="n">
        <x:f>IF($E$11=0,0,L18/$E$11)</x:f>
        <x:v>0.017445761574591812</x:v>
      </x:c>
      <x:c r="O18" s="247" t="n">
        <x:f>COUNTIF('Transaction Detail'!$F$2:$F$153,$A18)</x:f>
        <x:v>3</x:v>
      </x:c>
      <x:c r="Q18" t="str">
        <x:v>2026-01</x:v>
      </x:c>
      <x:c r="R18" s="38" t="n">
        <x:f>F5</x:f>
        <x:v>0.6521072796934866</x:v>
      </x:c>
    </x:row>
    <x:row r="19">
      <x:c r="A19" s="18" t="str">
        <x:v>ND-DBX1-16</x:v>
      </x:c>
      <x:c r="B19" s="18" t="str">
        <x:v>風琴機針 DBx1 #16</x:v>
      </x:c>
      <x:c r="C19" s="18" t="str">
        <x:v>DBx1 #16</x:v>
      </x:c>
      <x:c r="D19" s="18" t="str">
        <x:v>包</x:v>
      </x:c>
      <x:c r="E19" s="21" t="n">
        <x:v>0.78</x:v>
      </x:c>
      <x:c r="F19" s="21" t="n">
        <x:f>SUMIFS('Transaction Detail'!$Q$2:$Q$153,'Transaction Detail'!$F$2:$F$153,$A19,'Transaction Detail'!$A$2:$A$153,"2026-01")</x:f>
        <x:v>0</x:v>
      </x:c>
      <x:c r="G19" s="21" t="n">
        <x:f>SUMIFS('Transaction Detail'!$Q$2:$Q$153,'Transaction Detail'!$F$2:$F$153,$A19,'Transaction Detail'!$A$2:$A$153,"2026-02")</x:f>
        <x:v>78</x:v>
      </x:c>
      <x:c r="H19" s="21" t="n">
        <x:f>SUMIFS('Transaction Detail'!$Q$2:$Q$153,'Transaction Detail'!$F$2:$F$153,$A19,'Transaction Detail'!$A$2:$A$153,"2026-03")</x:f>
        <x:v>0</x:v>
      </x:c>
      <x:c r="I19" s="21" t="n">
        <x:f>SUMIFS('Transaction Detail'!$Q$2:$Q$153,'Transaction Detail'!$F$2:$F$153,$A19,'Transaction Detail'!$A$2:$A$153,"2026-04")</x:f>
        <x:v>39</x:v>
      </x:c>
      <x:c r="J19" s="21" t="n">
        <x:f>SUMIFS('Transaction Detail'!$Q$2:$Q$153,'Transaction Detail'!$F$2:$F$153,$A19,'Transaction Detail'!$A$2:$A$153,"2026-05")</x:f>
        <x:v>0</x:v>
      </x:c>
      <x:c r="K19" s="21" t="n">
        <x:f>SUMIFS('Transaction Detail'!$Q$2:$Q$153,'Transaction Detail'!$F$2:$F$153,$A19,'Transaction Detail'!$A$2:$A$153,"2026-06")</x:f>
        <x:v>39</x:v>
      </x:c>
      <x:c r="L19" s="21" t="n">
        <x:f>SUM(F19:K19)</x:f>
        <x:v>156</x:v>
      </x:c>
      <x:c r="M19" s="247" t="n">
        <x:f>SUMIFS('Transaction Detail'!$M$2:$M$153,'Transaction Detail'!$F$2:$F$153,$A19,'Transaction Detail'!$I$2:$I$153,"Needle")</x:f>
        <x:v>200</x:v>
      </x:c>
      <x:c r="N19" s="40" t="n">
        <x:f>IF($E$11=0,0,L19/$E$11)</x:f>
        <x:v>0.017445761574591812</x:v>
      </x:c>
      <x:c r="O19" s="247" t="n">
        <x:f>COUNTIF('Transaction Detail'!$F$2:$F$153,$A19)</x:f>
        <x:v>3</x:v>
      </x:c>
      <x:c r="Q19" t="str">
        <x:v>2026-02</x:v>
      </x:c>
      <x:c r="R19" s="38" t="n">
        <x:f>F6</x:f>
        <x:v>0.6332054676103517</x:v>
      </x:c>
    </x:row>
    <x:row r="20">
      <x:c r="A20" s="18" t="str">
        <x:v>ND-DBX1-9</x:v>
      </x:c>
      <x:c r="B20" s="18" t="str">
        <x:v>風琴機針 DBx1 #9</x:v>
      </x:c>
      <x:c r="C20" s="18" t="str">
        <x:v>DBx1 #9</x:v>
      </x:c>
      <x:c r="D20" s="18" t="str">
        <x:v>包</x:v>
      </x:c>
      <x:c r="E20" s="21" t="n">
        <x:v>0.78</x:v>
      </x:c>
      <x:c r="F20" s="21" t="n">
        <x:f>SUMIFS('Transaction Detail'!$Q$2:$Q$153,'Transaction Detail'!$F$2:$F$153,$A20,'Transaction Detail'!$A$2:$A$153,"2026-01")</x:f>
        <x:v>0</x:v>
      </x:c>
      <x:c r="G20" s="21" t="n">
        <x:f>SUMIFS('Transaction Detail'!$Q$2:$Q$153,'Transaction Detail'!$F$2:$F$153,$A20,'Transaction Detail'!$A$2:$A$153,"2026-02")</x:f>
        <x:v>0</x:v>
      </x:c>
      <x:c r="H20" s="21" t="n">
        <x:f>SUMIFS('Transaction Detail'!$Q$2:$Q$153,'Transaction Detail'!$F$2:$F$153,$A20,'Transaction Detail'!$A$2:$A$153,"2026-03")</x:f>
        <x:v>39</x:v>
      </x:c>
      <x:c r="I20" s="21" t="n">
        <x:f>SUMIFS('Transaction Detail'!$Q$2:$Q$153,'Transaction Detail'!$F$2:$F$153,$A20,'Transaction Detail'!$A$2:$A$153,"2026-04")</x:f>
        <x:v>0</x:v>
      </x:c>
      <x:c r="J20" s="21" t="n">
        <x:f>SUMIFS('Transaction Detail'!$Q$2:$Q$153,'Transaction Detail'!$F$2:$F$153,$A20,'Transaction Detail'!$A$2:$A$153,"2026-05")</x:f>
        <x:v>0</x:v>
      </x:c>
      <x:c r="K20" s="21" t="n">
        <x:f>SUMIFS('Transaction Detail'!$Q$2:$Q$153,'Transaction Detail'!$F$2:$F$153,$A20,'Transaction Detail'!$A$2:$A$153,"2026-06")</x:f>
        <x:v>0</x:v>
      </x:c>
      <x:c r="L20" s="21" t="n">
        <x:f>SUM(F20:K20)</x:f>
        <x:v>39</x:v>
      </x:c>
      <x:c r="M20" s="247" t="n">
        <x:f>SUMIFS('Transaction Detail'!$M$2:$M$153,'Transaction Detail'!$F$2:$F$153,$A20,'Transaction Detail'!$I$2:$I$153,"Needle")</x:f>
        <x:v>50</x:v>
      </x:c>
      <x:c r="N20" s="40" t="n">
        <x:f>IF($E$11=0,0,L20/$E$11)</x:f>
        <x:v>0.004361440393647953</x:v>
      </x:c>
      <x:c r="O20" s="247" t="n">
        <x:f>COUNTIF('Transaction Detail'!$F$2:$F$153,$A20)</x:f>
        <x:v>1</x:v>
      </x:c>
      <x:c r="Q20" t="str">
        <x:v>2026-03</x:v>
      </x:c>
      <x:c r="R20" s="38" t="n">
        <x:f>F7</x:f>
        <x:v>0.42744063324538256</x:v>
      </x:c>
    </x:row>
    <x:row r="21">
      <x:c r="A21" s="18" t="str">
        <x:v>ND-DCX27-12</x:v>
      </x:c>
      <x:c r="B21" s="18" t="str">
        <x:v>風琴機針 DCx27 #12</x:v>
      </x:c>
      <x:c r="C21" s="18" t="str">
        <x:v>DCx27 #12</x:v>
      </x:c>
      <x:c r="D21" s="18" t="str">
        <x:v>包</x:v>
      </x:c>
      <x:c r="E21" s="21" t="n">
        <x:v>1.3</x:v>
      </x:c>
      <x:c r="F21" s="21" t="n">
        <x:f>SUMIFS('Transaction Detail'!$Q$2:$Q$153,'Transaction Detail'!$F$2:$F$153,$A21,'Transaction Detail'!$A$2:$A$153,"2026-01")</x:f>
        <x:v>390</x:v>
      </x:c>
      <x:c r="G21" s="21" t="n">
        <x:f>SUMIFS('Transaction Detail'!$Q$2:$Q$153,'Transaction Detail'!$F$2:$F$153,$A21,'Transaction Detail'!$A$2:$A$153,"2026-02")</x:f>
        <x:v>0</x:v>
      </x:c>
      <x:c r="H21" s="21" t="n">
        <x:f>SUMIFS('Transaction Detail'!$Q$2:$Q$153,'Transaction Detail'!$F$2:$F$153,$A21,'Transaction Detail'!$A$2:$A$153,"2026-03")</x:f>
        <x:v>195</x:v>
      </x:c>
      <x:c r="I21" s="21" t="n">
        <x:f>SUMIFS('Transaction Detail'!$Q$2:$Q$153,'Transaction Detail'!$F$2:$F$153,$A21,'Transaction Detail'!$A$2:$A$153,"2026-04")</x:f>
        <x:v>520</x:v>
      </x:c>
      <x:c r="J21" s="21" t="n">
        <x:f>SUMIFS('Transaction Detail'!$Q$2:$Q$153,'Transaction Detail'!$F$2:$F$153,$A21,'Transaction Detail'!$A$2:$A$153,"2026-05")</x:f>
        <x:v>0</x:v>
      </x:c>
      <x:c r="K21" s="21" t="n">
        <x:f>SUMIFS('Transaction Detail'!$Q$2:$Q$153,'Transaction Detail'!$F$2:$F$153,$A21,'Transaction Detail'!$A$2:$A$153,"2026-06")</x:f>
        <x:v>325</x:v>
      </x:c>
      <x:c r="L21" s="21" t="n">
        <x:f>SUM(F21:K21)</x:f>
        <x:v>1430</x:v>
      </x:c>
      <x:c r="M21" s="247" t="n">
        <x:f>SUMIFS('Transaction Detail'!$M$2:$M$153,'Transaction Detail'!$F$2:$F$153,$A21,'Transaction Detail'!$I$2:$I$153,"Needle")</x:f>
        <x:v>1100</x:v>
      </x:c>
      <x:c r="N21" s="40" t="n">
        <x:f>IF($E$11=0,0,L21/$E$11)</x:f>
        <x:v>0.15991948110042495</x:v>
      </x:c>
      <x:c r="O21" s="247" t="n">
        <x:f>COUNTIF('Transaction Detail'!$F$2:$F$153,$A21)</x:f>
        <x:v>11</x:v>
      </x:c>
      <x:c r="Q21" t="str">
        <x:v>2026-04</x:v>
      </x:c>
      <x:c r="R21" s="38" t="n">
        <x:f>F8</x:f>
        <x:v>0.8876728110599078</x:v>
      </x:c>
    </x:row>
    <x:row r="22">
      <x:c r="A22" s="18" t="str">
        <x:v>ND-DCX27-14</x:v>
      </x:c>
      <x:c r="B22" s="18" t="str">
        <x:v>風琴機針 DCx27 #14</x:v>
      </x:c>
      <x:c r="C22" s="18" t="str">
        <x:v>DCx27 #14</x:v>
      </x:c>
      <x:c r="D22" s="18" t="str">
        <x:v>包</x:v>
      </x:c>
      <x:c r="E22" s="21" t="n">
        <x:v>1.3</x:v>
      </x:c>
      <x:c r="F22" s="21" t="n">
        <x:f>SUMIFS('Transaction Detail'!$Q$2:$Q$153,'Transaction Detail'!$F$2:$F$153,$A22,'Transaction Detail'!$A$2:$A$153,"2026-01")</x:f>
        <x:v>0</x:v>
      </x:c>
      <x:c r="G22" s="21" t="n">
        <x:f>SUMIFS('Transaction Detail'!$Q$2:$Q$153,'Transaction Detail'!$F$2:$F$153,$A22,'Transaction Detail'!$A$2:$A$153,"2026-02")</x:f>
        <x:v>130</x:v>
      </x:c>
      <x:c r="H22" s="21" t="n">
        <x:f>SUMIFS('Transaction Detail'!$Q$2:$Q$153,'Transaction Detail'!$F$2:$F$153,$A22,'Transaction Detail'!$A$2:$A$153,"2026-03")</x:f>
        <x:v>0</x:v>
      </x:c>
      <x:c r="I22" s="21" t="n">
        <x:f>SUMIFS('Transaction Detail'!$Q$2:$Q$153,'Transaction Detail'!$F$2:$F$153,$A22,'Transaction Detail'!$A$2:$A$153,"2026-04")</x:f>
        <x:v>0</x:v>
      </x:c>
      <x:c r="J22" s="21" t="n">
        <x:f>SUMIFS('Transaction Detail'!$Q$2:$Q$153,'Transaction Detail'!$F$2:$F$153,$A22,'Transaction Detail'!$A$2:$A$153,"2026-05")</x:f>
        <x:v>130</x:v>
      </x:c>
      <x:c r="K22" s="21" t="n">
        <x:f>SUMIFS('Transaction Detail'!$Q$2:$Q$153,'Transaction Detail'!$F$2:$F$153,$A22,'Transaction Detail'!$A$2:$A$153,"2026-06")</x:f>
        <x:v>65</x:v>
      </x:c>
      <x:c r="L22" s="21" t="n">
        <x:f>SUM(F22:K22)</x:f>
        <x:v>325</x:v>
      </x:c>
      <x:c r="M22" s="247" t="n">
        <x:f>SUMIFS('Transaction Detail'!$M$2:$M$153,'Transaction Detail'!$F$2:$F$153,$A22,'Transaction Detail'!$I$2:$I$153,"Needle")</x:f>
        <x:v>250</x:v>
      </x:c>
      <x:c r="N22" s="40" t="n">
        <x:f>IF($E$11=0,0,L22/$E$11)</x:f>
        <x:v>0.036345336613732945</x:v>
      </x:c>
      <x:c r="O22" s="247" t="n">
        <x:f>COUNTIF('Transaction Detail'!$F$2:$F$153,$A22)</x:f>
        <x:v>3</x:v>
      </x:c>
      <x:c r="Q22" t="str">
        <x:v>2026-05</x:v>
      </x:c>
      <x:c r="R22" s="38" t="n">
        <x:f>F9</x:f>
        <x:v>0.38756073858114676</x:v>
      </x:c>
    </x:row>
    <x:row r="23">
      <x:c r="A23" s="18" t="str">
        <x:v>ND-DCX27-16</x:v>
      </x:c>
      <x:c r="B23" s="18" t="str">
        <x:v>風琴機針 DCx27 #16</x:v>
      </x:c>
      <x:c r="C23" s="18" t="str">
        <x:v>DCx27 #16</x:v>
      </x:c>
      <x:c r="D23" s="18" t="str">
        <x:v>包</x:v>
      </x:c>
      <x:c r="E23" s="21" t="n">
        <x:v>1.3</x:v>
      </x:c>
      <x:c r="F23" s="21" t="n">
        <x:f>SUMIFS('Transaction Detail'!$Q$2:$Q$153,'Transaction Detail'!$F$2:$F$153,$A23,'Transaction Detail'!$A$2:$A$153,"2026-01")</x:f>
        <x:v>0</x:v>
      </x:c>
      <x:c r="G23" s="21" t="n">
        <x:f>SUMIFS('Transaction Detail'!$Q$2:$Q$153,'Transaction Detail'!$F$2:$F$153,$A23,'Transaction Detail'!$A$2:$A$153,"2026-02")</x:f>
        <x:v>130</x:v>
      </x:c>
      <x:c r="H23" s="21" t="n">
        <x:f>SUMIFS('Transaction Detail'!$Q$2:$Q$153,'Transaction Detail'!$F$2:$F$153,$A23,'Transaction Detail'!$A$2:$A$153,"2026-03")</x:f>
        <x:v>0</x:v>
      </x:c>
      <x:c r="I23" s="21" t="n">
        <x:f>SUMIFS('Transaction Detail'!$Q$2:$Q$153,'Transaction Detail'!$F$2:$F$153,$A23,'Transaction Detail'!$A$2:$A$153,"2026-04")</x:f>
        <x:v>65</x:v>
      </x:c>
      <x:c r="J23" s="21" t="n">
        <x:f>SUMIFS('Transaction Detail'!$Q$2:$Q$153,'Transaction Detail'!$F$2:$F$153,$A23,'Transaction Detail'!$A$2:$A$153,"2026-05")</x:f>
        <x:v>0</x:v>
      </x:c>
      <x:c r="K23" s="21" t="n">
        <x:f>SUMIFS('Transaction Detail'!$Q$2:$Q$153,'Transaction Detail'!$F$2:$F$153,$A23,'Transaction Detail'!$A$2:$A$153,"2026-06")</x:f>
        <x:v>65</x:v>
      </x:c>
      <x:c r="L23" s="21" t="n">
        <x:f>SUM(F23:K23)</x:f>
        <x:v>260</x:v>
      </x:c>
      <x:c r="M23" s="247" t="n">
        <x:f>SUMIFS('Transaction Detail'!$M$2:$M$153,'Transaction Detail'!$F$2:$F$153,$A23,'Transaction Detail'!$I$2:$I$153,"Needle")</x:f>
        <x:v>200</x:v>
      </x:c>
      <x:c r="N23" s="40" t="n">
        <x:f>IF($E$11=0,0,L23/$E$11)</x:f>
        <x:v>0.029076269290986355</x:v>
      </x:c>
      <x:c r="O23" s="247" t="n">
        <x:f>COUNTIF('Transaction Detail'!$F$2:$F$153,$A23)</x:f>
        <x:v>3</x:v>
      </x:c>
      <x:c r="Q23" t="str">
        <x:v>2026-06</x:v>
      </x:c>
      <x:c r="R23" s="38" t="n">
        <x:f>F10</x:f>
        <x:v>0.8089073956730334</x:v>
      </x:c>
    </x:row>
    <x:row r="24">
      <x:c r="A24" s="18" t="str">
        <x:v>ND-DPX17-16</x:v>
      </x:c>
      <x:c r="B24" s="18" t="str">
        <x:v>風琴機針 DPx17 #16</x:v>
      </x:c>
      <x:c r="C24" s="18" t="str">
        <x:v>DPx17 #16</x:v>
      </x:c>
      <x:c r="D24" s="18" t="str">
        <x:v>包</x:v>
      </x:c>
      <x:c r="E24" s="21" t="n">
        <x:v>1.3</x:v>
      </x:c>
      <x:c r="F24" s="21" t="n">
        <x:f>SUMIFS('Transaction Detail'!$Q$2:$Q$153,'Transaction Detail'!$F$2:$F$153,$A24,'Transaction Detail'!$A$2:$A$153,"2026-01")</x:f>
        <x:v>0</x:v>
      </x:c>
      <x:c r="G24" s="21" t="n">
        <x:f>SUMIFS('Transaction Detail'!$Q$2:$Q$153,'Transaction Detail'!$F$2:$F$153,$A24,'Transaction Detail'!$A$2:$A$153,"2026-02")</x:f>
        <x:v>0</x:v>
      </x:c>
      <x:c r="H24" s="21" t="n">
        <x:f>SUMIFS('Transaction Detail'!$Q$2:$Q$153,'Transaction Detail'!$F$2:$F$153,$A24,'Transaction Detail'!$A$2:$A$153,"2026-03")</x:f>
        <x:v>0</x:v>
      </x:c>
      <x:c r="I24" s="21" t="n">
        <x:f>SUMIFS('Transaction Detail'!$Q$2:$Q$153,'Transaction Detail'!$F$2:$F$153,$A24,'Transaction Detail'!$A$2:$A$153,"2026-04")</x:f>
        <x:v>65</x:v>
      </x:c>
      <x:c r="J24" s="21" t="n">
        <x:f>SUMIFS('Transaction Detail'!$Q$2:$Q$153,'Transaction Detail'!$F$2:$F$153,$A24,'Transaction Detail'!$A$2:$A$153,"2026-05")</x:f>
        <x:v>0</x:v>
      </x:c>
      <x:c r="K24" s="21" t="n">
        <x:f>SUMIFS('Transaction Detail'!$Q$2:$Q$153,'Transaction Detail'!$F$2:$F$153,$A24,'Transaction Detail'!$A$2:$A$153,"2026-06")</x:f>
        <x:v>0</x:v>
      </x:c>
      <x:c r="L24" s="21" t="n">
        <x:f>SUM(F24:K24)</x:f>
        <x:v>65</x:v>
      </x:c>
      <x:c r="M24" s="247" t="n">
        <x:f>SUMIFS('Transaction Detail'!$M$2:$M$153,'Transaction Detail'!$F$2:$F$153,$A24,'Transaction Detail'!$I$2:$I$153,"Needle")</x:f>
        <x:v>50</x:v>
      </x:c>
      <x:c r="N24" s="40" t="n">
        <x:f>IF($E$11=0,0,L24/$E$11)</x:f>
        <x:v>0.007269067322746589</x:v>
      </x:c>
      <x:c r="O24" s="247" t="n">
        <x:f>COUNTIF('Transaction Detail'!$F$2:$F$153,$A24)</x:f>
        <x:v>1</x:v>
      </x:c>
    </x:row>
    <x:row r="25">
      <x:c r="A25" s="18" t="str">
        <x:v>ND-DPX5-14</x:v>
      </x:c>
      <x:c r="B25" s="18" t="str">
        <x:v>風琴機針 DPx5 #14</x:v>
      </x:c>
      <x:c r="C25" s="18" t="str">
        <x:v>DPx5 #14</x:v>
      </x:c>
      <x:c r="D25" s="18" t="str">
        <x:v>包</x:v>
      </x:c>
      <x:c r="E25" s="21" t="n">
        <x:v>0.78</x:v>
      </x:c>
      <x:c r="F25" s="21" t="n">
        <x:f>SUMIFS('Transaction Detail'!$Q$2:$Q$153,'Transaction Detail'!$F$2:$F$153,$A25,'Transaction Detail'!$A$2:$A$153,"2026-01")</x:f>
        <x:v>0</x:v>
      </x:c>
      <x:c r="G25" s="21" t="n">
        <x:f>SUMIFS('Transaction Detail'!$Q$2:$Q$153,'Transaction Detail'!$F$2:$F$153,$A25,'Transaction Detail'!$A$2:$A$153,"2026-02")</x:f>
        <x:v>78</x:v>
      </x:c>
      <x:c r="H25" s="21" t="n">
        <x:f>SUMIFS('Transaction Detail'!$Q$2:$Q$153,'Transaction Detail'!$F$2:$F$153,$A25,'Transaction Detail'!$A$2:$A$153,"2026-03")</x:f>
        <x:v>0</x:v>
      </x:c>
      <x:c r="I25" s="21" t="n">
        <x:f>SUMIFS('Transaction Detail'!$Q$2:$Q$153,'Transaction Detail'!$F$2:$F$153,$A25,'Transaction Detail'!$A$2:$A$153,"2026-04")</x:f>
        <x:v>39</x:v>
      </x:c>
      <x:c r="J25" s="21" t="n">
        <x:f>SUMIFS('Transaction Detail'!$Q$2:$Q$153,'Transaction Detail'!$F$2:$F$153,$A25,'Transaction Detail'!$A$2:$A$153,"2026-05")</x:f>
        <x:v>0</x:v>
      </x:c>
      <x:c r="K25" s="21" t="n">
        <x:f>SUMIFS('Transaction Detail'!$Q$2:$Q$153,'Transaction Detail'!$F$2:$F$153,$A25,'Transaction Detail'!$A$2:$A$153,"2026-06")</x:f>
        <x:v>39</x:v>
      </x:c>
      <x:c r="L25" s="21" t="n">
        <x:f>SUM(F25:K25)</x:f>
        <x:v>156</x:v>
      </x:c>
      <x:c r="M25" s="247" t="n">
        <x:f>SUMIFS('Transaction Detail'!$M$2:$M$153,'Transaction Detail'!$F$2:$F$153,$A25,'Transaction Detail'!$I$2:$I$153,"Needle")</x:f>
        <x:v>200</x:v>
      </x:c>
      <x:c r="N25" s="40" t="n">
        <x:f>IF($E$11=0,0,L25/$E$11)</x:f>
        <x:v>0.017445761574591812</x:v>
      </x:c>
      <x:c r="O25" s="247" t="n">
        <x:f>COUNTIF('Transaction Detail'!$F$2:$F$153,$A25)</x:f>
        <x:v>3</x:v>
      </x:c>
    </x:row>
    <x:row r="26">
      <x:c r="A26" s="18" t="str">
        <x:v>ND-DPX5-16</x:v>
      </x:c>
      <x:c r="B26" s="18" t="str">
        <x:v>風琴機針 DPx5 #16</x:v>
      </x:c>
      <x:c r="C26" s="18" t="str">
        <x:v>DPx5 #16</x:v>
      </x:c>
      <x:c r="D26" s="18" t="str">
        <x:v>包</x:v>
      </x:c>
      <x:c r="E26" s="21" t="n">
        <x:v>0.78</x:v>
      </x:c>
      <x:c r="F26" s="21" t="n">
        <x:f>SUMIFS('Transaction Detail'!$Q$2:$Q$153,'Transaction Detail'!$F$2:$F$153,$A26,'Transaction Detail'!$A$2:$A$153,"2026-01")</x:f>
        <x:v>0</x:v>
      </x:c>
      <x:c r="G26" s="21" t="n">
        <x:f>SUMIFS('Transaction Detail'!$Q$2:$Q$153,'Transaction Detail'!$F$2:$F$153,$A26,'Transaction Detail'!$A$2:$A$153,"2026-02")</x:f>
        <x:v>78</x:v>
      </x:c>
      <x:c r="H26" s="21" t="n">
        <x:f>SUMIFS('Transaction Detail'!$Q$2:$Q$153,'Transaction Detail'!$F$2:$F$153,$A26,'Transaction Detail'!$A$2:$A$153,"2026-03")</x:f>
        <x:v>0</x:v>
      </x:c>
      <x:c r="I26" s="21" t="n">
        <x:f>SUMIFS('Transaction Detail'!$Q$2:$Q$153,'Transaction Detail'!$F$2:$F$153,$A26,'Transaction Detail'!$A$2:$A$153,"2026-04")</x:f>
        <x:v>0</x:v>
      </x:c>
      <x:c r="J26" s="21" t="n">
        <x:f>SUMIFS('Transaction Detail'!$Q$2:$Q$153,'Transaction Detail'!$F$2:$F$153,$A26,'Transaction Detail'!$A$2:$A$153,"2026-05")</x:f>
        <x:v>0</x:v>
      </x:c>
      <x:c r="K26" s="21" t="n">
        <x:f>SUMIFS('Transaction Detail'!$Q$2:$Q$153,'Transaction Detail'!$F$2:$F$153,$A26,'Transaction Detail'!$A$2:$A$153,"2026-06")</x:f>
        <x:v>39</x:v>
      </x:c>
      <x:c r="L26" s="21" t="n">
        <x:f>SUM(F26:K26)</x:f>
        <x:v>117</x:v>
      </x:c>
      <x:c r="M26" s="247" t="n">
        <x:f>SUMIFS('Transaction Detail'!$M$2:$M$153,'Transaction Detail'!$F$2:$F$153,$A26,'Transaction Detail'!$I$2:$I$153,"Needle")</x:f>
        <x:v>150</x:v>
      </x:c>
      <x:c r="N26" s="40" t="n">
        <x:f>IF($E$11=0,0,L26/$E$11)</x:f>
        <x:v>0.01308432118094386</x:v>
      </x:c>
      <x:c r="O26" s="247" t="n">
        <x:f>COUNTIF('Transaction Detail'!$F$2:$F$153,$A26)</x:f>
        <x:v>2</x:v>
      </x:c>
    </x:row>
    <x:row r="27">
      <x:c r="A27" s="18" t="str">
        <x:v>ND-UOX113-12</x:v>
      </x:c>
      <x:c r="B27" s="18" t="str">
        <x:v>風琴機針 UOx113 #12</x:v>
      </x:c>
      <x:c r="C27" s="18" t="str">
        <x:v>UOx113 #12</x:v>
      </x:c>
      <x:c r="D27" s="18" t="str">
        <x:v>包</x:v>
      </x:c>
      <x:c r="E27" s="21" t="n">
        <x:v>3</x:v>
      </x:c>
      <x:c r="F27" s="21" t="n">
        <x:f>SUMIFS('Transaction Detail'!$Q$2:$Q$153,'Transaction Detail'!$F$2:$F$153,$A27,'Transaction Detail'!$A$2:$A$153,"2026-01")</x:f>
        <x:v>0</x:v>
      </x:c>
      <x:c r="G27" s="21" t="n">
        <x:f>SUMIFS('Transaction Detail'!$Q$2:$Q$153,'Transaction Detail'!$F$2:$F$153,$A27,'Transaction Detail'!$A$2:$A$153,"2026-02")</x:f>
        <x:v>0</x:v>
      </x:c>
      <x:c r="H27" s="21" t="n">
        <x:f>SUMIFS('Transaction Detail'!$Q$2:$Q$153,'Transaction Detail'!$F$2:$F$153,$A27,'Transaction Detail'!$A$2:$A$153,"2026-03")</x:f>
        <x:v>0</x:v>
      </x:c>
      <x:c r="I27" s="21" t="n">
        <x:f>SUMIFS('Transaction Detail'!$Q$2:$Q$153,'Transaction Detail'!$F$2:$F$153,$A27,'Transaction Detail'!$A$2:$A$153,"2026-04")</x:f>
        <x:v>240</x:v>
      </x:c>
      <x:c r="J27" s="21" t="n">
        <x:f>SUMIFS('Transaction Detail'!$Q$2:$Q$153,'Transaction Detail'!$F$2:$F$153,$A27,'Transaction Detail'!$A$2:$A$153,"2026-05")</x:f>
        <x:v>600</x:v>
      </x:c>
      <x:c r="K27" s="21" t="n">
        <x:f>SUMIFS('Transaction Detail'!$Q$2:$Q$153,'Transaction Detail'!$F$2:$F$153,$A27,'Transaction Detail'!$A$2:$A$153,"2026-06")</x:f>
        <x:v>750</x:v>
      </x:c>
      <x:c r="L27" s="21" t="n">
        <x:f>SUM(F27:K27)</x:f>
        <x:v>1590</x:v>
      </x:c>
      <x:c r="M27" s="247" t="n">
        <x:f>SUMIFS('Transaction Detail'!$M$2:$M$153,'Transaction Detail'!$F$2:$F$153,$A27,'Transaction Detail'!$I$2:$I$153,"Needle")</x:f>
        <x:v>530</x:v>
      </x:c>
      <x:c r="N27" s="40" t="n">
        <x:f>IF($E$11=0,0,L27/$E$11)</x:f>
        <x:v>0.1778125698948781</x:v>
      </x:c>
      <x:c r="O27" s="247" t="n">
        <x:f>COUNTIF('Transaction Detail'!$F$2:$F$153,$A27)</x:f>
        <x:v>7</x:v>
      </x:c>
    </x:row>
    <x:row r="28">
      <x:c r="A28" s="18" t="str">
        <x:v>ND-UOX113-14</x:v>
      </x:c>
      <x:c r="B28" s="18" t="str">
        <x:v>風琴機針 UOx113 #14</x:v>
      </x:c>
      <x:c r="C28" s="18" t="str">
        <x:v>UOx113 #14</x:v>
      </x:c>
      <x:c r="D28" s="18" t="str">
        <x:v>包</x:v>
      </x:c>
      <x:c r="E28" s="21" t="n">
        <x:v>3</x:v>
      </x:c>
      <x:c r="F28" s="21" t="n">
        <x:f>SUMIFS('Transaction Detail'!$Q$2:$Q$153,'Transaction Detail'!$F$2:$F$153,$A28,'Transaction Detail'!$A$2:$A$153,"2026-01")</x:f>
        <x:v>600</x:v>
      </x:c>
      <x:c r="G28" s="21" t="n">
        <x:f>SUMIFS('Transaction Detail'!$Q$2:$Q$153,'Transaction Detail'!$F$2:$F$153,$A28,'Transaction Detail'!$A$2:$A$153,"2026-02")</x:f>
        <x:v>600</x:v>
      </x:c>
      <x:c r="H28" s="21" t="n">
        <x:f>SUMIFS('Transaction Detail'!$Q$2:$Q$153,'Transaction Detail'!$F$2:$F$153,$A28,'Transaction Detail'!$A$2:$A$153,"2026-03")</x:f>
        <x:v>300</x:v>
      </x:c>
      <x:c r="I28" s="21" t="n">
        <x:f>SUMIFS('Transaction Detail'!$Q$2:$Q$153,'Transaction Detail'!$F$2:$F$153,$A28,'Transaction Detail'!$A$2:$A$153,"2026-04")</x:f>
        <x:v>0</x:v>
      </x:c>
      <x:c r="J28" s="21" t="n">
        <x:f>SUMIFS('Transaction Detail'!$Q$2:$Q$153,'Transaction Detail'!$F$2:$F$153,$A28,'Transaction Detail'!$A$2:$A$153,"2026-05")</x:f>
        <x:v>0</x:v>
      </x:c>
      <x:c r="K28" s="21" t="n">
        <x:f>SUMIFS('Transaction Detail'!$Q$2:$Q$153,'Transaction Detail'!$F$2:$F$153,$A28,'Transaction Detail'!$A$2:$A$153,"2026-06")</x:f>
        <x:v>150</x:v>
      </x:c>
      <x:c r="L28" s="21" t="n">
        <x:f>SUM(F28:K28)</x:f>
        <x:v>1650</x:v>
      </x:c>
      <x:c r="M28" s="247" t="n">
        <x:f>SUMIFS('Transaction Detail'!$M$2:$M$153,'Transaction Detail'!$F$2:$F$153,$A28,'Transaction Detail'!$I$2:$I$153,"Needle")</x:f>
        <x:v>550</x:v>
      </x:c>
      <x:c r="N28" s="40" t="n">
        <x:f>IF($E$11=0,0,L28/$E$11)</x:f>
        <x:v>0.18452247819279805</x:v>
      </x:c>
      <x:c r="O28" s="247" t="n">
        <x:f>COUNTIF('Transaction Detail'!$F$2:$F$153,$A28)</x:f>
        <x:v>7</x:v>
      </x:c>
    </x:row>
    <x:row r="29">
      <x:c r="A29" s="18" t="str">
        <x:v>ND-UOX113-16</x:v>
      </x:c>
      <x:c r="B29" s="18" t="str">
        <x:v>風琴機針 UOx113 #16</x:v>
      </x:c>
      <x:c r="C29" s="18" t="str">
        <x:v>UOx113 #16</x:v>
      </x:c>
      <x:c r="D29" s="18" t="str">
        <x:v>包</x:v>
      </x:c>
      <x:c r="E29" s="21" t="n">
        <x:v>3</x:v>
      </x:c>
      <x:c r="F29" s="21" t="n">
        <x:f>SUMIFS('Transaction Detail'!$Q$2:$Q$153,'Transaction Detail'!$F$2:$F$153,$A29,'Transaction Detail'!$A$2:$A$153,"2026-01")</x:f>
        <x:v>0</x:v>
      </x:c>
      <x:c r="G29" s="21" t="n">
        <x:f>SUMIFS('Transaction Detail'!$Q$2:$Q$153,'Transaction Detail'!$F$2:$F$153,$A29,'Transaction Detail'!$A$2:$A$153,"2026-02")</x:f>
        <x:v>0</x:v>
      </x:c>
      <x:c r="H29" s="21" t="n">
        <x:f>SUMIFS('Transaction Detail'!$Q$2:$Q$153,'Transaction Detail'!$F$2:$F$153,$A29,'Transaction Detail'!$A$2:$A$153,"2026-03")</x:f>
        <x:v>150</x:v>
      </x:c>
      <x:c r="I29" s="21" t="n">
        <x:f>SUMIFS('Transaction Detail'!$Q$2:$Q$153,'Transaction Detail'!$F$2:$F$153,$A29,'Transaction Detail'!$A$2:$A$153,"2026-04")</x:f>
        <x:v>0</x:v>
      </x:c>
      <x:c r="J29" s="21" t="n">
        <x:f>SUMIFS('Transaction Detail'!$Q$2:$Q$153,'Transaction Detail'!$F$2:$F$153,$A29,'Transaction Detail'!$A$2:$A$153,"2026-05")</x:f>
        <x:v>0</x:v>
      </x:c>
      <x:c r="K29" s="21" t="n">
        <x:f>SUMIFS('Transaction Detail'!$Q$2:$Q$153,'Transaction Detail'!$F$2:$F$153,$A29,'Transaction Detail'!$A$2:$A$153,"2026-06")</x:f>
        <x:v>150</x:v>
      </x:c>
      <x:c r="L29" s="21" t="n">
        <x:f>SUM(F29:K29)</x:f>
        <x:v>300</x:v>
      </x:c>
      <x:c r="M29" s="247" t="n">
        <x:f>SUMIFS('Transaction Detail'!$M$2:$M$153,'Transaction Detail'!$F$2:$F$153,$A29,'Transaction Detail'!$I$2:$I$153,"Needle")</x:f>
        <x:v>100</x:v>
      </x:c>
      <x:c r="N29" s="40" t="n">
        <x:f>IF($E$11=0,0,L29/$E$11)</x:f>
        <x:v>0.03354954148959964</x:v>
      </x:c>
      <x:c r="O29" s="247" t="n">
        <x:f>COUNTIF('Transaction Detail'!$F$2:$F$153,$A29)</x:f>
        <x:v>2</x:v>
      </x:c>
    </x:row>
    <x:row r="30">
      <x:c r="A30" s="18" t="str">
        <x:v>ND-UYX128-11</x:v>
      </x:c>
      <x:c r="B30" s="18" t="str">
        <x:v>風琴機針 UYx128 #11</x:v>
      </x:c>
      <x:c r="C30" s="18" t="str">
        <x:v>UYx128 #11</x:v>
      </x:c>
      <x:c r="D30" s="18" t="str">
        <x:v>包</x:v>
      </x:c>
      <x:c r="E30" s="21" t="n">
        <x:v>1.78</x:v>
      </x:c>
      <x:c r="F30" s="21" t="n">
        <x:f>SUMIFS('Transaction Detail'!$Q$2:$Q$153,'Transaction Detail'!$F$2:$F$153,$A30,'Transaction Detail'!$A$2:$A$153,"2026-01")</x:f>
        <x:v>712</x:v>
      </x:c>
      <x:c r="G30" s="21" t="n">
        <x:f>SUMIFS('Transaction Detail'!$Q$2:$Q$153,'Transaction Detail'!$F$2:$F$153,$A30,'Transaction Detail'!$A$2:$A$153,"2026-02")</x:f>
        <x:v>0</x:v>
      </x:c>
      <x:c r="H30" s="21" t="n">
        <x:f>SUMIFS('Transaction Detail'!$Q$2:$Q$153,'Transaction Detail'!$F$2:$F$153,$A30,'Transaction Detail'!$A$2:$A$153,"2026-03")</x:f>
        <x:v>0</x:v>
      </x:c>
      <x:c r="I30" s="21" t="n">
        <x:f>SUMIFS('Transaction Detail'!$Q$2:$Q$153,'Transaction Detail'!$F$2:$F$153,$A30,'Transaction Detail'!$A$2:$A$153,"2026-04")</x:f>
        <x:v>0</x:v>
      </x:c>
      <x:c r="J30" s="21" t="n">
        <x:f>SUMIFS('Transaction Detail'!$Q$2:$Q$153,'Transaction Detail'!$F$2:$F$153,$A30,'Transaction Detail'!$A$2:$A$153,"2026-05")</x:f>
        <x:v>0</x:v>
      </x:c>
      <x:c r="K30" s="21" t="n">
        <x:f>SUMIFS('Transaction Detail'!$Q$2:$Q$153,'Transaction Detail'!$F$2:$F$153,$A30,'Transaction Detail'!$A$2:$A$153,"2026-06")</x:f>
        <x:v>0</x:v>
      </x:c>
      <x:c r="L30" s="21" t="n">
        <x:f>SUM(F30:K30)</x:f>
        <x:v>712</x:v>
      </x:c>
      <x:c r="M30" s="247" t="n">
        <x:f>SUMIFS('Transaction Detail'!$M$2:$M$153,'Transaction Detail'!$F$2:$F$153,$A30,'Transaction Detail'!$I$2:$I$153,"Needle")</x:f>
        <x:v>400</x:v>
      </x:c>
      <x:c r="N30" s="40" t="n">
        <x:f>IF($E$11=0,0,L30/$E$11)</x:f>
        <x:v>0.07962424513531649</x:v>
      </x:c>
      <x:c r="O30" s="247" t="n">
        <x:f>COUNTIF('Transaction Detail'!$F$2:$F$153,$A30)</x:f>
        <x:v>4</x:v>
      </x:c>
    </x:row>
    <x:row r="31">
      <x:c r="A31" s="18" t="str">
        <x:v>ND-UYX128-12</x:v>
      </x:c>
      <x:c r="B31" s="18" t="str">
        <x:v>風琴機針 UYx128 #12</x:v>
      </x:c>
      <x:c r="C31" s="18" t="str">
        <x:v>UYx128 #12</x:v>
      </x:c>
      <x:c r="D31" s="18" t="str">
        <x:v>包</x:v>
      </x:c>
      <x:c r="E31" s="21" t="n">
        <x:v>1.78</x:v>
      </x:c>
      <x:c r="F31" s="21" t="n">
        <x:f>SUMIFS('Transaction Detail'!$Q$2:$Q$153,'Transaction Detail'!$F$2:$F$153,$A31,'Transaction Detail'!$A$2:$A$153,"2026-01")</x:f>
        <x:v>0</x:v>
      </x:c>
      <x:c r="G31" s="21" t="n">
        <x:f>SUMIFS('Transaction Detail'!$Q$2:$Q$153,'Transaction Detail'!$F$2:$F$153,$A31,'Transaction Detail'!$A$2:$A$153,"2026-02")</x:f>
        <x:v>0</x:v>
      </x:c>
      <x:c r="H31" s="21" t="n">
        <x:f>SUMIFS('Transaction Detail'!$Q$2:$Q$153,'Transaction Detail'!$F$2:$F$153,$A31,'Transaction Detail'!$A$2:$A$153,"2026-03")</x:f>
        <x:v>267</x:v>
      </x:c>
      <x:c r="I31" s="21" t="n">
        <x:f>SUMIFS('Transaction Detail'!$Q$2:$Q$153,'Transaction Detail'!$F$2:$F$153,$A31,'Transaction Detail'!$A$2:$A$153,"2026-04")</x:f>
        <x:v>534</x:v>
      </x:c>
      <x:c r="J31" s="21" t="n">
        <x:f>SUMIFS('Transaction Detail'!$Q$2:$Q$153,'Transaction Detail'!$F$2:$F$153,$A31,'Transaction Detail'!$A$2:$A$153,"2026-05")</x:f>
        <x:v>89</x:v>
      </x:c>
      <x:c r="K31" s="21" t="n">
        <x:f>SUMIFS('Transaction Detail'!$Q$2:$Q$153,'Transaction Detail'!$F$2:$F$153,$A31,'Transaction Detail'!$A$2:$A$153,"2026-06")</x:f>
        <x:v>445</x:v>
      </x:c>
      <x:c r="L31" s="21" t="n">
        <x:f>SUM(F31:K31)</x:f>
        <x:v>1335</x:v>
      </x:c>
      <x:c r="M31" s="247" t="n">
        <x:f>SUMIFS('Transaction Detail'!$M$2:$M$153,'Transaction Detail'!$F$2:$F$153,$A31,'Transaction Detail'!$I$2:$I$153,"Needle")</x:f>
        <x:v>750</x:v>
      </x:c>
      <x:c r="N31" s="40" t="n">
        <x:f>IF($E$11=0,0,L31/$E$11)</x:f>
        <x:v>0.1492954596287184</x:v>
      </x:c>
      <x:c r="O31" s="247" t="n">
        <x:f>COUNTIF('Transaction Detail'!$F$2:$F$153,$A31)</x:f>
        <x:v>7</x:v>
      </x:c>
    </x:row>
    <x:row r="32">
      <x:c r="A32" s="18" t="str">
        <x:v>ND-UYX128-14</x:v>
      </x:c>
      <x:c r="B32" s="18" t="str">
        <x:v>風琴機針 UYx128 #14</x:v>
      </x:c>
      <x:c r="C32" s="18" t="str">
        <x:v>UYx128 #14</x:v>
      </x:c>
      <x:c r="D32" s="18" t="str">
        <x:v>包</x:v>
      </x:c>
      <x:c r="E32" s="21" t="n">
        <x:v>1.78</x:v>
      </x:c>
      <x:c r="F32" s="21" t="n">
        <x:f>SUMIFS('Transaction Detail'!$Q$2:$Q$153,'Transaction Detail'!$F$2:$F$153,$A32,'Transaction Detail'!$A$2:$A$153,"2026-01")</x:f>
        <x:v>0</x:v>
      </x:c>
      <x:c r="G32" s="21" t="n">
        <x:f>SUMIFS('Transaction Detail'!$Q$2:$Q$153,'Transaction Detail'!$F$2:$F$153,$A32,'Transaction Detail'!$A$2:$A$153,"2026-02")</x:f>
        <x:v>0</x:v>
      </x:c>
      <x:c r="H32" s="21" t="n">
        <x:f>SUMIFS('Transaction Detail'!$Q$2:$Q$153,'Transaction Detail'!$F$2:$F$153,$A32,'Transaction Detail'!$A$2:$A$153,"2026-03")</x:f>
        <x:v>267</x:v>
      </x:c>
      <x:c r="I32" s="21" t="n">
        <x:f>SUMIFS('Transaction Detail'!$Q$2:$Q$153,'Transaction Detail'!$F$2:$F$153,$A32,'Transaction Detail'!$A$2:$A$153,"2026-04")</x:f>
        <x:v>0</x:v>
      </x:c>
      <x:c r="J32" s="21" t="n">
        <x:f>SUMIFS('Transaction Detail'!$Q$2:$Q$153,'Transaction Detail'!$F$2:$F$153,$A32,'Transaction Detail'!$A$2:$A$153,"2026-05")</x:f>
        <x:v>178</x:v>
      </x:c>
      <x:c r="K32" s="21" t="n">
        <x:f>SUMIFS('Transaction Detail'!$Q$2:$Q$153,'Transaction Detail'!$F$2:$F$153,$A32,'Transaction Detail'!$A$2:$A$153,"2026-06")</x:f>
        <x:v>89</x:v>
      </x:c>
      <x:c r="L32" s="21" t="n">
        <x:f>SUM(F32:K32)</x:f>
        <x:v>534</x:v>
      </x:c>
      <x:c r="M32" s="247" t="n">
        <x:f>SUMIFS('Transaction Detail'!$M$2:$M$153,'Transaction Detail'!$F$2:$F$153,$A32,'Transaction Detail'!$I$2:$I$153,"Needle")</x:f>
        <x:v>300</x:v>
      </x:c>
      <x:c r="N32" s="40" t="n">
        <x:f>IF($E$11=0,0,L32/$E$11)</x:f>
        <x:v>0.05971818385148736</x:v>
      </x:c>
      <x:c r="O32" s="247" t="n">
        <x:f>COUNTIF('Transaction Detail'!$F$2:$F$153,$A32)</x:f>
        <x:v>3</x:v>
      </x:c>
    </x:row>
    <x:row r="33">
      <x:c r="A33" s="248" t="str">
        <x:v>合計</x:v>
      </x:c>
      <x:c r="B33" s="248" t="str"/>
      <x:c r="C33" s="248" t="str"/>
      <x:c r="D33" s="248" t="str"/>
      <x:c r="E33" s="249" t="str"/>
      <x:c r="F33" s="249" t="n">
        <x:f>SUM(F16:F32)</x:f>
        <x:v>1702</x:v>
      </x:c>
      <x:c r="G33" s="249" t="n">
        <x:f>SUM(G16:G32)</x:f>
        <x:v>1172</x:v>
      </x:c>
      <x:c r="H33" s="249" t="n">
        <x:f>SUM(H16:H32)</x:f>
        <x:v>1296</x:v>
      </x:c>
      <x:c r="I33" s="249" t="n">
        <x:f>SUM(I16:I32)</x:f>
        <x:v>1541</x:v>
      </x:c>
      <x:c r="J33" s="249" t="n">
        <x:f>SUM(J16:J32)</x:f>
        <x:v>997</x:v>
      </x:c>
      <x:c r="K33" s="249" t="n">
        <x:f>SUM(K16:K32)</x:f>
        <x:v>2234</x:v>
      </x:c>
      <x:c r="L33" s="249" t="n">
        <x:f>SUM(L16:L32)</x:f>
        <x:v>8942</x:v>
      </x:c>
      <x:c r="M33" s="251" t="n">
        <x:f>SUM(M16:M32)</x:f>
        <x:v>5180</x:v>
      </x:c>
      <x:c r="N33" s="250" t="n">
        <x:f>SUM(N16:N32)</x:f>
        <x:v>1</x:v>
      </x:c>
      <x:c r="O33" s="251" t="n">
        <x:f>SUM(O16:O32)</x:f>
        <x:v>63</x:v>
      </x:c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  <x:c r="O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  <x:c r="O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  <x:c r="O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  <x:c r="O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  <x:c r="O40" s="18"/>
    </x:row>
  </x:sheetData>
  <x:mergeCells>
    <x:mergeCell ref="A1:J1"/>
    <x:mergeCell ref="A2:J2"/>
    <x:mergeCell ref="A14:O14"/>
  </x:mergeCells>
  <x:conditionalFormatting sqref="F5:F10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N16:N32"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{5E5B7DBF-609F-2E0B-4A55-16882E540183}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f3f1a427819c47de"/>
  <x:tableParts count="2">
    <x:tablePart xmlns:r="http://schemas.openxmlformats.org/officeDocument/2006/relationships" r:id="R7bbcf45d4b824b72"/>
    <x:tablePart xmlns:r="http://schemas.openxmlformats.org/officeDocument/2006/relationships" r:id="Rb3a0984ec0c249d1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5E5B7DBF-609F-2E0B-4A55-16882E540183}">
            <x14:dataBar gradient="1">
              <x14:cfvo type="min"/>
              <x14:cfvo type="max"/>
              <x14:fillColor rgb="FFA02B93"/>
            </x14:dataBar>
          </x14:cfRule>
          <xm:sqref>N16:N32</xm:sqref>
        </x14:conditionalFormatting>
      </x14:conditionalFormattings>
    </x:ext>
  </x:extLst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13" hidden="0" customWidth="1"/>
    <x:col min="4" max="4" width="13" hidden="0" customWidth="1"/>
    <x:col min="5" max="5" width="12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28" customHeight="1">
      <x:c r="A1" s="283" t="str">
        <x:v>VRT Machine Spare Parts Procurement | Historical Dashboard 2024 – Jun 2026</x:v>
      </x:c>
      <x:c r="B1" s="283"/>
      <x:c r="C1" s="283"/>
      <x:c r="D1" s="283"/>
      <x:c r="E1" s="283"/>
      <x:c r="F1" s="283"/>
      <x:c r="G1" s="283"/>
      <x:c r="H1" s="283"/>
      <x:c r="I1" s="283"/>
      <x:c r="J1" s="283"/>
      <x:c r="K1" s="283"/>
      <x:c r="L1" s="283"/>
    </x:row>
    <x:row r="3">
      <x:c r="A3" s="362" t="str">
        <x:v>2024 Spend</x:v>
      </x:c>
      <x:c r="B3" s="363"/>
      <x:c r="C3" s="362" t="str">
        <x:v>2025 Spend</x:v>
      </x:c>
      <x:c r="D3" s="363"/>
      <x:c r="E3" s="362" t="str">
        <x:v>2026 H1 Spend</x:v>
      </x:c>
      <x:c r="F3" s="363"/>
      <x:c r="G3" s="362" t="str">
        <x:v>2025 vs 2024</x:v>
      </x:c>
      <x:c r="H3" s="363"/>
      <x:c r="I3" s="362" t="str">
        <x:v>2026 H1 vs 2025 H1</x:v>
      </x:c>
      <x:c r="J3" s="363"/>
      <x:c r="K3" s="362" t="str">
        <x:v>30L Oil Change</x:v>
      </x:c>
      <x:c r="L3" s="363"/>
    </x:row>
    <x:row r="4">
      <x:c r="A4" s="372" t="n">
        <x:f>SUM('2024 Invoice Summary'!F3:F53)</x:f>
        <x:v>12441</x:v>
      </x:c>
      <x:c r="B4" s="373"/>
      <x:c r="C4" s="372" t="n">
        <x:f>SUM('2025 Transaction Detail'!P3:P220)</x:f>
        <x:v>17759.289999999997</x:v>
      </x:c>
      <x:c r="D4" s="373"/>
      <x:c r="E4" s="372" t="n">
        <x:f>SUM('Transaction Detail'!P2:P153)</x:f>
        <x:v>14563.15</x:v>
      </x:c>
      <x:c r="F4" s="373"/>
      <x:c r="G4" s="374" t="n">
        <x:f>'Quarterly Trend'!E9</x:f>
        <x:v>0.427480909894703</x:v>
      </x:c>
      <x:c r="H4" s="375"/>
      <x:c r="I4" s="374" t="n">
        <x:f>'Quarterly Trend'!F8</x:f>
        <x:v>0.8944427822512455</x:v>
      </x:c>
      <x:c r="J4" s="375"/>
      <x:c r="K4" s="374" t="n">
        <x:f>'Cross-Year Benchmark'!L3</x:f>
        <x:v>0.4444444444444444</x:v>
      </x:c>
      <x:c r="L4" s="375"/>
    </x:row>
    <x:row r="5">
      <x:c r="A5" s="370" t="str">
        <x:v>Invoice-based total</x:v>
      </x:c>
      <x:c r="B5" s="371"/>
      <x:c r="C5" s="370" t="str">
        <x:v>Full year</x:v>
      </x:c>
      <x:c r="D5" s="371"/>
      <x:c r="E5" s="370" t="str">
        <x:v>Jan-Jun</x:v>
      </x:c>
      <x:c r="F5" s="371"/>
      <x:c r="G5" s="370" t="str">
        <x:v>Full-year change</x:v>
      </x:c>
      <x:c r="H5" s="371"/>
      <x:c r="I5" s="370" t="str">
        <x:v>H1 change</x:v>
      </x:c>
      <x:c r="J5" s="371"/>
      <x:c r="K5" s="370" t="str">
        <x:v>2024 → 2026</x:v>
      </x:c>
      <x:c r="L5" s="371"/>
    </x:row>
    <x:row r="7">
      <x:c r="A7" s="379" t="str">
        <x:v>Key findings: 2025 spend increased materially vs 2024; 2026 H1 is already well above 2025 H1. Most confirmed recurring unit prices remain stable. The main price exception is 30L sewing oil ($45 → $65, +44.4%), while JUKI-8700A moving knife rose $2.30 → $2.50 (+8.7%). High-frequency needles should use brand/model/size-matched price controls.</x:v>
      </x:c>
      <x:c r="B7" s="380"/>
      <x:c r="C7" s="380"/>
      <x:c r="D7" s="380"/>
      <x:c r="E7" s="380"/>
      <x:c r="F7" s="380"/>
      <x:c r="G7" s="380"/>
      <x:c r="H7" s="380"/>
      <x:c r="I7" s="380"/>
      <x:c r="J7" s="380"/>
      <x:c r="K7" s="380"/>
      <x:c r="L7" s="381"/>
    </x:row>
    <x:row r="8">
      <x:c r="A8" s="382"/>
      <x:c r="B8" s="383"/>
      <x:c r="C8" s="383"/>
      <x:c r="D8" s="383"/>
      <x:c r="E8" s="383"/>
      <x:c r="F8" s="383"/>
      <x:c r="G8" s="383"/>
      <x:c r="H8" s="383"/>
      <x:c r="I8" s="383"/>
      <x:c r="J8" s="383"/>
      <x:c r="K8" s="383"/>
      <x:c r="L8" s="384"/>
    </x:row>
    <x:row r="9">
      <x:c r="A9" s="385"/>
      <x:c r="B9" s="386"/>
      <x:c r="C9" s="386"/>
      <x:c r="D9" s="386"/>
      <x:c r="E9" s="386"/>
      <x:c r="F9" s="386"/>
      <x:c r="G9" s="386"/>
      <x:c r="H9" s="386"/>
      <x:c r="I9" s="386"/>
      <x:c r="J9" s="386"/>
      <x:c r="K9" s="386"/>
      <x:c r="L9" s="387"/>
    </x:row>
    <x:row r="11" ht="28" customHeight="1">
      <x:c r="A11" s="291" t="str">
        <x:v>Month</x:v>
      </x:c>
      <x:c r="B11" s="292" t="str">
        <x:v>2024</x:v>
      </x:c>
      <x:c r="C11" s="292" t="str">
        <x:v>2025</x:v>
      </x:c>
      <x:c r="D11" s="293" t="str">
        <x:v>2026</x:v>
      </x:c>
    </x:row>
    <x:row r="12">
      <x:c r="A12" s="310" t="str">
        <x:f>'Cross-Year Monthly'!B3</x:f>
        <x:v>Jan</x:v>
      </x:c>
      <x:c r="B12" s="304" t="n">
        <x:f>'Cross-Year Monthly'!C3</x:f>
        <x:v>846</x:v>
      </x:c>
      <x:c r="C12" s="304" t="n">
        <x:f>'Cross-Year Monthly'!D3</x:f>
        <x:v>1689.3999999999999</x:v>
      </x:c>
      <x:c r="D12" s="388" t="n">
        <x:f>'Cross-Year Monthly'!E3</x:f>
        <x:v>2610</x:v>
      </x:c>
    </x:row>
    <x:row r="13">
      <x:c r="A13" s="310" t="str">
        <x:f>'Cross-Year Monthly'!B4</x:f>
        <x:v>Feb</x:v>
      </x:c>
      <x:c r="B13" s="304" t="n">
        <x:f>'Cross-Year Monthly'!C4</x:f>
        <x:v>106</x:v>
      </x:c>
      <x:c r="C13" s="304" t="n">
        <x:f>'Cross-Year Monthly'!D4</x:f>
        <x:v>1452.3</x:v>
      </x:c>
      <x:c r="D13" s="388" t="n">
        <x:f>'Cross-Year Monthly'!E4</x:f>
        <x:v>1850.9</x:v>
      </x:c>
    </x:row>
    <x:row r="14">
      <x:c r="A14" s="310" t="str">
        <x:f>'Cross-Year Monthly'!B5</x:f>
        <x:v>Mar</x:v>
      </x:c>
      <x:c r="B14" s="304" t="n">
        <x:f>'Cross-Year Monthly'!C5</x:f>
        <x:v>0</x:v>
      </x:c>
      <x:c r="C14" s="304" t="n">
        <x:f>'Cross-Year Monthly'!D5</x:f>
        <x:v>2169</x:v>
      </x:c>
      <x:c r="D14" s="388" t="n">
        <x:f>'Cross-Year Monthly'!E5</x:f>
        <x:v>3032</x:v>
      </x:c>
    </x:row>
    <x:row r="15">
      <x:c r="A15" s="310" t="str">
        <x:f>'Cross-Year Monthly'!B6</x:f>
        <x:v>Apr</x:v>
      </x:c>
      <x:c r="B15" s="304" t="n">
        <x:f>'Cross-Year Monthly'!C6</x:f>
        <x:v>1309</x:v>
      </x:c>
      <x:c r="C15" s="304" t="n">
        <x:f>'Cross-Year Monthly'!D6</x:f>
        <x:v>298</x:v>
      </x:c>
      <x:c r="D15" s="388" t="n">
        <x:f>'Cross-Year Monthly'!E6</x:f>
        <x:v>1736</x:v>
      </x:c>
    </x:row>
    <x:row r="16">
      <x:c r="A16" s="310" t="str">
        <x:f>'Cross-Year Monthly'!B7</x:f>
        <x:v>May</x:v>
      </x:c>
      <x:c r="B16" s="304" t="n">
        <x:f>'Cross-Year Monthly'!C7</x:f>
        <x:v>1941</x:v>
      </x:c>
      <x:c r="C16" s="304" t="n">
        <x:f>'Cross-Year Monthly'!D7</x:f>
        <x:v>833.4</x:v>
      </x:c>
      <x:c r="D16" s="388" t="n">
        <x:f>'Cross-Year Monthly'!E7</x:f>
        <x:v>2572.5</x:v>
      </x:c>
    </x:row>
    <x:row r="17">
      <x:c r="A17" s="310" t="str">
        <x:f>'Cross-Year Monthly'!B8</x:f>
        <x:v>Jun</x:v>
      </x:c>
      <x:c r="B17" s="304" t="n">
        <x:f>'Cross-Year Monthly'!C8</x:f>
        <x:v>1528</x:v>
      </x:c>
      <x:c r="C17" s="304" t="n">
        <x:f>'Cross-Year Monthly'!D8</x:f>
        <x:v>1245.2</x:v>
      </x:c>
      <x:c r="D17" s="388" t="n">
        <x:f>'Cross-Year Monthly'!E8</x:f>
        <x:v>2761.75</x:v>
      </x:c>
    </x:row>
    <x:row r="18">
      <x:c r="A18" s="310" t="str">
        <x:f>'Cross-Year Monthly'!B9</x:f>
        <x:v>Jul</x:v>
      </x:c>
      <x:c r="B18" s="304" t="n">
        <x:f>'Cross-Year Monthly'!C9</x:f>
        <x:v>1117.7</x:v>
      </x:c>
      <x:c r="C18" s="304" t="n">
        <x:f>'Cross-Year Monthly'!D9</x:f>
        <x:v>774.6</x:v>
      </x:c>
      <x:c r="D18" s="388"/>
    </x:row>
    <x:row r="19">
      <x:c r="A19" s="310" t="str">
        <x:f>'Cross-Year Monthly'!B10</x:f>
        <x:v>Aug</x:v>
      </x:c>
      <x:c r="B19" s="304" t="n">
        <x:f>'Cross-Year Monthly'!C10</x:f>
        <x:v>1086</x:v>
      </x:c>
      <x:c r="C19" s="304" t="n">
        <x:f>'Cross-Year Monthly'!D10</x:f>
        <x:v>2347.94</x:v>
      </x:c>
      <x:c r="D19" s="388"/>
    </x:row>
    <x:row r="20">
      <x:c r="A20" s="310" t="str">
        <x:f>'Cross-Year Monthly'!B11</x:f>
        <x:v>Sep</x:v>
      </x:c>
      <x:c r="B20" s="304" t="n">
        <x:f>'Cross-Year Monthly'!C11</x:f>
        <x:v>460</x:v>
      </x:c>
      <x:c r="C20" s="304" t="n">
        <x:f>'Cross-Year Monthly'!D11</x:f>
        <x:v>251</x:v>
      </x:c>
      <x:c r="D20" s="388"/>
    </x:row>
    <x:row r="21">
      <x:c r="A21" s="310" t="str">
        <x:f>'Cross-Year Monthly'!B12</x:f>
        <x:v>Oct</x:v>
      </x:c>
      <x:c r="B21" s="304" t="n">
        <x:f>'Cross-Year Monthly'!C12</x:f>
        <x:v>980</x:v>
      </x:c>
      <x:c r="C21" s="304" t="n">
        <x:f>'Cross-Year Monthly'!D12</x:f>
        <x:v>2604.5</x:v>
      </x:c>
      <x:c r="D21" s="388"/>
    </x:row>
    <x:row r="22">
      <x:c r="A22" s="310" t="str">
        <x:f>'Cross-Year Monthly'!B13</x:f>
        <x:v>Nov</x:v>
      </x:c>
      <x:c r="B22" s="304" t="n">
        <x:f>'Cross-Year Monthly'!C13</x:f>
        <x:v>1609</x:v>
      </x:c>
      <x:c r="C22" s="304" t="n">
        <x:f>'Cross-Year Monthly'!D13</x:f>
        <x:v>1473.4</x:v>
      </x:c>
      <x:c r="D22" s="388"/>
    </x:row>
    <x:row r="23">
      <x:c r="A23" s="312" t="str">
        <x:f>'Cross-Year Monthly'!B14</x:f>
        <x:v>Dec</x:v>
      </x:c>
      <x:c r="B23" s="308" t="n">
        <x:f>'Cross-Year Monthly'!C14</x:f>
        <x:v>1458.3</x:v>
      </x:c>
      <x:c r="C23" s="308" t="n">
        <x:f>'Cross-Year Monthly'!D14</x:f>
        <x:v>2620.55</x:v>
      </x:c>
      <x:c r="D23" s="389"/>
    </x:row>
    <x:row r="27" ht="28" customHeight="1">
      <x:c r="A27" s="291" t="str">
        <x:v>Quarter</x:v>
      </x:c>
      <x:c r="B27" s="292" t="str">
        <x:v>2024</x:v>
      </x:c>
      <x:c r="C27" s="292" t="str">
        <x:v>2025</x:v>
      </x:c>
      <x:c r="D27" s="293" t="str">
        <x:v>2026</x:v>
      </x:c>
    </x:row>
    <x:row r="28">
      <x:c r="A28" s="310" t="str">
        <x:f>'Quarterly Trend'!A3</x:f>
        <x:v>Q1</x:v>
      </x:c>
      <x:c r="B28" s="304" t="n">
        <x:f>'Quarterly Trend'!B3</x:f>
        <x:v>952</x:v>
      </x:c>
      <x:c r="C28" s="304" t="n">
        <x:f>'Quarterly Trend'!C3</x:f>
        <x:v>5310.7</x:v>
      </x:c>
      <x:c r="D28" s="388" t="n">
        <x:f>'Quarterly Trend'!D3</x:f>
        <x:v>7492.9</x:v>
      </x:c>
    </x:row>
    <x:row r="29">
      <x:c r="A29" s="310" t="str">
        <x:f>'Quarterly Trend'!A4</x:f>
        <x:v>Q2</x:v>
      </x:c>
      <x:c r="B29" s="304" t="n">
        <x:f>'Quarterly Trend'!B4</x:f>
        <x:v>4778</x:v>
      </x:c>
      <x:c r="C29" s="304" t="n">
        <x:f>'Quarterly Trend'!C4</x:f>
        <x:v>2376.6000000000004</x:v>
      </x:c>
      <x:c r="D29" s="388" t="n">
        <x:f>'Quarterly Trend'!D4</x:f>
        <x:v>7070.25</x:v>
      </x:c>
    </x:row>
    <x:row r="30">
      <x:c r="A30" s="310" t="str">
        <x:f>'Quarterly Trend'!A5</x:f>
        <x:v>Q3</x:v>
      </x:c>
      <x:c r="B30" s="304" t="n">
        <x:f>'Quarterly Trend'!B5</x:f>
        <x:v>2663.7</x:v>
      </x:c>
      <x:c r="C30" s="304" t="n">
        <x:f>'Quarterly Trend'!C5</x:f>
        <x:v>3373.54</x:v>
      </x:c>
      <x:c r="D30" s="388"/>
    </x:row>
    <x:row r="31">
      <x:c r="A31" s="312" t="str">
        <x:f>'Quarterly Trend'!A6</x:f>
        <x:v>Q4</x:v>
      </x:c>
      <x:c r="B31" s="308" t="n">
        <x:f>'Quarterly Trend'!B6</x:f>
        <x:v>4047.3</x:v>
      </x:c>
      <x:c r="C31" s="308" t="n">
        <x:f>'Quarterly Trend'!C6</x:f>
        <x:v>6698.450000000001</x:v>
      </x:c>
      <x:c r="D31" s="389"/>
    </x:row>
    <x:row r="34">
      <x:c r="A34" s="390" t="str">
        <x:v>Top Recurring Items (2025 + 2026 H1)</x:v>
      </x:c>
      <x:c r="B34" s="390"/>
      <x:c r="C34" s="390"/>
      <x:c r="D34" s="390"/>
      <x:c r="E34" s="390"/>
    </x:row>
    <x:row r="35" ht="28" customHeight="1">
      <x:c r="A35" s="291" t="str">
        <x:v>Part No.</x:v>
      </x:c>
      <x:c r="B35" s="292" t="str">
        <x:v>Item</x:v>
      </x:c>
      <x:c r="C35" s="292" t="str">
        <x:v>Total Records</x:v>
      </x:c>
      <x:c r="D35" s="292" t="str">
        <x:v>2026 H1 Qty</x:v>
      </x:c>
      <x:c r="E35" s="293" t="str">
        <x:v>Latest Price</x:v>
      </x:c>
    </x:row>
    <x:row r="36">
      <x:c r="A36" s="310" t="str">
        <x:v>ND-DCX27-12</x:v>
      </x:c>
      <x:c r="B36" s="303" t="str">
        <x:v>風琴機針 DCx27 #12</x:v>
      </x:c>
      <x:c r="C36" s="303" t="n">
        <x:v>16</x:v>
      </x:c>
      <x:c r="D36" s="303" t="n">
        <x:v>1100</x:v>
      </x:c>
      <x:c r="E36" s="391" t="n">
        <x:v>1.3</x:v>
      </x:c>
    </x:row>
    <x:row r="37">
      <x:c r="A37" s="310" t="str">
        <x:v>ND-UOX113-14</x:v>
      </x:c>
      <x:c r="B37" s="303" t="str">
        <x:v>風琴機針 UOx113 #14</x:v>
      </x:c>
      <x:c r="C37" s="303" t="n">
        <x:v>12</x:v>
      </x:c>
      <x:c r="D37" s="303" t="n">
        <x:v>550</x:v>
      </x:c>
      <x:c r="E37" s="391" t="n">
        <x:v>3</x:v>
      </x:c>
    </x:row>
    <x:row r="38">
      <x:c r="A38" s="310" t="str">
        <x:v>TL-THREAD-SNIP-GLOBE</x:v>
      </x:c>
      <x:c r="B38" s="303" t="str">
        <x:v>環球沙剪</x:v>
      </x:c>
      <x:c r="C38" s="303" t="n">
        <x:v>9</x:v>
      </x:c>
      <x:c r="D38" s="303" t="n">
        <x:v>40</x:v>
      </x:c>
      <x:c r="E38" s="391" t="n">
        <x:v>2.3</x:v>
      </x:c>
    </x:row>
    <x:row r="39">
      <x:c r="A39" s="310" t="str">
        <x:v>ND-UOX113-12</x:v>
      </x:c>
      <x:c r="B39" s="303" t="str">
        <x:v>風琴機針 UOx113 #12</x:v>
      </x:c>
      <x:c r="C39" s="303" t="n">
        <x:v>8</x:v>
      </x:c>
      <x:c r="D39" s="303" t="n">
        <x:v>530</x:v>
      </x:c>
      <x:c r="E39" s="391" t="n">
        <x:v>3</x:v>
      </x:c>
    </x:row>
    <x:row r="40">
      <x:c r="A40" s="310" t="str">
        <x:v>ND-UYX128-12</x:v>
      </x:c>
      <x:c r="B40" s="303" t="str">
        <x:v>風琴機針 UYx128 #12</x:v>
      </x:c>
      <x:c r="C40" s="303" t="n">
        <x:v>8</x:v>
      </x:c>
      <x:c r="D40" s="303" t="n">
        <x:v>750</x:v>
      </x:c>
      <x:c r="E40" s="391" t="n">
        <x:v>1.78</x:v>
      </x:c>
    </x:row>
    <x:row r="41">
      <x:c r="A41" s="312" t="str">
        <x:v>ND-UYX128-11</x:v>
      </x:c>
      <x:c r="B41" s="307" t="str">
        <x:v>風琴機針 UYx128 #11</x:v>
      </x:c>
      <x:c r="C41" s="307" t="n">
        <x:v>8</x:v>
      </x:c>
      <x:c r="D41" s="307" t="n">
        <x:v>400</x:v>
      </x:c>
      <x:c r="E41" s="392" t="n">
        <x:v>1.78</x:v>
      </x:c>
    </x:row>
  </x:sheetData>
  <x:mergeCells>
    <x:mergeCell ref="A1:L1"/>
    <x:mergeCell ref="A3:B3"/>
    <x:mergeCell ref="A4:B4"/>
    <x:mergeCell ref="A5:B5"/>
    <x:mergeCell ref="C3:D3"/>
    <x:mergeCell ref="C4:D4"/>
    <x:mergeCell ref="C5:D5"/>
    <x:mergeCell ref="E3:F3"/>
    <x:mergeCell ref="E4:F4"/>
    <x:mergeCell ref="E5:F5"/>
    <x:mergeCell ref="G3:H3"/>
    <x:mergeCell ref="G4:H4"/>
    <x:mergeCell ref="G5:H5"/>
    <x:mergeCell ref="I3:J3"/>
    <x:mergeCell ref="I4:J4"/>
    <x:mergeCell ref="I5:J5"/>
    <x:mergeCell ref="K3:L3"/>
    <x:mergeCell ref="K4:L4"/>
    <x:mergeCell ref="K5:L5"/>
    <x:mergeCell ref="A7:L9"/>
    <x:mergeCell ref="A34:E34"/>
  </x:mergeCells>
  <x:pageMargins left="0.7" right="0.7" top="0.75" bottom="0.75" header="0.3" footer="0.3"/>
  <x:drawing xmlns:r="http://schemas.openxmlformats.org/officeDocument/2006/relationships" r:id="R4844be0d30fd4f32"/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9" hidden="0" customWidth="1"/>
    <x:col min="4" max="4" width="14" hidden="0" customWidth="1"/>
    <x:col min="5" max="5" width="30" hidden="0" customWidth="1"/>
    <x:col min="6" max="6" width="15" hidden="0" customWidth="1"/>
    <x:col min="7" max="7" width="10" hidden="0" customWidth="1"/>
    <x:col min="8" max="8" width="42" hidden="0" customWidth="1"/>
  </x:cols>
  <x:sheetData>
    <x:row r="1" ht="28" customHeight="1">
      <x:c r="A1" s="283" t="str">
        <x:v>2024 Procurement Invoice Summary | 採購發票彙總</x:v>
      </x:c>
      <x:c r="B1" s="283"/>
      <x:c r="C1" s="283"/>
      <x:c r="D1" s="283"/>
      <x:c r="E1" s="283"/>
      <x:c r="F1" s="283"/>
      <x:c r="G1" s="283"/>
      <x:c r="H1" s="283"/>
    </x:row>
    <x:row r="2" ht="28" customHeight="1">
      <x:c r="A2" s="291" t="str">
        <x:v>Date</x:v>
      </x:c>
      <x:c r="B2" s="292" t="str">
        <x:v>Month</x:v>
      </x:c>
      <x:c r="C2" s="292" t="str">
        <x:v>Quarter</x:v>
      </x:c>
      <x:c r="D2" s="292" t="str">
        <x:v>Invoice No.</x:v>
      </x:c>
      <x:c r="E2" s="292" t="str">
        <x:v>Supplier</x:v>
      </x:c>
      <x:c r="F2" s="292" t="str">
        <x:v>Subtotal (USD)</x:v>
      </x:c>
      <x:c r="G2" s="292" t="str">
        <x:v>PDF Page</x:v>
      </x:c>
      <x:c r="H2" s="293" t="str">
        <x:v>Notes</x:v>
      </x:c>
    </x:row>
    <x:row r="3">
      <x:c r="A3" s="294" t="n">
        <x:v>45297</x:v>
      </x:c>
      <x:c r="B3" s="295" t="str">
        <x:v>2024-01</x:v>
      </x:c>
      <x:c r="C3" s="295" t="str">
        <x:v>Q1</x:v>
      </x:c>
      <x:c r="D3" s="295" t="str">
        <x:v>001052</x:v>
      </x:c>
      <x:c r="E3" s="295" t="str">
        <x:v>HONG YE SEWING MACHINE</x:v>
      </x:c>
      <x:c r="F3" s="296" t="n">
        <x:v>474</x:v>
      </x:c>
      <x:c r="G3" s="295" t="n">
        <x:v>1</x:v>
      </x:c>
      <x:c r="H3" s="297" t="str">
        <x:v>Handwritten invoice; line items partly legible</x:v>
      </x:c>
    </x:row>
    <x:row r="4">
      <x:c r="A4" s="294" t="n">
        <x:v>45297</x:v>
      </x:c>
      <x:c r="B4" s="295" t="str">
        <x:v>2024-01</x:v>
      </x:c>
      <x:c r="C4" s="295" t="str">
        <x:v>Q1</x:v>
      </x:c>
      <x:c r="D4" s="295" t="str">
        <x:v>001051</x:v>
      </x:c>
      <x:c r="E4" s="295" t="str">
        <x:v>HONG YE SEWING MACHINE</x:v>
      </x:c>
      <x:c r="F4" s="296" t="n">
        <x:v>216</x:v>
      </x:c>
      <x:c r="G4" s="295" t="n">
        <x:v>1</x:v>
      </x:c>
      <x:c r="H4" s="297" t="str">
        <x:v>Handwritten invoice; needle items</x:v>
      </x:c>
    </x:row>
    <x:row r="5">
      <x:c r="A5" s="294" t="n">
        <x:v>45307</x:v>
      </x:c>
      <x:c r="B5" s="295" t="str">
        <x:v>2024-01</x:v>
      </x:c>
      <x:c r="C5" s="295" t="str">
        <x:v>Q1</x:v>
      </x:c>
      <x:c r="D5" s="295" t="str">
        <x:v>001054</x:v>
      </x:c>
      <x:c r="E5" s="295" t="str">
        <x:v>HONG YE SEWING MACHINE</x:v>
      </x:c>
      <x:c r="F5" s="296" t="n">
        <x:v>156</x:v>
      </x:c>
      <x:c r="G5" s="295" t="n">
        <x:v>2</x:v>
      </x:c>
      <x:c r="H5" s="297" t="str">
        <x:v>Handwritten invoice; sewing machine oil + needle screw</x:v>
      </x:c>
    </x:row>
    <x:row r="6">
      <x:c r="A6" s="294" t="n">
        <x:v>45343</x:v>
      </x:c>
      <x:c r="B6" s="295" t="str">
        <x:v>2024-02</x:v>
      </x:c>
      <x:c r="C6" s="295" t="str">
        <x:v>Q1</x:v>
      </x:c>
      <x:c r="D6" s="295" t="str">
        <x:v>001056</x:v>
      </x:c>
      <x:c r="E6" s="295" t="str">
        <x:v>HONG YE SEWING MACHINE</x:v>
      </x:c>
      <x:c r="F6" s="296" t="n">
        <x:v>106</x:v>
      </x:c>
      <x:c r="G6" s="295" t="n">
        <x:v>3</x:v>
      </x:c>
      <x:c r="H6" s="297" t="str">
        <x:v>Handwritten invoice</x:v>
      </x:c>
    </x:row>
    <x:row r="7">
      <x:c r="A7" s="294" t="n">
        <x:v>45384</x:v>
      </x:c>
      <x:c r="B7" s="295" t="str">
        <x:v>2024-04</x:v>
      </x:c>
      <x:c r="C7" s="295" t="str">
        <x:v>Q2</x:v>
      </x:c>
      <x:c r="D7" s="295" t="str">
        <x:v>001058</x:v>
      </x:c>
      <x:c r="E7" s="295" t="str">
        <x:v>HONG YE SEWING MACHINE</x:v>
      </x:c>
      <x:c r="F7" s="296" t="n">
        <x:v>473</x:v>
      </x:c>
      <x:c r="G7" s="295" t="n">
        <x:v>4</x:v>
      </x:c>
      <x:c r="H7" s="297" t="str">
        <x:v>Handwritten invoice</x:v>
      </x:c>
    </x:row>
    <x:row r="8">
      <x:c r="A8" s="294" t="n">
        <x:v>45385</x:v>
      </x:c>
      <x:c r="B8" s="295" t="str">
        <x:v>2024-04</x:v>
      </x:c>
      <x:c r="C8" s="295" t="str">
        <x:v>Q2</x:v>
      </x:c>
      <x:c r="D8" s="295" t="str">
        <x:v>001057</x:v>
      </x:c>
      <x:c r="E8" s="295" t="str">
        <x:v>HONG YE SEWING MACHINE</x:v>
      </x:c>
      <x:c r="F8" s="296" t="n">
        <x:v>836</x:v>
      </x:c>
      <x:c r="G8" s="295" t="n">
        <x:v>4</x:v>
      </x:c>
      <x:c r="H8" s="297" t="str">
        <x:v>Handwritten invoice; multiple needle sizes</x:v>
      </x:c>
    </x:row>
    <x:row r="9">
      <x:c r="A9" s="294" t="n">
        <x:v>45414</x:v>
      </x:c>
      <x:c r="B9" s="295" t="str">
        <x:v>2024-05</x:v>
      </x:c>
      <x:c r="C9" s="295" t="str">
        <x:v>Q2</x:v>
      </x:c>
      <x:c r="D9" s="295" t="str">
        <x:v>001059</x:v>
      </x:c>
      <x:c r="E9" s="295" t="str">
        <x:v>HONG YE SEWING MACHINE</x:v>
      </x:c>
      <x:c r="F9" s="296" t="n">
        <x:v>445</x:v>
      </x:c>
      <x:c r="G9" s="295" t="n">
        <x:v>5</x:v>
      </x:c>
      <x:c r="H9" s="297" t="str">
        <x:v>Handwritten invoice; UYx128/UOx113 + scissors</x:v>
      </x:c>
    </x:row>
    <x:row r="10">
      <x:c r="A10" s="294" t="n">
        <x:v>45415</x:v>
      </x:c>
      <x:c r="B10" s="295" t="str">
        <x:v>2024-05</x:v>
      </x:c>
      <x:c r="C10" s="295" t="str">
        <x:v>Q2</x:v>
      </x:c>
      <x:c r="D10" s="295" t="str">
        <x:v>001060</x:v>
      </x:c>
      <x:c r="E10" s="295" t="str">
        <x:v>HONG YE SEWING MACHINE</x:v>
      </x:c>
      <x:c r="F10" s="296" t="n">
        <x:v>345</x:v>
      </x:c>
      <x:c r="G10" s="295" t="n">
        <x:v>5</x:v>
      </x:c>
      <x:c r="H10" s="297" t="str">
        <x:v>Handwritten invoice; UYx128/UOx113</x:v>
      </x:c>
    </x:row>
    <x:row r="11">
      <x:c r="A11" s="294" t="n">
        <x:v>45422</x:v>
      </x:c>
      <x:c r="B11" s="295" t="str">
        <x:v>2024-05</x:v>
      </x:c>
      <x:c r="C11" s="295" t="str">
        <x:v>Q2</x:v>
      </x:c>
      <x:c r="D11" s="295" t="str">
        <x:v>001062</x:v>
      </x:c>
      <x:c r="E11" s="295" t="str">
        <x:v>HONG YE SEWING MACHINE</x:v>
      </x:c>
      <x:c r="F11" s="296" t="n">
        <x:v>552</x:v>
      </x:c>
      <x:c r="G11" s="295" t="n">
        <x:v>6</x:v>
      </x:c>
      <x:c r="H11" s="297" t="str">
        <x:v>Handwritten invoice</x:v>
      </x:c>
    </x:row>
    <x:row r="12">
      <x:c r="A12" s="294" t="n">
        <x:v>45422</x:v>
      </x:c>
      <x:c r="B12" s="295" t="str">
        <x:v>2024-05</x:v>
      </x:c>
      <x:c r="C12" s="295" t="str">
        <x:v>Q2</x:v>
      </x:c>
      <x:c r="D12" s="295" t="str">
        <x:v>001061</x:v>
      </x:c>
      <x:c r="E12" s="295" t="str">
        <x:v>HONG YE SEWING MACHINE</x:v>
      </x:c>
      <x:c r="F12" s="296" t="n">
        <x:v>304</x:v>
      </x:c>
      <x:c r="G12" s="295" t="n">
        <x:v>6</x:v>
      </x:c>
      <x:c r="H12" s="297" t="str">
        <x:v>Handwritten invoice</x:v>
      </x:c>
    </x:row>
    <x:row r="13">
      <x:c r="A13" s="294" t="n">
        <x:v>45422</x:v>
      </x:c>
      <x:c r="B13" s="295" t="str">
        <x:v>2024-05</x:v>
      </x:c>
      <x:c r="C13" s="295" t="str">
        <x:v>Q2</x:v>
      </x:c>
      <x:c r="D13" s="295" t="str">
        <x:v>001063</x:v>
      </x:c>
      <x:c r="E13" s="295" t="str">
        <x:v>HONG YE SEWING MACHINE</x:v>
      </x:c>
      <x:c r="F13" s="296" t="n">
        <x:v>105</x:v>
      </x:c>
      <x:c r="G13" s="295" t="n">
        <x:v>7</x:v>
      </x:c>
      <x:c r="H13" s="297" t="str">
        <x:v>Handwritten invoice</x:v>
      </x:c>
    </x:row>
    <x:row r="14">
      <x:c r="A14" s="294" t="n">
        <x:v>45432</x:v>
      </x:c>
      <x:c r="B14" s="295" t="str">
        <x:v>2024-05</x:v>
      </x:c>
      <x:c r="C14" s="295" t="str">
        <x:v>Q2</x:v>
      </x:c>
      <x:c r="D14" s="295" t="str">
        <x:v>001066</x:v>
      </x:c>
      <x:c r="E14" s="295" t="str">
        <x:v>HONG YE SEWING MACHINE</x:v>
      </x:c>
      <x:c r="F14" s="296" t="n">
        <x:v>30</x:v>
      </x:c>
      <x:c r="G14" s="295" t="n">
        <x:v>8</x:v>
      </x:c>
      <x:c r="H14" s="297" t="str">
        <x:v>Handwritten invoice</x:v>
      </x:c>
    </x:row>
    <x:row r="15">
      <x:c r="A15" s="294" t="n">
        <x:v>45443</x:v>
      </x:c>
      <x:c r="B15" s="295" t="str">
        <x:v>2024-05</x:v>
      </x:c>
      <x:c r="C15" s="295" t="str">
        <x:v>Q2</x:v>
      </x:c>
      <x:c r="D15" s="295" t="str">
        <x:v>001067</x:v>
      </x:c>
      <x:c r="E15" s="295" t="str">
        <x:v>HONG YE SEWING MACHINE</x:v>
      </x:c>
      <x:c r="F15" s="296" t="n">
        <x:v>160</x:v>
      </x:c>
      <x:c r="G15" s="295" t="n">
        <x:v>9</x:v>
      </x:c>
      <x:c r="H15" s="297" t="str">
        <x:v>Handwritten invoice; electric fan sparepart</x:v>
      </x:c>
    </x:row>
    <x:row r="16">
      <x:c r="A16" s="294" t="n">
        <x:v>45453</x:v>
      </x:c>
      <x:c r="B16" s="295" t="str">
        <x:v>2024-06</x:v>
      </x:c>
      <x:c r="C16" s="295" t="str">
        <x:v>Q2</x:v>
      </x:c>
      <x:c r="D16" s="295" t="str">
        <x:v>001069</x:v>
      </x:c>
      <x:c r="E16" s="295" t="str">
        <x:v>HONG YE SEWING MACHINE</x:v>
      </x:c>
      <x:c r="F16" s="296" t="n">
        <x:v>450</x:v>
      </x:c>
      <x:c r="G16" s="295" t="n">
        <x:v>10</x:v>
      </x:c>
      <x:c r="H16" s="297" t="str">
        <x:v>Handwritten invoice</x:v>
      </x:c>
    </x:row>
    <x:row r="17">
      <x:c r="A17" s="294" t="n">
        <x:v>45457</x:v>
      </x:c>
      <x:c r="B17" s="295" t="str">
        <x:v>2024-06</x:v>
      </x:c>
      <x:c r="C17" s="295" t="str">
        <x:v>Q2</x:v>
      </x:c>
      <x:c r="D17" s="295" t="str">
        <x:v>001068</x:v>
      </x:c>
      <x:c r="E17" s="295" t="str">
        <x:v>HONG YE SEWING MACHINE</x:v>
      </x:c>
      <x:c r="F17" s="296" t="n">
        <x:v>338</x:v>
      </x:c>
      <x:c r="G17" s="295" t="n">
        <x:v>10</x:v>
      </x:c>
      <x:c r="H17" s="297" t="str">
        <x:v>Handwritten invoice</x:v>
      </x:c>
    </x:row>
    <x:row r="18">
      <x:c r="A18" s="294" t="n">
        <x:v>45458</x:v>
      </x:c>
      <x:c r="B18" s="295" t="str">
        <x:v>2024-06</x:v>
      </x:c>
      <x:c r="C18" s="295" t="str">
        <x:v>Q2</x:v>
      </x:c>
      <x:c r="D18" s="295" t="str">
        <x:v>001071</x:v>
      </x:c>
      <x:c r="E18" s="295" t="str">
        <x:v>HONG YE SEWING MACHINE</x:v>
      </x:c>
      <x:c r="F18" s="296" t="n">
        <x:v>440</x:v>
      </x:c>
      <x:c r="G18" s="295" t="n">
        <x:v>11</x:v>
      </x:c>
      <x:c r="H18" s="297" t="str">
        <x:v>Handwritten invoice; numbering ink/sticker</x:v>
      </x:c>
    </x:row>
    <x:row r="19">
      <x:c r="A19" s="294" t="n">
        <x:v>45457</x:v>
      </x:c>
      <x:c r="B19" s="295" t="str">
        <x:v>2024-06</x:v>
      </x:c>
      <x:c r="C19" s="295" t="str">
        <x:v>Q2</x:v>
      </x:c>
      <x:c r="D19" s="295" t="str">
        <x:v>001070</x:v>
      </x:c>
      <x:c r="E19" s="295" t="str">
        <x:v>HONG YE SEWING MACHINE</x:v>
      </x:c>
      <x:c r="F19" s="296" t="n">
        <x:v>300</x:v>
      </x:c>
      <x:c r="G19" s="295" t="n">
        <x:v>11</x:v>
      </x:c>
      <x:c r="H19" s="297" t="str">
        <x:v>Handwritten invoice</x:v>
      </x:c>
    </x:row>
    <x:row r="20">
      <x:c r="A20" s="294" t="n">
        <x:v>45474</x:v>
      </x:c>
      <x:c r="B20" s="295" t="str">
        <x:v>2024-07</x:v>
      </x:c>
      <x:c r="C20" s="295" t="str">
        <x:v>Q3</x:v>
      </x:c>
      <x:c r="D20" s="295" t="str">
        <x:v>001073</x:v>
      </x:c>
      <x:c r="E20" s="295" t="str">
        <x:v>HONG YE SEWING MACHINE</x:v>
      </x:c>
      <x:c r="F20" s="296" t="n">
        <x:v>335</x:v>
      </x:c>
      <x:c r="G20" s="295" t="n">
        <x:v>12</x:v>
      </x:c>
      <x:c r="H20" s="297" t="str">
        <x:v>Handwritten invoice</x:v>
      </x:c>
    </x:row>
    <x:row r="21">
      <x:c r="A21" s="294" t="n">
        <x:v>45474</x:v>
      </x:c>
      <x:c r="B21" s="295" t="str">
        <x:v>2024-07</x:v>
      </x:c>
      <x:c r="C21" s="295" t="str">
        <x:v>Q3</x:v>
      </x:c>
      <x:c r="D21" s="295" t="str">
        <x:v>001072</x:v>
      </x:c>
      <x:c r="E21" s="295" t="str">
        <x:v>HONG YE SEWING MACHINE</x:v>
      </x:c>
      <x:c r="F21" s="296" t="n">
        <x:v>312.5</x:v>
      </x:c>
      <x:c r="G21" s="295" t="n">
        <x:v>12</x:v>
      </x:c>
      <x:c r="H21" s="297" t="str">
        <x:v>Handwritten invoice</x:v>
      </x:c>
    </x:row>
    <x:row r="22">
      <x:c r="A22" s="294" t="n">
        <x:v>45474</x:v>
      </x:c>
      <x:c r="B22" s="295" t="str">
        <x:v>2024-07</x:v>
      </x:c>
      <x:c r="C22" s="295" t="str">
        <x:v>Q3</x:v>
      </x:c>
      <x:c r="D22" s="295" t="str">
        <x:v>001074</x:v>
      </x:c>
      <x:c r="E22" s="295" t="str">
        <x:v>HONG YE SEWING MACHINE</x:v>
      </x:c>
      <x:c r="F22" s="296" t="n">
        <x:v>229</x:v>
      </x:c>
      <x:c r="G22" s="295" t="n">
        <x:v>13</x:v>
      </x:c>
      <x:c r="H22" s="297" t="str">
        <x:v>Handwritten invoice</x:v>
      </x:c>
    </x:row>
    <x:row r="23">
      <x:c r="A23" s="294" t="n">
        <x:v>45482</x:v>
      </x:c>
      <x:c r="B23" s="295" t="str">
        <x:v>2024-07</x:v>
      </x:c>
      <x:c r="C23" s="295" t="str">
        <x:v>Q3</x:v>
      </x:c>
      <x:c r="D23" s="295" t="str">
        <x:v>001076</x:v>
      </x:c>
      <x:c r="E23" s="295" t="str">
        <x:v>HONG YE SEWING MACHINE</x:v>
      </x:c>
      <x:c r="F23" s="296" t="n">
        <x:v>241.2</x:v>
      </x:c>
      <x:c r="G23" s="295" t="n">
        <x:v>14</x:v>
      </x:c>
      <x:c r="H23" s="297" t="str">
        <x:v>Handwritten invoice</x:v>
      </x:c>
    </x:row>
    <x:row r="24">
      <x:c r="A24" s="294" t="n">
        <x:v>45506</x:v>
      </x:c>
      <x:c r="B24" s="295" t="str">
        <x:v>2024-08</x:v>
      </x:c>
      <x:c r="C24" s="295" t="str">
        <x:v>Q3</x:v>
      </x:c>
      <x:c r="D24" s="295" t="str">
        <x:v>001079</x:v>
      </x:c>
      <x:c r="E24" s="295" t="str">
        <x:v>HONG YE SEWING MACHINE</x:v>
      </x:c>
      <x:c r="F24" s="296" t="n">
        <x:v>423</x:v>
      </x:c>
      <x:c r="G24" s="295" t="n">
        <x:v>15</x:v>
      </x:c>
      <x:c r="H24" s="297" t="str">
        <x:v>Handwritten invoice</x:v>
      </x:c>
    </x:row>
    <x:row r="25">
      <x:c r="A25" s="294" t="n">
        <x:v>45506</x:v>
      </x:c>
      <x:c r="B25" s="295" t="str">
        <x:v>2024-08</x:v>
      </x:c>
      <x:c r="C25" s="295" t="str">
        <x:v>Q3</x:v>
      </x:c>
      <x:c r="D25" s="295" t="str">
        <x:v>001077</x:v>
      </x:c>
      <x:c r="E25" s="295" t="str">
        <x:v>HONG YE SEWING MACHINE</x:v>
      </x:c>
      <x:c r="F25" s="296" t="n">
        <x:v>156</x:v>
      </x:c>
      <x:c r="G25" s="295" t="n">
        <x:v>15</x:v>
      </x:c>
      <x:c r="H25" s="297" t="str">
        <x:v>Handwritten invoice</x:v>
      </x:c>
    </x:row>
    <x:row r="26">
      <x:c r="A26" s="294" t="n">
        <x:v>45518</x:v>
      </x:c>
      <x:c r="B26" s="295" t="str">
        <x:v>2024-08</x:v>
      </x:c>
      <x:c r="C26" s="295" t="str">
        <x:v>Q3</x:v>
      </x:c>
      <x:c r="D26" s="295" t="str">
        <x:v>001082</x:v>
      </x:c>
      <x:c r="E26" s="295" t="str">
        <x:v>HONG YE SEWING MACHINE</x:v>
      </x:c>
      <x:c r="F26" s="296" t="n">
        <x:v>195</x:v>
      </x:c>
      <x:c r="G26" s="295" t="n">
        <x:v>16</x:v>
      </x:c>
      <x:c r="H26" s="297" t="str">
        <x:v>Handwritten invoice</x:v>
      </x:c>
    </x:row>
    <x:row r="27">
      <x:c r="A27" s="294" t="n">
        <x:v>45527</x:v>
      </x:c>
      <x:c r="B27" s="295" t="str">
        <x:v>2024-08</x:v>
      </x:c>
      <x:c r="C27" s="295" t="str">
        <x:v>Q3</x:v>
      </x:c>
      <x:c r="D27" s="295" t="str">
        <x:v>001084</x:v>
      </x:c>
      <x:c r="E27" s="295" t="str">
        <x:v>HONG YE SEWING MACHINE</x:v>
      </x:c>
      <x:c r="F27" s="296" t="n">
        <x:v>135</x:v>
      </x:c>
      <x:c r="G27" s="295" t="n">
        <x:v>17</x:v>
      </x:c>
      <x:c r="H27" s="297" t="str">
        <x:v>Handwritten invoice</x:v>
      </x:c>
    </x:row>
    <x:row r="28">
      <x:c r="A28" s="294" t="n">
        <x:v>45526</x:v>
      </x:c>
      <x:c r="B28" s="295" t="str">
        <x:v>2024-08</x:v>
      </x:c>
      <x:c r="C28" s="295" t="str">
        <x:v>Q3</x:v>
      </x:c>
      <x:c r="D28" s="295" t="str">
        <x:v>001083</x:v>
      </x:c>
      <x:c r="E28" s="295" t="str">
        <x:v>HONG YE SEWING MACHINE</x:v>
      </x:c>
      <x:c r="F28" s="296" t="n">
        <x:v>117</x:v>
      </x:c>
      <x:c r="G28" s="295" t="n">
        <x:v>17</x:v>
      </x:c>
      <x:c r="H28" s="297" t="str">
        <x:v>Handwritten invoice</x:v>
      </x:c>
    </x:row>
    <x:row r="29">
      <x:c r="A29" s="294" t="n">
        <x:v>45531</x:v>
      </x:c>
      <x:c r="B29" s="295" t="str">
        <x:v>2024-08</x:v>
      </x:c>
      <x:c r="C29" s="295" t="str">
        <x:v>Q3</x:v>
      </x:c>
      <x:c r="D29" s="295" t="str">
        <x:v>001085</x:v>
      </x:c>
      <x:c r="E29" s="295" t="str">
        <x:v>HONG YE SEWING MACHINE</x:v>
      </x:c>
      <x:c r="F29" s="296" t="n">
        <x:v>60</x:v>
      </x:c>
      <x:c r="G29" s="295" t="n">
        <x:v>18</x:v>
      </x:c>
      <x:c r="H29" s="297" t="str">
        <x:v>Handwritten invoice</x:v>
      </x:c>
    </x:row>
    <x:row r="30">
      <x:c r="A30" s="294" t="n">
        <x:v>45544</x:v>
      </x:c>
      <x:c r="B30" s="295" t="str">
        <x:v>2024-09</x:v>
      </x:c>
      <x:c r="C30" s="295" t="str">
        <x:v>Q3</x:v>
      </x:c>
      <x:c r="D30" s="295" t="str">
        <x:v>001086</x:v>
      </x:c>
      <x:c r="E30" s="295" t="str">
        <x:v>HONG YE SEWING MACHINE</x:v>
      </x:c>
      <x:c r="F30" s="296" t="n">
        <x:v>250</x:v>
      </x:c>
      <x:c r="G30" s="295" t="n">
        <x:v>19</x:v>
      </x:c>
      <x:c r="H30" s="297" t="str">
        <x:v>Handwritten invoice</x:v>
      </x:c>
    </x:row>
    <x:row r="31">
      <x:c r="A31" s="294" t="n">
        <x:v>45559</x:v>
      </x:c>
      <x:c r="B31" s="295" t="str">
        <x:v>2024-09</x:v>
      </x:c>
      <x:c r="C31" s="295" t="str">
        <x:v>Q3</x:v>
      </x:c>
      <x:c r="D31" s="295" t="str">
        <x:v>001352</x:v>
      </x:c>
      <x:c r="E31" s="295" t="str">
        <x:v>HONG YE SEWING MACHINE</x:v>
      </x:c>
      <x:c r="F31" s="296" t="n">
        <x:v>36</x:v>
      </x:c>
      <x:c r="G31" s="295" t="n">
        <x:v>20</x:v>
      </x:c>
      <x:c r="H31" s="297" t="str">
        <x:v>Handwritten invoice</x:v>
      </x:c>
    </x:row>
    <x:row r="32">
      <x:c r="A32" s="294" t="n">
        <x:v>45556</x:v>
      </x:c>
      <x:c r="B32" s="295" t="str">
        <x:v>2024-09</x:v>
      </x:c>
      <x:c r="C32" s="295" t="str">
        <x:v>Q3</x:v>
      </x:c>
      <x:c r="D32" s="295" t="str">
        <x:v>001351</x:v>
      </x:c>
      <x:c r="E32" s="295" t="str">
        <x:v>HONG YE SEWING MACHINE</x:v>
      </x:c>
      <x:c r="F32" s="296" t="n">
        <x:v>174</x:v>
      </x:c>
      <x:c r="G32" s="295" t="n">
        <x:v>20</x:v>
      </x:c>
      <x:c r="H32" s="297" t="str">
        <x:v>Handwritten invoice</x:v>
      </x:c>
    </x:row>
    <x:row r="33">
      <x:c r="A33" s="294" t="n">
        <x:v>45572</x:v>
      </x:c>
      <x:c r="B33" s="295" t="str">
        <x:v>2024-10</x:v>
      </x:c>
      <x:c r="C33" s="295" t="str">
        <x:v>Q4</x:v>
      </x:c>
      <x:c r="D33" s="295" t="str">
        <x:v>001356</x:v>
      </x:c>
      <x:c r="E33" s="295" t="str">
        <x:v>HONG YE SEWING MACHINE</x:v>
      </x:c>
      <x:c r="F33" s="296" t="n">
        <x:v>150</x:v>
      </x:c>
      <x:c r="G33" s="295" t="n">
        <x:v>21</x:v>
      </x:c>
      <x:c r="H33" s="297" t="str">
        <x:v>Handwritten invoice</x:v>
      </x:c>
    </x:row>
    <x:row r="34">
      <x:c r="A34" s="294" t="n">
        <x:v>45572</x:v>
      </x:c>
      <x:c r="B34" s="295" t="str">
        <x:v>2024-10</x:v>
      </x:c>
      <x:c r="C34" s="295" t="str">
        <x:v>Q4</x:v>
      </x:c>
      <x:c r="D34" s="295" t="str">
        <x:v>001355</x:v>
      </x:c>
      <x:c r="E34" s="295" t="str">
        <x:v>HONG YE SEWING MACHINE</x:v>
      </x:c>
      <x:c r="F34" s="296" t="n">
        <x:v>145</x:v>
      </x:c>
      <x:c r="G34" s="295" t="n">
        <x:v>21</x:v>
      </x:c>
      <x:c r="H34" s="297" t="str">
        <x:v>Handwritten invoice</x:v>
      </x:c>
    </x:row>
    <x:row r="35">
      <x:c r="A35" s="294" t="n">
        <x:v>45572</x:v>
      </x:c>
      <x:c r="B35" s="295" t="str">
        <x:v>2024-10</x:v>
      </x:c>
      <x:c r="C35" s="295" t="str">
        <x:v>Q4</x:v>
      </x:c>
      <x:c r="D35" s="295" t="str">
        <x:v>001357</x:v>
      </x:c>
      <x:c r="E35" s="295" t="str">
        <x:v>HONG YE SEWING MACHINE</x:v>
      </x:c>
      <x:c r="F35" s="296" t="n">
        <x:v>45</x:v>
      </x:c>
      <x:c r="G35" s="295" t="n">
        <x:v>22</x:v>
      </x:c>
      <x:c r="H35" s="297" t="str">
        <x:v>Handwritten invoice</x:v>
      </x:c>
    </x:row>
    <x:row r="36">
      <x:c r="A36" s="294" t="n">
        <x:v>45577</x:v>
      </x:c>
      <x:c r="B36" s="295" t="str">
        <x:v>2024-10</x:v>
      </x:c>
      <x:c r="C36" s="295" t="str">
        <x:v>Q4</x:v>
      </x:c>
      <x:c r="D36" s="295" t="str">
        <x:v>001359</x:v>
      </x:c>
      <x:c r="E36" s="295" t="str">
        <x:v>HONG YE SEWING MACHINE</x:v>
      </x:c>
      <x:c r="F36" s="296" t="n">
        <x:v>280</x:v>
      </x:c>
      <x:c r="G36" s="295" t="n">
        <x:v>23</x:v>
      </x:c>
      <x:c r="H36" s="297" t="str">
        <x:v>Handwritten invoice</x:v>
      </x:c>
    </x:row>
    <x:row r="37">
      <x:c r="A37" s="294" t="n">
        <x:v>45575</x:v>
      </x:c>
      <x:c r="B37" s="295" t="str">
        <x:v>2024-10</x:v>
      </x:c>
      <x:c r="C37" s="295" t="str">
        <x:v>Q4</x:v>
      </x:c>
      <x:c r="D37" s="295" t="str">
        <x:v>001358</x:v>
      </x:c>
      <x:c r="E37" s="295" t="str">
        <x:v>HONG YE SEWING MACHINE</x:v>
      </x:c>
      <x:c r="F37" s="296" t="n">
        <x:v>60</x:v>
      </x:c>
      <x:c r="G37" s="295" t="n">
        <x:v>23</x:v>
      </x:c>
      <x:c r="H37" s="297" t="str">
        <x:v>Handwritten invoice</x:v>
      </x:c>
    </x:row>
    <x:row r="38">
      <x:c r="A38" s="294" t="n">
        <x:v>45591</x:v>
      </x:c>
      <x:c r="B38" s="295" t="str">
        <x:v>2024-10</x:v>
      </x:c>
      <x:c r="C38" s="295" t="str">
        <x:v>Q4</x:v>
      </x:c>
      <x:c r="D38" s="295" t="str">
        <x:v>001089</x:v>
      </x:c>
      <x:c r="E38" s="295" t="str">
        <x:v>HONG YE SEWING MACHINE</x:v>
      </x:c>
      <x:c r="F38" s="296" t="n">
        <x:v>120</x:v>
      </x:c>
      <x:c r="G38" s="295" t="n">
        <x:v>24</x:v>
      </x:c>
      <x:c r="H38" s="297" t="str">
        <x:v>Handwritten invoice</x:v>
      </x:c>
    </x:row>
    <x:row r="39">
      <x:c r="A39" s="294" t="n">
        <x:v>45589</x:v>
      </x:c>
      <x:c r="B39" s="295" t="str">
        <x:v>2024-10</x:v>
      </x:c>
      <x:c r="C39" s="295" t="str">
        <x:v>Q4</x:v>
      </x:c>
      <x:c r="D39" s="295" t="str">
        <x:v>001087</x:v>
      </x:c>
      <x:c r="E39" s="295" t="str">
        <x:v>HONG YE SEWING MACHINE</x:v>
      </x:c>
      <x:c r="F39" s="296" t="n">
        <x:v>80</x:v>
      </x:c>
      <x:c r="G39" s="295" t="n">
        <x:v>24</x:v>
      </x:c>
      <x:c r="H39" s="297" t="str">
        <x:v>Handwritten invoice</x:v>
      </x:c>
    </x:row>
    <x:row r="40">
      <x:c r="A40" s="294" t="n">
        <x:v>45603</x:v>
      </x:c>
      <x:c r="B40" s="295" t="str">
        <x:v>2024-11</x:v>
      </x:c>
      <x:c r="C40" s="295" t="str">
        <x:v>Q4</x:v>
      </x:c>
      <x:c r="D40" s="295" t="str">
        <x:v>000102</x:v>
      </x:c>
      <x:c r="E40" s="295" t="str">
        <x:v>HONG YEAK SEWING MACHINE</x:v>
      </x:c>
      <x:c r="F40" s="296" t="n">
        <x:v>190.5</x:v>
      </x:c>
      <x:c r="G40" s="295" t="n">
        <x:v>25</x:v>
      </x:c>
      <x:c r="H40" s="297" t="str">
        <x:v>Tax invoice; clean printed source</x:v>
      </x:c>
    </x:row>
    <x:row r="41">
      <x:c r="A41" s="294" t="n">
        <x:v>45577</x:v>
      </x:c>
      <x:c r="B41" s="295" t="str">
        <x:v>2024-10</x:v>
      </x:c>
      <x:c r="C41" s="295" t="str">
        <x:v>Q4</x:v>
      </x:c>
      <x:c r="D41" s="295" t="str">
        <x:v>YI-000001</x:v>
      </x:c>
      <x:c r="E41" s="295" t="str">
        <x:v>YI NEW SEWING MACHINE CO., LTD</x:v>
      </x:c>
      <x:c r="F41" s="296" t="n">
        <x:v>100</x:v>
      </x:c>
      <x:c r="G41" s="295" t="n">
        <x:v>26</x:v>
      </x:c>
      <x:c r="H41" s="297" t="str">
        <x:v>Monthly statement line group</x:v>
      </x:c>
    </x:row>
    <x:row r="42">
      <x:c r="A42" s="294" t="n">
        <x:v>45600</x:v>
      </x:c>
      <x:c r="B42" s="295" t="str">
        <x:v>2024-11</x:v>
      </x:c>
      <x:c r="C42" s="295" t="str">
        <x:v>Q4</x:v>
      </x:c>
      <x:c r="D42" s="295" t="str">
        <x:v>YI-000003</x:v>
      </x:c>
      <x:c r="E42" s="295" t="str">
        <x:v>YI NEW SEWING MACHINE CO., LTD</x:v>
      </x:c>
      <x:c r="F42" s="296" t="n">
        <x:v>825</x:v>
      </x:c>
      <x:c r="G42" s="295" t="n">
        <x:v>26</x:v>
      </x:c>
      <x:c r="H42" s="297" t="str">
        <x:v>Monthly statement line group</x:v>
      </x:c>
    </x:row>
    <x:row r="43">
      <x:c r="A43" s="294" t="n">
        <x:v>45615</x:v>
      </x:c>
      <x:c r="B43" s="295" t="str">
        <x:v>2024-11</x:v>
      </x:c>
      <x:c r="C43" s="295" t="str">
        <x:v>Q4</x:v>
      </x:c>
      <x:c r="D43" s="295" t="str">
        <x:v>YI-000004</x:v>
      </x:c>
      <x:c r="E43" s="295" t="str">
        <x:v>YI NEW SEWING MACHINE CO., LTD</x:v>
      </x:c>
      <x:c r="F43" s="296" t="n">
        <x:v>366</x:v>
      </x:c>
      <x:c r="G43" s="295" t="n">
        <x:v>26</x:v>
      </x:c>
      <x:c r="H43" s="297" t="str">
        <x:v>Monthly statement line group</x:v>
      </x:c>
    </x:row>
    <x:row r="44">
      <x:c r="A44" s="294" t="n">
        <x:v>45615</x:v>
      </x:c>
      <x:c r="B44" s="295" t="str">
        <x:v>2024-11</x:v>
      </x:c>
      <x:c r="C44" s="295" t="str">
        <x:v>Q4</x:v>
      </x:c>
      <x:c r="D44" s="295" t="str">
        <x:v>YI-000005</x:v>
      </x:c>
      <x:c r="E44" s="295" t="str">
        <x:v>YI NEW SEWING MACHINE CO., LTD</x:v>
      </x:c>
      <x:c r="F44" s="296" t="n">
        <x:v>32.5</x:v>
      </x:c>
      <x:c r="G44" s="295" t="n">
        <x:v>26</x:v>
      </x:c>
      <x:c r="H44" s="297" t="str">
        <x:v>Monthly statement line group</x:v>
      </x:c>
    </x:row>
    <x:row r="45">
      <x:c r="A45" s="294" t="n">
        <x:v>45621</x:v>
      </x:c>
      <x:c r="B45" s="295" t="str">
        <x:v>2024-11</x:v>
      </x:c>
      <x:c r="C45" s="295" t="str">
        <x:v>Q4</x:v>
      </x:c>
      <x:c r="D45" s="295" t="str">
        <x:v>YI-000006</x:v>
      </x:c>
      <x:c r="E45" s="295" t="str">
        <x:v>YI NEW SEWING MACHINE CO., LTD</x:v>
      </x:c>
      <x:c r="F45" s="296" t="n">
        <x:v>195</x:v>
      </x:c>
      <x:c r="G45" s="295" t="n">
        <x:v>26</x:v>
      </x:c>
      <x:c r="H45" s="297" t="str">
        <x:v>Monthly statement line group</x:v>
      </x:c>
    </x:row>
    <x:row r="46">
      <x:c r="A46" s="294" t="n">
        <x:v>45628</x:v>
      </x:c>
      <x:c r="B46" s="295" t="str">
        <x:v>2024-12</x:v>
      </x:c>
      <x:c r="C46" s="295" t="str">
        <x:v>Q4</x:v>
      </x:c>
      <x:c r="D46" s="295" t="str">
        <x:v>YI-000007</x:v>
      </x:c>
      <x:c r="E46" s="295" t="str">
        <x:v>YI NEW SEWING MACHINE CO., LTD</x:v>
      </x:c>
      <x:c r="F46" s="296" t="n">
        <x:v>134.4</x:v>
      </x:c>
      <x:c r="G46" s="295" t="n">
        <x:v>27</x:v>
      </x:c>
      <x:c r="H46" s="297" t="str">
        <x:v>Monthly statement line group</x:v>
      </x:c>
    </x:row>
    <x:row r="47">
      <x:c r="A47" s="294" t="n">
        <x:v>45628</x:v>
      </x:c>
      <x:c r="B47" s="295" t="str">
        <x:v>2024-12</x:v>
      </x:c>
      <x:c r="C47" s="295" t="str">
        <x:v>Q4</x:v>
      </x:c>
      <x:c r="D47" s="295" t="str">
        <x:v>YI-000008</x:v>
      </x:c>
      <x:c r="E47" s="295" t="str">
        <x:v>YI NEW SEWING MACHINE CO., LTD</x:v>
      </x:c>
      <x:c r="F47" s="296" t="n">
        <x:v>195.5</x:v>
      </x:c>
      <x:c r="G47" s="295" t="n">
        <x:v>27</x:v>
      </x:c>
      <x:c r="H47" s="297" t="str">
        <x:v>Monthly statement line group</x:v>
      </x:c>
    </x:row>
    <x:row r="48">
      <x:c r="A48" s="294" t="n">
        <x:v>45639</x:v>
      </x:c>
      <x:c r="B48" s="295" t="str">
        <x:v>2024-12</x:v>
      </x:c>
      <x:c r="C48" s="295" t="str">
        <x:v>Q4</x:v>
      </x:c>
      <x:c r="D48" s="295" t="str">
        <x:v>YI-000009</x:v>
      </x:c>
      <x:c r="E48" s="295" t="str">
        <x:v>YI NEW SEWING MACHINE CO., LTD</x:v>
      </x:c>
      <x:c r="F48" s="296" t="n">
        <x:v>401</x:v>
      </x:c>
      <x:c r="G48" s="295" t="n">
        <x:v>27</x:v>
      </x:c>
      <x:c r="H48" s="297" t="str">
        <x:v>Monthly statement line group</x:v>
      </x:c>
    </x:row>
    <x:row r="49">
      <x:c r="A49" s="294" t="n">
        <x:v>45639</x:v>
      </x:c>
      <x:c r="B49" s="295" t="str">
        <x:v>2024-12</x:v>
      </x:c>
      <x:c r="C49" s="295" t="str">
        <x:v>Q4</x:v>
      </x:c>
      <x:c r="D49" s="295" t="str">
        <x:v>YI-000010</x:v>
      </x:c>
      <x:c r="E49" s="295" t="str">
        <x:v>YI NEW SEWING MACHINE CO., LTD</x:v>
      </x:c>
      <x:c r="F49" s="296" t="n">
        <x:v>69.9</x:v>
      </x:c>
      <x:c r="G49" s="295" t="n">
        <x:v>27</x:v>
      </x:c>
      <x:c r="H49" s="297" t="str">
        <x:v>Monthly statement line group</x:v>
      </x:c>
    </x:row>
    <x:row r="50">
      <x:c r="A50" s="294" t="n">
        <x:v>45639</x:v>
      </x:c>
      <x:c r="B50" s="295" t="str">
        <x:v>2024-12</x:v>
      </x:c>
      <x:c r="C50" s="295" t="str">
        <x:v>Q4</x:v>
      </x:c>
      <x:c r="D50" s="295" t="str">
        <x:v>YI-000011</x:v>
      </x:c>
      <x:c r="E50" s="295" t="str">
        <x:v>YI NEW SEWING MACHINE CO., LTD</x:v>
      </x:c>
      <x:c r="F50" s="296" t="n">
        <x:v>260.5</x:v>
      </x:c>
      <x:c r="G50" s="295" t="n">
        <x:v>27</x:v>
      </x:c>
      <x:c r="H50" s="297" t="str">
        <x:v>Monthly statement line group</x:v>
      </x:c>
    </x:row>
    <x:row r="51">
      <x:c r="A51" s="294" t="n">
        <x:v>45639</x:v>
      </x:c>
      <x:c r="B51" s="295" t="str">
        <x:v>2024-12</x:v>
      </x:c>
      <x:c r="C51" s="295" t="str">
        <x:v>Q4</x:v>
      </x:c>
      <x:c r="D51" s="295" t="str">
        <x:v>YI-000012</x:v>
      </x:c>
      <x:c r="E51" s="295" t="str">
        <x:v>YI NEW SEWING MACHINE CO., LTD</x:v>
      </x:c>
      <x:c r="F51" s="296" t="n">
        <x:v>207</x:v>
      </x:c>
      <x:c r="G51" s="295" t="n">
        <x:v>27</x:v>
      </x:c>
      <x:c r="H51" s="297" t="str">
        <x:v>Monthly statement line group</x:v>
      </x:c>
    </x:row>
    <x:row r="52">
      <x:c r="A52" s="294" t="n">
        <x:v>45651</x:v>
      </x:c>
      <x:c r="B52" s="295" t="str">
        <x:v>2024-12</x:v>
      </x:c>
      <x:c r="C52" s="295" t="str">
        <x:v>Q4</x:v>
      </x:c>
      <x:c r="D52" s="295" t="str">
        <x:v>YI-000013</x:v>
      </x:c>
      <x:c r="E52" s="295" t="str">
        <x:v>YI NEW SEWING MACHINE CO., LTD</x:v>
      </x:c>
      <x:c r="F52" s="296" t="n">
        <x:v>120</x:v>
      </x:c>
      <x:c r="G52" s="295" t="n">
        <x:v>27</x:v>
      </x:c>
      <x:c r="H52" s="297" t="str">
        <x:v>Monthly statement line group</x:v>
      </x:c>
    </x:row>
    <x:row r="53">
      <x:c r="A53" s="298" t="n">
        <x:v>45651</x:v>
      </x:c>
      <x:c r="B53" s="299" t="str">
        <x:v>2024-12</x:v>
      </x:c>
      <x:c r="C53" s="299" t="str">
        <x:v>Q4</x:v>
      </x:c>
      <x:c r="D53" s="299" t="str">
        <x:v>YI-000014</x:v>
      </x:c>
      <x:c r="E53" s="299" t="str">
        <x:v>YI NEW SEWING MACHINE CO., LTD</x:v>
      </x:c>
      <x:c r="F53" s="300" t="n">
        <x:v>70</x:v>
      </x:c>
      <x:c r="G53" s="299" t="n">
        <x:v>27</x:v>
      </x:c>
      <x:c r="H53" s="301" t="str">
        <x:v>Return line excluded from amount; repair group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e730711dcd2747ce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8" hidden="0" customWidth="1"/>
    <x:col min="4" max="4" width="24" hidden="0" customWidth="1"/>
    <x:col min="5" max="5" width="30" hidden="0" customWidth="1"/>
    <x:col min="6" max="6" width="14" hidden="0" customWidth="1"/>
    <x:col min="7" max="7" width="20" hidden="0" customWidth="1"/>
    <x:col min="8" max="8" width="16" hidden="0" customWidth="1"/>
    <x:col min="9" max="9" width="10" hidden="0" customWidth="1"/>
    <x:col min="10" max="10" width="10" hidden="0" customWidth="1"/>
    <x:col min="11" max="11" width="14" hidden="0" customWidth="1"/>
    <x:col min="12" max="12" width="14" hidden="0" customWidth="1"/>
    <x:col min="13" max="13" width="12" hidden="0" customWidth="1"/>
    <x:col min="14" max="14" width="9" hidden="0" customWidth="1"/>
    <x:col min="15" max="15" width="36" hidden="0" customWidth="1"/>
  </x:cols>
  <x:sheetData>
    <x:row r="1" ht="28" customHeight="1">
      <x:c r="A1" s="283" t="str">
        <x:v>2024 Confirmed Price Detail | 高可信單價明細（Printed YI statements only）</x:v>
      </x:c>
      <x:c r="B1" s="283"/>
      <x:c r="C1" s="283"/>
      <x:c r="D1" s="283"/>
      <x:c r="E1" s="283"/>
      <x:c r="F1" s="283"/>
      <x:c r="G1" s="283"/>
      <x:c r="H1" s="283"/>
      <x:c r="I1" s="283"/>
      <x:c r="J1" s="283"/>
      <x:c r="K1" s="283"/>
      <x:c r="L1" s="283"/>
      <x:c r="M1" s="283"/>
      <x:c r="N1" s="283"/>
      <x:c r="O1" s="283"/>
    </x:row>
    <x:row r="2" ht="28" customHeight="1">
      <x:c r="A2" s="291" t="str">
        <x:v>Date</x:v>
      </x:c>
      <x:c r="B2" s="292" t="str">
        <x:v>Invoice No.</x:v>
      </x:c>
      <x:c r="C2" s="292" t="str">
        <x:v>Supplier</x:v>
      </x:c>
      <x:c r="D2" s="292" t="str">
        <x:v>Part No.</x:v>
      </x:c>
      <x:c r="E2" s="292" t="str">
        <x:v>Standard Name</x:v>
      </x:c>
      <x:c r="F2" s="292" t="str">
        <x:v>Spec</x:v>
      </x:c>
      <x:c r="G2" s="292" t="str">
        <x:v>Category</x:v>
      </x:c>
      <x:c r="H2" s="292" t="str">
        <x:v>Brand</x:v>
      </x:c>
      <x:c r="I2" s="292" t="str">
        <x:v>Qty</x:v>
      </x:c>
      <x:c r="J2" s="292" t="str">
        <x:v>Unit</x:v>
      </x:c>
      <x:c r="K2" s="292" t="str">
        <x:v>Unit Price (USD)</x:v>
      </x:c>
      <x:c r="L2" s="292" t="str">
        <x:v>Amount (USD)</x:v>
      </x:c>
      <x:c r="M2" s="292" t="str">
        <x:v>Confidence</x:v>
      </x:c>
      <x:c r="N2" s="292" t="str">
        <x:v>PDF Page</x:v>
      </x:c>
      <x:c r="O2" s="293" t="str">
        <x:v>Notes</x:v>
      </x:c>
    </x:row>
    <x:row r="3">
      <x:c r="A3" s="294" t="n">
        <x:v>45577</x:v>
      </x:c>
      <x:c r="B3" s="295" t="str">
        <x:v>YI-000001</x:v>
      </x:c>
      <x:c r="C3" s="295" t="str">
        <x:v>YI NEW SEWING MACHINE CO., LTD</x:v>
      </x:c>
      <x:c r="D3" s="295" t="str">
        <x:v>TL-THREAD-SNIP-GLOBE</x:v>
      </x:c>
      <x:c r="E3" s="295" t="str">
        <x:v>環球沙剪</x:v>
      </x:c>
      <x:c r="F3" s="295" t="str"/>
      <x:c r="G3" s="295" t="str">
        <x:v>Tool/Consumable</x:v>
      </x:c>
      <x:c r="H3" s="295" t="str"/>
      <x:c r="I3" s="295" t="n">
        <x:v>20</x:v>
      </x:c>
      <x:c r="J3" s="295" t="str">
        <x:v>打</x:v>
      </x:c>
      <x:c r="K3" s="296" t="n">
        <x:v>2.3</x:v>
      </x:c>
      <x:c r="L3" s="296" t="n">
        <x:v>46</x:v>
      </x:c>
      <x:c r="M3" s="295" t="str">
        <x:v>High</x:v>
      </x:c>
      <x:c r="N3" s="295" t="n">
        <x:v>26</x:v>
      </x:c>
      <x:c r="O3" s="297" t="str">
        <x:v>Printed YI statement</x:v>
      </x:c>
    </x:row>
    <x:row r="4">
      <x:c r="A4" s="294" t="n">
        <x:v>45577</x:v>
      </x:c>
      <x:c r="B4" s="295" t="str">
        <x:v>YI-000001</x:v>
      </x:c>
      <x:c r="C4" s="295" t="str">
        <x:v>YI NEW SEWING MACHINE CO., LTD</x:v>
      </x:c>
      <x:c r="D4" s="295" t="str">
        <x:v>CN-TAILOR-CHALK-PANDA-KR</x:v>
      </x:c>
      <x:c r="E4" s="295" t="str">
        <x:v>韓國熊貓圓形畫粉</x:v>
      </x:c>
      <x:c r="F4" s="295" t="str"/>
      <x:c r="G4" s="295" t="str">
        <x:v>Consumable</x:v>
      </x:c>
      <x:c r="H4" s="295" t="str">
        <x:v>Korean Panda</x:v>
      </x:c>
      <x:c r="I4" s="295" t="n">
        <x:v>30</x:v>
      </x:c>
      <x:c r="J4" s="295" t="str">
        <x:v>盒</x:v>
      </x:c>
      <x:c r="K4" s="296" t="n">
        <x:v>1.8</x:v>
      </x:c>
      <x:c r="L4" s="296" t="n">
        <x:v>54</x:v>
      </x:c>
      <x:c r="M4" s="295" t="str">
        <x:v>High</x:v>
      </x:c>
      <x:c r="N4" s="295" t="n">
        <x:v>26</x:v>
      </x:c>
      <x:c r="O4" s="297" t="str">
        <x:v>Printed YI statement</x:v>
      </x:c>
    </x:row>
    <x:row r="5">
      <x:c r="A5" s="294" t="n">
        <x:v>45600</x:v>
      </x:c>
      <x:c r="B5" s="295" t="str">
        <x:v>YI-000003</x:v>
      </x:c>
      <x:c r="C5" s="295" t="str">
        <x:v>YI NEW SEWING MACHINE CO., LTD</x:v>
      </x:c>
      <x:c r="D5" s="295" t="str">
        <x:v>EL-BARTACK-CONTROL-BOARD-REPAIR</x:v>
      </x:c>
      <x:c r="E5" s="295" t="str">
        <x:v>套結車電腦板維修</x:v>
      </x:c>
      <x:c r="F5" s="295" t="str"/>
      <x:c r="G5" s="295" t="str">
        <x:v>Repair Service</x:v>
      </x:c>
      <x:c r="H5" s="295" t="str"/>
      <x:c r="I5" s="295" t="n">
        <x:v>10</x:v>
      </x:c>
      <x:c r="J5" s="295" t="str">
        <x:v>台</x:v>
      </x:c>
      <x:c r="K5" s="296" t="n">
        <x:v>70</x:v>
      </x:c>
      <x:c r="L5" s="296" t="n">
        <x:v>700</x:v>
      </x:c>
      <x:c r="M5" s="295" t="str">
        <x:v>High</x:v>
      </x:c>
      <x:c r="N5" s="295" t="n">
        <x:v>26</x:v>
      </x:c>
      <x:c r="O5" s="297" t="str">
        <x:v>Printed YI statement</x:v>
      </x:c>
    </x:row>
    <x:row r="6">
      <x:c r="A6" s="294" t="n">
        <x:v>45600</x:v>
      </x:c>
      <x:c r="B6" s="295" t="str">
        <x:v>YI-000003</x:v>
      </x:c>
      <x:c r="C6" s="295" t="str">
        <x:v>YI NEW SEWING MACHINE CO., LTD</x:v>
      </x:c>
      <x:c r="D6" s="295" t="str">
        <x:v>EL-SN-CONTROLLER-REPAIR</x:v>
      </x:c>
      <x:c r="E6" s="295" t="str">
        <x:v>電子平車控制器維修</x:v>
      </x:c>
      <x:c r="F6" s="295" t="str"/>
      <x:c r="G6" s="295" t="str">
        <x:v>Repair Service</x:v>
      </x:c>
      <x:c r="H6" s="295" t="str"/>
      <x:c r="I6" s="295" t="n">
        <x:v>5</x:v>
      </x:c>
      <x:c r="J6" s="295" t="str">
        <x:v>台</x:v>
      </x:c>
      <x:c r="K6" s="296" t="n">
        <x:v>25</x:v>
      </x:c>
      <x:c r="L6" s="296" t="n">
        <x:v>125</x:v>
      </x:c>
      <x:c r="M6" s="295" t="str">
        <x:v>High</x:v>
      </x:c>
      <x:c r="N6" s="295" t="n">
        <x:v>26</x:v>
      </x:c>
      <x:c r="O6" s="297" t="str">
        <x:v>Printed YI statement</x:v>
      </x:c>
    </x:row>
    <x:row r="7">
      <x:c r="A7" s="294" t="n">
        <x:v>45615</x:v>
      </x:c>
      <x:c r="B7" s="295" t="str">
        <x:v>YI-000004</x:v>
      </x:c>
      <x:c r="C7" s="295" t="str">
        <x:v>YI NEW SEWING MACHINE CO., LTD</x:v>
      </x:c>
      <x:c r="D7" s="295" t="str">
        <x:v>CN-SEWING-OIL-30L</x:v>
      </x:c>
      <x:c r="E7" s="295" t="str">
        <x:v>針車油 30L</x:v>
      </x:c>
      <x:c r="F7" s="295" t="str">
        <x:v>30L</x:v>
      </x:c>
      <x:c r="G7" s="295" t="str">
        <x:v>Consumable/Chemical</x:v>
      </x:c>
      <x:c r="H7" s="295" t="str"/>
      <x:c r="I7" s="295" t="n">
        <x:v>3</x:v>
      </x:c>
      <x:c r="J7" s="295" t="str">
        <x:v>tub</x:v>
      </x:c>
      <x:c r="K7" s="296" t="n">
        <x:v>45</x:v>
      </x:c>
      <x:c r="L7" s="296" t="n">
        <x:v>135</x:v>
      </x:c>
      <x:c r="M7" s="295" t="str">
        <x:v>High</x:v>
      </x:c>
      <x:c r="N7" s="295" t="n">
        <x:v>26</x:v>
      </x:c>
      <x:c r="O7" s="297" t="str">
        <x:v>Printed YI statement</x:v>
      </x:c>
    </x:row>
    <x:row r="8">
      <x:c r="A8" s="294" t="n">
        <x:v>45621</x:v>
      </x:c>
      <x:c r="B8" s="295" t="str">
        <x:v>YI-000006</x:v>
      </x:c>
      <x:c r="C8" s="295" t="str">
        <x:v>YI NEW SEWING MACHINE CO., LTD</x:v>
      </x:c>
      <x:c r="D8" s="295" t="str">
        <x:v>EL-BARTACK-CONTROL-BOARD-REPAIR</x:v>
      </x:c>
      <x:c r="E8" s="295" t="str">
        <x:v>套結車電腦板維修</x:v>
      </x:c>
      <x:c r="F8" s="295" t="str"/>
      <x:c r="G8" s="295" t="str">
        <x:v>Repair Service</x:v>
      </x:c>
      <x:c r="H8" s="295" t="str"/>
      <x:c r="I8" s="295" t="n">
        <x:v>1</x:v>
      </x:c>
      <x:c r="J8" s="295" t="str">
        <x:v>台</x:v>
      </x:c>
      <x:c r="K8" s="296" t="n">
        <x:v>70</x:v>
      </x:c>
      <x:c r="L8" s="296" t="n">
        <x:v>70</x:v>
      </x:c>
      <x:c r="M8" s="295" t="str">
        <x:v>High</x:v>
      </x:c>
      <x:c r="N8" s="295" t="n">
        <x:v>26</x:v>
      </x:c>
      <x:c r="O8" s="297" t="str">
        <x:v>Printed YI statement</x:v>
      </x:c>
    </x:row>
    <x:row r="9">
      <x:c r="A9" s="294" t="n">
        <x:v>45621</x:v>
      </x:c>
      <x:c r="B9" s="295" t="str">
        <x:v>YI-000006</x:v>
      </x:c>
      <x:c r="C9" s="295" t="str">
        <x:v>YI NEW SEWING MACHINE CO., LTD</x:v>
      </x:c>
      <x:c r="D9" s="295" t="str">
        <x:v>EL-SN-CONTROLLER-REPAIR</x:v>
      </x:c>
      <x:c r="E9" s="295" t="str">
        <x:v>電子平車控制器維修</x:v>
      </x:c>
      <x:c r="F9" s="295" t="str"/>
      <x:c r="G9" s="295" t="str">
        <x:v>Repair Service</x:v>
      </x:c>
      <x:c r="H9" s="295" t="str"/>
      <x:c r="I9" s="295" t="n">
        <x:v>5</x:v>
      </x:c>
      <x:c r="J9" s="295" t="str">
        <x:v>台</x:v>
      </x:c>
      <x:c r="K9" s="296" t="n">
        <x:v>25</x:v>
      </x:c>
      <x:c r="L9" s="296" t="n">
        <x:v>125</x:v>
      </x:c>
      <x:c r="M9" s="295" t="str">
        <x:v>High</x:v>
      </x:c>
      <x:c r="N9" s="295" t="n">
        <x:v>26</x:v>
      </x:c>
      <x:c r="O9" s="297" t="str">
        <x:v>Printed YI statement</x:v>
      </x:c>
    </x:row>
    <x:row r="10">
      <x:c r="A10" s="294" t="n">
        <x:v>45628</x:v>
      </x:c>
      <x:c r="B10" s="295" t="str">
        <x:v>YI-000007</x:v>
      </x:c>
      <x:c r="C10" s="295" t="str">
        <x:v>YI NEW SEWING MACHINE CO., LTD</x:v>
      </x:c>
      <x:c r="D10" s="295" t="str">
        <x:v>CH-JJW830</x:v>
      </x:c>
      <x:c r="E10" s="295" t="str">
        <x:v>JJW-830</x:v>
      </x:c>
      <x:c r="F10" s="295" t="str">
        <x:v>JJW-830</x:v>
      </x:c>
      <x:c r="G10" s="295" t="str">
        <x:v>Consumable/Chemical</x:v>
      </x:c>
      <x:c r="H10" s="295" t="str"/>
      <x:c r="I10" s="295" t="n">
        <x:v>48</x:v>
      </x:c>
      <x:c r="J10" s="295" t="str">
        <x:v>btl</x:v>
      </x:c>
      <x:c r="K10" s="296" t="n">
        <x:v>2.8</x:v>
      </x:c>
      <x:c r="L10" s="296" t="n">
        <x:v>134.4</x:v>
      </x:c>
      <x:c r="M10" s="295" t="str">
        <x:v>High</x:v>
      </x:c>
      <x:c r="N10" s="295" t="n">
        <x:v>27</x:v>
      </x:c>
      <x:c r="O10" s="297" t="str">
        <x:v>Printed YI statement</x:v>
      </x:c>
    </x:row>
    <x:row r="11">
      <x:c r="A11" s="294" t="n">
        <x:v>45639</x:v>
      </x:c>
      <x:c r="B11" s="295" t="str">
        <x:v>YI-000009</x:v>
      </x:c>
      <x:c r="C11" s="295" t="str">
        <x:v>YI NEW SEWING MACHINE CO., LTD</x:v>
      </x:c>
      <x:c r="D11" s="295" t="str">
        <x:v>CN-NUMBER-PAPER-5</x:v>
      </x:c>
      <x:c r="E11" s="295" t="str">
        <x:v>編號紙 #5</x:v>
      </x:c>
      <x:c r="F11" s="295" t="str">
        <x:v>No.5</x:v>
      </x:c>
      <x:c r="G11" s="295" t="str">
        <x:v>Consumable/Chemical</x:v>
      </x:c>
      <x:c r="H11" s="295" t="str"/>
      <x:c r="I11" s="295" t="n">
        <x:v>2</x:v>
      </x:c>
      <x:c r="J11" s="295" t="str">
        <x:v>box</x:v>
      </x:c>
      <x:c r="K11" s="296" t="n">
        <x:v>110</x:v>
      </x:c>
      <x:c r="L11" s="296" t="n">
        <x:v>220</x:v>
      </x:c>
      <x:c r="M11" s="295" t="str">
        <x:v>High</x:v>
      </x:c>
      <x:c r="N11" s="295" t="n">
        <x:v>27</x:v>
      </x:c>
      <x:c r="O11" s="297" t="str">
        <x:v>Printed YI statement</x:v>
      </x:c>
    </x:row>
    <x:row r="12">
      <x:c r="A12" s="294" t="n">
        <x:v>45639</x:v>
      </x:c>
      <x:c r="B12" s="295" t="str">
        <x:v>YI-000009</x:v>
      </x:c>
      <x:c r="C12" s="295" t="str">
        <x:v>YI NEW SEWING MACHINE CO., LTD</x:v>
      </x:c>
      <x:c r="D12" s="295" t="str">
        <x:v>IR-HANGING-BOTTLE-SET-KR</x:v>
      </x:c>
      <x:c r="E12" s="295" t="str">
        <x:v>韓國吊瓶熨斗組</x:v>
      </x:c>
      <x:c r="F12" s="295" t="str"/>
      <x:c r="G12" s="295" t="str">
        <x:v>Ironing</x:v>
      </x:c>
      <x:c r="H12" s="295" t="str">
        <x:v>Korea</x:v>
      </x:c>
      <x:c r="I12" s="295" t="n">
        <x:v>5</x:v>
      </x:c>
      <x:c r="J12" s="295" t="str">
        <x:v>pcs</x:v>
      </x:c>
      <x:c r="K12" s="296" t="n">
        <x:v>29</x:v>
      </x:c>
      <x:c r="L12" s="296" t="n">
        <x:v>145</x:v>
      </x:c>
      <x:c r="M12" s="295" t="str">
        <x:v>High</x:v>
      </x:c>
      <x:c r="N12" s="295" t="n">
        <x:v>27</x:v>
      </x:c>
      <x:c r="O12" s="297" t="str">
        <x:v>Printed YI statement</x:v>
      </x:c>
    </x:row>
    <x:row r="13">
      <x:c r="A13" s="294" t="n">
        <x:v>45639</x:v>
      </x:c>
      <x:c r="B13" s="295" t="str">
        <x:v>YI-000009</x:v>
      </x:c>
      <x:c r="C13" s="295" t="str">
        <x:v>YI NEW SEWING MACHINE CO., LTD</x:v>
      </x:c>
      <x:c r="D13" s="295" t="str">
        <x:v>IR-ES94A-SHOE</x:v>
      </x:c>
      <x:c r="E13" s="295" t="str">
        <x:v>熨斗鞋 ES-94(A)</x:v>
      </x:c>
      <x:c r="F13" s="295" t="str">
        <x:v>ES-94(A)</x:v>
      </x:c>
      <x:c r="G13" s="295" t="str">
        <x:v>Ironing</x:v>
      </x:c>
      <x:c r="H13" s="295" t="str"/>
      <x:c r="I13" s="295" t="n">
        <x:v>20</x:v>
      </x:c>
      <x:c r="J13" s="295" t="str">
        <x:v>pcs</x:v>
      </x:c>
      <x:c r="K13" s="296" t="n">
        <x:v>1.8</x:v>
      </x:c>
      <x:c r="L13" s="296" t="n">
        <x:v>36</x:v>
      </x:c>
      <x:c r="M13" s="295" t="str">
        <x:v>High</x:v>
      </x:c>
      <x:c r="N13" s="295" t="n">
        <x:v>27</x:v>
      </x:c>
      <x:c r="O13" s="297" t="str">
        <x:v>Printed YI statement</x:v>
      </x:c>
    </x:row>
    <x:row r="14">
      <x:c r="A14" s="294" t="n">
        <x:v>45639</x:v>
      </x:c>
      <x:c r="B14" s="295" t="str">
        <x:v>YI-000010</x:v>
      </x:c>
      <x:c r="C14" s="295" t="str">
        <x:v>YI NEW SEWING MACHINE CO., LTD</x:v>
      </x:c>
      <x:c r="D14" s="295" t="str">
        <x:v>ND-TNC-DPX5-14</x:v>
      </x:c>
      <x:c r="E14" s="295" t="str">
        <x:v>TNC 機針 DPx5 #14</x:v>
      </x:c>
      <x:c r="F14" s="295" t="str">
        <x:v>DPx5 #14</x:v>
      </x:c>
      <x:c r="G14" s="295" t="str">
        <x:v>Needle</x:v>
      </x:c>
      <x:c r="H14" s="295" t="str">
        <x:v>TNC</x:v>
      </x:c>
      <x:c r="I14" s="295" t="n">
        <x:v>10</x:v>
      </x:c>
      <x:c r="J14" s="295" t="str">
        <x:v>pack</x:v>
      </x:c>
      <x:c r="K14" s="296" t="n">
        <x:v>0.59</x:v>
      </x:c>
      <x:c r="L14" s="296" t="n">
        <x:v>5.9</x:v>
      </x:c>
      <x:c r="M14" s="295" t="str">
        <x:v>High</x:v>
      </x:c>
      <x:c r="N14" s="295" t="n">
        <x:v>27</x:v>
      </x:c>
      <x:c r="O14" s="297" t="str">
        <x:v>Printed YI statement</x:v>
      </x:c>
    </x:row>
    <x:row r="15">
      <x:c r="A15" s="294" t="n">
        <x:v>45639</x:v>
      </x:c>
      <x:c r="B15" s="295" t="str">
        <x:v>YI-000010</x:v>
      </x:c>
      <x:c r="C15" s="295" t="str">
        <x:v>YI NEW SEWING MACHINE CO., LTD</x:v>
      </x:c>
      <x:c r="D15" s="295" t="str">
        <x:v>TL-THREAD-SNIP-GLOBE</x:v>
      </x:c>
      <x:c r="E15" s="295" t="str">
        <x:v>環球沙剪</x:v>
      </x:c>
      <x:c r="F15" s="295" t="str"/>
      <x:c r="G15" s="295" t="str">
        <x:v>Tool/Consumable</x:v>
      </x:c>
      <x:c r="H15" s="295" t="str"/>
      <x:c r="I15" s="295" t="n">
        <x:v>20</x:v>
      </x:c>
      <x:c r="J15" s="295" t="str">
        <x:v>打</x:v>
      </x:c>
      <x:c r="K15" s="296" t="n">
        <x:v>2.3</x:v>
      </x:c>
      <x:c r="L15" s="296" t="n">
        <x:v>46</x:v>
      </x:c>
      <x:c r="M15" s="295" t="str">
        <x:v>High</x:v>
      </x:c>
      <x:c r="N15" s="295" t="n">
        <x:v>27</x:v>
      </x:c>
      <x:c r="O15" s="297" t="str">
        <x:v>Printed YI statement</x:v>
      </x:c>
    </x:row>
    <x:row r="16">
      <x:c r="A16" s="294" t="n">
        <x:v>45639</x:v>
      </x:c>
      <x:c r="B16" s="295" t="str">
        <x:v>YI-000010</x:v>
      </x:c>
      <x:c r="C16" s="295" t="str">
        <x:v>YI NEW SEWING MACHINE CO., LTD</x:v>
      </x:c>
      <x:c r="D16" s="295" t="str">
        <x:v>ND-CLI16N</x:v>
      </x:c>
      <x:c r="E16" s="295" t="str">
        <x:v>機針 CLI/16N</x:v>
      </x:c>
      <x:c r="F16" s="295" t="str">
        <x:v>CLI/16N</x:v>
      </x:c>
      <x:c r="G16" s="295" t="str">
        <x:v>Needle</x:v>
      </x:c>
      <x:c r="H16" s="295" t="str"/>
      <x:c r="I16" s="295" t="n">
        <x:v>30</x:v>
      </x:c>
      <x:c r="J16" s="295" t="str">
        <x:v>pcs</x:v>
      </x:c>
      <x:c r="K16" s="296" t="n">
        <x:v>0.6</x:v>
      </x:c>
      <x:c r="L16" s="296" t="n">
        <x:v>18</x:v>
      </x:c>
      <x:c r="M16" s="295" t="str">
        <x:v>High</x:v>
      </x:c>
      <x:c r="N16" s="295" t="n">
        <x:v>27</x:v>
      </x:c>
      <x:c r="O16" s="297" t="str">
        <x:v>Printed YI statement</x:v>
      </x:c>
    </x:row>
    <x:row r="17">
      <x:c r="A17" s="294" t="n">
        <x:v>45639</x:v>
      </x:c>
      <x:c r="B17" s="295" t="str">
        <x:v>YI-000011</x:v>
      </x:c>
      <x:c r="C17" s="295" t="str">
        <x:v>YI NEW SEWING MACHINE CO., LTD</x:v>
      </x:c>
      <x:c r="D17" s="295" t="str">
        <x:v>ND-DBX1-16</x:v>
      </x:c>
      <x:c r="E17" s="295" t="str">
        <x:v>ORGAN 機針 DBx1 #16</x:v>
      </x:c>
      <x:c r="F17" s="295" t="str">
        <x:v>DBx1 #16</x:v>
      </x:c>
      <x:c r="G17" s="295" t="str">
        <x:v>Needle</x:v>
      </x:c>
      <x:c r="H17" s="295" t="str">
        <x:v>ORGAN/風琴</x:v>
      </x:c>
      <x:c r="I17" s="295" t="n">
        <x:v>100</x:v>
      </x:c>
      <x:c r="J17" s="295" t="str">
        <x:v>pack</x:v>
      </x:c>
      <x:c r="K17" s="296" t="n">
        <x:v>0.76</x:v>
      </x:c>
      <x:c r="L17" s="296" t="n">
        <x:v>76</x:v>
      </x:c>
      <x:c r="M17" s="295" t="str">
        <x:v>High</x:v>
      </x:c>
      <x:c r="N17" s="295" t="n">
        <x:v>27</x:v>
      </x:c>
      <x:c r="O17" s="297" t="str">
        <x:v>Printed YI statement</x:v>
      </x:c>
    </x:row>
    <x:row r="18">
      <x:c r="A18" s="294" t="n">
        <x:v>45639</x:v>
      </x:c>
      <x:c r="B18" s="295" t="str">
        <x:v>YI-000011</x:v>
      </x:c>
      <x:c r="C18" s="295" t="str">
        <x:v>YI NEW SEWING MACHINE CO., LTD</x:v>
      </x:c>
      <x:c r="D18" s="295" t="str">
        <x:v>ND-TNC-DBX1-14</x:v>
      </x:c>
      <x:c r="E18" s="295" t="str">
        <x:v>TNC 機針 DBx1 #14</x:v>
      </x:c>
      <x:c r="F18" s="295" t="str">
        <x:v>DBx1 #14</x:v>
      </x:c>
      <x:c r="G18" s="295" t="str">
        <x:v>Needle</x:v>
      </x:c>
      <x:c r="H18" s="295" t="str">
        <x:v>TNC</x:v>
      </x:c>
      <x:c r="I18" s="295" t="n">
        <x:v>100</x:v>
      </x:c>
      <x:c r="J18" s="295" t="str">
        <x:v>pack</x:v>
      </x:c>
      <x:c r="K18" s="296" t="n">
        <x:v>0.59</x:v>
      </x:c>
      <x:c r="L18" s="296" t="n">
        <x:v>59</x:v>
      </x:c>
      <x:c r="M18" s="295" t="str">
        <x:v>High</x:v>
      </x:c>
      <x:c r="N18" s="295" t="n">
        <x:v>27</x:v>
      </x:c>
      <x:c r="O18" s="297" t="str">
        <x:v>Printed YI statement</x:v>
      </x:c>
    </x:row>
    <x:row r="19">
      <x:c r="A19" s="294" t="n">
        <x:v>45639</x:v>
      </x:c>
      <x:c r="B19" s="295" t="str">
        <x:v>YI-000011</x:v>
      </x:c>
      <x:c r="C19" s="295" t="str">
        <x:v>YI NEW SEWING MACHINE CO., LTD</x:v>
      </x:c>
      <x:c r="D19" s="295" t="str">
        <x:v>ND-TNC-DBX1-12</x:v>
      </x:c>
      <x:c r="E19" s="295" t="str">
        <x:v>TNC 機針 DBx1 #12</x:v>
      </x:c>
      <x:c r="F19" s="295" t="str">
        <x:v>DBx1 #12</x:v>
      </x:c>
      <x:c r="G19" s="295" t="str">
        <x:v>Needle</x:v>
      </x:c>
      <x:c r="H19" s="295" t="str">
        <x:v>TNC</x:v>
      </x:c>
      <x:c r="I19" s="295" t="n">
        <x:v>20</x:v>
      </x:c>
      <x:c r="J19" s="295" t="str">
        <x:v>pack</x:v>
      </x:c>
      <x:c r="K19" s="296" t="n">
        <x:v>0.59</x:v>
      </x:c>
      <x:c r="L19" s="296" t="n">
        <x:v>11.8</x:v>
      </x:c>
      <x:c r="M19" s="295" t="str">
        <x:v>High</x:v>
      </x:c>
      <x:c r="N19" s="295" t="n">
        <x:v>27</x:v>
      </x:c>
      <x:c r="O19" s="297" t="str">
        <x:v>Printed YI statement</x:v>
      </x:c>
    </x:row>
    <x:row r="20">
      <x:c r="A20" s="294" t="n">
        <x:v>45639</x:v>
      </x:c>
      <x:c r="B20" s="295" t="str">
        <x:v>YI-000011</x:v>
      </x:c>
      <x:c r="C20" s="295" t="str">
        <x:v>YI NEW SEWING MACHINE CO., LTD</x:v>
      </x:c>
      <x:c r="D20" s="295" t="str">
        <x:v>ND-TNC-DCX27-12</x:v>
      </x:c>
      <x:c r="E20" s="295" t="str">
        <x:v>TNC 機針 DCx27 #12</x:v>
      </x:c>
      <x:c r="F20" s="295" t="str">
        <x:v>DCx27 #12</x:v>
      </x:c>
      <x:c r="G20" s="295" t="str">
        <x:v>Needle</x:v>
      </x:c>
      <x:c r="H20" s="295" t="str">
        <x:v>TNC</x:v>
      </x:c>
      <x:c r="I20" s="295" t="n">
        <x:v>50</x:v>
      </x:c>
      <x:c r="J20" s="295" t="str">
        <x:v>pack</x:v>
      </x:c>
      <x:c r="K20" s="296" t="n">
        <x:v>0.96</x:v>
      </x:c>
      <x:c r="L20" s="296" t="n">
        <x:v>48</x:v>
      </x:c>
      <x:c r="M20" s="295" t="str">
        <x:v>High</x:v>
      </x:c>
      <x:c r="N20" s="295" t="n">
        <x:v>27</x:v>
      </x:c>
      <x:c r="O20" s="297" t="str">
        <x:v>Printed YI statement</x:v>
      </x:c>
    </x:row>
    <x:row r="21">
      <x:c r="A21" s="294" t="n">
        <x:v>45639</x:v>
      </x:c>
      <x:c r="B21" s="295" t="str">
        <x:v>YI-000011</x:v>
      </x:c>
      <x:c r="C21" s="295" t="str">
        <x:v>YI NEW SEWING MACHINE CO., LTD</x:v>
      </x:c>
      <x:c r="D21" s="295" t="str">
        <x:v>ND-TNC-DCX27-14</x:v>
      </x:c>
      <x:c r="E21" s="295" t="str">
        <x:v>TNC 機針 DCx27 #14</x:v>
      </x:c>
      <x:c r="F21" s="295" t="str">
        <x:v>DCx27 #14</x:v>
      </x:c>
      <x:c r="G21" s="295" t="str">
        <x:v>Needle</x:v>
      </x:c>
      <x:c r="H21" s="295" t="str">
        <x:v>TNC</x:v>
      </x:c>
      <x:c r="I21" s="295" t="n">
        <x:v>50</x:v>
      </x:c>
      <x:c r="J21" s="295" t="str">
        <x:v>pack</x:v>
      </x:c>
      <x:c r="K21" s="296" t="n">
        <x:v>0.96</x:v>
      </x:c>
      <x:c r="L21" s="296" t="n">
        <x:v>48</x:v>
      </x:c>
      <x:c r="M21" s="295" t="str">
        <x:v>High</x:v>
      </x:c>
      <x:c r="N21" s="295" t="n">
        <x:v>27</x:v>
      </x:c>
      <x:c r="O21" s="297" t="str">
        <x:v>Printed YI statement</x:v>
      </x:c>
    </x:row>
    <x:row r="22">
      <x:c r="A22" s="294" t="n">
        <x:v>45639</x:v>
      </x:c>
      <x:c r="B22" s="295" t="str">
        <x:v>YI-000011</x:v>
      </x:c>
      <x:c r="C22" s="295" t="str">
        <x:v>YI NEW SEWING MACHINE CO., LTD</x:v>
      </x:c>
      <x:c r="D22" s="295" t="str">
        <x:v>ND-TNC-DPX5-16</x:v>
      </x:c>
      <x:c r="E22" s="295" t="str">
        <x:v>TNC 機針 DPx5 #16</x:v>
      </x:c>
      <x:c r="F22" s="295" t="str">
        <x:v>DPx5 #16</x:v>
      </x:c>
      <x:c r="G22" s="295" t="str">
        <x:v>Needle</x:v>
      </x:c>
      <x:c r="H22" s="295" t="str">
        <x:v>TNC</x:v>
      </x:c>
      <x:c r="I22" s="295" t="n">
        <x:v>30</x:v>
      </x:c>
      <x:c r="J22" s="295" t="str">
        <x:v>pack</x:v>
      </x:c>
      <x:c r="K22" s="296" t="n">
        <x:v>0.59</x:v>
      </x:c>
      <x:c r="L22" s="296" t="n">
        <x:v>17.7</x:v>
      </x:c>
      <x:c r="M22" s="295" t="str">
        <x:v>High</x:v>
      </x:c>
      <x:c r="N22" s="295" t="n">
        <x:v>27</x:v>
      </x:c>
      <x:c r="O22" s="297" t="str">
        <x:v>Printed YI statement</x:v>
      </x:c>
    </x:row>
    <x:row r="23">
      <x:c r="A23" s="294" t="n">
        <x:v>45651</x:v>
      </x:c>
      <x:c r="B23" s="295" t="str">
        <x:v>YI-000013</x:v>
      </x:c>
      <x:c r="C23" s="295" t="str">
        <x:v>YI NEW SEWING MACHINE CO., LTD</x:v>
      </x:c>
      <x:c r="D23" s="295" t="str">
        <x:v>EL-JUKI1790-IC-BOARD</x:v>
      </x:c>
      <x:c r="E23" s="295" t="str">
        <x:v>1790電子鎖眼機 IC 主板</x:v>
      </x:c>
      <x:c r="F23" s="295" t="str">
        <x:v>JUKI 1790</x:v>
      </x:c>
      <x:c r="G23" s="295" t="str">
        <x:v>Electrical/Control</x:v>
      </x:c>
      <x:c r="H23" s="295" t="str">
        <x:v>JUKI</x:v>
      </x:c>
      <x:c r="I23" s="295" t="n">
        <x:v>1</x:v>
      </x:c>
      <x:c r="J23" s="295" t="str">
        <x:v>板</x:v>
      </x:c>
      <x:c r="K23" s="296" t="n">
        <x:v>120</x:v>
      </x:c>
      <x:c r="L23" s="296" t="n">
        <x:v>120</x:v>
      </x:c>
      <x:c r="M23" s="295" t="str">
        <x:v>High</x:v>
      </x:c>
      <x:c r="N23" s="295" t="n">
        <x:v>27</x:v>
      </x:c>
      <x:c r="O23" s="297" t="str">
        <x:v>Printed YI statement</x:v>
      </x:c>
    </x:row>
    <x:row r="24">
      <x:c r="A24" s="298" t="n">
        <x:v>45651</x:v>
      </x:c>
      <x:c r="B24" s="299" t="str">
        <x:v>YI-000014</x:v>
      </x:c>
      <x:c r="C24" s="299" t="str">
        <x:v>YI NEW SEWING MACHINE CO., LTD</x:v>
      </x:c>
      <x:c r="D24" s="299" t="str">
        <x:v>IR-HANGING-BOTTLE-HEATER-SET</x:v>
      </x:c>
      <x:c r="E24" s="299" t="str">
        <x:v>吊瓶熨斗電熱組</x:v>
      </x:c>
      <x:c r="F24" s="299" t="str"/>
      <x:c r="G24" s="299" t="str">
        <x:v>Ironing</x:v>
      </x:c>
      <x:c r="H24" s="299" t="str"/>
      <x:c r="I24" s="299" t="n">
        <x:v>2</x:v>
      </x:c>
      <x:c r="J24" s="299" t="str">
        <x:v>套</x:v>
      </x:c>
      <x:c r="K24" s="300" t="n">
        <x:v>35</x:v>
      </x:c>
      <x:c r="L24" s="300" t="n">
        <x:v>70</x:v>
      </x:c>
      <x:c r="M24" s="299" t="str">
        <x:v>High</x:v>
      </x:c>
      <x:c r="N24" s="299" t="n">
        <x:v>27</x:v>
      </x:c>
      <x:c r="O24" s="301" t="str">
        <x:v>Printed YI statement</x:v>
      </x:c>
    </x:row>
  </x:sheetData>
  <x:mergeCells>
    <x:mergeCell ref="A1:O1"/>
  </x:mergeCells>
  <x:pageMargins left="0.7" right="0.7" top="0.75" bottom="0.75" header="0.3" footer="0.3"/>
  <x:tableParts count="1">
    <x:tablePart xmlns:r="http://schemas.openxmlformats.org/officeDocument/2006/relationships" r:id="R4ec5d9919c5544f8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2" hidden="0" customWidth="1"/>
    <x:col min="3" max="3" width="14" hidden="0" customWidth="1"/>
    <x:col min="4" max="4" width="28" hidden="0" customWidth="1"/>
    <x:col min="5" max="5" width="30" hidden="0" customWidth="1"/>
    <x:col min="6" max="6" width="24" hidden="0" customWidth="1"/>
    <x:col min="7" max="7" width="30" hidden="0" customWidth="1"/>
    <x:col min="8" max="8" width="16" hidden="0" customWidth="1"/>
    <x:col min="9" max="9" width="20" hidden="0" customWidth="1"/>
    <x:col min="10" max="10" width="16" hidden="0" customWidth="1"/>
    <x:col min="11" max="11" width="14" hidden="0" customWidth="1"/>
    <x:col min="12" max="12" width="20" hidden="0" customWidth="1"/>
    <x:col min="13" max="13" width="9" hidden="0" customWidth="1"/>
    <x:col min="14" max="14" width="9" hidden="0" customWidth="1"/>
    <x:col min="15" max="15" width="14" hidden="0" customWidth="1"/>
    <x:col min="16" max="16" width="15" hidden="0" customWidth="1"/>
    <x:col min="17" max="17" width="14" hidden="0" customWidth="1"/>
    <x:col min="18" max="18" width="12" hidden="0" customWidth="1"/>
    <x:col min="19" max="19" width="12" hidden="0" customWidth="1"/>
    <x:col min="20" max="20" width="11" hidden="0" customWidth="1"/>
    <x:col min="21" max="21" width="26" hidden="0" customWidth="1"/>
    <x:col min="22" max="22" width="8" hidden="0" customWidth="1"/>
    <x:col min="23" max="23" width="36" hidden="0" customWidth="1"/>
  </x:cols>
  <x:sheetData>
    <x:row r="1" ht="28" customHeight="1">
      <x:c r="A1" s="283" t="str">
        <x:v>2025 Transaction Detail | PDF Monthly Statement → Standardized Purchase Detail</x:v>
      </x:c>
      <x:c r="B1" s="283"/>
      <x:c r="C1" s="283"/>
      <x:c r="D1" s="283"/>
      <x:c r="E1" s="283"/>
      <x:c r="F1" s="283"/>
      <x:c r="G1" s="283"/>
      <x:c r="H1" s="283"/>
      <x:c r="I1" s="283"/>
      <x:c r="J1" s="283"/>
      <x:c r="K1" s="283"/>
      <x:c r="L1" s="283"/>
      <x:c r="M1" s="283"/>
      <x:c r="N1" s="283"/>
      <x:c r="O1" s="283"/>
      <x:c r="P1" s="283"/>
      <x:c r="Q1" s="283"/>
      <x:c r="R1" s="283"/>
      <x:c r="S1" s="283"/>
      <x:c r="T1" s="283"/>
      <x:c r="U1" s="283"/>
      <x:c r="V1" s="283"/>
      <x:c r="W1" s="283"/>
    </x:row>
    <x:row r="2" ht="28" customHeight="1">
      <x:c r="A2" s="291" t="str">
        <x:v>Statement Month</x:v>
      </x:c>
      <x:c r="B2" s="292" t="str">
        <x:v>Date</x:v>
      </x:c>
      <x:c r="C2" s="292" t="str">
        <x:v>Invoice No</x:v>
      </x:c>
      <x:c r="D2" s="292" t="str">
        <x:v>Supplier</x:v>
      </x:c>
      <x:c r="E2" s="292" t="str">
        <x:v>Raw Item Name</x:v>
      </x:c>
      <x:c r="F2" s="292" t="str">
        <x:v>Part No</x:v>
      </x:c>
      <x:c r="G2" s="292" t="str">
        <x:v>Standard Name</x:v>
      </x:c>
      <x:c r="H2" s="292" t="str">
        <x:v>Spec</x:v>
      </x:c>
      <x:c r="I2" s="292" t="str">
        <x:v>Category</x:v>
      </x:c>
      <x:c r="J2" s="292" t="str">
        <x:v>Item Type</x:v>
      </x:c>
      <x:c r="K2" s="292" t="str">
        <x:v>Brand</x:v>
      </x:c>
      <x:c r="L2" s="292" t="str">
        <x:v>Machine / Use</x:v>
      </x:c>
      <x:c r="M2" s="292" t="str">
        <x:v>Qty</x:v>
      </x:c>
      <x:c r="N2" s="292" t="str">
        <x:v>Unit</x:v>
      </x:c>
      <x:c r="O2" s="292" t="str">
        <x:v>Unit Price (USD)</x:v>
      </x:c>
      <x:c r="P2" s="292" t="str">
        <x:v>Calculated Amount</x:v>
      </x:c>
      <x:c r="Q2" s="292" t="str">
        <x:v>Source Amount</x:v>
      </x:c>
      <x:c r="R2" s="292" t="str">
        <x:v>Difference</x:v>
      </x:c>
      <x:c r="S2" s="292" t="str">
        <x:v>Include in Master</x:v>
      </x:c>
      <x:c r="T2" s="292" t="str">
        <x:v>Confidence</x:v>
      </x:c>
      <x:c r="U2" s="292" t="str">
        <x:v>Source File</x:v>
      </x:c>
      <x:c r="V2" s="292" t="str">
        <x:v>Page</x:v>
      </x:c>
      <x:c r="W2" s="293" t="str">
        <x:v>Notes</x:v>
      </x:c>
    </x:row>
    <x:row r="3">
      <x:c r="A3" s="314" t="str">
        <x:v>2025-01</x:v>
      </x:c>
      <x:c r="B3" s="315" t="n">
        <x:v>45660</x:v>
      </x:c>
      <x:c r="C3" s="295" t="str">
        <x:v>YI-000015</x:v>
      </x:c>
      <x:c r="D3" s="295" t="str">
        <x:v>YI NEW SEWING MACHINE CO., LTD</x:v>
      </x:c>
      <x:c r="E3" s="295" t="str">
        <x:v>維修：1790鎖眼電腦IC板</x:v>
      </x:c>
      <x:c r="F3" s="295" t="str">
        <x:v>EL-JUKI1790-IC-BOARD</x:v>
      </x:c>
      <x:c r="G3" s="295" t="str">
        <x:v>1790電子鎖眼機 IC 主板</x:v>
      </x:c>
      <x:c r="H3" s="295" t="str">
        <x:v>JUKI 1790</x:v>
      </x:c>
      <x:c r="I3" s="295" t="str">
        <x:v>Electrical/Control</x:v>
      </x:c>
      <x:c r="J3" s="295" t="str">
        <x:v>Spare Part</x:v>
      </x:c>
      <x:c r="K3" s="295" t="str">
        <x:v>JUKI</x:v>
      </x:c>
      <x:c r="L3" s="295" t="str">
        <x:v>Buttonhole</x:v>
      </x:c>
      <x:c r="M3" s="295" t="n">
        <x:v>1</x:v>
      </x:c>
      <x:c r="N3" s="295" t="str">
        <x:v>板</x:v>
      </x:c>
      <x:c r="O3" s="296" t="n">
        <x:v>120</x:v>
      </x:c>
      <x:c r="P3" s="296" t="n">
        <x:v>120</x:v>
      </x:c>
      <x:c r="Q3" s="296" t="n">
        <x:v>120</x:v>
      </x:c>
      <x:c r="R3" s="296" t="n">
        <x:v>0</x:v>
      </x:c>
      <x:c r="S3" s="295" t="str">
        <x:v>Yes</x:v>
      </x:c>
      <x:c r="T3" s="295" t="str">
        <x:v>High</x:v>
      </x:c>
      <x:c r="U3" s="295" t="str">
        <x:v>Jan_'25Dec_'25_Monthly_StatementSewing_machine_spareparts.pdf</x:v>
      </x:c>
      <x:c r="V3" s="295" t="n">
        <x:v>1</x:v>
      </x:c>
      <x:c r="W3" s="297"/>
    </x:row>
    <x:row r="4">
      <x:c r="A4" s="314" t="str">
        <x:v>2025-01</x:v>
      </x:c>
      <x:c r="B4" s="315" t="n">
        <x:v>45660</x:v>
      </x:c>
      <x:c r="C4" s="295" t="str">
        <x:v>YI-000015</x:v>
      </x:c>
      <x:c r="D4" s="295" t="str">
        <x:v>YI NEW SEWING MACHINE CO., LTD</x:v>
      </x:c>
      <x:c r="E4" s="295" t="str">
        <x:v>維修：套結車電腦板</x:v>
      </x:c>
      <x:c r="F4" s="295" t="str">
        <x:v>HIST25-002</x:v>
      </x:c>
      <x:c r="G4" s="295" t="str">
        <x:v>維修：套結車電腦板</x:v>
      </x:c>
      <x:c r="H4" s="295"/>
      <x:c r="I4" s="295" t="str">
        <x:v>Electrical/Control</x:v>
      </x:c>
      <x:c r="J4" s="295" t="str">
        <x:v>Spare Part</x:v>
      </x:c>
      <x:c r="K4" s="295"/>
      <x:c r="L4" s="295" t="str">
        <x:v>Bartack</x:v>
      </x:c>
      <x:c r="M4" s="295" t="n">
        <x:v>1</x:v>
      </x:c>
      <x:c r="N4" s="295" t="str">
        <x:v>板</x:v>
      </x:c>
      <x:c r="O4" s="296" t="n">
        <x:v>70</x:v>
      </x:c>
      <x:c r="P4" s="296" t="n">
        <x:v>70</x:v>
      </x:c>
      <x:c r="Q4" s="296" t="n">
        <x:v>70</x:v>
      </x:c>
      <x:c r="R4" s="296" t="n">
        <x:v>0</x:v>
      </x:c>
      <x:c r="S4" s="295" t="str">
        <x:v>Yes</x:v>
      </x:c>
      <x:c r="T4" s="295" t="str">
        <x:v>High</x:v>
      </x:c>
      <x:c r="U4" s="295" t="str">
        <x:v>Jan_'25Dec_'25_Monthly_StatementSewing_machine_spareparts.pdf</x:v>
      </x:c>
      <x:c r="V4" s="295" t="n">
        <x:v>1</x:v>
      </x:c>
      <x:c r="W4" s="297"/>
    </x:row>
    <x:row r="5">
      <x:c r="A5" s="314" t="str">
        <x:v>2025-01</x:v>
      </x:c>
      <x:c r="B5" s="315" t="n">
        <x:v>45660</x:v>
      </x:c>
      <x:c r="C5" s="295" t="str">
        <x:v>YI-000015</x:v>
      </x:c>
      <x:c r="D5" s="295" t="str">
        <x:v>YI NEW SEWING MACHINE CO., LTD</x:v>
      </x:c>
      <x:c r="E5" s="295" t="str">
        <x:v>維修：電子平車控制器（台）</x:v>
      </x:c>
      <x:c r="F5" s="295" t="str">
        <x:v>HIST25-003</x:v>
      </x:c>
      <x:c r="G5" s="295" t="str">
        <x:v>維修：電子平車控制器（台）</x:v>
      </x:c>
      <x:c r="H5" s="295"/>
      <x:c r="I5" s="295" t="str">
        <x:v>Electrical/Control</x:v>
      </x:c>
      <x:c r="J5" s="295" t="str">
        <x:v>Spare Part</x:v>
      </x:c>
      <x:c r="K5" s="295"/>
      <x:c r="L5" s="295" t="str">
        <x:v>Single Needle</x:v>
      </x:c>
      <x:c r="M5" s="295" t="n">
        <x:v>1</x:v>
      </x:c>
      <x:c r="N5" s="295" t="str">
        <x:v>台</x:v>
      </x:c>
      <x:c r="O5" s="296" t="n">
        <x:v>25</x:v>
      </x:c>
      <x:c r="P5" s="296" t="n">
        <x:v>25</x:v>
      </x:c>
      <x:c r="Q5" s="296" t="n">
        <x:v>25</x:v>
      </x:c>
      <x:c r="R5" s="296" t="n">
        <x:v>0</x:v>
      </x:c>
      <x:c r="S5" s="295" t="str">
        <x:v>Yes</x:v>
      </x:c>
      <x:c r="T5" s="295" t="str">
        <x:v>High</x:v>
      </x:c>
      <x:c r="U5" s="295" t="str">
        <x:v>Jan_'25Dec_'25_Monthly_StatementSewing_machine_spareparts.pdf</x:v>
      </x:c>
      <x:c r="V5" s="295" t="n">
        <x:v>1</x:v>
      </x:c>
      <x:c r="W5" s="297"/>
    </x:row>
    <x:row r="6">
      <x:c r="A6" s="314" t="str">
        <x:v>2025-01</x:v>
      </x:c>
      <x:c r="B6" s="315" t="n">
        <x:v>45660</x:v>
      </x:c>
      <x:c r="C6" s="295" t="str">
        <x:v>YI-000015</x:v>
      </x:c>
      <x:c r="D6" s="295" t="str">
        <x:v>YI NEW SEWING MACHINE CO., LTD</x:v>
      </x:c>
      <x:c r="E6" s="295" t="str">
        <x:v>維修：電子平車控制器（個）</x:v>
      </x:c>
      <x:c r="F6" s="295" t="str">
        <x:v>HIST25-004</x:v>
      </x:c>
      <x:c r="G6" s="295" t="str">
        <x:v>維修：電子平車控制器（個）</x:v>
      </x:c>
      <x:c r="H6" s="295"/>
      <x:c r="I6" s="295" t="str">
        <x:v>Electrical/Control</x:v>
      </x:c>
      <x:c r="J6" s="295" t="str">
        <x:v>Spare Part</x:v>
      </x:c>
      <x:c r="K6" s="295"/>
      <x:c r="L6" s="295" t="str">
        <x:v>Single Needle</x:v>
      </x:c>
      <x:c r="M6" s="295" t="n">
        <x:v>5</x:v>
      </x:c>
      <x:c r="N6" s="295" t="str">
        <x:v>個</x:v>
      </x:c>
      <x:c r="O6" s="296" t="n">
        <x:v>20</x:v>
      </x:c>
      <x:c r="P6" s="296" t="n">
        <x:v>100</x:v>
      </x:c>
      <x:c r="Q6" s="296" t="n">
        <x:v>100</x:v>
      </x:c>
      <x:c r="R6" s="296" t="n">
        <x:v>0</x:v>
      </x:c>
      <x:c r="S6" s="295" t="str">
        <x:v>Yes</x:v>
      </x:c>
      <x:c r="T6" s="295" t="str">
        <x:v>High</x:v>
      </x:c>
      <x:c r="U6" s="295" t="str">
        <x:v>Jan_'25Dec_'25_Monthly_StatementSewing_machine_spareparts.pdf</x:v>
      </x:c>
      <x:c r="V6" s="295" t="n">
        <x:v>1</x:v>
      </x:c>
      <x:c r="W6" s="297"/>
    </x:row>
    <x:row r="7">
      <x:c r="A7" s="314" t="str">
        <x:v>2025-01</x:v>
      </x:c>
      <x:c r="B7" s="315" t="n">
        <x:v>45669</x:v>
      </x:c>
      <x:c r="C7" s="295" t="str">
        <x:v>YI-000016</x:v>
      </x:c>
      <x:c r="D7" s="295" t="str">
        <x:v>YI NEW SEWING MACHINE CO., LTD</x:v>
      </x:c>
      <x:c r="E7" s="295" t="str">
        <x:v>JUKI LK-1900B-SS 零件</x:v>
      </x:c>
      <x:c r="F7" s="295" t="str">
        <x:v>HIST25-005</x:v>
      </x:c>
      <x:c r="G7" s="295" t="str">
        <x:v>JUKI LK-1900B-SS 零件</x:v>
      </x:c>
      <x:c r="H7" s="295"/>
      <x:c r="I7" s="295" t="str">
        <x:v>Bobbin/Shuttle</x:v>
      </x:c>
      <x:c r="J7" s="295" t="str">
        <x:v>Spare Part</x:v>
      </x:c>
      <x:c r="K7" s="295" t="str">
        <x:v>JUKI</x:v>
      </x:c>
      <x:c r="L7" s="295" t="str">
        <x:v>Bartack</x:v>
      </x:c>
      <x:c r="M7" s="295" t="n">
        <x:v>1</x:v>
      </x:c>
      <x:c r="N7" s="295" t="str">
        <x:v>pcs</x:v>
      </x:c>
      <x:c r="O7" s="296" t="n">
        <x:v>15</x:v>
      </x:c>
      <x:c r="P7" s="296" t="n">
        <x:v>15</x:v>
      </x:c>
      <x:c r="Q7" s="296" t="n">
        <x:v>15</x:v>
      </x:c>
      <x:c r="R7" s="296" t="n">
        <x:v>0</x:v>
      </x:c>
      <x:c r="S7" s="295" t="str">
        <x:v>Yes</x:v>
      </x:c>
      <x:c r="T7" s="295" t="str">
        <x:v>Medium</x:v>
      </x:c>
      <x:c r="U7" s="295" t="str">
        <x:v>Jan_'25Dec_'25_Monthly_StatementSewing_machine_spareparts.pdf</x:v>
      </x:c>
      <x:c r="V7" s="295" t="n">
        <x:v>1</x:v>
      </x:c>
      <x:c r="W7" s="297" t="str">
        <x:v>原始品名部分為柬文，保留機型</x:v>
      </x:c>
    </x:row>
    <x:row r="8">
      <x:c r="A8" s="314" t="str">
        <x:v>2025-01</x:v>
      </x:c>
      <x:c r="B8" s="315" t="n">
        <x:v>45669</x:v>
      </x:c>
      <x:c r="C8" s="295" t="str">
        <x:v>YI-000016</x:v>
      </x:c>
      <x:c r="D8" s="295" t="str">
        <x:v>YI NEW SEWING MACHINE CO., LTD</x:v>
      </x:c>
      <x:c r="E8" s="295" t="str">
        <x:v>JUKI 小零件</x:v>
      </x:c>
      <x:c r="F8" s="295" t="str">
        <x:v>HIST25-006</x:v>
      </x:c>
      <x:c r="G8" s="295" t="str">
        <x:v>JUKI 小零件</x:v>
      </x:c>
      <x:c r="H8" s="295"/>
      <x:c r="I8" s="295" t="str">
        <x:v>Other</x:v>
      </x:c>
      <x:c r="J8" s="295" t="str">
        <x:v>Spare Part</x:v>
      </x:c>
      <x:c r="K8" s="295" t="str">
        <x:v>JUKI</x:v>
      </x:c>
      <x:c r="L8" s="295"/>
      <x:c r="M8" s="295" t="n">
        <x:v>100</x:v>
      </x:c>
      <x:c r="N8" s="295" t="str">
        <x:v>pcs</x:v>
      </x:c>
      <x:c r="O8" s="296" t="n">
        <x:v>0.05</x:v>
      </x:c>
      <x:c r="P8" s="296" t="n">
        <x:v>5</x:v>
      </x:c>
      <x:c r="Q8" s="296" t="n">
        <x:v>5</x:v>
      </x:c>
      <x:c r="R8" s="296" t="n">
        <x:v>0</x:v>
      </x:c>
      <x:c r="S8" s="295" t="str">
        <x:v>Review</x:v>
      </x:c>
      <x:c r="T8" s="295" t="str">
        <x:v>Low</x:v>
      </x:c>
      <x:c r="U8" s="295" t="str">
        <x:v>Jan_'25Dec_'25_Monthly_StatementSewing_machine_spareparts.pdf</x:v>
      </x:c>
      <x:c r="V8" s="295" t="n">
        <x:v>1</x:v>
      </x:c>
      <x:c r="W8" s="297" t="str">
        <x:v>原始品名柬文，需人工確認</x:v>
      </x:c>
    </x:row>
    <x:row r="9">
      <x:c r="A9" s="314" t="str">
        <x:v>2025-01</x:v>
      </x:c>
      <x:c r="B9" s="315" t="n">
        <x:v>45669</x:v>
      </x:c>
      <x:c r="C9" s="295" t="str">
        <x:v>YI-000016</x:v>
      </x:c>
      <x:c r="D9" s="295" t="str">
        <x:v>YI NEW SEWING MACHINE CO., LTD</x:v>
      </x:c>
      <x:c r="E9" s="295" t="str">
        <x:v>SIRUBA 小零件</x:v>
      </x:c>
      <x:c r="F9" s="295" t="str">
        <x:v>HIST25-007</x:v>
      </x:c>
      <x:c r="G9" s="295" t="str">
        <x:v>SIRUBA 小零件</x:v>
      </x:c>
      <x:c r="H9" s="295"/>
      <x:c r="I9" s="295" t="str">
        <x:v>Other</x:v>
      </x:c>
      <x:c r="J9" s="295" t="str">
        <x:v>Spare Part</x:v>
      </x:c>
      <x:c r="K9" s="295" t="str">
        <x:v>SIRUBA</x:v>
      </x:c>
      <x:c r="L9" s="295"/>
      <x:c r="M9" s="295" t="n">
        <x:v>200</x:v>
      </x:c>
      <x:c r="N9" s="295" t="str">
        <x:v>pcs</x:v>
      </x:c>
      <x:c r="O9" s="296" t="n">
        <x:v>0.05</x:v>
      </x:c>
      <x:c r="P9" s="296" t="n">
        <x:v>10</x:v>
      </x:c>
      <x:c r="Q9" s="296" t="n">
        <x:v>10</x:v>
      </x:c>
      <x:c r="R9" s="296" t="n">
        <x:v>0</x:v>
      </x:c>
      <x:c r="S9" s="295" t="str">
        <x:v>Review</x:v>
      </x:c>
      <x:c r="T9" s="295" t="str">
        <x:v>Low</x:v>
      </x:c>
      <x:c r="U9" s="295" t="str">
        <x:v>Jan_'25Dec_'25_Monthly_StatementSewing_machine_spareparts.pdf</x:v>
      </x:c>
      <x:c r="V9" s="295" t="n">
        <x:v>1</x:v>
      </x:c>
      <x:c r="W9" s="297" t="str">
        <x:v>原始品名柬文，需人工確認</x:v>
      </x:c>
    </x:row>
    <x:row r="10">
      <x:c r="A10" s="314" t="str">
        <x:v>2025-01</x:v>
      </x:c>
      <x:c r="B10" s="315" t="n">
        <x:v>45669</x:v>
      </x:c>
      <x:c r="C10" s="295" t="str">
        <x:v>YI-000016</x:v>
      </x:c>
      <x:c r="D10" s="295" t="str">
        <x:v>YI NEW SEWING MACHINE CO., LTD</x:v>
      </x:c>
      <x:c r="E10" s="295" t="str">
        <x:v>JUKI 日本零件</x:v>
      </x:c>
      <x:c r="F10" s="295" t="str">
        <x:v>HIST25-008</x:v>
      </x:c>
      <x:c r="G10" s="295" t="str">
        <x:v>JUKI 日本零件</x:v>
      </x:c>
      <x:c r="H10" s="295"/>
      <x:c r="I10" s="295" t="str">
        <x:v>Bobbin/Shuttle</x:v>
      </x:c>
      <x:c r="J10" s="295" t="str">
        <x:v>Spare Part</x:v>
      </x:c>
      <x:c r="K10" s="295" t="str">
        <x:v>JUKI</x:v>
      </x:c>
      <x:c r="L10" s="295"/>
      <x:c r="M10" s="295" t="n">
        <x:v>24</x:v>
      </x:c>
      <x:c r="N10" s="295" t="str">
        <x:v>pcs</x:v>
      </x:c>
      <x:c r="O10" s="296" t="n">
        <x:v>18</x:v>
      </x:c>
      <x:c r="P10" s="296" t="n">
        <x:v>432</x:v>
      </x:c>
      <x:c r="Q10" s="296" t="n">
        <x:v>432</x:v>
      </x:c>
      <x:c r="R10" s="296" t="n">
        <x:v>0</x:v>
      </x:c>
      <x:c r="S10" s="295" t="str">
        <x:v>Yes</x:v>
      </x:c>
      <x:c r="T10" s="295" t="str">
        <x:v>Medium</x:v>
      </x:c>
      <x:c r="U10" s="295" t="str">
        <x:v>Jan_'25Dec_'25_Monthly_StatementSewing_machine_spareparts.pdf</x:v>
      </x:c>
      <x:c r="V10" s="295" t="n">
        <x:v>1</x:v>
      </x:c>
      <x:c r="W10" s="297" t="str">
        <x:v>原始品名含 Japan，建議核對實物</x:v>
      </x:c>
    </x:row>
    <x:row r="11">
      <x:c r="A11" s="314" t="str">
        <x:v>2025-01</x:v>
      </x:c>
      <x:c r="B11" s="315" t="n">
        <x:v>45669</x:v>
      </x:c>
      <x:c r="C11" s="295" t="str">
        <x:v>YI-000016</x:v>
      </x:c>
      <x:c r="D11" s="295" t="str">
        <x:v>YI NEW SEWING MACHINE CO., LTD</x:v>
      </x:c>
      <x:c r="E11" s="295" t="str">
        <x:v>零件 5/8</x:v>
      </x:c>
      <x:c r="F11" s="295" t="str">
        <x:v>HIST25-009</x:v>
      </x:c>
      <x:c r="G11" s="295" t="str">
        <x:v>零件 5/8</x:v>
      </x:c>
      <x:c r="H11" s="295" t="str">
        <x:v>5/8</x:v>
      </x:c>
      <x:c r="I11" s="295" t="str">
        <x:v>Other</x:v>
      </x:c>
      <x:c r="J11" s="295" t="str">
        <x:v>Spare Part</x:v>
      </x:c>
      <x:c r="K11" s="295"/>
      <x:c r="L11" s="295"/>
      <x:c r="M11" s="295" t="n">
        <x:v>3</x:v>
      </x:c>
      <x:c r="N11" s="295" t="str">
        <x:v>pcs</x:v>
      </x:c>
      <x:c r="O11" s="296" t="n">
        <x:v>1.2</x:v>
      </x:c>
      <x:c r="P11" s="296" t="n">
        <x:v>3.6</x:v>
      </x:c>
      <x:c r="Q11" s="296" t="n">
        <x:v>3.6</x:v>
      </x:c>
      <x:c r="R11" s="296" t="n">
        <x:v>0</x:v>
      </x:c>
      <x:c r="S11" s="295" t="str">
        <x:v>Review</x:v>
      </x:c>
      <x:c r="T11" s="295" t="str">
        <x:v>Low</x:v>
      </x:c>
      <x:c r="U11" s="295" t="str">
        <x:v>Jan_'25Dec_'25_Monthly_StatementSewing_machine_spareparts.pdf</x:v>
      </x:c>
      <x:c r="V11" s="295" t="n">
        <x:v>1</x:v>
      </x:c>
      <x:c r="W11" s="297"/>
    </x:row>
    <x:row r="12">
      <x:c r="A12" s="314" t="str">
        <x:v>2025-01</x:v>
      </x:c>
      <x:c r="B12" s="315" t="n">
        <x:v>45669</x:v>
      </x:c>
      <x:c r="C12" s="295" t="str">
        <x:v>YI-000016</x:v>
      </x:c>
      <x:c r="D12" s="295" t="str">
        <x:v>YI NEW SEWING MACHINE CO., LTD</x:v>
      </x:c>
      <x:c r="E12" s="295" t="str">
        <x:v>機修零件（未清楚辨識）</x:v>
      </x:c>
      <x:c r="F12" s="295" t="str">
        <x:v>HIST25-010</x:v>
      </x:c>
      <x:c r="G12" s="295" t="str">
        <x:v>機修零件（未清楚辨識）</x:v>
      </x:c>
      <x:c r="H12" s="295"/>
      <x:c r="I12" s="295" t="str">
        <x:v>Other</x:v>
      </x:c>
      <x:c r="J12" s="295" t="str">
        <x:v>Spare Part</x:v>
      </x:c>
      <x:c r="K12" s="295"/>
      <x:c r="L12" s="295"/>
      <x:c r="M12" s="295" t="n">
        <x:v>5</x:v>
      </x:c>
      <x:c r="N12" s="295" t="str">
        <x:v>pcs</x:v>
      </x:c>
      <x:c r="O12" s="296" t="n">
        <x:v>28</x:v>
      </x:c>
      <x:c r="P12" s="296" t="n">
        <x:v>140</x:v>
      </x:c>
      <x:c r="Q12" s="296" t="n">
        <x:v>140</x:v>
      </x:c>
      <x:c r="R12" s="296" t="n">
        <x:v>0</x:v>
      </x:c>
      <x:c r="S12" s="295" t="str">
        <x:v>Review</x:v>
      </x:c>
      <x:c r="T12" s="295" t="str">
        <x:v>Low</x:v>
      </x:c>
      <x:c r="U12" s="295" t="str">
        <x:v>Jan_'25Dec_'25_Monthly_StatementSewing_machine_spareparts.pdf</x:v>
      </x:c>
      <x:c r="V12" s="295" t="n">
        <x:v>1</x:v>
      </x:c>
      <x:c r="W12" s="297"/>
    </x:row>
    <x:row r="13">
      <x:c r="A13" s="314" t="str">
        <x:v>2025-01</x:v>
      </x:c>
      <x:c r="B13" s="315" t="n">
        <x:v>45669</x:v>
      </x:c>
      <x:c r="C13" s="295" t="str">
        <x:v>YI-000016</x:v>
      </x:c>
      <x:c r="D13" s="295" t="str">
        <x:v>YI NEW SEWING MACHINE CO., LTD</x:v>
      </x:c>
      <x:c r="E13" s="295" t="str">
        <x:v>零件 B7160-781</x:v>
      </x:c>
      <x:c r="F13" s="295" t="str">
        <x:v>HIST25-011</x:v>
      </x:c>
      <x:c r="G13" s="295" t="str">
        <x:v>零件 B7160-781</x:v>
      </x:c>
      <x:c r="H13" s="295" t="str">
        <x:v>B7160-781</x:v>
      </x:c>
      <x:c r="I13" s="295" t="str">
        <x:v>Other</x:v>
      </x:c>
      <x:c r="J13" s="295" t="str">
        <x:v>Spare Part</x:v>
      </x:c>
      <x:c r="K13" s="295"/>
      <x:c r="L13" s="295"/>
      <x:c r="M13" s="295" t="n">
        <x:v>2</x:v>
      </x:c>
      <x:c r="N13" s="295" t="str">
        <x:v>pcs</x:v>
      </x:c>
      <x:c r="O13" s="296" t="n">
        <x:v>3</x:v>
      </x:c>
      <x:c r="P13" s="296" t="n">
        <x:v>6</x:v>
      </x:c>
      <x:c r="Q13" s="296" t="n">
        <x:v>6</x:v>
      </x:c>
      <x:c r="R13" s="296" t="n">
        <x:v>0</x:v>
      </x:c>
      <x:c r="S13" s="295" t="str">
        <x:v>Yes</x:v>
      </x:c>
      <x:c r="T13" s="295" t="str">
        <x:v>Medium</x:v>
      </x:c>
      <x:c r="U13" s="295" t="str">
        <x:v>Jan_'25Dec_'25_Monthly_StatementSewing_machine_spareparts.pdf</x:v>
      </x:c>
      <x:c r="V13" s="295" t="n">
        <x:v>1</x:v>
      </x:c>
      <x:c r="W13" s="297"/>
    </x:row>
    <x:row r="14">
      <x:c r="A14" s="314" t="str">
        <x:v>2025-01</x:v>
      </x:c>
      <x:c r="B14" s="315" t="n">
        <x:v>45669</x:v>
      </x:c>
      <x:c r="C14" s="295" t="str">
        <x:v>YI-000017</x:v>
      </x:c>
      <x:c r="D14" s="295" t="str">
        <x:v>YI NEW SEWING MACHINE CO., LTD</x:v>
      </x:c>
      <x:c r="E14" s="295" t="str">
        <x:v>機修零件（未清楚辨識）</x:v>
      </x:c>
      <x:c r="F14" s="295" t="str">
        <x:v>HIST25-012</x:v>
      </x:c>
      <x:c r="G14" s="295" t="str">
        <x:v>機修零件（未清楚辨識）</x:v>
      </x:c>
      <x:c r="H14" s="295"/>
      <x:c r="I14" s="295" t="str">
        <x:v>Other</x:v>
      </x:c>
      <x:c r="J14" s="295" t="str">
        <x:v>Spare Part</x:v>
      </x:c>
      <x:c r="K14" s="295"/>
      <x:c r="L14" s="295"/>
      <x:c r="M14" s="295" t="n">
        <x:v>10</x:v>
      </x:c>
      <x:c r="N14" s="295" t="str">
        <x:v>pcs</x:v>
      </x:c>
      <x:c r="O14" s="296" t="n">
        <x:v>2.2</x:v>
      </x:c>
      <x:c r="P14" s="296" t="n">
        <x:v>22</x:v>
      </x:c>
      <x:c r="Q14" s="296" t="n">
        <x:v>22</x:v>
      </x:c>
      <x:c r="R14" s="296" t="n">
        <x:v>0</x:v>
      </x:c>
      <x:c r="S14" s="295" t="str">
        <x:v>Review</x:v>
      </x:c>
      <x:c r="T14" s="295" t="str">
        <x:v>Low</x:v>
      </x:c>
      <x:c r="U14" s="295" t="str">
        <x:v>Jan_'25Dec_'25_Monthly_StatementSewing_machine_spareparts.pdf</x:v>
      </x:c>
      <x:c r="V14" s="295" t="n">
        <x:v>1</x:v>
      </x:c>
      <x:c r="W14" s="297"/>
    </x:row>
    <x:row r="15">
      <x:c r="A15" s="314" t="str">
        <x:v>2025-01</x:v>
      </x:c>
      <x:c r="B15" s="315" t="n">
        <x:v>45669</x:v>
      </x:c>
      <x:c r="C15" s="295" t="str">
        <x:v>YI-000017</x:v>
      </x:c>
      <x:c r="D15" s="295" t="str">
        <x:v>YI NEW SEWING MACHINE CO., LTD</x:v>
      </x:c>
      <x:c r="E15" s="295" t="str">
        <x:v>機修零件（未清楚辨識）</x:v>
      </x:c>
      <x:c r="F15" s="295" t="str">
        <x:v>HIST25-013</x:v>
      </x:c>
      <x:c r="G15" s="295" t="str">
        <x:v>機修零件（未清楚辨識）</x:v>
      </x:c>
      <x:c r="H15" s="295"/>
      <x:c r="I15" s="295" t="str">
        <x:v>Other</x:v>
      </x:c>
      <x:c r="J15" s="295" t="str">
        <x:v>Spare Part</x:v>
      </x:c>
      <x:c r="K15" s="295"/>
      <x:c r="L15" s="295"/>
      <x:c r="M15" s="295" t="n">
        <x:v>200</x:v>
      </x:c>
      <x:c r="N15" s="295" t="str">
        <x:v>pcs</x:v>
      </x:c>
      <x:c r="O15" s="296" t="n">
        <x:v>0.08</x:v>
      </x:c>
      <x:c r="P15" s="296" t="n">
        <x:v>16</x:v>
      </x:c>
      <x:c r="Q15" s="296" t="n">
        <x:v>16</x:v>
      </x:c>
      <x:c r="R15" s="296" t="n">
        <x:v>0</x:v>
      </x:c>
      <x:c r="S15" s="295" t="str">
        <x:v>Review</x:v>
      </x:c>
      <x:c r="T15" s="295" t="str">
        <x:v>Low</x:v>
      </x:c>
      <x:c r="U15" s="295" t="str">
        <x:v>Jan_'25Dec_'25_Monthly_StatementSewing_machine_spareparts.pdf</x:v>
      </x:c>
      <x:c r="V15" s="295" t="n">
        <x:v>1</x:v>
      </x:c>
      <x:c r="W15" s="297"/>
    </x:row>
    <x:row r="16">
      <x:c r="A16" s="314" t="str">
        <x:v>2025-01</x:v>
      </x:c>
      <x:c r="B16" s="315" t="n">
        <x:v>45669</x:v>
      </x:c>
      <x:c r="C16" s="295" t="str">
        <x:v>YI-000017</x:v>
      </x:c>
      <x:c r="D16" s="295" t="str">
        <x:v>YI NEW SEWING MACHINE CO., LTD</x:v>
      </x:c>
      <x:c r="E16" s="295" t="str">
        <x:v>熨斗鞋 ES-94(A)</x:v>
      </x:c>
      <x:c r="F16" s="295" t="str">
        <x:v>IR-ES94A-SHOE</x:v>
      </x:c>
      <x:c r="G16" s="295" t="str">
        <x:v>熨斗鞋 ES-94(A)</x:v>
      </x:c>
      <x:c r="H16" s="295" t="str">
        <x:v>ES-94(A)</x:v>
      </x:c>
      <x:c r="I16" s="295" t="str">
        <x:v>Ironing/Heat Transfer</x:v>
      </x:c>
      <x:c r="J16" s="295" t="str">
        <x:v>Consumable</x:v>
      </x:c>
      <x:c r="K16" s="295"/>
      <x:c r="L16" s="295" t="str">
        <x:v>Iron</x:v>
      </x:c>
      <x:c r="M16" s="295" t="n">
        <x:v>20</x:v>
      </x:c>
      <x:c r="N16" s="295" t="str">
        <x:v>pcs</x:v>
      </x:c>
      <x:c r="O16" s="296" t="n">
        <x:v>1.8</x:v>
      </x:c>
      <x:c r="P16" s="296" t="n">
        <x:v>36</x:v>
      </x:c>
      <x:c r="Q16" s="296" t="n">
        <x:v>36</x:v>
      </x:c>
      <x:c r="R16" s="296" t="n">
        <x:v>0</x:v>
      </x:c>
      <x:c r="S16" s="295" t="str">
        <x:v>Yes</x:v>
      </x:c>
      <x:c r="T16" s="295" t="str">
        <x:v>High</x:v>
      </x:c>
      <x:c r="U16" s="295" t="str">
        <x:v>Jan_'25Dec_'25_Monthly_StatementSewing_machine_spareparts.pdf</x:v>
      </x:c>
      <x:c r="V16" s="295" t="n">
        <x:v>1</x:v>
      </x:c>
      <x:c r="W16" s="297"/>
    </x:row>
    <x:row r="17">
      <x:c r="A17" s="314" t="str">
        <x:v>2025-01</x:v>
      </x:c>
      <x:c r="B17" s="315" t="n">
        <x:v>45676</x:v>
      </x:c>
      <x:c r="C17" s="295" t="str">
        <x:v>YI-000018</x:v>
      </x:c>
      <x:c r="D17" s="295" t="str">
        <x:v>YI NEW SEWING MACHINE CO., LTD</x:v>
      </x:c>
      <x:c r="E17" s="295" t="str">
        <x:v>Cutting machine drill needle</x:v>
      </x:c>
      <x:c r="F17" s="295" t="str">
        <x:v>CT-DRILL-NEEDLE-2MM</x:v>
      </x:c>
      <x:c r="G17" s="295" t="str">
        <x:v>裁床鑽針</x:v>
      </x:c>
      <x:c r="H17" s="295" t="str">
        <x:v>2 mm</x:v>
      </x:c>
      <x:c r="I17" s="295" t="str">
        <x:v>Cutting</x:v>
      </x:c>
      <x:c r="J17" s="295" t="str">
        <x:v>Consumable</x:v>
      </x:c>
      <x:c r="K17" s="295"/>
      <x:c r="L17" s="295" t="str">
        <x:v>Cutting Machine</x:v>
      </x:c>
      <x:c r="M17" s="295" t="n">
        <x:v>200</x:v>
      </x:c>
      <x:c r="N17" s="295" t="str">
        <x:v>pcs</x:v>
      </x:c>
      <x:c r="O17" s="296" t="n">
        <x:v>0.13</x:v>
      </x:c>
      <x:c r="P17" s="296" t="n">
        <x:v>26</x:v>
      </x:c>
      <x:c r="Q17" s="296" t="n">
        <x:v>26</x:v>
      </x:c>
      <x:c r="R17" s="296" t="n">
        <x:v>0</x:v>
      </x:c>
      <x:c r="S17" s="295" t="str">
        <x:v>Yes</x:v>
      </x:c>
      <x:c r="T17" s="295" t="str">
        <x:v>High</x:v>
      </x:c>
      <x:c r="U17" s="295" t="str">
        <x:v>Jan_'25Dec_'25_Monthly_StatementSewing_machine_spareparts.pdf</x:v>
      </x:c>
      <x:c r="V17" s="295" t="n">
        <x:v>1</x:v>
      </x:c>
      <x:c r="W17" s="297"/>
    </x:row>
    <x:row r="18">
      <x:c r="A18" s="314" t="str">
        <x:v>2025-01</x:v>
      </x:c>
      <x:c r="B18" s="315" t="n">
        <x:v>45680</x:v>
      </x:c>
      <x:c r="C18" s="295" t="str">
        <x:v>YI-000019</x:v>
      </x:c>
      <x:c r="D18" s="295" t="str">
        <x:v>YI NEW SEWING MACHINE CO., LTD</x:v>
      </x:c>
      <x:c r="E18" s="295" t="str">
        <x:v>維修：LBHS-1790S鎖眼電腦（小IC板）</x:v>
      </x:c>
      <x:c r="F18" s="295" t="str">
        <x:v>HIST25-016</x:v>
      </x:c>
      <x:c r="G18" s="295" t="str">
        <x:v>維修：LBHS-1790S鎖眼電腦（小IC板）</x:v>
      </x:c>
      <x:c r="H18" s="295"/>
      <x:c r="I18" s="295" t="str">
        <x:v>Electrical/Control</x:v>
      </x:c>
      <x:c r="J18" s="295" t="str">
        <x:v>Spare Part</x:v>
      </x:c>
      <x:c r="K18" s="295" t="str">
        <x:v>JUKI</x:v>
      </x:c>
      <x:c r="L18" s="295" t="str">
        <x:v>Buttonhole</x:v>
      </x:c>
      <x:c r="M18" s="295" t="n">
        <x:v>1</x:v>
      </x:c>
      <x:c r="N18" s="295" t="str">
        <x:v>板</x:v>
      </x:c>
      <x:c r="O18" s="296" t="n">
        <x:v>68</x:v>
      </x:c>
      <x:c r="P18" s="296" t="n">
        <x:v>68</x:v>
      </x:c>
      <x:c r="Q18" s="296" t="n">
        <x:v>68</x:v>
      </x:c>
      <x:c r="R18" s="296" t="n">
        <x:v>0</x:v>
      </x:c>
      <x:c r="S18" s="295" t="str">
        <x:v>Yes</x:v>
      </x:c>
      <x:c r="T18" s="295" t="str">
        <x:v>High</x:v>
      </x:c>
      <x:c r="U18" s="295" t="str">
        <x:v>Jan_'25Dec_'25_Monthly_StatementSewing_machine_spareparts.pdf</x:v>
      </x:c>
      <x:c r="V18" s="295" t="n">
        <x:v>1</x:v>
      </x:c>
      <x:c r="W18" s="297"/>
    </x:row>
    <x:row r="19">
      <x:c r="A19" s="314" t="str">
        <x:v>2025-01</x:v>
      </x:c>
      <x:c r="B19" s="315" t="n">
        <x:v>45688</x:v>
      </x:c>
      <x:c r="C19" s="295" t="str">
        <x:v>YI-000020</x:v>
      </x:c>
      <x:c r="D19" s="295" t="str">
        <x:v>YI NEW SEWING MACHINE CO., LTD</x:v>
      </x:c>
      <x:c r="E19" s="295" t="str">
        <x:v>日本零件（未清楚辨識）</x:v>
      </x:c>
      <x:c r="F19" s="295" t="str">
        <x:v>HIST25-017</x:v>
      </x:c>
      <x:c r="G19" s="295" t="str">
        <x:v>日本零件（未清楚辨識）</x:v>
      </x:c>
      <x:c r="H19" s="295"/>
      <x:c r="I19" s="295" t="str">
        <x:v>Other</x:v>
      </x:c>
      <x:c r="J19" s="295" t="str">
        <x:v>Spare Part</x:v>
      </x:c>
      <x:c r="K19" s="295" t="str">
        <x:v>Japan</x:v>
      </x:c>
      <x:c r="L19" s="295"/>
      <x:c r="M19" s="295" t="n">
        <x:v>3</x:v>
      </x:c>
      <x:c r="N19" s="295" t="str">
        <x:v>pcs</x:v>
      </x:c>
      <x:c r="O19" s="296" t="n">
        <x:v>85</x:v>
      </x:c>
      <x:c r="P19" s="296" t="n">
        <x:v>255</x:v>
      </x:c>
      <x:c r="Q19" s="296" t="n">
        <x:v>255</x:v>
      </x:c>
      <x:c r="R19" s="296" t="n">
        <x:v>0</x:v>
      </x:c>
      <x:c r="S19" s="295" t="str">
        <x:v>Review</x:v>
      </x:c>
      <x:c r="T19" s="295" t="str">
        <x:v>Low</x:v>
      </x:c>
      <x:c r="U19" s="295" t="str">
        <x:v>Jan_'25Dec_'25_Monthly_StatementSewing_machine_spareparts.pdf</x:v>
      </x:c>
      <x:c r="V19" s="295" t="n">
        <x:v>1</x:v>
      </x:c>
      <x:c r="W19" s="297"/>
    </x:row>
    <x:row r="20">
      <x:c r="A20" s="314" t="str">
        <x:v>2025-01</x:v>
      </x:c>
      <x:c r="B20" s="315" t="n">
        <x:v>45688</x:v>
      </x:c>
      <x:c r="C20" s="295" t="str">
        <x:v>YI-000020</x:v>
      </x:c>
      <x:c r="D20" s="295" t="str">
        <x:v>YI NEW SEWING MACHINE CO., LTD</x:v>
      </x:c>
      <x:c r="E20" s="295" t="str">
        <x:v>機修耗材 70x75</x:v>
      </x:c>
      <x:c r="F20" s="295" t="str">
        <x:v>HIST25-018</x:v>
      </x:c>
      <x:c r="G20" s="295" t="str">
        <x:v>機修耗材 70x75</x:v>
      </x:c>
      <x:c r="H20" s="295" t="str">
        <x:v>70x75</x:v>
      </x:c>
      <x:c r="I20" s="295" t="str">
        <x:v>Consumable/Chemical</x:v>
      </x:c>
      <x:c r="J20" s="295" t="str">
        <x:v>Spare Part</x:v>
      </x:c>
      <x:c r="K20" s="295"/>
      <x:c r="L20" s="295"/>
      <x:c r="M20" s="295" t="n">
        <x:v>1</x:v>
      </x:c>
      <x:c r="N20" s="295" t="str">
        <x:v>can</x:v>
      </x:c>
      <x:c r="O20" s="296" t="n">
        <x:v>7</x:v>
      </x:c>
      <x:c r="P20" s="296" t="n">
        <x:v>7</x:v>
      </x:c>
      <x:c r="Q20" s="296" t="n">
        <x:v>7</x:v>
      </x:c>
      <x:c r="R20" s="296" t="n">
        <x:v>0</x:v>
      </x:c>
      <x:c r="S20" s="295" t="str">
        <x:v>Review</x:v>
      </x:c>
      <x:c r="T20" s="295" t="str">
        <x:v>Low</x:v>
      </x:c>
      <x:c r="U20" s="295" t="str">
        <x:v>Jan_'25Dec_'25_Monthly_StatementSewing_machine_spareparts.pdf</x:v>
      </x:c>
      <x:c r="V20" s="295" t="n">
        <x:v>1</x:v>
      </x:c>
      <x:c r="W20" s="297"/>
    </x:row>
    <x:row r="21">
      <x:c r="A21" s="314" t="str">
        <x:v>2025-01</x:v>
      </x:c>
      <x:c r="B21" s="315" t="n">
        <x:v>45688</x:v>
      </x:c>
      <x:c r="C21" s="295" t="str">
        <x:v>YI-000020</x:v>
      </x:c>
      <x:c r="D21" s="295" t="str">
        <x:v>YI NEW SEWING MACHINE CO., LTD</x:v>
      </x:c>
      <x:c r="E21" s="295" t="str">
        <x:v>機修零件 1900/01/00</x:v>
      </x:c>
      <x:c r="F21" s="295" t="str">
        <x:v>HIST25-019</x:v>
      </x:c>
      <x:c r="G21" s="295" t="str">
        <x:v>機修零件 1900/01/00</x:v>
      </x:c>
      <x:c r="H21" s="295" t="str">
        <x:v>1900/01/00</x:v>
      </x:c>
      <x:c r="I21" s="295" t="str">
        <x:v>Other</x:v>
      </x:c>
      <x:c r="J21" s="295" t="str">
        <x:v>Spare Part</x:v>
      </x:c>
      <x:c r="K21" s="295" t="str">
        <x:v>JUKI</x:v>
      </x:c>
      <x:c r="L21" s="295" t="str">
        <x:v>Bartack</x:v>
      </x:c>
      <x:c r="M21" s="295" t="n">
        <x:v>2</x:v>
      </x:c>
      <x:c r="N21" s="295" t="str">
        <x:v>pcs</x:v>
      </x:c>
      <x:c r="O21" s="296" t="n">
        <x:v>15</x:v>
      </x:c>
      <x:c r="P21" s="296" t="n">
        <x:v>30</x:v>
      </x:c>
      <x:c r="Q21" s="296" t="n">
        <x:v>30</x:v>
      </x:c>
      <x:c r="R21" s="296" t="n">
        <x:v>0</x:v>
      </x:c>
      <x:c r="S21" s="295" t="str">
        <x:v>Yes</x:v>
      </x:c>
      <x:c r="T21" s="295" t="str">
        <x:v>Medium</x:v>
      </x:c>
      <x:c r="U21" s="295" t="str">
        <x:v>Jan_'25Dec_'25_Monthly_StatementSewing_machine_spareparts.pdf</x:v>
      </x:c>
      <x:c r="V21" s="295" t="n">
        <x:v>1</x:v>
      </x:c>
      <x:c r="W21" s="297"/>
    </x:row>
    <x:row r="22">
      <x:c r="A22" s="314" t="str">
        <x:v>2025-01</x:v>
      </x:c>
      <x:c r="B22" s="315" t="n">
        <x:v>45688</x:v>
      </x:c>
      <x:c r="C22" s="295" t="str">
        <x:v>YI-000020</x:v>
      </x:c>
      <x:c r="D22" s="295" t="str">
        <x:v>YI NEW SEWING MACHINE CO., LTD</x:v>
      </x:c>
      <x:c r="E22" s="295" t="str">
        <x:v>機修零件（未清楚辨識）</x:v>
      </x:c>
      <x:c r="F22" s="295" t="str">
        <x:v>HIST25-020</x:v>
      </x:c>
      <x:c r="G22" s="295" t="str">
        <x:v>機修零件（未清楚辨識）</x:v>
      </x:c>
      <x:c r="H22" s="295"/>
      <x:c r="I22" s="295" t="str">
        <x:v>Other</x:v>
      </x:c>
      <x:c r="J22" s="295" t="str">
        <x:v>Spare Part</x:v>
      </x:c>
      <x:c r="K22" s="295"/>
      <x:c r="L22" s="295"/>
      <x:c r="M22" s="295" t="n">
        <x:v>50</x:v>
      </x:c>
      <x:c r="N22" s="295" t="str">
        <x:v>pcs</x:v>
      </x:c>
      <x:c r="O22" s="296" t="n">
        <x:v>0.85</x:v>
      </x:c>
      <x:c r="P22" s="296" t="n">
        <x:v>42.5</x:v>
      </x:c>
      <x:c r="Q22" s="296" t="n">
        <x:v>42.5</x:v>
      </x:c>
      <x:c r="R22" s="296" t="n">
        <x:v>0</x:v>
      </x:c>
      <x:c r="S22" s="295" t="str">
        <x:v>Review</x:v>
      </x:c>
      <x:c r="T22" s="295" t="str">
        <x:v>Low</x:v>
      </x:c>
      <x:c r="U22" s="295" t="str">
        <x:v>Jan_'25Dec_'25_Monthly_StatementSewing_machine_spareparts.pdf</x:v>
      </x:c>
      <x:c r="V22" s="295" t="n">
        <x:v>1</x:v>
      </x:c>
      <x:c r="W22" s="297"/>
    </x:row>
    <x:row r="23">
      <x:c r="A23" s="314" t="str">
        <x:v>2025-01</x:v>
      </x:c>
      <x:c r="B23" s="315" t="n">
        <x:v>45688</x:v>
      </x:c>
      <x:c r="C23" s="295" t="str">
        <x:v>YI-000020</x:v>
      </x:c>
      <x:c r="D23" s="295" t="str">
        <x:v>YI NEW SEWING MACHINE CO., LTD</x:v>
      </x:c>
      <x:c r="E23" s="295" t="str">
        <x:v>機修耗材 1.4/mm</x:v>
      </x:c>
      <x:c r="F23" s="295" t="str">
        <x:v>HIST25-021</x:v>
      </x:c>
      <x:c r="G23" s="295" t="str">
        <x:v>機修耗材 1.4/mm</x:v>
      </x:c>
      <x:c r="H23" s="295" t="str">
        <x:v>1.4 mm</x:v>
      </x:c>
      <x:c r="I23" s="295" t="str">
        <x:v>Other</x:v>
      </x:c>
      <x:c r="J23" s="295" t="str">
        <x:v>Spare Part</x:v>
      </x:c>
      <x:c r="K23" s="295"/>
      <x:c r="L23" s="295"/>
      <x:c r="M23" s="295" t="n">
        <x:v>100</x:v>
      </x:c>
      <x:c r="N23" s="295" t="str">
        <x:v>pcs</x:v>
      </x:c>
      <x:c r="O23" s="296" t="n">
        <x:v>0.13</x:v>
      </x:c>
      <x:c r="P23" s="296" t="n">
        <x:v>13</x:v>
      </x:c>
      <x:c r="Q23" s="296" t="n">
        <x:v>13</x:v>
      </x:c>
      <x:c r="R23" s="296" t="n">
        <x:v>0</x:v>
      </x:c>
      <x:c r="S23" s="295" t="str">
        <x:v>Review</x:v>
      </x:c>
      <x:c r="T23" s="295" t="str">
        <x:v>Low</x:v>
      </x:c>
      <x:c r="U23" s="295" t="str">
        <x:v>Jan_'25Dec_'25_Monthly_StatementSewing_machine_spareparts.pdf</x:v>
      </x:c>
      <x:c r="V23" s="295" t="n">
        <x:v>1</x:v>
      </x:c>
      <x:c r="W23" s="297"/>
    </x:row>
    <x:row r="24">
      <x:c r="A24" s="314" t="str">
        <x:v>2025-01</x:v>
      </x:c>
      <x:c r="B24" s="315" t="n">
        <x:v>45688</x:v>
      </x:c>
      <x:c r="C24" s="295" t="str">
        <x:v>YI-000020</x:v>
      </x:c>
      <x:c r="D24" s="295" t="str">
        <x:v>YI NEW SEWING MACHINE CO., LTD</x:v>
      </x:c>
      <x:c r="E24" s="295" t="str">
        <x:v>CL1/16N 壓腳</x:v>
      </x:c>
      <x:c r="F24" s="295" t="str">
        <x:v>PF-CL1-16N</x:v>
      </x:c>
      <x:c r="G24" s="295" t="str">
        <x:v>CL1/16N 壓腳</x:v>
      </x:c>
      <x:c r="H24" s="295" t="str">
        <x:v>CL1/16N</x:v>
      </x:c>
      <x:c r="I24" s="295" t="str">
        <x:v>Presser Foot</x:v>
      </x:c>
      <x:c r="J24" s="295" t="str">
        <x:v>Spare Part</x:v>
      </x:c>
      <x:c r="K24" s="295"/>
      <x:c r="L24" s="295" t="str">
        <x:v>Single Needle</x:v>
      </x:c>
      <x:c r="M24" s="295" t="n">
        <x:v>40</x:v>
      </x:c>
      <x:c r="N24" s="295" t="str">
        <x:v>pcs</x:v>
      </x:c>
      <x:c r="O24" s="296" t="n">
        <x:v>0.6</x:v>
      </x:c>
      <x:c r="P24" s="296" t="n">
        <x:v>24</x:v>
      </x:c>
      <x:c r="Q24" s="296" t="n">
        <x:v>24</x:v>
      </x:c>
      <x:c r="R24" s="296" t="n">
        <x:v>0</x:v>
      </x:c>
      <x:c r="S24" s="295" t="str">
        <x:v>Yes</x:v>
      </x:c>
      <x:c r="T24" s="295" t="str">
        <x:v>High</x:v>
      </x:c>
      <x:c r="U24" s="295" t="str">
        <x:v>Jan_'25Dec_'25_Monthly_StatementSewing_machine_spareparts.pdf</x:v>
      </x:c>
      <x:c r="V24" s="295" t="n">
        <x:v>1</x:v>
      </x:c>
      <x:c r="W24" s="297"/>
    </x:row>
    <x:row r="25">
      <x:c r="A25" s="314" t="str">
        <x:v>2025-01</x:v>
      </x:c>
      <x:c r="B25" s="315" t="n">
        <x:v>45688</x:v>
      </x:c>
      <x:c r="C25" s="295" t="str">
        <x:v>YI-000020</x:v>
      </x:c>
      <x:c r="D25" s="295" t="str">
        <x:v>YI NEW SEWING MACHINE CO., LTD</x:v>
      </x:c>
      <x:c r="E25" s="295" t="str">
        <x:v>T9S 壓腳</x:v>
      </x:c>
      <x:c r="F25" s="295" t="str">
        <x:v>PF-T9S</x:v>
      </x:c>
      <x:c r="G25" s="295" t="str">
        <x:v>T9S 壓腳</x:v>
      </x:c>
      <x:c r="H25" s="295" t="str">
        <x:v>T9</x:v>
      </x:c>
      <x:c r="I25" s="295" t="str">
        <x:v>Presser Foot</x:v>
      </x:c>
      <x:c r="J25" s="295" t="str">
        <x:v>Spare Part</x:v>
      </x:c>
      <x:c r="K25" s="295"/>
      <x:c r="L25" s="295" t="str">
        <x:v>Single Needle</x:v>
      </x:c>
      <x:c r="M25" s="295" t="n">
        <x:v>10</x:v>
      </x:c>
      <x:c r="N25" s="295" t="str">
        <x:v>pcs</x:v>
      </x:c>
      <x:c r="O25" s="296" t="n">
        <x:v>3</x:v>
      </x:c>
      <x:c r="P25" s="296" t="n">
        <x:v>30</x:v>
      </x:c>
      <x:c r="Q25" s="296" t="n">
        <x:v>30</x:v>
      </x:c>
      <x:c r="R25" s="296" t="n">
        <x:v>0</x:v>
      </x:c>
      <x:c r="S25" s="295" t="str">
        <x:v>Yes</x:v>
      </x:c>
      <x:c r="T25" s="295" t="str">
        <x:v>High</x:v>
      </x:c>
      <x:c r="U25" s="295" t="str">
        <x:v>Jan_'25Dec_'25_Monthly_StatementSewing_machine_spareparts.pdf</x:v>
      </x:c>
      <x:c r="V25" s="295" t="n">
        <x:v>1</x:v>
      </x:c>
      <x:c r="W25" s="297"/>
    </x:row>
    <x:row r="26">
      <x:c r="A26" s="314" t="str">
        <x:v>2025-01</x:v>
      </x:c>
      <x:c r="B26" s="315" t="n">
        <x:v>45688</x:v>
      </x:c>
      <x:c r="C26" s="295" t="str">
        <x:v>YI-000020</x:v>
      </x:c>
      <x:c r="D26" s="295" t="str">
        <x:v>YI NEW SEWING MACHINE CO., LTD</x:v>
      </x:c>
      <x:c r="E26" s="295" t="str">
        <x:v>機修零件（99 set）</x:v>
      </x:c>
      <x:c r="F26" s="295" t="str">
        <x:v>HIST25-024</x:v>
      </x:c>
      <x:c r="G26" s="295" t="str">
        <x:v>機修零件（99 set）</x:v>
      </x:c>
      <x:c r="H26" s="295"/>
      <x:c r="I26" s="295" t="str">
        <x:v>Other</x:v>
      </x:c>
      <x:c r="J26" s="295" t="str">
        <x:v>Spare Part</x:v>
      </x:c>
      <x:c r="K26" s="295"/>
      <x:c r="L26" s="295"/>
      <x:c r="M26" s="295" t="n">
        <x:v>99</x:v>
      </x:c>
      <x:c r="N26" s="295" t="str">
        <x:v>set</x:v>
      </x:c>
      <x:c r="O26" s="296" t="n">
        <x:v>1.8</x:v>
      </x:c>
      <x:c r="P26" s="296" t="n">
        <x:v>178.2</x:v>
      </x:c>
      <x:c r="Q26" s="296" t="n">
        <x:v>178.2</x:v>
      </x:c>
      <x:c r="R26" s="296" t="n">
        <x:v>0</x:v>
      </x:c>
      <x:c r="S26" s="295" t="str">
        <x:v>Review</x:v>
      </x:c>
      <x:c r="T26" s="295" t="str">
        <x:v>Low</x:v>
      </x:c>
      <x:c r="U26" s="295" t="str">
        <x:v>Jan_'25Dec_'25_Monthly_StatementSewing_machine_spareparts.pdf</x:v>
      </x:c>
      <x:c r="V26" s="295" t="n">
        <x:v>1</x:v>
      </x:c>
      <x:c r="W26" s="297"/>
    </x:row>
    <x:row r="27">
      <x:c r="A27" s="314" t="str">
        <x:v>2025-01</x:v>
      </x:c>
      <x:c r="B27" s="315" t="n">
        <x:v>45688</x:v>
      </x:c>
      <x:c r="C27" s="295" t="str">
        <x:v>YI-000020</x:v>
      </x:c>
      <x:c r="D27" s="295" t="str">
        <x:v>YI NEW SEWING MACHINE CO., LTD</x:v>
      </x:c>
      <x:c r="E27" s="295" t="str">
        <x:v>機修零件 #14</x:v>
      </x:c>
      <x:c r="F27" s="295" t="str">
        <x:v>HIST25-025</x:v>
      </x:c>
      <x:c r="G27" s="295" t="str">
        <x:v>機修零件 #14</x:v>
      </x:c>
      <x:c r="H27" s="295" t="str">
        <x:v>#14</x:v>
      </x:c>
      <x:c r="I27" s="295" t="str">
        <x:v>Other</x:v>
      </x:c>
      <x:c r="J27" s="295" t="str">
        <x:v>Spare Part</x:v>
      </x:c>
      <x:c r="K27" s="295"/>
      <x:c r="L27" s="295"/>
      <x:c r="M27" s="295" t="n">
        <x:v>3</x:v>
      </x:c>
      <x:c r="N27" s="295" t="str">
        <x:v>pcs</x:v>
      </x:c>
      <x:c r="O27" s="296" t="n">
        <x:v>2.5</x:v>
      </x:c>
      <x:c r="P27" s="296" t="n">
        <x:v>7.5</x:v>
      </x:c>
      <x:c r="Q27" s="296" t="n">
        <x:v>7.5</x:v>
      </x:c>
      <x:c r="R27" s="296" t="n">
        <x:v>0</x:v>
      </x:c>
      <x:c r="S27" s="295" t="str">
        <x:v>Review</x:v>
      </x:c>
      <x:c r="T27" s="295" t="str">
        <x:v>Low</x:v>
      </x:c>
      <x:c r="U27" s="295" t="str">
        <x:v>Jan_'25Dec_'25_Monthly_StatementSewing_machine_spareparts.pdf</x:v>
      </x:c>
      <x:c r="V27" s="295" t="n">
        <x:v>1</x:v>
      </x:c>
      <x:c r="W27" s="297"/>
    </x:row>
    <x:row r="28">
      <x:c r="A28" s="314" t="str">
        <x:v>2025-01</x:v>
      </x:c>
      <x:c r="B28" s="315" t="n">
        <x:v>45688</x:v>
      </x:c>
      <x:c r="C28" s="295" t="str">
        <x:v>YI-000020</x:v>
      </x:c>
      <x:c r="D28" s="295" t="str">
        <x:v>YI NEW SEWING MACHINE CO., LTD</x:v>
      </x:c>
      <x:c r="E28" s="295" t="str">
        <x:v>機修零件 #17</x:v>
      </x:c>
      <x:c r="F28" s="295" t="str">
        <x:v>HIST25-026</x:v>
      </x:c>
      <x:c r="G28" s="295" t="str">
        <x:v>機修零件 #17</x:v>
      </x:c>
      <x:c r="H28" s="295" t="str">
        <x:v>#17</x:v>
      </x:c>
      <x:c r="I28" s="295" t="str">
        <x:v>Other</x:v>
      </x:c>
      <x:c r="J28" s="295" t="str">
        <x:v>Spare Part</x:v>
      </x:c>
      <x:c r="K28" s="295"/>
      <x:c r="L28" s="295"/>
      <x:c r="M28" s="295" t="n">
        <x:v>2</x:v>
      </x:c>
      <x:c r="N28" s="295" t="str">
        <x:v>pcs</x:v>
      </x:c>
      <x:c r="O28" s="296" t="n">
        <x:v>2.5</x:v>
      </x:c>
      <x:c r="P28" s="296" t="n">
        <x:v>5</x:v>
      </x:c>
      <x:c r="Q28" s="296" t="n">
        <x:v>5</x:v>
      </x:c>
      <x:c r="R28" s="296" t="n">
        <x:v>0</x:v>
      </x:c>
      <x:c r="S28" s="295" t="str">
        <x:v>Review</x:v>
      </x:c>
      <x:c r="T28" s="295" t="str">
        <x:v>Low</x:v>
      </x:c>
      <x:c r="U28" s="295" t="str">
        <x:v>Jan_'25Dec_'25_Monthly_StatementSewing_machine_spareparts.pdf</x:v>
      </x:c>
      <x:c r="V28" s="295" t="n">
        <x:v>1</x:v>
      </x:c>
      <x:c r="W28" s="297"/>
    </x:row>
    <x:row r="29">
      <x:c r="A29" s="314" t="str">
        <x:v>2025-01</x:v>
      </x:c>
      <x:c r="B29" s="315" t="n">
        <x:v>45688</x:v>
      </x:c>
      <x:c r="C29" s="295" t="str">
        <x:v>YI-000020</x:v>
      </x:c>
      <x:c r="D29" s="295" t="str">
        <x:v>YI NEW SEWING MACHINE CO., LTD</x:v>
      </x:c>
      <x:c r="E29" s="295" t="str">
        <x:v>機修零件（未清楚辨識）</x:v>
      </x:c>
      <x:c r="F29" s="295" t="str">
        <x:v>HIST25-027</x:v>
      </x:c>
      <x:c r="G29" s="295" t="str">
        <x:v>機修零件（未清楚辨識）</x:v>
      </x:c>
      <x:c r="H29" s="295"/>
      <x:c r="I29" s="295" t="str">
        <x:v>Other</x:v>
      </x:c>
      <x:c r="J29" s="295" t="str">
        <x:v>Spare Part</x:v>
      </x:c>
      <x:c r="K29" s="295"/>
      <x:c r="L29" s="295"/>
      <x:c r="M29" s="295" t="n">
        <x:v>20</x:v>
      </x:c>
      <x:c r="N29" s="295" t="str">
        <x:v>pcs</x:v>
      </x:c>
      <x:c r="O29" s="296" t="n">
        <x:v>0.13</x:v>
      </x:c>
      <x:c r="P29" s="296" t="n">
        <x:v>2.6</x:v>
      </x:c>
      <x:c r="Q29" s="296" t="n">
        <x:v>2.6</x:v>
      </x:c>
      <x:c r="R29" s="296" t="n">
        <x:v>0</x:v>
      </x:c>
      <x:c r="S29" s="295" t="str">
        <x:v>Review</x:v>
      </x:c>
      <x:c r="T29" s="295" t="str">
        <x:v>Low</x:v>
      </x:c>
      <x:c r="U29" s="295" t="str">
        <x:v>Jan_'25Dec_'25_Monthly_StatementSewing_machine_spareparts.pdf</x:v>
      </x:c>
      <x:c r="V29" s="295" t="n">
        <x:v>1</x:v>
      </x:c>
      <x:c r="W29" s="297"/>
    </x:row>
    <x:row r="30">
      <x:c r="A30" s="314" t="str">
        <x:v>2025-02</x:v>
      </x:c>
      <x:c r="B30" s="315" t="n">
        <x:v>45695</x:v>
      </x:c>
      <x:c r="C30" s="295" t="str">
        <x:v>YI-000021</x:v>
      </x:c>
      <x:c r="D30" s="295" t="str">
        <x:v>YI NEW SEWING MACHINE CO., LTD</x:v>
      </x:c>
      <x:c r="E30" s="295" t="str">
        <x:v>Ironing sponge 900x1800/mm</x:v>
      </x:c>
      <x:c r="F30" s="295" t="str">
        <x:v>IR-SPONGE-900X1800</x:v>
      </x:c>
      <x:c r="G30" s="295" t="str">
        <x:v>燙台海綿</x:v>
      </x:c>
      <x:c r="H30" s="295" t="str">
        <x:v>900x1800 mm</x:v>
      </x:c>
      <x:c r="I30" s="295" t="str">
        <x:v>Ironing/Heat Transfer</x:v>
      </x:c>
      <x:c r="J30" s="295" t="str">
        <x:v>Consumable</x:v>
      </x:c>
      <x:c r="K30" s="295"/>
      <x:c r="L30" s="295" t="str">
        <x:v>Ironing</x:v>
      </x:c>
      <x:c r="M30" s="295" t="n">
        <x:v>30</x:v>
      </x:c>
      <x:c r="N30" s="295" t="str">
        <x:v>pcs</x:v>
      </x:c>
      <x:c r="O30" s="296" t="n">
        <x:v>9</x:v>
      </x:c>
      <x:c r="P30" s="296" t="n">
        <x:v>270</x:v>
      </x:c>
      <x:c r="Q30" s="296" t="n">
        <x:v>270</x:v>
      </x:c>
      <x:c r="R30" s="296" t="n">
        <x:v>0</x:v>
      </x:c>
      <x:c r="S30" s="295" t="str">
        <x:v>Yes</x:v>
      </x:c>
      <x:c r="T30" s="295" t="str">
        <x:v>High</x:v>
      </x:c>
      <x:c r="U30" s="295" t="str">
        <x:v>Jan_'25Dec_'25_Monthly_StatementSewing_machine_spareparts.pdf</x:v>
      </x:c>
      <x:c r="V30" s="295" t="n">
        <x:v>2</x:v>
      </x:c>
      <x:c r="W30" s="297"/>
    </x:row>
    <x:row r="31">
      <x:c r="A31" s="314" t="str">
        <x:v>2025-02</x:v>
      </x:c>
      <x:c r="B31" s="315" t="n">
        <x:v>45695</x:v>
      </x:c>
      <x:c r="C31" s="295" t="str">
        <x:v>YI-000021</x:v>
      </x:c>
      <x:c r="D31" s="295" t="str">
        <x:v>YI NEW SEWING MACHINE CO., LTD</x:v>
      </x:c>
      <x:c r="E31" s="295" t="str">
        <x:v>Korean bottle iron set</x:v>
      </x:c>
      <x:c r="F31" s="295" t="str">
        <x:v>IR-HANGING-BOTTLE-SET-KR</x:v>
      </x:c>
      <x:c r="G31" s="295" t="str">
        <x:v>韓國吊瓶熨斗組</x:v>
      </x:c>
      <x:c r="H31" s="295"/>
      <x:c r="I31" s="295" t="str">
        <x:v>Ironing/Heat Transfer</x:v>
      </x:c>
      <x:c r="J31" s="295" t="str">
        <x:v>Equipment</x:v>
      </x:c>
      <x:c r="K31" s="295" t="str">
        <x:v>Korea</x:v>
      </x:c>
      <x:c r="L31" s="295" t="str">
        <x:v>Iron</x:v>
      </x:c>
      <x:c r="M31" s="295" t="n">
        <x:v>10</x:v>
      </x:c>
      <x:c r="N31" s="295" t="str">
        <x:v>pcs</x:v>
      </x:c>
      <x:c r="O31" s="296" t="n">
        <x:v>29</x:v>
      </x:c>
      <x:c r="P31" s="296" t="n">
        <x:v>290</x:v>
      </x:c>
      <x:c r="Q31" s="296" t="n">
        <x:v>290</x:v>
      </x:c>
      <x:c r="R31" s="296" t="n">
        <x:v>0</x:v>
      </x:c>
      <x:c r="S31" s="295" t="str">
        <x:v>Yes</x:v>
      </x:c>
      <x:c r="T31" s="295" t="str">
        <x:v>High</x:v>
      </x:c>
      <x:c r="U31" s="295" t="str">
        <x:v>Jan_'25Dec_'25_Monthly_StatementSewing_machine_spareparts.pdf</x:v>
      </x:c>
      <x:c r="V31" s="295" t="n">
        <x:v>2</x:v>
      </x:c>
      <x:c r="W31" s="297"/>
    </x:row>
    <x:row r="32">
      <x:c r="A32" s="314" t="str">
        <x:v>2025-02</x:v>
      </x:c>
      <x:c r="B32" s="315" t="n">
        <x:v>45695</x:v>
      </x:c>
      <x:c r="C32" s="295" t="str">
        <x:v>YI-000021</x:v>
      </x:c>
      <x:c r="D32" s="295" t="str">
        <x:v>YI NEW SEWING MACHINE CO., LTD</x:v>
      </x:c>
      <x:c r="E32" s="295" t="str">
        <x:v>Anti-rust lubricating oil</x:v>
      </x:c>
      <x:c r="F32" s="295" t="str">
        <x:v>CH-ANTI-RUST-OIL</x:v>
      </x:c>
      <x:c r="G32" s="295" t="str">
        <x:v>防鏽潤滑油</x:v>
      </x:c>
      <x:c r="H32" s="295"/>
      <x:c r="I32" s="295" t="str">
        <x:v>Consumable/Chemical</x:v>
      </x:c>
      <x:c r="J32" s="295" t="str">
        <x:v>Consumable</x:v>
      </x:c>
      <x:c r="K32" s="295"/>
      <x:c r="L32" s="295" t="str">
        <x:v>Maintenance</x:v>
      </x:c>
      <x:c r="M32" s="295" t="n">
        <x:v>5</x:v>
      </x:c>
      <x:c r="N32" s="295" t="str">
        <x:v>pcs</x:v>
      </x:c>
      <x:c r="O32" s="296" t="n">
        <x:v>3</x:v>
      </x:c>
      <x:c r="P32" s="296" t="n">
        <x:v>15</x:v>
      </x:c>
      <x:c r="Q32" s="296" t="n">
        <x:v>15</x:v>
      </x:c>
      <x:c r="R32" s="296" t="n">
        <x:v>0</x:v>
      </x:c>
      <x:c r="S32" s="295" t="str">
        <x:v>Yes</x:v>
      </x:c>
      <x:c r="T32" s="295" t="str">
        <x:v>High</x:v>
      </x:c>
      <x:c r="U32" s="295" t="str">
        <x:v>Jan_'25Dec_'25_Monthly_StatementSewing_machine_spareparts.pdf</x:v>
      </x:c>
      <x:c r="V32" s="295" t="n">
        <x:v>2</x:v>
      </x:c>
      <x:c r="W32" s="297"/>
    </x:row>
    <x:row r="33">
      <x:c r="A33" s="314" t="str">
        <x:v>2025-02</x:v>
      </x:c>
      <x:c r="B33" s="315" t="n">
        <x:v>45695</x:v>
      </x:c>
      <x:c r="C33" s="295" t="str">
        <x:v>YI-000021</x:v>
      </x:c>
      <x:c r="D33" s="295" t="str">
        <x:v>YI NEW SEWING MACHINE CO., LTD</x:v>
      </x:c>
      <x:c r="E33" s="295" t="str">
        <x:v>Japanese JUKI-1900BNSS HOOK</x:v>
      </x:c>
      <x:c r="F33" s="295" t="str">
        <x:v>BS-JUKI1900BNSS-HOOK</x:v>
      </x:c>
      <x:c r="G33" s="295" t="str">
        <x:v>JUKI-1900BNSS 旋梭</x:v>
      </x:c>
      <x:c r="H33" s="295" t="str">
        <x:v>JUKI-1900BNSS</x:v>
      </x:c>
      <x:c r="I33" s="295" t="str">
        <x:v>Bobbin/Shuttle</x:v>
      </x:c>
      <x:c r="J33" s="295" t="str">
        <x:v>Spare Part</x:v>
      </x:c>
      <x:c r="K33" s="295" t="str">
        <x:v>JUKI</x:v>
      </x:c>
      <x:c r="L33" s="295" t="str">
        <x:v>Bartack</x:v>
      </x:c>
      <x:c r="M33" s="295" t="n">
        <x:v>12</x:v>
      </x:c>
      <x:c r="N33" s="295" t="str">
        <x:v>pcs</x:v>
      </x:c>
      <x:c r="O33" s="296" t="n">
        <x:v>18</x:v>
      </x:c>
      <x:c r="P33" s="296" t="n">
        <x:v>216</x:v>
      </x:c>
      <x:c r="Q33" s="296" t="n">
        <x:v>216</x:v>
      </x:c>
      <x:c r="R33" s="296" t="n">
        <x:v>0</x:v>
      </x:c>
      <x:c r="S33" s="295" t="str">
        <x:v>Yes</x:v>
      </x:c>
      <x:c r="T33" s="295" t="str">
        <x:v>High</x:v>
      </x:c>
      <x:c r="U33" s="295" t="str">
        <x:v>Jan_'25Dec_'25_Monthly_StatementSewing_machine_spareparts.pdf</x:v>
      </x:c>
      <x:c r="V33" s="295" t="n">
        <x:v>2</x:v>
      </x:c>
      <x:c r="W33" s="297"/>
    </x:row>
    <x:row r="34">
      <x:c r="A34" s="314" t="str">
        <x:v>2025-02</x:v>
      </x:c>
      <x:c r="B34" s="315" t="n">
        <x:v>45700</x:v>
      </x:c>
      <x:c r="C34" s="295" t="str">
        <x:v>YI-000022</x:v>
      </x:c>
      <x:c r="D34" s="295" t="str">
        <x:v>YI NEW SEWING MACHINE CO., LTD</x:v>
      </x:c>
      <x:c r="E34" s="295" t="str">
        <x:v>機修零件（51 set）</x:v>
      </x:c>
      <x:c r="F34" s="295" t="str">
        <x:v>HIST25-032</x:v>
      </x:c>
      <x:c r="G34" s="295" t="str">
        <x:v>機修零件（51 set）</x:v>
      </x:c>
      <x:c r="H34" s="295"/>
      <x:c r="I34" s="295" t="str">
        <x:v>Other</x:v>
      </x:c>
      <x:c r="J34" s="295" t="str">
        <x:v>Spare Part</x:v>
      </x:c>
      <x:c r="K34" s="295"/>
      <x:c r="L34" s="295"/>
      <x:c r="M34" s="295" t="n">
        <x:v>51</x:v>
      </x:c>
      <x:c r="N34" s="295" t="str">
        <x:v>set</x:v>
      </x:c>
      <x:c r="O34" s="296" t="n">
        <x:v>1.8</x:v>
      </x:c>
      <x:c r="P34" s="296" t="n">
        <x:v>91.8</x:v>
      </x:c>
      <x:c r="Q34" s="296" t="n">
        <x:v>91.8</x:v>
      </x:c>
      <x:c r="R34" s="296" t="n">
        <x:v>0</x:v>
      </x:c>
      <x:c r="S34" s="295" t="str">
        <x:v>Review</x:v>
      </x:c>
      <x:c r="T34" s="295" t="str">
        <x:v>Low</x:v>
      </x:c>
      <x:c r="U34" s="295" t="str">
        <x:v>Jan_'25Dec_'25_Monthly_StatementSewing_machine_spareparts.pdf</x:v>
      </x:c>
      <x:c r="V34" s="295" t="n">
        <x:v>2</x:v>
      </x:c>
      <x:c r="W34" s="297"/>
    </x:row>
    <x:row r="35">
      <x:c r="A35" s="314" t="str">
        <x:v>2025-02</x:v>
      </x:c>
      <x:c r="B35" s="315" t="n">
        <x:v>45701</x:v>
      </x:c>
      <x:c r="C35" s="295" t="str">
        <x:v>YI-000023</x:v>
      </x:c>
      <x:c r="D35" s="295" t="str">
        <x:v>YI NEW SEWING MACHINE CO., LTD</x:v>
      </x:c>
      <x:c r="E35" s="295" t="str">
        <x:v>Shoulder strap puller presser foot 733-3/8 (full steel)</x:v>
      </x:c>
      <x:c r="F35" s="295" t="str">
        <x:v>PF-733-3-8-STEEL</x:v>
      </x:c>
      <x:c r="G35" s="295" t="str">
        <x:v>肩帶拉筒壓腳 733-3/8（全鋼）</x:v>
      </x:c>
      <x:c r="H35" s="295" t="str">
        <x:v>733-3/8</x:v>
      </x:c>
      <x:c r="I35" s="295" t="str">
        <x:v>Presser Foot</x:v>
      </x:c>
      <x:c r="J35" s="295" t="str">
        <x:v>Spare Part</x:v>
      </x:c>
      <x:c r="K35" s="295"/>
      <x:c r="L35" s="295" t="str">
        <x:v>Special Attachment</x:v>
      </x:c>
      <x:c r="M35" s="295" t="n">
        <x:v>50</x:v>
      </x:c>
      <x:c r="N35" s="295" t="str">
        <x:v>pcs</x:v>
      </x:c>
      <x:c r="O35" s="296" t="n">
        <x:v>3.5</x:v>
      </x:c>
      <x:c r="P35" s="296" t="n">
        <x:v>175</x:v>
      </x:c>
      <x:c r="Q35" s="296" t="n">
        <x:v>175</x:v>
      </x:c>
      <x:c r="R35" s="296" t="n">
        <x:v>0</x:v>
      </x:c>
      <x:c r="S35" s="295" t="str">
        <x:v>Yes</x:v>
      </x:c>
      <x:c r="T35" s="295" t="str">
        <x:v>High</x:v>
      </x:c>
      <x:c r="U35" s="295" t="str">
        <x:v>Jan_'25Dec_'25_Monthly_StatementSewing_machine_spareparts.pdf</x:v>
      </x:c>
      <x:c r="V35" s="295" t="n">
        <x:v>2</x:v>
      </x:c>
      <x:c r="W35" s="297"/>
    </x:row>
    <x:row r="36">
      <x:c r="A36" s="314" t="str">
        <x:v>2025-02</x:v>
      </x:c>
      <x:c r="B36" s="315" t="n">
        <x:v>45705</x:v>
      </x:c>
      <x:c r="C36" s="295" t="str">
        <x:v>YI-000024</x:v>
      </x:c>
      <x:c r="D36" s="295" t="str">
        <x:v>YI NEW SEWING MACHINE CO., LTD</x:v>
      </x:c>
      <x:c r="E36" s="295" t="str">
        <x:v>機修耗材（瓶）</x:v>
      </x:c>
      <x:c r="F36" s="295" t="str">
        <x:v>HIST25-034</x:v>
      </x:c>
      <x:c r="G36" s="295" t="str">
        <x:v>機修耗材（瓶）</x:v>
      </x:c>
      <x:c r="H36" s="295"/>
      <x:c r="I36" s="295" t="str">
        <x:v>Other</x:v>
      </x:c>
      <x:c r="J36" s="295" t="str">
        <x:v>Spare Part</x:v>
      </x:c>
      <x:c r="K36" s="295"/>
      <x:c r="L36" s="295"/>
      <x:c r="M36" s="295" t="n">
        <x:v>5</x:v>
      </x:c>
      <x:c r="N36" s="295" t="str">
        <x:v>bottle</x:v>
      </x:c>
      <x:c r="O36" s="296" t="n">
        <x:v>4.5</x:v>
      </x:c>
      <x:c r="P36" s="296" t="n">
        <x:v>22.5</x:v>
      </x:c>
      <x:c r="Q36" s="296" t="n">
        <x:v>22.5</x:v>
      </x:c>
      <x:c r="R36" s="296" t="n">
        <x:v>0</x:v>
      </x:c>
      <x:c r="S36" s="295" t="str">
        <x:v>Review</x:v>
      </x:c>
      <x:c r="T36" s="295" t="str">
        <x:v>Low</x:v>
      </x:c>
      <x:c r="U36" s="295" t="str">
        <x:v>Jan_'25Dec_'25_Monthly_StatementSewing_machine_spareparts.pdf</x:v>
      </x:c>
      <x:c r="V36" s="295" t="n">
        <x:v>2</x:v>
      </x:c>
      <x:c r="W36" s="297"/>
    </x:row>
    <x:row r="37">
      <x:c r="A37" s="314" t="str">
        <x:v>2025-02</x:v>
      </x:c>
      <x:c r="B37" s="315" t="n">
        <x:v>45705</x:v>
      </x:c>
      <x:c r="C37" s="295" t="str">
        <x:v>YI-000024</x:v>
      </x:c>
      <x:c r="D37" s="295" t="str">
        <x:v>YI NEW SEWING MACHINE CO., LTD</x:v>
      </x:c>
      <x:c r="E37" s="295" t="str">
        <x:v>機修零件（set）</x:v>
      </x:c>
      <x:c r="F37" s="295" t="str">
        <x:v>HIST25-035</x:v>
      </x:c>
      <x:c r="G37" s="295" t="str">
        <x:v>機修零件（set）</x:v>
      </x:c>
      <x:c r="H37" s="295"/>
      <x:c r="I37" s="295" t="str">
        <x:v>Other</x:v>
      </x:c>
      <x:c r="J37" s="295" t="str">
        <x:v>Spare Part</x:v>
      </x:c>
      <x:c r="K37" s="295"/>
      <x:c r="L37" s="295"/>
      <x:c r="M37" s="295" t="n">
        <x:v>20</x:v>
      </x:c>
      <x:c r="N37" s="295" t="str">
        <x:v>set</x:v>
      </x:c>
      <x:c r="O37" s="296" t="n">
        <x:v>5</x:v>
      </x:c>
      <x:c r="P37" s="296" t="n">
        <x:v>100</x:v>
      </x:c>
      <x:c r="Q37" s="296" t="n">
        <x:v>100</x:v>
      </x:c>
      <x:c r="R37" s="296" t="n">
        <x:v>0</x:v>
      </x:c>
      <x:c r="S37" s="295" t="str">
        <x:v>Review</x:v>
      </x:c>
      <x:c r="T37" s="295" t="str">
        <x:v>Low</x:v>
      </x:c>
      <x:c r="U37" s="295" t="str">
        <x:v>Jan_'25Dec_'25_Monthly_StatementSewing_machine_spareparts.pdf</x:v>
      </x:c>
      <x:c r="V37" s="295" t="n">
        <x:v>2</x:v>
      </x:c>
      <x:c r="W37" s="297"/>
    </x:row>
    <x:row r="38">
      <x:c r="A38" s="314" t="str">
        <x:v>2025-02</x:v>
      </x:c>
      <x:c r="B38" s="315" t="n">
        <x:v>45705</x:v>
      </x:c>
      <x:c r="C38" s="295" t="str">
        <x:v>YI-000024</x:v>
      </x:c>
      <x:c r="D38" s="295" t="str">
        <x:v>YI NEW SEWING MACHINE CO., LTD</x:v>
      </x:c>
      <x:c r="E38" s="295" t="str">
        <x:v>機修零件（set）</x:v>
      </x:c>
      <x:c r="F38" s="295" t="str">
        <x:v>HIST25-036</x:v>
      </x:c>
      <x:c r="G38" s="295" t="str">
        <x:v>機修零件（set）</x:v>
      </x:c>
      <x:c r="H38" s="295"/>
      <x:c r="I38" s="295" t="str">
        <x:v>Other</x:v>
      </x:c>
      <x:c r="J38" s="295" t="str">
        <x:v>Spare Part</x:v>
      </x:c>
      <x:c r="K38" s="295"/>
      <x:c r="L38" s="295"/>
      <x:c r="M38" s="295" t="n">
        <x:v>10</x:v>
      </x:c>
      <x:c r="N38" s="295" t="str">
        <x:v>set</x:v>
      </x:c>
      <x:c r="O38" s="296" t="n">
        <x:v>6.5</x:v>
      </x:c>
      <x:c r="P38" s="296" t="n">
        <x:v>65</x:v>
      </x:c>
      <x:c r="Q38" s="296" t="n">
        <x:v>65</x:v>
      </x:c>
      <x:c r="R38" s="296" t="n">
        <x:v>0</x:v>
      </x:c>
      <x:c r="S38" s="295" t="str">
        <x:v>Review</x:v>
      </x:c>
      <x:c r="T38" s="295" t="str">
        <x:v>Low</x:v>
      </x:c>
      <x:c r="U38" s="295" t="str">
        <x:v>Jan_'25Dec_'25_Monthly_StatementSewing_machine_spareparts.pdf</x:v>
      </x:c>
      <x:c r="V38" s="295" t="n">
        <x:v>2</x:v>
      </x:c>
      <x:c r="W38" s="297"/>
    </x:row>
    <x:row r="39">
      <x:c r="A39" s="314" t="str">
        <x:v>2025-02</x:v>
      </x:c>
      <x:c r="B39" s="315" t="n">
        <x:v>45705</x:v>
      </x:c>
      <x:c r="C39" s="295" t="str">
        <x:v>YI-000024</x:v>
      </x:c>
      <x:c r="D39" s="295" t="str">
        <x:v>YI NEW SEWING MACHINE CO., LTD</x:v>
      </x:c>
      <x:c r="E39" s="295" t="str">
        <x:v>機修零件（set）</x:v>
      </x:c>
      <x:c r="F39" s="295" t="str">
        <x:v>HIST25-037</x:v>
      </x:c>
      <x:c r="G39" s="295" t="str">
        <x:v>機修零件（set）</x:v>
      </x:c>
      <x:c r="H39" s="295"/>
      <x:c r="I39" s="295" t="str">
        <x:v>Other</x:v>
      </x:c>
      <x:c r="J39" s="295" t="str">
        <x:v>Spare Part</x:v>
      </x:c>
      <x:c r="K39" s="295"/>
      <x:c r="L39" s="295"/>
      <x:c r="M39" s="295" t="n">
        <x:v>5</x:v>
      </x:c>
      <x:c r="N39" s="295" t="str">
        <x:v>set</x:v>
      </x:c>
      <x:c r="O39" s="296" t="n">
        <x:v>6.5</x:v>
      </x:c>
      <x:c r="P39" s="296" t="n">
        <x:v>32.5</x:v>
      </x:c>
      <x:c r="Q39" s="296" t="n">
        <x:v>32.5</x:v>
      </x:c>
      <x:c r="R39" s="296" t="n">
        <x:v>0</x:v>
      </x:c>
      <x:c r="S39" s="295" t="str">
        <x:v>Review</x:v>
      </x:c>
      <x:c r="T39" s="295" t="str">
        <x:v>Low</x:v>
      </x:c>
      <x:c r="U39" s="295" t="str">
        <x:v>Jan_'25Dec_'25_Monthly_StatementSewing_machine_spareparts.pdf</x:v>
      </x:c>
      <x:c r="V39" s="295" t="n">
        <x:v>2</x:v>
      </x:c>
      <x:c r="W39" s="297"/>
    </x:row>
    <x:row r="40">
      <x:c r="A40" s="314" t="str">
        <x:v>2025-02</x:v>
      </x:c>
      <x:c r="B40" s="315" t="n">
        <x:v>45705</x:v>
      </x:c>
      <x:c r="C40" s="295" t="str">
        <x:v>YI-000024</x:v>
      </x:c>
      <x:c r="D40" s="295" t="str">
        <x:v>YI NEW SEWING MACHINE CO., LTD</x:v>
      </x:c>
      <x:c r="E40" s="295" t="str">
        <x:v>機修零件（pcs）</x:v>
      </x:c>
      <x:c r="F40" s="295" t="str">
        <x:v>HIST25-038</x:v>
      </x:c>
      <x:c r="G40" s="295" t="str">
        <x:v>機修零件（pcs）</x:v>
      </x:c>
      <x:c r="H40" s="295"/>
      <x:c r="I40" s="295" t="str">
        <x:v>Other</x:v>
      </x:c>
      <x:c r="J40" s="295" t="str">
        <x:v>Spare Part</x:v>
      </x:c>
      <x:c r="K40" s="295"/>
      <x:c r="L40" s="295"/>
      <x:c r="M40" s="295" t="n">
        <x:v>2</x:v>
      </x:c>
      <x:c r="N40" s="295" t="str">
        <x:v>pcs</x:v>
      </x:c>
      <x:c r="O40" s="296" t="n">
        <x:v>13</x:v>
      </x:c>
      <x:c r="P40" s="296" t="n">
        <x:v>26</x:v>
      </x:c>
      <x:c r="Q40" s="296" t="n">
        <x:v>26</x:v>
      </x:c>
      <x:c r="R40" s="296" t="n">
        <x:v>0</x:v>
      </x:c>
      <x:c r="S40" s="295" t="str">
        <x:v>Review</x:v>
      </x:c>
      <x:c r="T40" s="295" t="str">
        <x:v>Low</x:v>
      </x:c>
      <x:c r="U40" s="295" t="str">
        <x:v>Jan_'25Dec_'25_Monthly_StatementSewing_machine_spareparts.pdf</x:v>
      </x:c>
      <x:c r="V40" s="295" t="n">
        <x:v>2</x:v>
      </x:c>
      <x:c r="W40" s="297"/>
    </x:row>
    <x:row r="41">
      <x:c r="A41" s="314" t="str">
        <x:v>2025-02</x:v>
      </x:c>
      <x:c r="B41" s="315" t="n">
        <x:v>45705</x:v>
      </x:c>
      <x:c r="C41" s="295" t="str">
        <x:v>YI-000024</x:v>
      </x:c>
      <x:c r="D41" s="295" t="str">
        <x:v>YI NEW SEWING MACHINE CO., LTD</x:v>
      </x:c>
      <x:c r="E41" s="295" t="str">
        <x:v>機修零件（pcs）</x:v>
      </x:c>
      <x:c r="F41" s="295" t="str">
        <x:v>HIST25-039</x:v>
      </x:c>
      <x:c r="G41" s="295" t="str">
        <x:v>機修零件（pcs）</x:v>
      </x:c>
      <x:c r="H41" s="295"/>
      <x:c r="I41" s="295" t="str">
        <x:v>Other</x:v>
      </x:c>
      <x:c r="J41" s="295" t="str">
        <x:v>Spare Part</x:v>
      </x:c>
      <x:c r="K41" s="295"/>
      <x:c r="L41" s="295"/>
      <x:c r="M41" s="295" t="n">
        <x:v>2</x:v>
      </x:c>
      <x:c r="N41" s="295" t="str">
        <x:v>pcs</x:v>
      </x:c>
      <x:c r="O41" s="296" t="n">
        <x:v>10</x:v>
      </x:c>
      <x:c r="P41" s="296" t="n">
        <x:v>20</x:v>
      </x:c>
      <x:c r="Q41" s="296" t="n">
        <x:v>20</x:v>
      </x:c>
      <x:c r="R41" s="296" t="n">
        <x:v>0</x:v>
      </x:c>
      <x:c r="S41" s="295" t="str">
        <x:v>Review</x:v>
      </x:c>
      <x:c r="T41" s="295" t="str">
        <x:v>Low</x:v>
      </x:c>
      <x:c r="U41" s="295" t="str">
        <x:v>Jan_'25Dec_'25_Monthly_StatementSewing_machine_spareparts.pdf</x:v>
      </x:c>
      <x:c r="V41" s="295" t="n">
        <x:v>2</x:v>
      </x:c>
      <x:c r="W41" s="297"/>
    </x:row>
    <x:row r="42">
      <x:c r="A42" s="314" t="str">
        <x:v>2025-02</x:v>
      </x:c>
      <x:c r="B42" s="315" t="n">
        <x:v>45705</x:v>
      </x:c>
      <x:c r="C42" s="295" t="str">
        <x:v>YI-000024</x:v>
      </x:c>
      <x:c r="D42" s="295" t="str">
        <x:v>YI NEW SEWING MACHINE CO., LTD</x:v>
      </x:c>
      <x:c r="E42" s="295" t="str">
        <x:v>機修耗材 X-66</x:v>
      </x:c>
      <x:c r="F42" s="295" t="str">
        <x:v>HIST25-040</x:v>
      </x:c>
      <x:c r="G42" s="295" t="str">
        <x:v>機修耗材 X-66</x:v>
      </x:c>
      <x:c r="H42" s="295" t="str">
        <x:v>X-66</x:v>
      </x:c>
      <x:c r="I42" s="295" t="str">
        <x:v>Consumable/Chemical</x:v>
      </x:c>
      <x:c r="J42" s="295" t="str">
        <x:v>Spare Part</x:v>
      </x:c>
      <x:c r="K42" s="295"/>
      <x:c r="L42" s="295"/>
      <x:c r="M42" s="295" t="n">
        <x:v>1</x:v>
      </x:c>
      <x:c r="N42" s="295" t="str">
        <x:v>can</x:v>
      </x:c>
      <x:c r="O42" s="296" t="n">
        <x:v>3.5</x:v>
      </x:c>
      <x:c r="P42" s="296" t="n">
        <x:v>3.5</x:v>
      </x:c>
      <x:c r="Q42" s="296" t="n">
        <x:v>3.5</x:v>
      </x:c>
      <x:c r="R42" s="296" t="n">
        <x:v>0</x:v>
      </x:c>
      <x:c r="S42" s="295" t="str">
        <x:v>Yes</x:v>
      </x:c>
      <x:c r="T42" s="295" t="str">
        <x:v>Medium</x:v>
      </x:c>
      <x:c r="U42" s="295" t="str">
        <x:v>Jan_'25Dec_'25_Monthly_StatementSewing_machine_spareparts.pdf</x:v>
      </x:c>
      <x:c r="V42" s="295" t="n">
        <x:v>2</x:v>
      </x:c>
      <x:c r="W42" s="297"/>
    </x:row>
    <x:row r="43">
      <x:c r="A43" s="314" t="str">
        <x:v>2025-02</x:v>
      </x:c>
      <x:c r="B43" s="315" t="n">
        <x:v>45705</x:v>
      </x:c>
      <x:c r="C43" s="295" t="str">
        <x:v>YI-000025</x:v>
      </x:c>
      <x:c r="D43" s="295" t="str">
        <x:v>YI NEW SEWING MACHINE CO., LTD</x:v>
      </x:c>
      <x:c r="E43" s="295" t="str">
        <x:v>機修零件（100 pc）</x:v>
      </x:c>
      <x:c r="F43" s="295" t="str">
        <x:v>HIST25-041</x:v>
      </x:c>
      <x:c r="G43" s="295" t="str">
        <x:v>機修零件（100 pc）</x:v>
      </x:c>
      <x:c r="H43" s="295"/>
      <x:c r="I43" s="295" t="str">
        <x:v>Other</x:v>
      </x:c>
      <x:c r="J43" s="295" t="str">
        <x:v>Spare Part</x:v>
      </x:c>
      <x:c r="K43" s="295"/>
      <x:c r="L43" s="295"/>
      <x:c r="M43" s="295" t="n">
        <x:v>100</x:v>
      </x:c>
      <x:c r="N43" s="295" t="str">
        <x:v>pc</x:v>
      </x:c>
      <x:c r="O43" s="296" t="n">
        <x:v>1.25</x:v>
      </x:c>
      <x:c r="P43" s="296" t="n">
        <x:v>125</x:v>
      </x:c>
      <x:c r="Q43" s="296" t="n">
        <x:v>125</x:v>
      </x:c>
      <x:c r="R43" s="296" t="n">
        <x:v>0</x:v>
      </x:c>
      <x:c r="S43" s="295" t="str">
        <x:v>Review</x:v>
      </x:c>
      <x:c r="T43" s="295" t="str">
        <x:v>Low</x:v>
      </x:c>
      <x:c r="U43" s="295" t="str">
        <x:v>Jan_'25Dec_'25_Monthly_StatementSewing_machine_spareparts.pdf</x:v>
      </x:c>
      <x:c r="V43" s="295" t="n">
        <x:v>2</x:v>
      </x:c>
      <x:c r="W43" s="297"/>
    </x:row>
    <x:row r="44">
      <x:c r="A44" s="314" t="str">
        <x:v>2025-03</x:v>
      </x:c>
      <x:c r="B44" s="315" t="n">
        <x:v>45707</x:v>
      </x:c>
      <x:c r="C44" s="295" t="str">
        <x:v>YI-000026</x:v>
      </x:c>
      <x:c r="D44" s="295" t="str">
        <x:v>YI NEW SEWING MACHINE CO., LTD</x:v>
      </x:c>
      <x:c r="E44" s="295" t="str">
        <x:v>SCOVILL打釘機主軸承</x:v>
      </x:c>
      <x:c r="F44" s="295" t="str">
        <x:v>BR-SCOVILL-MAIN</x:v>
      </x:c>
      <x:c r="G44" s="295" t="str">
        <x:v>SCOVILL打釘機主軸承</x:v>
      </x:c>
      <x:c r="H44" s="295"/>
      <x:c r="I44" s="295" t="str">
        <x:v>Bearing</x:v>
      </x:c>
      <x:c r="J44" s="295" t="str">
        <x:v>Spare Part</x:v>
      </x:c>
      <x:c r="K44" s="295"/>
      <x:c r="L44" s="295" t="str">
        <x:v>Snap/Button Machine</x:v>
      </x:c>
      <x:c r="M44" s="295" t="n">
        <x:v>2</x:v>
      </x:c>
      <x:c r="N44" s="295" t="str">
        <x:v>粒</x:v>
      </x:c>
      <x:c r="O44" s="296" t="n">
        <x:v>10</x:v>
      </x:c>
      <x:c r="P44" s="296" t="n">
        <x:v>20</x:v>
      </x:c>
      <x:c r="Q44" s="296" t="n">
        <x:v>20</x:v>
      </x:c>
      <x:c r="R44" s="296" t="n">
        <x:v>0</x:v>
      </x:c>
      <x:c r="S44" s="295" t="str">
        <x:v>Yes</x:v>
      </x:c>
      <x:c r="T44" s="295" t="str">
        <x:v>High</x:v>
      </x:c>
      <x:c r="U44" s="295" t="str">
        <x:v>Jan_'25Dec_'25_Monthly_StatementSewing_machine_spareparts.pdf</x:v>
      </x:c>
      <x:c r="V44" s="295" t="n">
        <x:v>3</x:v>
      </x:c>
      <x:c r="W44" s="297"/>
    </x:row>
    <x:row r="45">
      <x:c r="A45" s="314" t="str">
        <x:v>2025-03</x:v>
      </x:c>
      <x:c r="B45" s="315" t="n">
        <x:v>45719</x:v>
      </x:c>
      <x:c r="C45" s="295" t="str">
        <x:v>YI-000028</x:v>
      </x:c>
      <x:c r="D45" s="295" t="str">
        <x:v>YI NEW SEWING MACHINE CO., LTD</x:v>
      </x:c>
      <x:c r="E45" s="295" t="str">
        <x:v>Organ: DBx1 #16</x:v>
      </x:c>
      <x:c r="F45" s="295" t="str">
        <x:v>ND-DBX1-16</x:v>
      </x:c>
      <x:c r="G45" s="295" t="str">
        <x:v>風琴機針 DBx1 #16</x:v>
      </x:c>
      <x:c r="H45" s="295" t="str">
        <x:v>DBx1 #16</x:v>
      </x:c>
      <x:c r="I45" s="295" t="str">
        <x:v>Needle</x:v>
      </x:c>
      <x:c r="J45" s="295" t="str">
        <x:v>Consumable</x:v>
      </x:c>
      <x:c r="K45" s="295" t="str">
        <x:v>ORGAN/風琴</x:v>
      </x:c>
      <x:c r="L45" s="295" t="str">
        <x:v>Single Needle</x:v>
      </x:c>
      <x:c r="M45" s="295" t="n">
        <x:v>200</x:v>
      </x:c>
      <x:c r="N45" s="295" t="str">
        <x:v>Pack</x:v>
      </x:c>
      <x:c r="O45" s="296" t="n">
        <x:v>0.76</x:v>
      </x:c>
      <x:c r="P45" s="296" t="n">
        <x:v>152</x:v>
      </x:c>
      <x:c r="Q45" s="296" t="n">
        <x:v>152</x:v>
      </x:c>
      <x:c r="R45" s="296" t="n">
        <x:v>0</x:v>
      </x:c>
      <x:c r="S45" s="295" t="str">
        <x:v>Yes</x:v>
      </x:c>
      <x:c r="T45" s="295" t="str">
        <x:v>High</x:v>
      </x:c>
      <x:c r="U45" s="295" t="str">
        <x:v>Jan_'25Dec_'25_Monthly_StatementSewing_machine_spareparts.pdf</x:v>
      </x:c>
      <x:c r="V45" s="295" t="n">
        <x:v>3</x:v>
      </x:c>
      <x:c r="W45" s="297"/>
    </x:row>
    <x:row r="46">
      <x:c r="A46" s="314" t="str">
        <x:v>2025-03</x:v>
      </x:c>
      <x:c r="B46" s="315" t="n">
        <x:v>45719</x:v>
      </x:c>
      <x:c r="C46" s="295" t="str">
        <x:v>YI-000028</x:v>
      </x:c>
      <x:c r="D46" s="295" t="str">
        <x:v>YI NEW SEWING MACHINE CO., LTD</x:v>
      </x:c>
      <x:c r="E46" s="295" t="str">
        <x:v>Organ: UOx113 #18</x:v>
      </x:c>
      <x:c r="F46" s="295" t="str">
        <x:v>ND-UOX113-18</x:v>
      </x:c>
      <x:c r="G46" s="295" t="str">
        <x:v>風琴機針 UOx113 #18</x:v>
      </x:c>
      <x:c r="H46" s="295" t="str">
        <x:v>UOx113 #18</x:v>
      </x:c>
      <x:c r="I46" s="295" t="str">
        <x:v>Needle</x:v>
      </x:c>
      <x:c r="J46" s="295" t="str">
        <x:v>Consumable</x:v>
      </x:c>
      <x:c r="K46" s="295" t="str">
        <x:v>ORGAN/風琴</x:v>
      </x:c>
      <x:c r="L46" s="295" t="str">
        <x:v>Multi-needle</x:v>
      </x:c>
      <x:c r="M46" s="295" t="n">
        <x:v>50</x:v>
      </x:c>
      <x:c r="N46" s="295" t="str">
        <x:v>Pack</x:v>
      </x:c>
      <x:c r="O46" s="296" t="n">
        <x:v>2.9</x:v>
      </x:c>
      <x:c r="P46" s="296" t="n">
        <x:v>145</x:v>
      </x:c>
      <x:c r="Q46" s="296" t="n">
        <x:v>145</x:v>
      </x:c>
      <x:c r="R46" s="296" t="n">
        <x:v>0</x:v>
      </x:c>
      <x:c r="S46" s="295" t="str">
        <x:v>Yes</x:v>
      </x:c>
      <x:c r="T46" s="295" t="str">
        <x:v>High</x:v>
      </x:c>
      <x:c r="U46" s="295" t="str">
        <x:v>Jan_'25Dec_'25_Monthly_StatementSewing_machine_spareparts.pdf</x:v>
      </x:c>
      <x:c r="V46" s="295" t="n">
        <x:v>3</x:v>
      </x:c>
      <x:c r="W46" s="297"/>
    </x:row>
    <x:row r="47">
      <x:c r="A47" s="314" t="str">
        <x:v>2025-03</x:v>
      </x:c>
      <x:c r="B47" s="315" t="n">
        <x:v>45719</x:v>
      </x:c>
      <x:c r="C47" s="295" t="str">
        <x:v>YI-000028</x:v>
      </x:c>
      <x:c r="D47" s="295" t="str">
        <x:v>YI NEW SEWING MACHINE CO., LTD</x:v>
      </x:c>
      <x:c r="E47" s="295" t="str">
        <x:v>Organ: UOx113 #16</x:v>
      </x:c>
      <x:c r="F47" s="295" t="str">
        <x:v>ND-UOX113-16</x:v>
      </x:c>
      <x:c r="G47" s="295" t="str">
        <x:v>風琴機針 UOx113 #16</x:v>
      </x:c>
      <x:c r="H47" s="295" t="str">
        <x:v>UOx113 #16</x:v>
      </x:c>
      <x:c r="I47" s="295" t="str">
        <x:v>Needle</x:v>
      </x:c>
      <x:c r="J47" s="295" t="str">
        <x:v>Consumable</x:v>
      </x:c>
      <x:c r="K47" s="295" t="str">
        <x:v>ORGAN/風琴</x:v>
      </x:c>
      <x:c r="L47" s="295" t="str">
        <x:v>Multi-needle</x:v>
      </x:c>
      <x:c r="M47" s="295" t="n">
        <x:v>50</x:v>
      </x:c>
      <x:c r="N47" s="295" t="str">
        <x:v>Pack</x:v>
      </x:c>
      <x:c r="O47" s="296" t="n">
        <x:v>2.9</x:v>
      </x:c>
      <x:c r="P47" s="296" t="n">
        <x:v>145</x:v>
      </x:c>
      <x:c r="Q47" s="296" t="n">
        <x:v>145</x:v>
      </x:c>
      <x:c r="R47" s="296" t="n">
        <x:v>0</x:v>
      </x:c>
      <x:c r="S47" s="295" t="str">
        <x:v>Yes</x:v>
      </x:c>
      <x:c r="T47" s="295" t="str">
        <x:v>High</x:v>
      </x:c>
      <x:c r="U47" s="295" t="str">
        <x:v>Jan_'25Dec_'25_Monthly_StatementSewing_machine_spareparts.pdf</x:v>
      </x:c>
      <x:c r="V47" s="295" t="n">
        <x:v>3</x:v>
      </x:c>
      <x:c r="W47" s="297"/>
    </x:row>
    <x:row r="48">
      <x:c r="A48" s="314" t="str">
        <x:v>2025-03</x:v>
      </x:c>
      <x:c r="B48" s="315" t="n">
        <x:v>45719</x:v>
      </x:c>
      <x:c r="C48" s="295" t="str">
        <x:v>YI-000028</x:v>
      </x:c>
      <x:c r="D48" s="295" t="str">
        <x:v>YI NEW SEWING MACHINE CO., LTD</x:v>
      </x:c>
      <x:c r="E48" s="295" t="str">
        <x:v>Organ: DBx1 #14</x:v>
      </x:c>
      <x:c r="F48" s="295" t="str">
        <x:v>ND-DBX1-14</x:v>
      </x:c>
      <x:c r="G48" s="295" t="str">
        <x:v>風琴機針 DBx1 #14</x:v>
      </x:c>
      <x:c r="H48" s="295" t="str">
        <x:v>DBx1 #14</x:v>
      </x:c>
      <x:c r="I48" s="295" t="str">
        <x:v>Needle</x:v>
      </x:c>
      <x:c r="J48" s="295" t="str">
        <x:v>Consumable</x:v>
      </x:c>
      <x:c r="K48" s="295" t="str">
        <x:v>ORGAN/風琴</x:v>
      </x:c>
      <x:c r="L48" s="295" t="str">
        <x:v>Single Needle</x:v>
      </x:c>
      <x:c r="M48" s="295" t="n">
        <x:v>50</x:v>
      </x:c>
      <x:c r="N48" s="295" t="str">
        <x:v>Pack</x:v>
      </x:c>
      <x:c r="O48" s="296" t="n">
        <x:v>0.76</x:v>
      </x:c>
      <x:c r="P48" s="296" t="n">
        <x:v>38</x:v>
      </x:c>
      <x:c r="Q48" s="296" t="n">
        <x:v>38</x:v>
      </x:c>
      <x:c r="R48" s="296" t="n">
        <x:v>0</x:v>
      </x:c>
      <x:c r="S48" s="295" t="str">
        <x:v>Yes</x:v>
      </x:c>
      <x:c r="T48" s="295" t="str">
        <x:v>High</x:v>
      </x:c>
      <x:c r="U48" s="295" t="str">
        <x:v>Jan_'25Dec_'25_Monthly_StatementSewing_machine_spareparts.pdf</x:v>
      </x:c>
      <x:c r="V48" s="295" t="n">
        <x:v>3</x:v>
      </x:c>
      <x:c r="W48" s="297"/>
    </x:row>
    <x:row r="49">
      <x:c r="A49" s="314" t="str">
        <x:v>2025-03</x:v>
      </x:c>
      <x:c r="B49" s="315" t="n">
        <x:v>45719</x:v>
      </x:c>
      <x:c r="C49" s="295" t="str">
        <x:v>YI-000029</x:v>
      </x:c>
      <x:c r="D49" s="295" t="str">
        <x:v>YI NEW SEWING MACHINE CO., LTD</x:v>
      </x:c>
      <x:c r="E49" s="295" t="str">
        <x:v>機修零件（未清楚辨識）</x:v>
      </x:c>
      <x:c r="F49" s="295" t="str">
        <x:v>HIST25-047</x:v>
      </x:c>
      <x:c r="G49" s="295" t="str">
        <x:v>機修零件（未清楚辨識）</x:v>
      </x:c>
      <x:c r="H49" s="295"/>
      <x:c r="I49" s="295" t="str">
        <x:v>Other</x:v>
      </x:c>
      <x:c r="J49" s="295" t="str">
        <x:v>Spare Part</x:v>
      </x:c>
      <x:c r="K49" s="295"/>
      <x:c r="L49" s="295"/>
      <x:c r="M49" s="295" t="n">
        <x:v>2</x:v>
      </x:c>
      <x:c r="N49" s="295" t="str">
        <x:v>pcs</x:v>
      </x:c>
      <x:c r="O49" s="296" t="n">
        <x:v>9.5</x:v>
      </x:c>
      <x:c r="P49" s="296" t="n">
        <x:v>19</x:v>
      </x:c>
      <x:c r="Q49" s="296" t="n">
        <x:v>19</x:v>
      </x:c>
      <x:c r="R49" s="296" t="n">
        <x:v>0</x:v>
      </x:c>
      <x:c r="S49" s="295" t="str">
        <x:v>Review</x:v>
      </x:c>
      <x:c r="T49" s="295" t="str">
        <x:v>Low</x:v>
      </x:c>
      <x:c r="U49" s="295" t="str">
        <x:v>Jan_'25Dec_'25_Monthly_StatementSewing_machine_spareparts.pdf</x:v>
      </x:c>
      <x:c r="V49" s="295" t="n">
        <x:v>3</x:v>
      </x:c>
      <x:c r="W49" s="297"/>
    </x:row>
    <x:row r="50">
      <x:c r="A50" s="314" t="str">
        <x:v>2025-03</x:v>
      </x:c>
      <x:c r="B50" s="315" t="n">
        <x:v>45719</x:v>
      </x:c>
      <x:c r="C50" s="295" t="str">
        <x:v>YI-000029</x:v>
      </x:c>
      <x:c r="D50" s="295" t="str">
        <x:v>YI NEW SEWING MACHINE CO., LTD</x:v>
      </x:c>
      <x:c r="E50" s="295" t="str">
        <x:v>SIRUBA 零件（未清楚辨識）</x:v>
      </x:c>
      <x:c r="F50" s="295" t="str">
        <x:v>HIST25-048</x:v>
      </x:c>
      <x:c r="G50" s="295" t="str">
        <x:v>SIRUBA 零件（未清楚辨識）</x:v>
      </x:c>
      <x:c r="H50" s="295"/>
      <x:c r="I50" s="295" t="str">
        <x:v>Other</x:v>
      </x:c>
      <x:c r="J50" s="295" t="str">
        <x:v>Spare Part</x:v>
      </x:c>
      <x:c r="K50" s="295" t="str">
        <x:v>SIRUBA</x:v>
      </x:c>
      <x:c r="L50" s="295"/>
      <x:c r="M50" s="295" t="n">
        <x:v>25</x:v>
      </x:c>
      <x:c r="N50" s="295" t="str">
        <x:v>pcs</x:v>
      </x:c>
      <x:c r="O50" s="296" t="n">
        <x:v>7.5</x:v>
      </x:c>
      <x:c r="P50" s="296" t="n">
        <x:v>187.5</x:v>
      </x:c>
      <x:c r="Q50" s="296" t="n">
        <x:v>187.5</x:v>
      </x:c>
      <x:c r="R50" s="296" t="n">
        <x:v>0</x:v>
      </x:c>
      <x:c r="S50" s="295" t="str">
        <x:v>Review</x:v>
      </x:c>
      <x:c r="T50" s="295" t="str">
        <x:v>Low</x:v>
      </x:c>
      <x:c r="U50" s="295" t="str">
        <x:v>Jan_'25Dec_'25_Monthly_StatementSewing_machine_spareparts.pdf</x:v>
      </x:c>
      <x:c r="V50" s="295" t="n">
        <x:v>3</x:v>
      </x:c>
      <x:c r="W50" s="297"/>
    </x:row>
    <x:row r="51">
      <x:c r="A51" s="314" t="str">
        <x:v>2025-03</x:v>
      </x:c>
      <x:c r="B51" s="315" t="n">
        <x:v>45719</x:v>
      </x:c>
      <x:c r="C51" s="295" t="str">
        <x:v>YI-000029</x:v>
      </x:c>
      <x:c r="D51" s="295" t="str">
        <x:v>YI NEW SEWING MACHINE CO., LTD</x:v>
      </x:c>
      <x:c r="E51" s="295" t="str">
        <x:v>JUKI 零件（未清楚辨識）</x:v>
      </x:c>
      <x:c r="F51" s="295" t="str">
        <x:v>HIST25-049</x:v>
      </x:c>
      <x:c r="G51" s="295" t="str">
        <x:v>JUKI 零件（未清楚辨識）</x:v>
      </x:c>
      <x:c r="H51" s="295"/>
      <x:c r="I51" s="295" t="str">
        <x:v>Other</x:v>
      </x:c>
      <x:c r="J51" s="295" t="str">
        <x:v>Spare Part</x:v>
      </x:c>
      <x:c r="K51" s="295" t="str">
        <x:v>JUKI</x:v>
      </x:c>
      <x:c r="L51" s="295"/>
      <x:c r="M51" s="295" t="n">
        <x:v>1</x:v>
      </x:c>
      <x:c r="N51" s="295" t="str">
        <x:v>pcs</x:v>
      </x:c>
      <x:c r="O51" s="296" t="n">
        <x:v>5</x:v>
      </x:c>
      <x:c r="P51" s="296" t="n">
        <x:v>5</x:v>
      </x:c>
      <x:c r="Q51" s="296" t="n">
        <x:v>5</x:v>
      </x:c>
      <x:c r="R51" s="296" t="n">
        <x:v>0</x:v>
      </x:c>
      <x:c r="S51" s="295" t="str">
        <x:v>Review</x:v>
      </x:c>
      <x:c r="T51" s="295" t="str">
        <x:v>Low</x:v>
      </x:c>
      <x:c r="U51" s="295" t="str">
        <x:v>Jan_'25Dec_'25_Monthly_StatementSewing_machine_spareparts.pdf</x:v>
      </x:c>
      <x:c r="V51" s="295" t="n">
        <x:v>3</x:v>
      </x:c>
      <x:c r="W51" s="297"/>
    </x:row>
    <x:row r="52">
      <x:c r="A52" s="314" t="str">
        <x:v>2025-03</x:v>
      </x:c>
      <x:c r="B52" s="315" t="n">
        <x:v>45724</x:v>
      </x:c>
      <x:c r="C52" s="295" t="str">
        <x:v>YI-000030</x:v>
      </x:c>
      <x:c r="D52" s="295" t="str">
        <x:v>YI NEW SEWING MACHINE CO., LTD</x:v>
      </x:c>
      <x:c r="E52" s="295" t="str">
        <x:v>DINO LU-933 零件/組</x:v>
      </x:c>
      <x:c r="F52" s="295" t="str">
        <x:v>EQ-DINO-LU933-SET</x:v>
      </x:c>
      <x:c r="G52" s="295" t="str">
        <x:v>DINO LU-933 組件</x:v>
      </x:c>
      <x:c r="H52" s="295" t="str">
        <x:v>LU-933</x:v>
      </x:c>
      <x:c r="I52" s="295" t="str">
        <x:v>Equipment</x:v>
      </x:c>
      <x:c r="J52" s="295" t="str">
        <x:v>Equipment</x:v>
      </x:c>
      <x:c r="K52" s="295" t="str">
        <x:v>DINO</x:v>
      </x:c>
      <x:c r="L52" s="295" t="str">
        <x:v>Special Machine</x:v>
      </x:c>
      <x:c r="M52" s="295" t="n">
        <x:v>1</x:v>
      </x:c>
      <x:c r="N52" s="295" t="str">
        <x:v>set</x:v>
      </x:c>
      <x:c r="O52" s="296" t="n">
        <x:v>385</x:v>
      </x:c>
      <x:c r="P52" s="296" t="n">
        <x:v>385</x:v>
      </x:c>
      <x:c r="Q52" s="296" t="n">
        <x:v>385</x:v>
      </x:c>
      <x:c r="R52" s="296" t="n">
        <x:v>0</x:v>
      </x:c>
      <x:c r="S52" s="295" t="str">
        <x:v>Yes</x:v>
      </x:c>
      <x:c r="T52" s="295" t="str">
        <x:v>High</x:v>
      </x:c>
      <x:c r="U52" s="295" t="str">
        <x:v>Jan_'25Dec_'25_Monthly_StatementSewing_machine_spareparts.pdf</x:v>
      </x:c>
      <x:c r="V52" s="295" t="n">
        <x:v>3</x:v>
      </x:c>
      <x:c r="W52" s="297"/>
    </x:row>
    <x:row r="53">
      <x:c r="A53" s="314" t="str">
        <x:v>2025-03</x:v>
      </x:c>
      <x:c r="B53" s="315" t="n">
        <x:v>45721</x:v>
      </x:c>
      <x:c r="C53" s="295" t="str">
        <x:v>YI-000031</x:v>
      </x:c>
      <x:c r="D53" s="295" t="str">
        <x:v>YI NEW SEWING MACHINE CO., LTD</x:v>
      </x:c>
      <x:c r="E53" s="295" t="str">
        <x:v>中海道一字裁床鐳射燈</x:v>
      </x:c>
      <x:c r="F53" s="295" t="str">
        <x:v>EL-CUTTING-LASER-LIGHT</x:v>
      </x:c>
      <x:c r="G53" s="295" t="str">
        <x:v>裁床鐳射燈</x:v>
      </x:c>
      <x:c r="H53" s="295"/>
      <x:c r="I53" s="295" t="str">
        <x:v>Electrical/Control</x:v>
      </x:c>
      <x:c r="J53" s="295" t="str">
        <x:v>Spare Part</x:v>
      </x:c>
      <x:c r="K53" s="295"/>
      <x:c r="L53" s="295" t="str">
        <x:v>Cutting</x:v>
      </x:c>
      <x:c r="M53" s="295" t="n">
        <x:v>10</x:v>
      </x:c>
      <x:c r="N53" s="295" t="str">
        <x:v>PC</x:v>
      </x:c>
      <x:c r="O53" s="296" t="n">
        <x:v>26</x:v>
      </x:c>
      <x:c r="P53" s="296" t="n">
        <x:v>260</x:v>
      </x:c>
      <x:c r="Q53" s="296" t="n">
        <x:v>260</x:v>
      </x:c>
      <x:c r="R53" s="296" t="n">
        <x:v>0</x:v>
      </x:c>
      <x:c r="S53" s="295" t="str">
        <x:v>Yes</x:v>
      </x:c>
      <x:c r="T53" s="295" t="str">
        <x:v>High</x:v>
      </x:c>
      <x:c r="U53" s="295" t="str">
        <x:v>Jan_'25Dec_'25_Monthly_StatementSewing_machine_spareparts.pdf</x:v>
      </x:c>
      <x:c r="V53" s="295" t="n">
        <x:v>3</x:v>
      </x:c>
      <x:c r="W53" s="297"/>
    </x:row>
    <x:row r="54">
      <x:c r="A54" s="314" t="str">
        <x:v>2025-03</x:v>
      </x:c>
      <x:c r="B54" s="315" t="n">
        <x:v>45727</x:v>
      </x:c>
      <x:c r="C54" s="295" t="str">
        <x:v>YI-000032</x:v>
      </x:c>
      <x:c r="D54" s="295" t="str">
        <x:v>YI NEW SEWING MACHINE CO., LTD</x:v>
      </x:c>
      <x:c r="E54" s="295" t="str">
        <x:v>Brother 零件 MJC2-16-10-205-421</x:v>
      </x:c>
      <x:c r="F54" s="295" t="str">
        <x:v>BR-BROTHER-MJC2-16-10-205-421</x:v>
      </x:c>
      <x:c r="G54" s="295" t="str">
        <x:v>Brother MJC2-16-10-205-421 組件</x:v>
      </x:c>
      <x:c r="H54" s="295" t="str">
        <x:v>MJC2-16-10-205-421</x:v>
      </x:c>
      <x:c r="I54" s="295" t="str">
        <x:v>Other</x:v>
      </x:c>
      <x:c r="J54" s="295" t="str">
        <x:v>Spare Part</x:v>
      </x:c>
      <x:c r="K54" s="295" t="str">
        <x:v>Brother</x:v>
      </x:c>
      <x:c r="L54" s="295"/>
      <x:c r="M54" s="295" t="n">
        <x:v>1</x:v>
      </x:c>
      <x:c r="N54" s="295" t="str">
        <x:v>SET</x:v>
      </x:c>
      <x:c r="O54" s="296" t="n">
        <x:v>58</x:v>
      </x:c>
      <x:c r="P54" s="296" t="n">
        <x:v>58</x:v>
      </x:c>
      <x:c r="Q54" s="296" t="n">
        <x:v>58</x:v>
      </x:c>
      <x:c r="R54" s="296" t="n">
        <x:v>0</x:v>
      </x:c>
      <x:c r="S54" s="295" t="str">
        <x:v>Yes</x:v>
      </x:c>
      <x:c r="T54" s="295" t="str">
        <x:v>High</x:v>
      </x:c>
      <x:c r="U54" s="295" t="str">
        <x:v>Jan_'25Dec_'25_Monthly_StatementSewing_machine_spareparts.pdf</x:v>
      </x:c>
      <x:c r="V54" s="295" t="n">
        <x:v>3</x:v>
      </x:c>
      <x:c r="W54" s="297"/>
    </x:row>
    <x:row r="55">
      <x:c r="A55" s="314" t="str">
        <x:v>2025-03</x:v>
      </x:c>
      <x:c r="B55" s="315" t="n">
        <x:v>45729</x:v>
      </x:c>
      <x:c r="C55" s="295" t="str">
        <x:v>YI-000033</x:v>
      </x:c>
      <x:c r="D55" s="295" t="str">
        <x:v>YI NEW SEWING MACHINE CO., LTD</x:v>
      </x:c>
      <x:c r="E55" s="295" t="str">
        <x:v>零件 P027176</x:v>
      </x:c>
      <x:c r="F55" s="295" t="str">
        <x:v>HIST25-053</x:v>
      </x:c>
      <x:c r="G55" s="295" t="str">
        <x:v>零件 P027176</x:v>
      </x:c>
      <x:c r="H55" s="295" t="str">
        <x:v>P027176</x:v>
      </x:c>
      <x:c r="I55" s="295" t="str">
        <x:v>Other</x:v>
      </x:c>
      <x:c r="J55" s="295" t="str">
        <x:v>Spare Part</x:v>
      </x:c>
      <x:c r="K55" s="295"/>
      <x:c r="L55" s="295"/>
      <x:c r="M55" s="295" t="n">
        <x:v>2</x:v>
      </x:c>
      <x:c r="N55" s="295" t="str">
        <x:v>pcs</x:v>
      </x:c>
      <x:c r="O55" s="296" t="n">
        <x:v>12</x:v>
      </x:c>
      <x:c r="P55" s="296" t="n">
        <x:v>24</x:v>
      </x:c>
      <x:c r="Q55" s="296" t="n">
        <x:v>24</x:v>
      </x:c>
      <x:c r="R55" s="296" t="n">
        <x:v>0</x:v>
      </x:c>
      <x:c r="S55" s="295" t="str">
        <x:v>Yes</x:v>
      </x:c>
      <x:c r="T55" s="295" t="str">
        <x:v>Medium</x:v>
      </x:c>
      <x:c r="U55" s="295" t="str">
        <x:v>Jan_'25Dec_'25_Monthly_StatementSewing_machine_spareparts.pdf</x:v>
      </x:c>
      <x:c r="V55" s="295" t="n">
        <x:v>3</x:v>
      </x:c>
      <x:c r="W55" s="297"/>
    </x:row>
    <x:row r="56">
      <x:c r="A56" s="314" t="str">
        <x:v>2025-03</x:v>
      </x:c>
      <x:c r="B56" s="315" t="n">
        <x:v>45729</x:v>
      </x:c>
      <x:c r="C56" s="295" t="str">
        <x:v>YI-000033</x:v>
      </x:c>
      <x:c r="D56" s="295" t="str">
        <x:v>YI NEW SEWING MACHINE CO., LTD</x:v>
      </x:c>
      <x:c r="E56" s="295" t="str">
        <x:v>零件 P027686</x:v>
      </x:c>
      <x:c r="F56" s="295" t="str">
        <x:v>HIST25-054</x:v>
      </x:c>
      <x:c r="G56" s="295" t="str">
        <x:v>零件 P027686</x:v>
      </x:c>
      <x:c r="H56" s="295" t="str">
        <x:v>P027686</x:v>
      </x:c>
      <x:c r="I56" s="295" t="str">
        <x:v>Other</x:v>
      </x:c>
      <x:c r="J56" s="295" t="str">
        <x:v>Spare Part</x:v>
      </x:c>
      <x:c r="K56" s="295"/>
      <x:c r="L56" s="295"/>
      <x:c r="M56" s="295" t="n">
        <x:v>2</x:v>
      </x:c>
      <x:c r="N56" s="295" t="str">
        <x:v>pcs</x:v>
      </x:c>
      <x:c r="O56" s="296" t="n">
        <x:v>12</x:v>
      </x:c>
      <x:c r="P56" s="296" t="n">
        <x:v>24</x:v>
      </x:c>
      <x:c r="Q56" s="296" t="n">
        <x:v>24</x:v>
      </x:c>
      <x:c r="R56" s="296" t="n">
        <x:v>0</x:v>
      </x:c>
      <x:c r="S56" s="295" t="str">
        <x:v>Yes</x:v>
      </x:c>
      <x:c r="T56" s="295" t="str">
        <x:v>Medium</x:v>
      </x:c>
      <x:c r="U56" s="295" t="str">
        <x:v>Jan_'25Dec_'25_Monthly_StatementSewing_machine_spareparts.pdf</x:v>
      </x:c>
      <x:c r="V56" s="295" t="n">
        <x:v>3</x:v>
      </x:c>
      <x:c r="W56" s="297"/>
    </x:row>
    <x:row r="57">
      <x:c r="A57" s="314" t="str">
        <x:v>2025-03</x:v>
      </x:c>
      <x:c r="B57" s="315" t="n">
        <x:v>45729</x:v>
      </x:c>
      <x:c r="C57" s="295" t="str">
        <x:v>YI-000033</x:v>
      </x:c>
      <x:c r="D57" s="295" t="str">
        <x:v>YI NEW SEWING MACHINE CO., LTD</x:v>
      </x:c>
      <x:c r="E57" s="295" t="str">
        <x:v>零件 4-1/4</x:v>
      </x:c>
      <x:c r="F57" s="295" t="str">
        <x:v>HIST25-055</x:v>
      </x:c>
      <x:c r="G57" s="295" t="str">
        <x:v>零件 4-1/4</x:v>
      </x:c>
      <x:c r="H57" s="295" t="str">
        <x:v>4-1/4</x:v>
      </x:c>
      <x:c r="I57" s="295" t="str">
        <x:v>Other</x:v>
      </x:c>
      <x:c r="J57" s="295" t="str">
        <x:v>Spare Part</x:v>
      </x:c>
      <x:c r="K57" s="295"/>
      <x:c r="L57" s="295"/>
      <x:c r="M57" s="295" t="n">
        <x:v>5</x:v>
      </x:c>
      <x:c r="N57" s="295" t="str">
        <x:v>pcs</x:v>
      </x:c>
      <x:c r="O57" s="296" t="n">
        <x:v>3.8</x:v>
      </x:c>
      <x:c r="P57" s="296" t="n">
        <x:v>19</x:v>
      </x:c>
      <x:c r="Q57" s="296" t="n">
        <x:v>19</x:v>
      </x:c>
      <x:c r="R57" s="296" t="n">
        <x:v>0</x:v>
      </x:c>
      <x:c r="S57" s="295" t="str">
        <x:v>Yes</x:v>
      </x:c>
      <x:c r="T57" s="295" t="str">
        <x:v>Medium</x:v>
      </x:c>
      <x:c r="U57" s="295" t="str">
        <x:v>Jan_'25Dec_'25_Monthly_StatementSewing_machine_spareparts.pdf</x:v>
      </x:c>
      <x:c r="V57" s="295" t="n">
        <x:v>3</x:v>
      </x:c>
      <x:c r="W57" s="297"/>
    </x:row>
    <x:row r="58">
      <x:c r="A58" s="314" t="str">
        <x:v>2025-03</x:v>
      </x:c>
      <x:c r="B58" s="315" t="n">
        <x:v>45729</x:v>
      </x:c>
      <x:c r="C58" s="295" t="str">
        <x:v>YI-000034</x:v>
      </x:c>
      <x:c r="D58" s="295" t="str">
        <x:v>YI NEW SEWING MACHINE CO., LTD</x:v>
      </x:c>
      <x:c r="E58" s="295" t="str">
        <x:v>機修零件 140957</x:v>
      </x:c>
      <x:c r="F58" s="295" t="str">
        <x:v>HIST25-056</x:v>
      </x:c>
      <x:c r="G58" s="295" t="str">
        <x:v>機修零件 140957</x:v>
      </x:c>
      <x:c r="H58" s="295" t="str">
        <x:v>140957</x:v>
      </x:c>
      <x:c r="I58" s="295" t="str">
        <x:v>Other</x:v>
      </x:c>
      <x:c r="J58" s="295" t="str">
        <x:v>Spare Part</x:v>
      </x:c>
      <x:c r="K58" s="295"/>
      <x:c r="L58" s="295"/>
      <x:c r="M58" s="295" t="n">
        <x:v>100</x:v>
      </x:c>
      <x:c r="N58" s="295" t="str">
        <x:v>pcs</x:v>
      </x:c>
      <x:c r="O58" s="296" t="n">
        <x:v>0.45</x:v>
      </x:c>
      <x:c r="P58" s="296" t="n">
        <x:v>45</x:v>
      </x:c>
      <x:c r="Q58" s="296" t="n">
        <x:v>45</x:v>
      </x:c>
      <x:c r="R58" s="296" t="n">
        <x:v>0</x:v>
      </x:c>
      <x:c r="S58" s="295" t="str">
        <x:v>Yes</x:v>
      </x:c>
      <x:c r="T58" s="295" t="str">
        <x:v>Medium</x:v>
      </x:c>
      <x:c r="U58" s="295" t="str">
        <x:v>Jan_'25Dec_'25_Monthly_StatementSewing_machine_spareparts.pdf</x:v>
      </x:c>
      <x:c r="V58" s="295" t="n">
        <x:v>3</x:v>
      </x:c>
      <x:c r="W58" s="297"/>
    </x:row>
    <x:row r="59">
      <x:c r="A59" s="314" t="str">
        <x:v>2025-03</x:v>
      </x:c>
      <x:c r="B59" s="315" t="n">
        <x:v>45729</x:v>
      </x:c>
      <x:c r="C59" s="295" t="str">
        <x:v>YI-000034</x:v>
      </x:c>
      <x:c r="D59" s="295" t="str">
        <x:v>YI NEW SEWING MACHINE CO., LTD</x:v>
      </x:c>
      <x:c r="E59" s="295" t="str">
        <x:v>JUKI 零件 KL202</x:v>
      </x:c>
      <x:c r="F59" s="295" t="str">
        <x:v>HIST25-057</x:v>
      </x:c>
      <x:c r="G59" s="295" t="str">
        <x:v>JUKI 零件 KL202</x:v>
      </x:c>
      <x:c r="H59" s="295" t="str">
        <x:v>KL202</x:v>
      </x:c>
      <x:c r="I59" s="295" t="str">
        <x:v>Other</x:v>
      </x:c>
      <x:c r="J59" s="295" t="str">
        <x:v>Spare Part</x:v>
      </x:c>
      <x:c r="K59" s="295" t="str">
        <x:v>JUKI</x:v>
      </x:c>
      <x:c r="L59" s="295"/>
      <x:c r="M59" s="295" t="n">
        <x:v>20</x:v>
      </x:c>
      <x:c r="N59" s="295" t="str">
        <x:v>pcs</x:v>
      </x:c>
      <x:c r="O59" s="296" t="n">
        <x:v>1.5</x:v>
      </x:c>
      <x:c r="P59" s="296" t="n">
        <x:v>30</x:v>
      </x:c>
      <x:c r="Q59" s="296" t="n">
        <x:v>30</x:v>
      </x:c>
      <x:c r="R59" s="296" t="n">
        <x:v>0</x:v>
      </x:c>
      <x:c r="S59" s="295" t="str">
        <x:v>Yes</x:v>
      </x:c>
      <x:c r="T59" s="295" t="str">
        <x:v>Medium</x:v>
      </x:c>
      <x:c r="U59" s="295" t="str">
        <x:v>Jan_'25Dec_'25_Monthly_StatementSewing_machine_spareparts.pdf</x:v>
      </x:c>
      <x:c r="V59" s="295" t="n">
        <x:v>3</x:v>
      </x:c>
      <x:c r="W59" s="297"/>
    </x:row>
    <x:row r="60">
      <x:c r="A60" s="314" t="str">
        <x:v>2025-03</x:v>
      </x:c>
      <x:c r="B60" s="315" t="n">
        <x:v>45729</x:v>
      </x:c>
      <x:c r="C60" s="295" t="str">
        <x:v>YI-000034</x:v>
      </x:c>
      <x:c r="D60" s="295" t="str">
        <x:v>YI NEW SEWING MACHINE CO., LTD</x:v>
      </x:c>
      <x:c r="E60" s="295" t="str">
        <x:v>JUKI 零件 LP226</x:v>
      </x:c>
      <x:c r="F60" s="295" t="str">
        <x:v>HIST25-058</x:v>
      </x:c>
      <x:c r="G60" s="295" t="str">
        <x:v>JUKI 零件 LP226</x:v>
      </x:c>
      <x:c r="H60" s="295" t="str">
        <x:v>LP226</x:v>
      </x:c>
      <x:c r="I60" s="295" t="str">
        <x:v>Other</x:v>
      </x:c>
      <x:c r="J60" s="295" t="str">
        <x:v>Spare Part</x:v>
      </x:c>
      <x:c r="K60" s="295" t="str">
        <x:v>JUKI</x:v>
      </x:c>
      <x:c r="L60" s="295"/>
      <x:c r="M60" s="295" t="n">
        <x:v>30</x:v>
      </x:c>
      <x:c r="N60" s="295" t="str">
        <x:v>pcs</x:v>
      </x:c>
      <x:c r="O60" s="296" t="n">
        <x:v>1.5</x:v>
      </x:c>
      <x:c r="P60" s="296" t="n">
        <x:v>45</x:v>
      </x:c>
      <x:c r="Q60" s="296" t="n">
        <x:v>45</x:v>
      </x:c>
      <x:c r="R60" s="296" t="n">
        <x:v>0</x:v>
      </x:c>
      <x:c r="S60" s="295" t="str">
        <x:v>Yes</x:v>
      </x:c>
      <x:c r="T60" s="295" t="str">
        <x:v>Medium</x:v>
      </x:c>
      <x:c r="U60" s="295" t="str">
        <x:v>Jan_'25Dec_'25_Monthly_StatementSewing_machine_spareparts.pdf</x:v>
      </x:c>
      <x:c r="V60" s="295" t="n">
        <x:v>3</x:v>
      </x:c>
      <x:c r="W60" s="297"/>
    </x:row>
    <x:row r="61">
      <x:c r="A61" s="314" t="str">
        <x:v>2025-03</x:v>
      </x:c>
      <x:c r="B61" s="315" t="n">
        <x:v>45729</x:v>
      </x:c>
      <x:c r="C61" s="295" t="str">
        <x:v>YI-000034</x:v>
      </x:c>
      <x:c r="D61" s="295" t="str">
        <x:v>YI NEW SEWING MACHINE CO., LTD</x:v>
      </x:c>
      <x:c r="E61" s="295" t="str">
        <x:v>機修零件 7W</x:v>
      </x:c>
      <x:c r="F61" s="295" t="str">
        <x:v>HIST25-059</x:v>
      </x:c>
      <x:c r="G61" s="295" t="str">
        <x:v>機修零件 7W</x:v>
      </x:c>
      <x:c r="H61" s="295" t="str">
        <x:v>7W</x:v>
      </x:c>
      <x:c r="I61" s="295" t="str">
        <x:v>Other</x:v>
      </x:c>
      <x:c r="J61" s="295" t="str">
        <x:v>Spare Part</x:v>
      </x:c>
      <x:c r="K61" s="295"/>
      <x:c r="L61" s="295"/>
      <x:c r="M61" s="295" t="n">
        <x:v>50</x:v>
      </x:c>
      <x:c r="N61" s="295" t="str">
        <x:v>pcs</x:v>
      </x:c>
      <x:c r="O61" s="296" t="n">
        <x:v>9.5</x:v>
      </x:c>
      <x:c r="P61" s="296" t="n">
        <x:v>475</x:v>
      </x:c>
      <x:c r="Q61" s="296" t="n">
        <x:v>475</x:v>
      </x:c>
      <x:c r="R61" s="296" t="n">
        <x:v>0</x:v>
      </x:c>
      <x:c r="S61" s="295" t="str">
        <x:v>Review</x:v>
      </x:c>
      <x:c r="T61" s="295" t="str">
        <x:v>Low</x:v>
      </x:c>
      <x:c r="U61" s="295" t="str">
        <x:v>Jan_'25Dec_'25_Monthly_StatementSewing_machine_spareparts.pdf</x:v>
      </x:c>
      <x:c r="V61" s="295" t="n">
        <x:v>3</x:v>
      </x:c>
      <x:c r="W61" s="297"/>
    </x:row>
    <x:row r="62">
      <x:c r="A62" s="314" t="str">
        <x:v>2025-03</x:v>
      </x:c>
      <x:c r="B62" s="315" t="n">
        <x:v>45729</x:v>
      </x:c>
      <x:c r="C62" s="295" t="str">
        <x:v>YI-000034</x:v>
      </x:c>
      <x:c r="D62" s="295" t="str">
        <x:v>YI NEW SEWING MACHINE CO., LTD</x:v>
      </x:c>
      <x:c r="E62" s="295" t="str">
        <x:v>機修零件（未清楚辨識）</x:v>
      </x:c>
      <x:c r="F62" s="295" t="str">
        <x:v>HIST25-060</x:v>
      </x:c>
      <x:c r="G62" s="295" t="str">
        <x:v>機修零件（未清楚辨識）</x:v>
      </x:c>
      <x:c r="H62" s="295"/>
      <x:c r="I62" s="295" t="str">
        <x:v>Other</x:v>
      </x:c>
      <x:c r="J62" s="295" t="str">
        <x:v>Spare Part</x:v>
      </x:c>
      <x:c r="K62" s="295"/>
      <x:c r="L62" s="295"/>
      <x:c r="M62" s="295" t="n">
        <x:v>5</x:v>
      </x:c>
      <x:c r="N62" s="295" t="str">
        <x:v>pcs</x:v>
      </x:c>
      <x:c r="O62" s="296" t="n">
        <x:v>4.5</x:v>
      </x:c>
      <x:c r="P62" s="296" t="n">
        <x:v>22.5</x:v>
      </x:c>
      <x:c r="Q62" s="296" t="n">
        <x:v>22.5</x:v>
      </x:c>
      <x:c r="R62" s="296" t="n">
        <x:v>0</x:v>
      </x:c>
      <x:c r="S62" s="295" t="str">
        <x:v>Review</x:v>
      </x:c>
      <x:c r="T62" s="295" t="str">
        <x:v>Low</x:v>
      </x:c>
      <x:c r="U62" s="295" t="str">
        <x:v>Jan_'25Dec_'25_Monthly_StatementSewing_machine_spareparts.pdf</x:v>
      </x:c>
      <x:c r="V62" s="295" t="n">
        <x:v>3</x:v>
      </x:c>
      <x:c r="W62" s="297"/>
    </x:row>
    <x:row r="63">
      <x:c r="A63" s="314" t="str">
        <x:v>2025-03</x:v>
      </x:c>
      <x:c r="B63" s="315" t="n">
        <x:v>45729</x:v>
      </x:c>
      <x:c r="C63" s="295" t="str">
        <x:v>YI-000034</x:v>
      </x:c>
      <x:c r="D63" s="295" t="str">
        <x:v>YI NEW SEWING MACHINE CO., LTD</x:v>
      </x:c>
      <x:c r="E63" s="295" t="str">
        <x:v>機修材料 3x1</x:v>
      </x:c>
      <x:c r="F63" s="295" t="str">
        <x:v>HIST25-061</x:v>
      </x:c>
      <x:c r="G63" s="295" t="str">
        <x:v>機修材料 3x1</x:v>
      </x:c>
      <x:c r="H63" s="295" t="str">
        <x:v>3x1</x:v>
      </x:c>
      <x:c r="I63" s="295" t="str">
        <x:v>Other</x:v>
      </x:c>
      <x:c r="J63" s="295" t="str">
        <x:v>Spare Part</x:v>
      </x:c>
      <x:c r="K63" s="295"/>
      <x:c r="L63" s="295"/>
      <x:c r="M63" s="295" t="n">
        <x:v>1</x:v>
      </x:c>
      <x:c r="N63" s="295" t="str">
        <x:v>Roll</x:v>
      </x:c>
      <x:c r="O63" s="296" t="n">
        <x:v>70</x:v>
      </x:c>
      <x:c r="P63" s="296" t="n">
        <x:v>70</x:v>
      </x:c>
      <x:c r="Q63" s="296" t="n">
        <x:v>70</x:v>
      </x:c>
      <x:c r="R63" s="296" t="n">
        <x:v>0</x:v>
      </x:c>
      <x:c r="S63" s="295" t="str">
        <x:v>Review</x:v>
      </x:c>
      <x:c r="T63" s="295" t="str">
        <x:v>Low</x:v>
      </x:c>
      <x:c r="U63" s="295" t="str">
        <x:v>Jan_'25Dec_'25_Monthly_StatementSewing_machine_spareparts.pdf</x:v>
      </x:c>
      <x:c r="V63" s="295" t="n">
        <x:v>3</x:v>
      </x:c>
      <x:c r="W63" s="297"/>
    </x:row>
    <x:row r="64">
      <x:c r="A64" s="314" t="str">
        <x:v>2025-04</x:v>
      </x:c>
      <x:c r="B64" s="315" t="n">
        <x:v>45773</x:v>
      </x:c>
      <x:c r="C64" s="295" t="str">
        <x:v>YI-000035</x:v>
      </x:c>
      <x:c r="D64" s="295" t="str">
        <x:v>YI NEW SEWING MACHINE CO., LTD</x:v>
      </x:c>
      <x:c r="E64" s="295" t="str">
        <x:v>JJW-830</x:v>
      </x:c>
      <x:c r="F64" s="295" t="str">
        <x:v>CH-JJW830</x:v>
      </x:c>
      <x:c r="G64" s="295" t="str">
        <x:v>JJW-830</x:v>
      </x:c>
      <x:c r="H64" s="295" t="str">
        <x:v>JJW-830</x:v>
      </x:c>
      <x:c r="I64" s="295" t="str">
        <x:v>Consumable/Chemical</x:v>
      </x:c>
      <x:c r="J64" s="295" t="str">
        <x:v>Consumable</x:v>
      </x:c>
      <x:c r="K64" s="295"/>
      <x:c r="L64" s="295" t="str">
        <x:v>Maintenance</x:v>
      </x:c>
      <x:c r="M64" s="295" t="n">
        <x:v>72</x:v>
      </x:c>
      <x:c r="N64" s="295" t="str">
        <x:v>btl</x:v>
      </x:c>
      <x:c r="O64" s="296" t="n">
        <x:v>2.8</x:v>
      </x:c>
      <x:c r="P64" s="296" t="n">
        <x:v>201.6</x:v>
      </x:c>
      <x:c r="Q64" s="296" t="n">
        <x:v>201.6</x:v>
      </x:c>
      <x:c r="R64" s="296" t="n">
        <x:v>0</x:v>
      </x:c>
      <x:c r="S64" s="295" t="str">
        <x:v>Yes</x:v>
      </x:c>
      <x:c r="T64" s="295" t="str">
        <x:v>High</x:v>
      </x:c>
      <x:c r="U64" s="295" t="str">
        <x:v>Jan_'25Dec_'25_Monthly_StatementSewing_machine_spareparts.pdf</x:v>
      </x:c>
      <x:c r="V64" s="295" t="n">
        <x:v>4</x:v>
      </x:c>
      <x:c r="W64" s="297"/>
    </x:row>
    <x:row r="65">
      <x:c r="A65" s="314" t="str">
        <x:v>2025-04</x:v>
      </x:c>
      <x:c r="B65" s="315" t="n">
        <x:v>45773</x:v>
      </x:c>
      <x:c r="C65" s="295" t="str">
        <x:v>YI-000035</x:v>
      </x:c>
      <x:c r="D65" s="295" t="str">
        <x:v>YI NEW SEWING MACHINE CO., LTD</x:v>
      </x:c>
      <x:c r="E65" s="295" t="str">
        <x:v>機修零件（未清楚辨識）</x:v>
      </x:c>
      <x:c r="F65" s="295" t="str">
        <x:v>HIST25-063</x:v>
      </x:c>
      <x:c r="G65" s="295" t="str">
        <x:v>機修零件（未清楚辨識）</x:v>
      </x:c>
      <x:c r="H65" s="295"/>
      <x:c r="I65" s="295" t="str">
        <x:v>Other</x:v>
      </x:c>
      <x:c r="J65" s="295" t="str">
        <x:v>Spare Part</x:v>
      </x:c>
      <x:c r="K65" s="295"/>
      <x:c r="L65" s="295"/>
      <x:c r="M65" s="295" t="n">
        <x:v>1</x:v>
      </x:c>
      <x:c r="N65" s="295" t="str">
        <x:v>pcs</x:v>
      </x:c>
      <x:c r="O65" s="296" t="n">
        <x:v>3</x:v>
      </x:c>
      <x:c r="P65" s="296" t="n">
        <x:v>3</x:v>
      </x:c>
      <x:c r="Q65" s="296" t="n">
        <x:v>3</x:v>
      </x:c>
      <x:c r="R65" s="296" t="n">
        <x:v>0</x:v>
      </x:c>
      <x:c r="S65" s="295" t="str">
        <x:v>Review</x:v>
      </x:c>
      <x:c r="T65" s="295" t="str">
        <x:v>Low</x:v>
      </x:c>
      <x:c r="U65" s="295" t="str">
        <x:v>Jan_'25Dec_'25_Monthly_StatementSewing_machine_spareparts.pdf</x:v>
      </x:c>
      <x:c r="V65" s="295" t="n">
        <x:v>4</x:v>
      </x:c>
      <x:c r="W65" s="297"/>
    </x:row>
    <x:row r="66">
      <x:c r="A66" s="314" t="str">
        <x:v>2025-04</x:v>
      </x:c>
      <x:c r="B66" s="315" t="n">
        <x:v>45773</x:v>
      </x:c>
      <x:c r="C66" s="295" t="str">
        <x:v>YI-000035</x:v>
      </x:c>
      <x:c r="D66" s="295" t="str">
        <x:v>YI NEW SEWING MACHINE CO., LTD</x:v>
      </x:c>
      <x:c r="E66" s="295" t="str">
        <x:v>熨斗鞋 ES-94(A)</x:v>
      </x:c>
      <x:c r="F66" s="295" t="str">
        <x:v>IR-ES94A-SHOE</x:v>
      </x:c>
      <x:c r="G66" s="295" t="str">
        <x:v>熨斗鞋 ES-94(A)</x:v>
      </x:c>
      <x:c r="H66" s="295" t="str">
        <x:v>ES-94(A)</x:v>
      </x:c>
      <x:c r="I66" s="295" t="str">
        <x:v>Ironing/Heat Transfer</x:v>
      </x:c>
      <x:c r="J66" s="295" t="str">
        <x:v>Consumable</x:v>
      </x:c>
      <x:c r="K66" s="295"/>
      <x:c r="L66" s="295" t="str">
        <x:v>Iron</x:v>
      </x:c>
      <x:c r="M66" s="295" t="n">
        <x:v>48</x:v>
      </x:c>
      <x:c r="N66" s="295" t="str">
        <x:v>pcs</x:v>
      </x:c>
      <x:c r="O66" s="296" t="n">
        <x:v>1.8</x:v>
      </x:c>
      <x:c r="P66" s="296" t="n">
        <x:v>86.4</x:v>
      </x:c>
      <x:c r="Q66" s="296" t="n">
        <x:v>86.4</x:v>
      </x:c>
      <x:c r="R66" s="296" t="n">
        <x:v>0</x:v>
      </x:c>
      <x:c r="S66" s="295" t="str">
        <x:v>Yes</x:v>
      </x:c>
      <x:c r="T66" s="295" t="str">
        <x:v>High</x:v>
      </x:c>
      <x:c r="U66" s="295" t="str">
        <x:v>Jan_'25Dec_'25_Monthly_StatementSewing_machine_spareparts.pdf</x:v>
      </x:c>
      <x:c r="V66" s="295" t="n">
        <x:v>4</x:v>
      </x:c>
      <x:c r="W66" s="297"/>
    </x:row>
    <x:row r="67">
      <x:c r="A67" s="314" t="str">
        <x:v>2025-04</x:v>
      </x:c>
      <x:c r="B67" s="315" t="n">
        <x:v>45773</x:v>
      </x:c>
      <x:c r="C67" s="295" t="str">
        <x:v>YI-000035</x:v>
      </x:c>
      <x:c r="D67" s="295" t="str">
        <x:v>YI NEW SEWING MACHINE CO., LTD</x:v>
      </x:c>
      <x:c r="E67" s="295" t="str">
        <x:v>E22 針板</x:v>
      </x:c>
      <x:c r="F67" s="295" t="str">
        <x:v>NP-E22</x:v>
      </x:c>
      <x:c r="G67" s="295" t="str">
        <x:v>E22 針板</x:v>
      </x:c>
      <x:c r="H67" s="295" t="str">
        <x:v>E22</x:v>
      </x:c>
      <x:c r="I67" s="295" t="str">
        <x:v>Needle Plate/Feed Dog</x:v>
      </x:c>
      <x:c r="J67" s="295" t="str">
        <x:v>Spare Part</x:v>
      </x:c>
      <x:c r="K67" s="295"/>
      <x:c r="L67" s="295" t="str">
        <x:v>Single Needle</x:v>
      </x:c>
      <x:c r="M67" s="295" t="n">
        <x:v>20</x:v>
      </x:c>
      <x:c r="N67" s="295" t="str">
        <x:v>pcs</x:v>
      </x:c>
      <x:c r="O67" s="296" t="n">
        <x:v>0.35</x:v>
      </x:c>
      <x:c r="P67" s="296" t="n">
        <x:v>7</x:v>
      </x:c>
      <x:c r="Q67" s="296" t="n">
        <x:v>7</x:v>
      </x:c>
      <x:c r="R67" s="296" t="n">
        <x:v>0</x:v>
      </x:c>
      <x:c r="S67" s="295" t="str">
        <x:v>Yes</x:v>
      </x:c>
      <x:c r="T67" s="295" t="str">
        <x:v>High</x:v>
      </x:c>
      <x:c r="U67" s="295" t="str">
        <x:v>Jan_'25Dec_'25_Monthly_StatementSewing_machine_spareparts.pdf</x:v>
      </x:c>
      <x:c r="V67" s="295" t="n">
        <x:v>4</x:v>
      </x:c>
      <x:c r="W67" s="297"/>
    </x:row>
    <x:row r="68">
      <x:c r="A68" s="314" t="str">
        <x:v>2025-05</x:v>
      </x:c>
      <x:c r="B68" s="315" t="n">
        <x:v>45783</x:v>
      </x:c>
      <x:c r="C68" s="295" t="str">
        <x:v>YI-000036</x:v>
      </x:c>
      <x:c r="D68" s="295" t="str">
        <x:v>YI NEW SEWING MACHINE CO., LTD</x:v>
      </x:c>
      <x:c r="E68" s="295" t="str">
        <x:v>針車油 30L</x:v>
      </x:c>
      <x:c r="F68" s="295" t="str">
        <x:v>CN-SEWING-OIL-30L</x:v>
      </x:c>
      <x:c r="G68" s="295" t="str">
        <x:v>針車油 30L</x:v>
      </x:c>
      <x:c r="H68" s="295" t="str">
        <x:v>30L</x:v>
      </x:c>
      <x:c r="I68" s="295" t="str">
        <x:v>Consumable/Chemical</x:v>
      </x:c>
      <x:c r="J68" s="295" t="str">
        <x:v>Consumable</x:v>
      </x:c>
      <x:c r="K68" s="295"/>
      <x:c r="L68" s="295" t="str">
        <x:v>Sewing Machine</x:v>
      </x:c>
      <x:c r="M68" s="295" t="n">
        <x:v>3</x:v>
      </x:c>
      <x:c r="N68" s="295" t="str">
        <x:v>tub</x:v>
      </x:c>
      <x:c r="O68" s="296" t="n">
        <x:v>45</x:v>
      </x:c>
      <x:c r="P68" s="296" t="n">
        <x:v>135</x:v>
      </x:c>
      <x:c r="Q68" s="296" t="n">
        <x:v>135</x:v>
      </x:c>
      <x:c r="R68" s="296" t="n">
        <x:v>0</x:v>
      </x:c>
      <x:c r="S68" s="295" t="str">
        <x:v>Yes</x:v>
      </x:c>
      <x:c r="T68" s="295" t="str">
        <x:v>High</x:v>
      </x:c>
      <x:c r="U68" s="295" t="str">
        <x:v>Jan_'25Dec_'25_Monthly_StatementSewing_machine_spareparts.pdf</x:v>
      </x:c>
      <x:c r="V68" s="295" t="n">
        <x:v>5</x:v>
      </x:c>
      <x:c r="W68" s="297"/>
    </x:row>
    <x:row r="69">
      <x:c r="A69" s="314" t="str">
        <x:v>2025-05</x:v>
      </x:c>
      <x:c r="B69" s="315" t="n">
        <x:v>45783</x:v>
      </x:c>
      <x:c r="C69" s="295" t="str">
        <x:v>YI-000036</x:v>
      </x:c>
      <x:c r="D69" s="295" t="str">
        <x:v>YI NEW SEWING MACHINE CO., LTD</x:v>
      </x:c>
      <x:c r="E69" s="295" t="str">
        <x:v>機修耗材（box）</x:v>
      </x:c>
      <x:c r="F69" s="295" t="str">
        <x:v>HIST25-067</x:v>
      </x:c>
      <x:c r="G69" s="295" t="str">
        <x:v>機修耗材（box）</x:v>
      </x:c>
      <x:c r="H69" s="295"/>
      <x:c r="I69" s="295" t="str">
        <x:v>Other</x:v>
      </x:c>
      <x:c r="J69" s="295" t="str">
        <x:v>Spare Part</x:v>
      </x:c>
      <x:c r="K69" s="295"/>
      <x:c r="L69" s="295"/>
      <x:c r="M69" s="295" t="n">
        <x:v>3</x:v>
      </x:c>
      <x:c r="N69" s="295" t="str">
        <x:v>box</x:v>
      </x:c>
      <x:c r="O69" s="296" t="n">
        <x:v>0.6</x:v>
      </x:c>
      <x:c r="P69" s="296" t="n">
        <x:v>1.8</x:v>
      </x:c>
      <x:c r="Q69" s="296" t="n">
        <x:v>1.8</x:v>
      </x:c>
      <x:c r="R69" s="296" t="n">
        <x:v>0</x:v>
      </x:c>
      <x:c r="S69" s="295" t="str">
        <x:v>Review</x:v>
      </x:c>
      <x:c r="T69" s="295" t="str">
        <x:v>Low</x:v>
      </x:c>
      <x:c r="U69" s="295" t="str">
        <x:v>Jan_'25Dec_'25_Monthly_StatementSewing_machine_spareparts.pdf</x:v>
      </x:c>
      <x:c r="V69" s="295" t="n">
        <x:v>5</x:v>
      </x:c>
      <x:c r="W69" s="297"/>
    </x:row>
    <x:row r="70">
      <x:c r="A70" s="314" t="str">
        <x:v>2025-05</x:v>
      </x:c>
      <x:c r="B70" s="315" t="n">
        <x:v>45783</x:v>
      </x:c>
      <x:c r="C70" s="295" t="str">
        <x:v>YI-000036</x:v>
      </x:c>
      <x:c r="D70" s="295" t="str">
        <x:v>YI NEW SEWING MACHINE CO., LTD</x:v>
      </x:c>
      <x:c r="E70" s="295" t="str">
        <x:v>機修耗材（box）</x:v>
      </x:c>
      <x:c r="F70" s="295" t="str">
        <x:v>HIST25-068</x:v>
      </x:c>
      <x:c r="G70" s="295" t="str">
        <x:v>機修耗材（box）</x:v>
      </x:c>
      <x:c r="H70" s="295"/>
      <x:c r="I70" s="295" t="str">
        <x:v>Other</x:v>
      </x:c>
      <x:c r="J70" s="295" t="str">
        <x:v>Spare Part</x:v>
      </x:c>
      <x:c r="K70" s="295"/>
      <x:c r="L70" s="295"/>
      <x:c r="M70" s="295" t="n">
        <x:v>3</x:v>
      </x:c>
      <x:c r="N70" s="295" t="str">
        <x:v>box</x:v>
      </x:c>
      <x:c r="O70" s="296" t="n">
        <x:v>0.3</x:v>
      </x:c>
      <x:c r="P70" s="296" t="n">
        <x:v>0.9</x:v>
      </x:c>
      <x:c r="Q70" s="296" t="n">
        <x:v>0.9</x:v>
      </x:c>
      <x:c r="R70" s="296" t="n">
        <x:v>0</x:v>
      </x:c>
      <x:c r="S70" s="295" t="str">
        <x:v>Review</x:v>
      </x:c>
      <x:c r="T70" s="295" t="str">
        <x:v>Low</x:v>
      </x:c>
      <x:c r="U70" s="295" t="str">
        <x:v>Jan_'25Dec_'25_Monthly_StatementSewing_machine_spareparts.pdf</x:v>
      </x:c>
      <x:c r="V70" s="295" t="n">
        <x:v>5</x:v>
      </x:c>
      <x:c r="W70" s="297"/>
    </x:row>
    <x:row r="71">
      <x:c r="A71" s="314" t="str">
        <x:v>2025-05</x:v>
      </x:c>
      <x:c r="B71" s="315" t="n">
        <x:v>45783</x:v>
      </x:c>
      <x:c r="C71" s="295" t="str">
        <x:v>YI-000036</x:v>
      </x:c>
      <x:c r="D71" s="295" t="str">
        <x:v>YI NEW SEWING MACHINE CO., LTD</x:v>
      </x:c>
      <x:c r="E71" s="295" t="str">
        <x:v>機修零件（未清楚辨識）</x:v>
      </x:c>
      <x:c r="F71" s="295" t="str">
        <x:v>HIST25-069</x:v>
      </x:c>
      <x:c r="G71" s="295" t="str">
        <x:v>機修零件（未清楚辨識）</x:v>
      </x:c>
      <x:c r="H71" s="295"/>
      <x:c r="I71" s="295" t="str">
        <x:v>Other</x:v>
      </x:c>
      <x:c r="J71" s="295" t="str">
        <x:v>Spare Part</x:v>
      </x:c>
      <x:c r="K71" s="295"/>
      <x:c r="L71" s="295"/>
      <x:c r="M71" s="295" t="n">
        <x:v>10</x:v>
      </x:c>
      <x:c r="N71" s="295" t="str">
        <x:v>pcs</x:v>
      </x:c>
      <x:c r="O71" s="296" t="n">
        <x:v>3.85</x:v>
      </x:c>
      <x:c r="P71" s="296" t="n">
        <x:v>38.5</x:v>
      </x:c>
      <x:c r="Q71" s="296" t="n">
        <x:v>38.5</x:v>
      </x:c>
      <x:c r="R71" s="296" t="n">
        <x:v>0</x:v>
      </x:c>
      <x:c r="S71" s="295" t="str">
        <x:v>Review</x:v>
      </x:c>
      <x:c r="T71" s="295" t="str">
        <x:v>Low</x:v>
      </x:c>
      <x:c r="U71" s="295" t="str">
        <x:v>Jan_'25Dec_'25_Monthly_StatementSewing_machine_spareparts.pdf</x:v>
      </x:c>
      <x:c r="V71" s="295" t="n">
        <x:v>5</x:v>
      </x:c>
      <x:c r="W71" s="297"/>
    </x:row>
    <x:row r="72">
      <x:c r="A72" s="314" t="str">
        <x:v>2025-05</x:v>
      </x:c>
      <x:c r="B72" s="315" t="n">
        <x:v>45783</x:v>
      </x:c>
      <x:c r="C72" s="295" t="str">
        <x:v>YI-000036</x:v>
      </x:c>
      <x:c r="D72" s="295" t="str">
        <x:v>YI NEW SEWING MACHINE CO., LTD</x:v>
      </x:c>
      <x:c r="E72" s="295" t="str">
        <x:v>編號紙 #5</x:v>
      </x:c>
      <x:c r="F72" s="295" t="str">
        <x:v>CN-NUMBER-PAPER-5</x:v>
      </x:c>
      <x:c r="G72" s="295" t="str">
        <x:v>編號紙 #5</x:v>
      </x:c>
      <x:c r="H72" s="295" t="str">
        <x:v>No.5</x:v>
      </x:c>
      <x:c r="I72" s="295" t="str">
        <x:v>Consumable/Chemical</x:v>
      </x:c>
      <x:c r="J72" s="295" t="str">
        <x:v>Consumable</x:v>
      </x:c>
      <x:c r="K72" s="295"/>
      <x:c r="L72" s="295" t="str">
        <x:v>Cutting/Bundle</x:v>
      </x:c>
      <x:c r="M72" s="295" t="n">
        <x:v>5</x:v>
      </x:c>
      <x:c r="N72" s="295" t="str">
        <x:v>box</x:v>
      </x:c>
      <x:c r="O72" s="296" t="n">
        <x:v>110</x:v>
      </x:c>
      <x:c r="P72" s="296" t="n">
        <x:v>550</x:v>
      </x:c>
      <x:c r="Q72" s="296" t="n">
        <x:v>550</x:v>
      </x:c>
      <x:c r="R72" s="296" t="n">
        <x:v>0</x:v>
      </x:c>
      <x:c r="S72" s="295" t="str">
        <x:v>Yes</x:v>
      </x:c>
      <x:c r="T72" s="295" t="str">
        <x:v>High</x:v>
      </x:c>
      <x:c r="U72" s="295" t="str">
        <x:v>Jan_'25Dec_'25_Monthly_StatementSewing_machine_spareparts.pdf</x:v>
      </x:c>
      <x:c r="V72" s="295" t="n">
        <x:v>5</x:v>
      </x:c>
      <x:c r="W72" s="297"/>
    </x:row>
    <x:row r="73">
      <x:c r="A73" s="314" t="str">
        <x:v>2025-05</x:v>
      </x:c>
      <x:c r="B73" s="315" t="n">
        <x:v>45783</x:v>
      </x:c>
      <x:c r="C73" s="295" t="str">
        <x:v>YI-000036</x:v>
      </x:c>
      <x:c r="D73" s="295" t="str">
        <x:v>YI NEW SEWING MACHINE CO., LTD</x:v>
      </x:c>
      <x:c r="E73" s="295" t="str">
        <x:v>502 膠水（大瓶）</x:v>
      </x:c>
      <x:c r="F73" s="295" t="str">
        <x:v>CH-502-GLUE-LARGE</x:v>
      </x:c>
      <x:c r="G73" s="295" t="str">
        <x:v>502膠水（大瓶）</x:v>
      </x:c>
      <x:c r="H73" s="295" t="str">
        <x:v>Large Bottle</x:v>
      </x:c>
      <x:c r="I73" s="295" t="str">
        <x:v>Consumable/Chemical</x:v>
      </x:c>
      <x:c r="J73" s="295" t="str">
        <x:v>Consumable</x:v>
      </x:c>
      <x:c r="K73" s="295"/>
      <x:c r="L73" s="295" t="str">
        <x:v>Maintenance</x:v>
      </x:c>
      <x:c r="M73" s="295" t="n">
        <x:v>10</x:v>
      </x:c>
      <x:c r="N73" s="295" t="str">
        <x:v>pcs</x:v>
      </x:c>
      <x:c r="O73" s="296" t="n">
        <x:v>0.65</x:v>
      </x:c>
      <x:c r="P73" s="296" t="n">
        <x:v>6.5</x:v>
      </x:c>
      <x:c r="Q73" s="296" t="n">
        <x:v>6.5</x:v>
      </x:c>
      <x:c r="R73" s="296" t="n">
        <x:v>0</x:v>
      </x:c>
      <x:c r="S73" s="295" t="str">
        <x:v>Yes</x:v>
      </x:c>
      <x:c r="T73" s="295" t="str">
        <x:v>High</x:v>
      </x:c>
      <x:c r="U73" s="295" t="str">
        <x:v>Jan_'25Dec_'25_Monthly_StatementSewing_machine_spareparts.pdf</x:v>
      </x:c>
      <x:c r="V73" s="295" t="n">
        <x:v>5</x:v>
      </x:c>
      <x:c r="W73" s="297"/>
    </x:row>
    <x:row r="74">
      <x:c r="A74" s="314" t="str">
        <x:v>2025-05</x:v>
      </x:c>
      <x:c r="B74" s="315" t="n">
        <x:v>45794</x:v>
      </x:c>
      <x:c r="C74" s="295" t="str">
        <x:v>YI-000037</x:v>
      </x:c>
      <x:c r="D74" s="295" t="str">
        <x:v>YI NEW SEWING MACHINE CO., LTD</x:v>
      </x:c>
      <x:c r="E74" s="295" t="str">
        <x:v>環球沙剪/沙剪刀</x:v>
      </x:c>
      <x:c r="F74" s="295" t="str">
        <x:v>TL-THREAD-SNIP-GLOBE</x:v>
      </x:c>
      <x:c r="G74" s="295" t="str">
        <x:v>環球沙剪</x:v>
      </x:c>
      <x:c r="H74" s="295" t="str">
        <x:v>Thread Snip</x:v>
      </x:c>
      <x:c r="I74" s="295" t="str">
        <x:v>Tools</x:v>
      </x:c>
      <x:c r="J74" s="295" t="str">
        <x:v>Tool</x:v>
      </x:c>
      <x:c r="K74" s="295" t="str">
        <x:v>環球</x:v>
      </x:c>
      <x:c r="L74" s="295" t="str">
        <x:v>Sewing</x:v>
      </x:c>
      <x:c r="M74" s="295" t="n">
        <x:v>13</x:v>
      </x:c>
      <x:c r="N74" s="295" t="str">
        <x:v>打</x:v>
      </x:c>
      <x:c r="O74" s="296" t="n">
        <x:v>2.3</x:v>
      </x:c>
      <x:c r="P74" s="296" t="n">
        <x:v>29.9</x:v>
      </x:c>
      <x:c r="Q74" s="296" t="n">
        <x:v>29.9</x:v>
      </x:c>
      <x:c r="R74" s="296" t="n">
        <x:v>0</x:v>
      </x:c>
      <x:c r="S74" s="295" t="str">
        <x:v>Yes</x:v>
      </x:c>
      <x:c r="T74" s="295" t="str">
        <x:v>High</x:v>
      </x:c>
      <x:c r="U74" s="295" t="str">
        <x:v>Jan_'25Dec_'25_Monthly_StatementSewing_machine_spareparts.pdf</x:v>
      </x:c>
      <x:c r="V74" s="295" t="n">
        <x:v>5</x:v>
      </x:c>
      <x:c r="W74" s="297"/>
    </x:row>
    <x:row r="75">
      <x:c r="A75" s="314" t="str">
        <x:v>2025-05</x:v>
      </x:c>
      <x:c r="B75" s="315" t="n">
        <x:v>45794</x:v>
      </x:c>
      <x:c r="C75" s="295" t="str">
        <x:v>YI-000037</x:v>
      </x:c>
      <x:c r="D75" s="295" t="str">
        <x:v>YI NEW SEWING MACHINE CO., LTD</x:v>
      </x:c>
      <x:c r="E75" s="295" t="str">
        <x:v>機修耗材（瓶）</x:v>
      </x:c>
      <x:c r="F75" s="295" t="str">
        <x:v>HIST25-073</x:v>
      </x:c>
      <x:c r="G75" s="295" t="str">
        <x:v>機修耗材（瓶）</x:v>
      </x:c>
      <x:c r="H75" s="295"/>
      <x:c r="I75" s="295" t="str">
        <x:v>Other</x:v>
      </x:c>
      <x:c r="J75" s="295" t="str">
        <x:v>Spare Part</x:v>
      </x:c>
      <x:c r="K75" s="295"/>
      <x:c r="L75" s="295"/>
      <x:c r="M75" s="295" t="n">
        <x:v>4</x:v>
      </x:c>
      <x:c r="N75" s="295" t="str">
        <x:v>瓶</x:v>
      </x:c>
      <x:c r="O75" s="296" t="n">
        <x:v>7.5</x:v>
      </x:c>
      <x:c r="P75" s="296" t="n">
        <x:v>30</x:v>
      </x:c>
      <x:c r="Q75" s="296" t="n">
        <x:v>30</x:v>
      </x:c>
      <x:c r="R75" s="296" t="n">
        <x:v>0</x:v>
      </x:c>
      <x:c r="S75" s="295" t="str">
        <x:v>Review</x:v>
      </x:c>
      <x:c r="T75" s="295" t="str">
        <x:v>Low</x:v>
      </x:c>
      <x:c r="U75" s="295" t="str">
        <x:v>Jan_'25Dec_'25_Monthly_StatementSewing_machine_spareparts.pdf</x:v>
      </x:c>
      <x:c r="V75" s="295" t="n">
        <x:v>5</x:v>
      </x:c>
      <x:c r="W75" s="297"/>
    </x:row>
    <x:row r="76">
      <x:c r="A76" s="314" t="str">
        <x:v>2025-05</x:v>
      </x:c>
      <x:c r="B76" s="315" t="n">
        <x:v>45794</x:v>
      </x:c>
      <x:c r="C76" s="295" t="str">
        <x:v>YI-000037</x:v>
      </x:c>
      <x:c r="D76" s="295" t="str">
        <x:v>YI NEW SEWING MACHINE CO., LTD</x:v>
      </x:c>
      <x:c r="E76" s="295" t="str">
        <x:v>螺絲起子 #24</x:v>
      </x:c>
      <x:c r="F76" s="295" t="str">
        <x:v>HIST25-074</x:v>
      </x:c>
      <x:c r="G76" s="295" t="str">
        <x:v>螺絲起子 #24</x:v>
      </x:c>
      <x:c r="H76" s="295" t="str">
        <x:v>#24</x:v>
      </x:c>
      <x:c r="I76" s="295" t="str">
        <x:v>Tools</x:v>
      </x:c>
      <x:c r="J76" s="295" t="str">
        <x:v>Tool</x:v>
      </x:c>
      <x:c r="K76" s="295"/>
      <x:c r="L76" s="295"/>
      <x:c r="M76" s="295" t="n">
        <x:v>1</x:v>
      </x:c>
      <x:c r="N76" s="295" t="str">
        <x:v>支</x:v>
      </x:c>
      <x:c r="O76" s="296" t="n">
        <x:v>4.8</x:v>
      </x:c>
      <x:c r="P76" s="296" t="n">
        <x:v>4.8</x:v>
      </x:c>
      <x:c r="Q76" s="296" t="n">
        <x:v>4.8</x:v>
      </x:c>
      <x:c r="R76" s="296" t="n">
        <x:v>0</x:v>
      </x:c>
      <x:c r="S76" s="295" t="str">
        <x:v>Yes</x:v>
      </x:c>
      <x:c r="T76" s="295" t="str">
        <x:v>High</x:v>
      </x:c>
      <x:c r="U76" s="295" t="str">
        <x:v>Jan_'25Dec_'25_Monthly_StatementSewing_machine_spareparts.pdf</x:v>
      </x:c>
      <x:c r="V76" s="295" t="n">
        <x:v>5</x:v>
      </x:c>
      <x:c r="W76" s="297"/>
    </x:row>
    <x:row r="77">
      <x:c r="A77" s="314" t="str">
        <x:v>2025-05</x:v>
      </x:c>
      <x:c r="B77" s="315" t="n">
        <x:v>45794</x:v>
      </x:c>
      <x:c r="C77" s="295" t="str">
        <x:v>YI-000037</x:v>
      </x:c>
      <x:c r="D77" s="295" t="str">
        <x:v>YI NEW SEWING MACHINE CO., LTD</x:v>
      </x:c>
      <x:c r="E77" s="295" t="str">
        <x:v>機修鉗具</x:v>
      </x:c>
      <x:c r="F77" s="295" t="str">
        <x:v>HIST25-075</x:v>
      </x:c>
      <x:c r="G77" s="295" t="str">
        <x:v>機修鉗具</x:v>
      </x:c>
      <x:c r="H77" s="295"/>
      <x:c r="I77" s="295" t="str">
        <x:v>Tools</x:v>
      </x:c>
      <x:c r="J77" s="295" t="str">
        <x:v>Tool</x:v>
      </x:c>
      <x:c r="K77" s="295"/>
      <x:c r="L77" s="295"/>
      <x:c r="M77" s="295" t="n">
        <x:v>2</x:v>
      </x:c>
      <x:c r="N77" s="295" t="str">
        <x:v>把</x:v>
      </x:c>
      <x:c r="O77" s="296" t="n">
        <x:v>7.5</x:v>
      </x:c>
      <x:c r="P77" s="296" t="n">
        <x:v>15</x:v>
      </x:c>
      <x:c r="Q77" s="296" t="n">
        <x:v>15</x:v>
      </x:c>
      <x:c r="R77" s="296" t="n">
        <x:v>0</x:v>
      </x:c>
      <x:c r="S77" s="295" t="str">
        <x:v>Yes</x:v>
      </x:c>
      <x:c r="T77" s="295" t="str">
        <x:v>Medium</x:v>
      </x:c>
      <x:c r="U77" s="295" t="str">
        <x:v>Jan_'25Dec_'25_Monthly_StatementSewing_machine_spareparts.pdf</x:v>
      </x:c>
      <x:c r="V77" s="295" t="n">
        <x:v>5</x:v>
      </x:c>
      <x:c r="W77" s="297"/>
    </x:row>
    <x:row r="78">
      <x:c r="A78" s="314" t="str">
        <x:v>2025-05</x:v>
      </x:c>
      <x:c r="B78" s="315" t="n">
        <x:v>45794</x:v>
      </x:c>
      <x:c r="C78" s="295" t="str">
        <x:v>YI-000037</x:v>
      </x:c>
      <x:c r="D78" s="295" t="str">
        <x:v>YI NEW SEWING MACHINE CO., LTD</x:v>
      </x:c>
      <x:c r="E78" s="295" t="str">
        <x:v>機修剪刀</x:v>
      </x:c>
      <x:c r="F78" s="295" t="str">
        <x:v>HIST25-076</x:v>
      </x:c>
      <x:c r="G78" s="295" t="str">
        <x:v>機修剪刀</x:v>
      </x:c>
      <x:c r="H78" s="295"/>
      <x:c r="I78" s="295" t="str">
        <x:v>Tools</x:v>
      </x:c>
      <x:c r="J78" s="295" t="str">
        <x:v>Tool</x:v>
      </x:c>
      <x:c r="K78" s="295"/>
      <x:c r="L78" s="295"/>
      <x:c r="M78" s="295" t="n">
        <x:v>3</x:v>
      </x:c>
      <x:c r="N78" s="295" t="str">
        <x:v>把</x:v>
      </x:c>
      <x:c r="O78" s="296" t="n">
        <x:v>7</x:v>
      </x:c>
      <x:c r="P78" s="296" t="n">
        <x:v>21</x:v>
      </x:c>
      <x:c r="Q78" s="296" t="n">
        <x:v>21</x:v>
      </x:c>
      <x:c r="R78" s="296" t="n">
        <x:v>0</x:v>
      </x:c>
      <x:c r="S78" s="295" t="str">
        <x:v>Yes</x:v>
      </x:c>
      <x:c r="T78" s="295" t="str">
        <x:v>Medium</x:v>
      </x:c>
      <x:c r="U78" s="295" t="str">
        <x:v>Jan_'25Dec_'25_Monthly_StatementSewing_machine_spareparts.pdf</x:v>
      </x:c>
      <x:c r="V78" s="295" t="n">
        <x:v>5</x:v>
      </x:c>
      <x:c r="W78" s="297"/>
    </x:row>
    <x:row r="79">
      <x:c r="A79" s="314" t="str">
        <x:v>2025-06</x:v>
      </x:c>
      <x:c r="B79" s="315" t="n">
        <x:v>45819</x:v>
      </x:c>
      <x:c r="C79" s="295" t="str">
        <x:v>YI-000038</x:v>
      </x:c>
      <x:c r="D79" s="295" t="str">
        <x:v>YI NEW SEWING MACHINE CO., LTD</x:v>
      </x:c>
      <x:c r="E79" s="295" t="str">
        <x:v>DJW-823</x:v>
      </x:c>
      <x:c r="F79" s="295" t="str">
        <x:v>CH-DJW823</x:v>
      </x:c>
      <x:c r="G79" s="295" t="str">
        <x:v>DJW-823</x:v>
      </x:c>
      <x:c r="H79" s="295" t="str">
        <x:v>DJW-823</x:v>
      </x:c>
      <x:c r="I79" s="295" t="str">
        <x:v>Consumable/Chemical</x:v>
      </x:c>
      <x:c r="J79" s="295" t="str">
        <x:v>Consumable</x:v>
      </x:c>
      <x:c r="K79" s="295"/>
      <x:c r="L79" s="295"/>
      <x:c r="M79" s="295" t="n">
        <x:v>10</x:v>
      </x:c>
      <x:c r="N79" s="295" t="str">
        <x:v>瓶</x:v>
      </x:c>
      <x:c r="O79" s="296" t="n">
        <x:v>6.5</x:v>
      </x:c>
      <x:c r="P79" s="296" t="n">
        <x:v>65</x:v>
      </x:c>
      <x:c r="Q79" s="296" t="n">
        <x:v>65</x:v>
      </x:c>
      <x:c r="R79" s="296" t="n">
        <x:v>0</x:v>
      </x:c>
      <x:c r="S79" s="295" t="str">
        <x:v>Yes</x:v>
      </x:c>
      <x:c r="T79" s="295" t="str">
        <x:v>High</x:v>
      </x:c>
      <x:c r="U79" s="295" t="str">
        <x:v>Jan_'25Dec_'25_Monthly_StatementSewing_machine_spareparts.pdf</x:v>
      </x:c>
      <x:c r="V79" s="295" t="n">
        <x:v>6</x:v>
      </x:c>
      <x:c r="W79" s="297"/>
    </x:row>
    <x:row r="80">
      <x:c r="A80" s="314" t="str">
        <x:v>2025-06</x:v>
      </x:c>
      <x:c r="B80" s="315" t="n">
        <x:v>45819</x:v>
      </x:c>
      <x:c r="C80" s="295" t="str">
        <x:v>YI-000038</x:v>
      </x:c>
      <x:c r="D80" s="295" t="str">
        <x:v>YI NEW SEWING MACHINE CO., LTD</x:v>
      </x:c>
      <x:c r="E80" s="295" t="str">
        <x:v>京木扳手六角</x:v>
      </x:c>
      <x:c r="F80" s="295" t="str">
        <x:v>TL-HEX-WRENCH-JINGMU</x:v>
      </x:c>
      <x:c r="G80" s="295" t="str">
        <x:v>京木六角扳手</x:v>
      </x:c>
      <x:c r="H80" s="295" t="str">
        <x:v>Set</x:v>
      </x:c>
      <x:c r="I80" s="295" t="str">
        <x:v>Tools</x:v>
      </x:c>
      <x:c r="J80" s="295" t="str">
        <x:v>Tool</x:v>
      </x:c>
      <x:c r="K80" s="295" t="str">
        <x:v>京木</x:v>
      </x:c>
      <x:c r="L80" s="295" t="str">
        <x:v>Maintenance</x:v>
      </x:c>
      <x:c r="M80" s="295" t="n">
        <x:v>1</x:v>
      </x:c>
      <x:c r="N80" s="295" t="str">
        <x:v>套</x:v>
      </x:c>
      <x:c r="O80" s="296" t="n">
        <x:v>20</x:v>
      </x:c>
      <x:c r="P80" s="296" t="n">
        <x:v>20</x:v>
      </x:c>
      <x:c r="Q80" s="296" t="n">
        <x:v>20</x:v>
      </x:c>
      <x:c r="R80" s="296" t="n">
        <x:v>0</x:v>
      </x:c>
      <x:c r="S80" s="295" t="str">
        <x:v>Yes</x:v>
      </x:c>
      <x:c r="T80" s="295" t="str">
        <x:v>High</x:v>
      </x:c>
      <x:c r="U80" s="295" t="str">
        <x:v>Jan_'25Dec_'25_Monthly_StatementSewing_machine_spareparts.pdf</x:v>
      </x:c>
      <x:c r="V80" s="295" t="n">
        <x:v>6</x:v>
      </x:c>
      <x:c r="W80" s="297"/>
    </x:row>
    <x:row r="81">
      <x:c r="A81" s="314" t="str">
        <x:v>2025-06</x:v>
      </x:c>
      <x:c r="B81" s="315" t="n">
        <x:v>45819</x:v>
      </x:c>
      <x:c r="C81" s="295" t="str">
        <x:v>YI-000038</x:v>
      </x:c>
      <x:c r="D81" s="295" t="str">
        <x:v>YI NEW SEWING MACHINE CO., LTD</x:v>
      </x:c>
      <x:c r="E81" s="295" t="str">
        <x:v>VC008橡筋架組</x:v>
      </x:c>
      <x:c r="F81" s="295" t="str">
        <x:v>SP-VC008-ELASTIC-RACK</x:v>
      </x:c>
      <x:c r="G81" s="295" t="str">
        <x:v>VC008橡筋架組</x:v>
      </x:c>
      <x:c r="H81" s="295" t="str">
        <x:v>VC008</x:v>
      </x:c>
      <x:c r="I81" s="295" t="str">
        <x:v>Other</x:v>
      </x:c>
      <x:c r="J81" s="295" t="str">
        <x:v>Spare Part</x:v>
      </x:c>
      <x:c r="K81" s="295"/>
      <x:c r="L81" s="295" t="str">
        <x:v>Sewing</x:v>
      </x:c>
      <x:c r="M81" s="295" t="n">
        <x:v>25</x:v>
      </x:c>
      <x:c r="N81" s="295" t="str">
        <x:v>個</x:v>
      </x:c>
      <x:c r="O81" s="296" t="n">
        <x:v>20</x:v>
      </x:c>
      <x:c r="P81" s="296" t="n">
        <x:v>500</x:v>
      </x:c>
      <x:c r="Q81" s="296" t="n">
        <x:v>500</x:v>
      </x:c>
      <x:c r="R81" s="296" t="n">
        <x:v>0</x:v>
      </x:c>
      <x:c r="S81" s="295" t="str">
        <x:v>Yes</x:v>
      </x:c>
      <x:c r="T81" s="295" t="str">
        <x:v>High</x:v>
      </x:c>
      <x:c r="U81" s="295" t="str">
        <x:v>Jan_'25Dec_'25_Monthly_StatementSewing_machine_spareparts.pdf</x:v>
      </x:c>
      <x:c r="V81" s="295" t="n">
        <x:v>6</x:v>
      </x:c>
      <x:c r="W81" s="297"/>
    </x:row>
    <x:row r="82">
      <x:c r="A82" s="314" t="str">
        <x:v>2025-06</x:v>
      </x:c>
      <x:c r="B82" s="315" t="n">
        <x:v>45819</x:v>
      </x:c>
      <x:c r="C82" s="295" t="str">
        <x:v>YI-000038</x:v>
      </x:c>
      <x:c r="D82" s="295" t="str">
        <x:v>YI NEW SEWING MACHINE CO., LTD</x:v>
      </x:c>
      <x:c r="E82" s="295" t="str">
        <x:v>鎖頭（小）</x:v>
      </x:c>
      <x:c r="F82" s="295" t="str">
        <x:v>HIST25-080</x:v>
      </x:c>
      <x:c r="G82" s="295" t="str">
        <x:v>鎖頭（小）</x:v>
      </x:c>
      <x:c r="H82" s="295"/>
      <x:c r="I82" s="295" t="str">
        <x:v>Tools</x:v>
      </x:c>
      <x:c r="J82" s="295" t="str">
        <x:v>Tool</x:v>
      </x:c>
      <x:c r="K82" s="295"/>
      <x:c r="L82" s="295"/>
      <x:c r="M82" s="295" t="n">
        <x:v>3</x:v>
      </x:c>
      <x:c r="N82" s="295" t="str">
        <x:v>個</x:v>
      </x:c>
      <x:c r="O82" s="296" t="n">
        <x:v>2.5</x:v>
      </x:c>
      <x:c r="P82" s="296" t="n">
        <x:v>7.5</x:v>
      </x:c>
      <x:c r="Q82" s="296" t="n">
        <x:v>7.5</x:v>
      </x:c>
      <x:c r="R82" s="296" t="n">
        <x:v>0</x:v>
      </x:c>
      <x:c r="S82" s="295" t="str">
        <x:v>Yes</x:v>
      </x:c>
      <x:c r="T82" s="295" t="str">
        <x:v>High</x:v>
      </x:c>
      <x:c r="U82" s="295" t="str">
        <x:v>Jan_'25Dec_'25_Monthly_StatementSewing_machine_spareparts.pdf</x:v>
      </x:c>
      <x:c r="V82" s="295" t="n">
        <x:v>6</x:v>
      </x:c>
      <x:c r="W82" s="297"/>
    </x:row>
    <x:row r="83">
      <x:c r="A83" s="314" t="str">
        <x:v>2025-06</x:v>
      </x:c>
      <x:c r="B83" s="315" t="n">
        <x:v>45819</x:v>
      </x:c>
      <x:c r="C83" s="295" t="str">
        <x:v>YI-000038</x:v>
      </x:c>
      <x:c r="D83" s="295" t="str">
        <x:v>YI NEW SEWING MACHINE CO., LTD</x:v>
      </x:c>
      <x:c r="E83" s="295" t="str">
        <x:v>不鏽鋼直尺</x:v>
      </x:c>
      <x:c r="F83" s="295" t="str">
        <x:v>TL-SS-RULER</x:v>
      </x:c>
      <x:c r="G83" s="295" t="str">
        <x:v>不鏽鋼直尺</x:v>
      </x:c>
      <x:c r="H83" s="295" t="str">
        <x:v>30cm</x:v>
      </x:c>
      <x:c r="I83" s="295" t="str">
        <x:v>Tools</x:v>
      </x:c>
      <x:c r="J83" s="295" t="str">
        <x:v>Tool</x:v>
      </x:c>
      <x:c r="K83" s="295"/>
      <x:c r="L83" s="295"/>
      <x:c r="M83" s="295" t="n">
        <x:v>1</x:v>
      </x:c>
      <x:c r="N83" s="295" t="str">
        <x:v>個</x:v>
      </x:c>
      <x:c r="O83" s="296" t="n">
        <x:v>3</x:v>
      </x:c>
      <x:c r="P83" s="296" t="n">
        <x:v>3</x:v>
      </x:c>
      <x:c r="Q83" s="296" t="n">
        <x:v>3</x:v>
      </x:c>
      <x:c r="R83" s="296" t="n">
        <x:v>0</x:v>
      </x:c>
      <x:c r="S83" s="295" t="str">
        <x:v>Yes</x:v>
      </x:c>
      <x:c r="T83" s="295" t="str">
        <x:v>High</x:v>
      </x:c>
      <x:c r="U83" s="295" t="str">
        <x:v>Jan_'25Dec_'25_Monthly_StatementSewing_machine_spareparts.pdf</x:v>
      </x:c>
      <x:c r="V83" s="295" t="n">
        <x:v>6</x:v>
      </x:c>
      <x:c r="W83" s="297"/>
    </x:row>
    <x:row r="84">
      <x:c r="A84" s="314" t="str">
        <x:v>2025-06</x:v>
      </x:c>
      <x:c r="B84" s="315" t="n">
        <x:v>45821</x:v>
      </x:c>
      <x:c r="C84" s="295" t="str">
        <x:v>YI-000039</x:v>
      </x:c>
      <x:c r="D84" s="295" t="str">
        <x:v>YI NEW SEWING MACHINE CO., LTD</x:v>
      </x:c>
      <x:c r="E84" s="295" t="str">
        <x:v>VC008橡筋輔助擋邊組</x:v>
      </x:c>
      <x:c r="F84" s="295" t="str">
        <x:v>SP-VC008-GUIDE-SET</x:v>
      </x:c>
      <x:c r="G84" s="295" t="str">
        <x:v>VC008橡筋輔助擋邊組</x:v>
      </x:c>
      <x:c r="H84" s="295" t="str">
        <x:v>VC008</x:v>
      </x:c>
      <x:c r="I84" s="295" t="str">
        <x:v>Other</x:v>
      </x:c>
      <x:c r="J84" s="295" t="str">
        <x:v>Spare Part</x:v>
      </x:c>
      <x:c r="K84" s="295"/>
      <x:c r="L84" s="295" t="str">
        <x:v>Sewing</x:v>
      </x:c>
      <x:c r="M84" s="295" t="n">
        <x:v>8</x:v>
      </x:c>
      <x:c r="N84" s="295" t="str">
        <x:v>組</x:v>
      </x:c>
      <x:c r="O84" s="296" t="n">
        <x:v>6.5</x:v>
      </x:c>
      <x:c r="P84" s="296" t="n">
        <x:v>52</x:v>
      </x:c>
      <x:c r="Q84" s="296" t="n">
        <x:v>52</x:v>
      </x:c>
      <x:c r="R84" s="296" t="n">
        <x:v>0</x:v>
      </x:c>
      <x:c r="S84" s="295" t="str">
        <x:v>Yes</x:v>
      </x:c>
      <x:c r="T84" s="295" t="str">
        <x:v>High</x:v>
      </x:c>
      <x:c r="U84" s="295" t="str">
        <x:v>Jan_'25Dec_'25_Monthly_StatementSewing_machine_spareparts.pdf</x:v>
      </x:c>
      <x:c r="V84" s="295" t="n">
        <x:v>6</x:v>
      </x:c>
      <x:c r="W84" s="297"/>
    </x:row>
    <x:row r="85">
      <x:c r="A85" s="314" t="str">
        <x:v>2025-06</x:v>
      </x:c>
      <x:c r="B85" s="315" t="n">
        <x:v>45825</x:v>
      </x:c>
      <x:c r="C85" s="295" t="str">
        <x:v>YI-000040</x:v>
      </x:c>
      <x:c r="D85" s="295" t="str">
        <x:v>YI NEW SEWING MACHINE CO., LTD</x:v>
      </x:c>
      <x:c r="E85" s="295" t="str">
        <x:v>張小泉12寸大剪刀</x:v>
      </x:c>
      <x:c r="F85" s="295" t="str">
        <x:v>TL-SCISSOR-ZHANGXIAO-12IN</x:v>
      </x:c>
      <x:c r="G85" s="295" t="str">
        <x:v>張小泉12吋大剪刀</x:v>
      </x:c>
      <x:c r="H85" s="295" t="str">
        <x:v>12 inch</x:v>
      </x:c>
      <x:c r="I85" s="295" t="str">
        <x:v>Tools</x:v>
      </x:c>
      <x:c r="J85" s="295" t="str">
        <x:v>Tool</x:v>
      </x:c>
      <x:c r="K85" s="295" t="str">
        <x:v>張小泉</x:v>
      </x:c>
      <x:c r="L85" s="295"/>
      <x:c r="M85" s="295" t="n">
        <x:v>6</x:v>
      </x:c>
      <x:c r="N85" s="295" t="str">
        <x:v>把</x:v>
      </x:c>
      <x:c r="O85" s="296" t="n">
        <x:v>8</x:v>
      </x:c>
      <x:c r="P85" s="296" t="n">
        <x:v>48</x:v>
      </x:c>
      <x:c r="Q85" s="296" t="n">
        <x:v>48</x:v>
      </x:c>
      <x:c r="R85" s="296" t="n">
        <x:v>0</x:v>
      </x:c>
      <x:c r="S85" s="295" t="str">
        <x:v>Yes</x:v>
      </x:c>
      <x:c r="T85" s="295" t="str">
        <x:v>High</x:v>
      </x:c>
      <x:c r="U85" s="295" t="str">
        <x:v>Jan_'25Dec_'25_Monthly_StatementSewing_machine_spareparts.pdf</x:v>
      </x:c>
      <x:c r="V85" s="295" t="n">
        <x:v>6</x:v>
      </x:c>
      <x:c r="W85" s="297"/>
    </x:row>
    <x:row r="86">
      <x:c r="A86" s="314" t="str">
        <x:v>2025-06</x:v>
      </x:c>
      <x:c r="B86" s="315" t="n">
        <x:v>45825</x:v>
      </x:c>
      <x:c r="C86" s="295" t="str">
        <x:v>YI-000041</x:v>
      </x:c>
      <x:c r="D86" s="295" t="str">
        <x:v>YI NEW SEWING MACHINE CO., LTD</x:v>
      </x:c>
      <x:c r="E86" s="295" t="str">
        <x:v>拉筒用：鐵皮大剪刀</x:v>
      </x:c>
      <x:c r="F86" s="295" t="str">
        <x:v>HIST25-084</x:v>
      </x:c>
      <x:c r="G86" s="295" t="str">
        <x:v>拉筒用：鐵皮大剪刀</x:v>
      </x:c>
      <x:c r="H86" s="295"/>
      <x:c r="I86" s="295" t="str">
        <x:v>Tools</x:v>
      </x:c>
      <x:c r="J86" s="295" t="str">
        <x:v>Tool</x:v>
      </x:c>
      <x:c r="K86" s="295"/>
      <x:c r="L86" s="295" t="str">
        <x:v>Attachment</x:v>
      </x:c>
      <x:c r="M86" s="295" t="n">
        <x:v>1</x:v>
      </x:c>
      <x:c r="N86" s="295" t="str">
        <x:v>把</x:v>
      </x:c>
      <x:c r="O86" s="296" t="n">
        <x:v>12</x:v>
      </x:c>
      <x:c r="P86" s="296" t="n">
        <x:v>12</x:v>
      </x:c>
      <x:c r="Q86" s="296" t="n">
        <x:v>12</x:v>
      </x:c>
      <x:c r="R86" s="296" t="n">
        <x:v>0</x:v>
      </x:c>
      <x:c r="S86" s="295" t="str">
        <x:v>Yes</x:v>
      </x:c>
      <x:c r="T86" s="295" t="str">
        <x:v>High</x:v>
      </x:c>
      <x:c r="U86" s="295" t="str">
        <x:v>Jan_'25Dec_'25_Monthly_StatementSewing_machine_spareparts.pdf</x:v>
      </x:c>
      <x:c r="V86" s="295" t="n">
        <x:v>6</x:v>
      </x:c>
      <x:c r="W86" s="297"/>
    </x:row>
    <x:row r="87">
      <x:c r="A87" s="314" t="str">
        <x:v>2025-06</x:v>
      </x:c>
      <x:c r="B87" s="315" t="n">
        <x:v>45825</x:v>
      </x:c>
      <x:c r="C87" s="295" t="str">
        <x:v>YI-000041</x:v>
      </x:c>
      <x:c r="D87" s="295" t="str">
        <x:v>YI NEW SEWING MACHINE CO., LTD</x:v>
      </x:c>
      <x:c r="E87" s="295" t="str">
        <x:v>雙色膠錘</x:v>
      </x:c>
      <x:c r="F87" s="295" t="str">
        <x:v>TL-RUBBER-HAMMER</x:v>
      </x:c>
      <x:c r="G87" s="295" t="str">
        <x:v>雙色膠錘</x:v>
      </x:c>
      <x:c r="H87" s="295" t="str">
        <x:v>350 mm</x:v>
      </x:c>
      <x:c r="I87" s="295" t="str">
        <x:v>Tools</x:v>
      </x:c>
      <x:c r="J87" s="295" t="str">
        <x:v>Tool</x:v>
      </x:c>
      <x:c r="K87" s="295"/>
      <x:c r="L87" s="295"/>
      <x:c r="M87" s="295" t="n">
        <x:v>1</x:v>
      </x:c>
      <x:c r="N87" s="295" t="str">
        <x:v>把</x:v>
      </x:c>
      <x:c r="O87" s="296" t="n">
        <x:v>5</x:v>
      </x:c>
      <x:c r="P87" s="296" t="n">
        <x:v>5</x:v>
      </x:c>
      <x:c r="Q87" s="296" t="n">
        <x:v>5</x:v>
      </x:c>
      <x:c r="R87" s="296" t="n">
        <x:v>0</x:v>
      </x:c>
      <x:c r="S87" s="295" t="str">
        <x:v>Yes</x:v>
      </x:c>
      <x:c r="T87" s="295" t="str">
        <x:v>High</x:v>
      </x:c>
      <x:c r="U87" s="295" t="str">
        <x:v>Jan_'25Dec_'25_Monthly_StatementSewing_machine_spareparts.pdf</x:v>
      </x:c>
      <x:c r="V87" s="295" t="n">
        <x:v>6</x:v>
      </x:c>
      <x:c r="W87" s="297"/>
    </x:row>
    <x:row r="88">
      <x:c r="A88" s="314" t="str">
        <x:v>2025-06</x:v>
      </x:c>
      <x:c r="B88" s="315" t="n">
        <x:v>45825</x:v>
      </x:c>
      <x:c r="C88" s="295" t="str">
        <x:v>YI-000041</x:v>
      </x:c>
      <x:c r="D88" s="295" t="str">
        <x:v>YI NEW SEWING MACHINE CO., LTD</x:v>
      </x:c>
      <x:c r="E88" s="295" t="str">
        <x:v>台灣產福星電烙鐵</x:v>
      </x:c>
      <x:c r="F88" s="295" t="str">
        <x:v>TL-SOLDERING-IRON-150W-TW</x:v>
      </x:c>
      <x:c r="G88" s="295" t="str">
        <x:v>台灣產電烙鐵</x:v>
      </x:c>
      <x:c r="H88" s="295"/>
      <x:c r="I88" s="295" t="str">
        <x:v>Tools</x:v>
      </x:c>
      <x:c r="J88" s="295" t="str">
        <x:v>Tool</x:v>
      </x:c>
      <x:c r="K88" s="295" t="str">
        <x:v>Taiwan</x:v>
      </x:c>
      <x:c r="L88" s="295" t="str">
        <x:v>Electrical</x:v>
      </x:c>
      <x:c r="M88" s="295" t="n">
        <x:v>1</x:v>
      </x:c>
      <x:c r="N88" s="295" t="str">
        <x:v>把</x:v>
      </x:c>
      <x:c r="O88" s="296" t="n">
        <x:v>20</x:v>
      </x:c>
      <x:c r="P88" s="296" t="n">
        <x:v>20</x:v>
      </x:c>
      <x:c r="Q88" s="296" t="n">
        <x:v>20</x:v>
      </x:c>
      <x:c r="R88" s="296" t="n">
        <x:v>0</x:v>
      </x:c>
      <x:c r="S88" s="295" t="str">
        <x:v>Yes</x:v>
      </x:c>
      <x:c r="T88" s="295" t="str">
        <x:v>High</x:v>
      </x:c>
      <x:c r="U88" s="295" t="str">
        <x:v>Jan_'25Dec_'25_Monthly_StatementSewing_machine_spareparts.pdf</x:v>
      </x:c>
      <x:c r="V88" s="295" t="n">
        <x:v>6</x:v>
      </x:c>
      <x:c r="W88" s="297"/>
    </x:row>
    <x:row r="89">
      <x:c r="A89" s="314" t="str">
        <x:v>2025-06</x:v>
      </x:c>
      <x:c r="B89" s="315" t="n">
        <x:v>45825</x:v>
      </x:c>
      <x:c r="C89" s="295" t="str">
        <x:v>YI-000041</x:v>
      </x:c>
      <x:c r="D89" s="295" t="str">
        <x:v>YI NEW SEWING MACHINE CO., LTD</x:v>
      </x:c>
      <x:c r="E89" s="295" t="str">
        <x:v>拉筒用：拉筒背夾模夾具</x:v>
      </x:c>
      <x:c r="F89" s="295" t="str">
        <x:v>HIST25-087</x:v>
      </x:c>
      <x:c r="G89" s="295" t="str">
        <x:v>拉筒用：拉筒背夾模夾具</x:v>
      </x:c>
      <x:c r="H89" s="295"/>
      <x:c r="I89" s="295" t="str">
        <x:v>Tools</x:v>
      </x:c>
      <x:c r="J89" s="295" t="str">
        <x:v>Tool</x:v>
      </x:c>
      <x:c r="K89" s="295"/>
      <x:c r="L89" s="295" t="str">
        <x:v>Attachment</x:v>
      </x:c>
      <x:c r="M89" s="295" t="n">
        <x:v>1</x:v>
      </x:c>
      <x:c r="N89" s="295" t="str">
        <x:v>組</x:v>
      </x:c>
      <x:c r="O89" s="296" t="n">
        <x:v>100</x:v>
      </x:c>
      <x:c r="P89" s="296" t="n">
        <x:v>100</x:v>
      </x:c>
      <x:c r="Q89" s="296" t="n">
        <x:v>100</x:v>
      </x:c>
      <x:c r="R89" s="296" t="n">
        <x:v>0</x:v>
      </x:c>
      <x:c r="S89" s="295" t="str">
        <x:v>Yes</x:v>
      </x:c>
      <x:c r="T89" s="295" t="str">
        <x:v>High</x:v>
      </x:c>
      <x:c r="U89" s="295" t="str">
        <x:v>Jan_'25Dec_'25_Monthly_StatementSewing_machine_spareparts.pdf</x:v>
      </x:c>
      <x:c r="V89" s="295" t="n">
        <x:v>6</x:v>
      </x:c>
      <x:c r="W89" s="297"/>
    </x:row>
    <x:row r="90">
      <x:c r="A90" s="314" t="str">
        <x:v>2025-06</x:v>
      </x:c>
      <x:c r="B90" s="315" t="n">
        <x:v>45825</x:v>
      </x:c>
      <x:c r="C90" s="295" t="str">
        <x:v>YI-000041</x:v>
      </x:c>
      <x:c r="D90" s="295" t="str">
        <x:v>YI NEW SEWING MACHINE CO., LTD</x:v>
      </x:c>
      <x:c r="E90" s="295" t="str">
        <x:v>拉筒用：拉筒孔刀模夾具</x:v>
      </x:c>
      <x:c r="F90" s="295" t="str">
        <x:v>HIST25-088</x:v>
      </x:c>
      <x:c r="G90" s="295" t="str">
        <x:v>拉筒用：拉筒孔刀模夾具</x:v>
      </x:c>
      <x:c r="H90" s="295"/>
      <x:c r="I90" s="295" t="str">
        <x:v>Tools</x:v>
      </x:c>
      <x:c r="J90" s="295" t="str">
        <x:v>Tool</x:v>
      </x:c>
      <x:c r="K90" s="295"/>
      <x:c r="L90" s="295" t="str">
        <x:v>Attachment</x:v>
      </x:c>
      <x:c r="M90" s="295" t="n">
        <x:v>1</x:v>
      </x:c>
      <x:c r="N90" s="295" t="str">
        <x:v>組</x:v>
      </x:c>
      <x:c r="O90" s="296" t="n">
        <x:v>70</x:v>
      </x:c>
      <x:c r="P90" s="296" t="n">
        <x:v>70</x:v>
      </x:c>
      <x:c r="Q90" s="296" t="n">
        <x:v>70</x:v>
      </x:c>
      <x:c r="R90" s="296" t="n">
        <x:v>0</x:v>
      </x:c>
      <x:c r="S90" s="295" t="str">
        <x:v>Yes</x:v>
      </x:c>
      <x:c r="T90" s="295" t="str">
        <x:v>High</x:v>
      </x:c>
      <x:c r="U90" s="295" t="str">
        <x:v>Jan_'25Dec_'25_Monthly_StatementSewing_machine_spareparts.pdf</x:v>
      </x:c>
      <x:c r="V90" s="295" t="n">
        <x:v>6</x:v>
      </x:c>
      <x:c r="W90" s="297"/>
    </x:row>
    <x:row r="91">
      <x:c r="A91" s="314" t="str">
        <x:v>2025-06</x:v>
      </x:c>
      <x:c r="B91" s="315" t="n">
        <x:v>45825</x:v>
      </x:c>
      <x:c r="C91" s="295" t="str">
        <x:v>YI-000041</x:v>
      </x:c>
      <x:c r="D91" s="295" t="str">
        <x:v>YI NEW SEWING MACHINE CO., LTD</x:v>
      </x:c>
      <x:c r="E91" s="295" t="str">
        <x:v>拉筒用：拉筒孔型模組</x:v>
      </x:c>
      <x:c r="F91" s="295" t="str">
        <x:v>HIST25-089</x:v>
      </x:c>
      <x:c r="G91" s="295" t="str">
        <x:v>拉筒用：拉筒孔型模組</x:v>
      </x:c>
      <x:c r="H91" s="295"/>
      <x:c r="I91" s="295" t="str">
        <x:v>Tools</x:v>
      </x:c>
      <x:c r="J91" s="295" t="str">
        <x:v>Tool</x:v>
      </x:c>
      <x:c r="K91" s="295"/>
      <x:c r="L91" s="295" t="str">
        <x:v>Attachment</x:v>
      </x:c>
      <x:c r="M91" s="295" t="n">
        <x:v>1</x:v>
      </x:c>
      <x:c r="N91" s="295" t="str">
        <x:v>組</x:v>
      </x:c>
      <x:c r="O91" s="296" t="n">
        <x:v>52</x:v>
      </x:c>
      <x:c r="P91" s="296" t="n">
        <x:v>52</x:v>
      </x:c>
      <x:c r="Q91" s="296" t="n">
        <x:v>52</x:v>
      </x:c>
      <x:c r="R91" s="296" t="n">
        <x:v>0</x:v>
      </x:c>
      <x:c r="S91" s="295" t="str">
        <x:v>Yes</x:v>
      </x:c>
      <x:c r="T91" s="295" t="str">
        <x:v>High</x:v>
      </x:c>
      <x:c r="U91" s="295" t="str">
        <x:v>Jan_'25Dec_'25_Monthly_StatementSewing_machine_spareparts.pdf</x:v>
      </x:c>
      <x:c r="V91" s="295" t="n">
        <x:v>6</x:v>
      </x:c>
      <x:c r="W91" s="297"/>
    </x:row>
    <x:row r="92">
      <x:c r="A92" s="314" t="str">
        <x:v>2025-06</x:v>
      </x:c>
      <x:c r="B92" s="315" t="n">
        <x:v>45825</x:v>
      </x:c>
      <x:c r="C92" s="295" t="str">
        <x:v>YI-000041</x:v>
      </x:c>
      <x:c r="D92" s="295" t="str">
        <x:v>YI NEW SEWING MACHINE CO., LTD</x:v>
      </x:c>
      <x:c r="E92" s="295" t="str">
        <x:v>細扁嘴鉗/細圓嘴鉗組</x:v>
      </x:c>
      <x:c r="F92" s="295" t="str">
        <x:v>HIST25-090</x:v>
      </x:c>
      <x:c r="G92" s="295" t="str">
        <x:v>細扁嘴鉗/細圓嘴鉗組</x:v>
      </x:c>
      <x:c r="H92" s="295"/>
      <x:c r="I92" s="295" t="str">
        <x:v>Tools</x:v>
      </x:c>
      <x:c r="J92" s="295" t="str">
        <x:v>Tool</x:v>
      </x:c>
      <x:c r="K92" s="295"/>
      <x:c r="L92" s="295"/>
      <x:c r="M92" s="295" t="n">
        <x:v>1</x:v>
      </x:c>
      <x:c r="N92" s="295" t="str">
        <x:v>套</x:v>
      </x:c>
      <x:c r="O92" s="296" t="n">
        <x:v>15</x:v>
      </x:c>
      <x:c r="P92" s="296" t="n">
        <x:v>15</x:v>
      </x:c>
      <x:c r="Q92" s="296" t="n">
        <x:v>15</x:v>
      </x:c>
      <x:c r="R92" s="296" t="n">
        <x:v>0</x:v>
      </x:c>
      <x:c r="S92" s="295" t="str">
        <x:v>Yes</x:v>
      </x:c>
      <x:c r="T92" s="295" t="str">
        <x:v>High</x:v>
      </x:c>
      <x:c r="U92" s="295" t="str">
        <x:v>Jan_'25Dec_'25_Monthly_StatementSewing_machine_spareparts.pdf</x:v>
      </x:c>
      <x:c r="V92" s="295" t="n">
        <x:v>6</x:v>
      </x:c>
      <x:c r="W92" s="297"/>
    </x:row>
    <x:row r="93">
      <x:c r="A93" s="314" t="str">
        <x:v>2025-06</x:v>
      </x:c>
      <x:c r="B93" s="315" t="n">
        <x:v>45826</x:v>
      </x:c>
      <x:c r="C93" s="295" t="str">
        <x:v>YI-000042</x:v>
      </x:c>
      <x:c r="D93" s="295" t="str">
        <x:v>YI NEW SEWING MACHINE CO., LTD</x:v>
      </x:c>
      <x:c r="E93" s="295" t="str">
        <x:v>日本高溫消失筆/藍</x:v>
      </x:c>
      <x:c r="F93" s="295" t="str">
        <x:v>CN-HIGH-TEMP-PEN-BLUE-JP</x:v>
      </x:c>
      <x:c r="G93" s="295" t="str">
        <x:v>日本高溫消失筆（藍）</x:v>
      </x:c>
      <x:c r="H93" s="295"/>
      <x:c r="I93" s="295" t="str">
        <x:v>Consumable/Chemical</x:v>
      </x:c>
      <x:c r="J93" s="295" t="str">
        <x:v>Consumable</x:v>
      </x:c>
      <x:c r="K93" s="295" t="str">
        <x:v>Japan</x:v>
      </x:c>
      <x:c r="L93" s="295"/>
      <x:c r="M93" s="295" t="n">
        <x:v>2</x:v>
      </x:c>
      <x:c r="N93" s="295" t="str">
        <x:v>盒</x:v>
      </x:c>
      <x:c r="O93" s="296" t="n">
        <x:v>5</x:v>
      </x:c>
      <x:c r="P93" s="296" t="n">
        <x:v>10</x:v>
      </x:c>
      <x:c r="Q93" s="296" t="n">
        <x:v>10</x:v>
      </x:c>
      <x:c r="R93" s="296" t="n">
        <x:v>0</x:v>
      </x:c>
      <x:c r="S93" s="295" t="str">
        <x:v>Yes</x:v>
      </x:c>
      <x:c r="T93" s="295" t="str">
        <x:v>High</x:v>
      </x:c>
      <x:c r="U93" s="295" t="str">
        <x:v>Jan_'25Dec_'25_Monthly_StatementSewing_machine_spareparts.pdf</x:v>
      </x:c>
      <x:c r="V93" s="295" t="n">
        <x:v>6</x:v>
      </x:c>
      <x:c r="W93" s="297"/>
    </x:row>
    <x:row r="94">
      <x:c r="A94" s="314" t="str">
        <x:v>2025-06</x:v>
      </x:c>
      <x:c r="B94" s="315" t="n">
        <x:v>45827</x:v>
      </x:c>
      <x:c r="C94" s="295" t="str">
        <x:v>YI-000043</x:v>
      </x:c>
      <x:c r="D94" s="295" t="str">
        <x:v>YI NEW SEWING MACHINE CO., LTD</x:v>
      </x:c>
      <x:c r="E94" s="295" t="str">
        <x:v>P952 壓腳</x:v>
      </x:c>
      <x:c r="F94" s="295" t="str">
        <x:v>PF-P952</x:v>
      </x:c>
      <x:c r="G94" s="295" t="str">
        <x:v>P952 壓腳</x:v>
      </x:c>
      <x:c r="H94" s="295" t="str">
        <x:v>P952</x:v>
      </x:c>
      <x:c r="I94" s="295" t="str">
        <x:v>Presser Foot</x:v>
      </x:c>
      <x:c r="J94" s="295" t="str">
        <x:v>Spare Part</x:v>
      </x:c>
      <x:c r="K94" s="295"/>
      <x:c r="L94" s="295" t="str">
        <x:v>Sewing</x:v>
      </x:c>
      <x:c r="M94" s="295" t="n">
        <x:v>20</x:v>
      </x:c>
      <x:c r="N94" s="295" t="str">
        <x:v>個</x:v>
      </x:c>
      <x:c r="O94" s="296" t="n">
        <x:v>1.5</x:v>
      </x:c>
      <x:c r="P94" s="296" t="n">
        <x:v>30</x:v>
      </x:c>
      <x:c r="Q94" s="296" t="n">
        <x:v>30</x:v>
      </x:c>
      <x:c r="R94" s="296" t="n">
        <x:v>0</x:v>
      </x:c>
      <x:c r="S94" s="295" t="str">
        <x:v>Yes</x:v>
      </x:c>
      <x:c r="T94" s="295" t="str">
        <x:v>High</x:v>
      </x:c>
      <x:c r="U94" s="295" t="str">
        <x:v>Jan_'25Dec_'25_Monthly_StatementSewing_machine_spareparts.pdf</x:v>
      </x:c>
      <x:c r="V94" s="295" t="n">
        <x:v>6</x:v>
      </x:c>
      <x:c r="W94" s="297"/>
    </x:row>
    <x:row r="95">
      <x:c r="A95" s="314" t="str">
        <x:v>2025-06</x:v>
      </x:c>
      <x:c r="B95" s="315" t="n">
        <x:v>45829</x:v>
      </x:c>
      <x:c r="C95" s="295" t="str">
        <x:v>YI-000044</x:v>
      </x:c>
      <x:c r="D95" s="295" t="str">
        <x:v>YI NEW SEWING MACHINE CO., LTD</x:v>
      </x:c>
      <x:c r="E95" s="295" t="str">
        <x:v>VC008-21N 橡頭帶孔針板</x:v>
      </x:c>
      <x:c r="F95" s="295" t="str">
        <x:v>NP-VC008-21N</x:v>
      </x:c>
      <x:c r="G95" s="295" t="str">
        <x:v>VC008-21N 橡頭帶孔針板</x:v>
      </x:c>
      <x:c r="H95" s="295" t="str">
        <x:v>VC008-21N</x:v>
      </x:c>
      <x:c r="I95" s="295" t="str">
        <x:v>Needle Plate/Feed Dog</x:v>
      </x:c>
      <x:c r="J95" s="295" t="str">
        <x:v>Spare Part</x:v>
      </x:c>
      <x:c r="K95" s="295"/>
      <x:c r="L95" s="295" t="str">
        <x:v>Sewing</x:v>
      </x:c>
      <x:c r="M95" s="295" t="n">
        <x:v>5</x:v>
      </x:c>
      <x:c r="N95" s="295" t="str">
        <x:v>個</x:v>
      </x:c>
      <x:c r="O95" s="296" t="n">
        <x:v>30</x:v>
      </x:c>
      <x:c r="P95" s="296" t="n">
        <x:v>150</x:v>
      </x:c>
      <x:c r="Q95" s="296" t="n">
        <x:v>150</x:v>
      </x:c>
      <x:c r="R95" s="296" t="n">
        <x:v>0</x:v>
      </x:c>
      <x:c r="S95" s="295" t="str">
        <x:v>Yes</x:v>
      </x:c>
      <x:c r="T95" s="295" t="str">
        <x:v>High</x:v>
      </x:c>
      <x:c r="U95" s="295" t="str">
        <x:v>Jan_'25Dec_'25_Monthly_StatementSewing_machine_spareparts.pdf</x:v>
      </x:c>
      <x:c r="V95" s="295" t="n">
        <x:v>6</x:v>
      </x:c>
      <x:c r="W95" s="297"/>
    </x:row>
    <x:row r="96">
      <x:c r="A96" s="314" t="str">
        <x:v>2025-06</x:v>
      </x:c>
      <x:c r="B96" s="315" t="n">
        <x:v>45831</x:v>
      </x:c>
      <x:c r="C96" s="295" t="str">
        <x:v>YI-000045</x:v>
      </x:c>
      <x:c r="D96" s="295" t="str">
        <x:v>YI NEW SEWING MACHINE CO., LTD</x:v>
      </x:c>
      <x:c r="E96" s="295" t="str">
        <x:v>PVC-1.0/mm-(90x180/cm)</x:v>
      </x:c>
      <x:c r="F96" s="295" t="str">
        <x:v>CN-PVC-1MM-90X180</x:v>
      </x:c>
      <x:c r="G96" s="295" t="str">
        <x:v>PVC板 1.0mm</x:v>
      </x:c>
      <x:c r="H96" s="295" t="str">
        <x:v>1.0mm, 90x180cm</x:v>
      </x:c>
      <x:c r="I96" s="295" t="str">
        <x:v>Consumable/Chemical</x:v>
      </x:c>
      <x:c r="J96" s="295" t="str">
        <x:v>Consumable</x:v>
      </x:c>
      <x:c r="K96" s="295"/>
      <x:c r="L96" s="295"/>
      <x:c r="M96" s="295" t="n">
        <x:v>2</x:v>
      </x:c>
      <x:c r="N96" s="295" t="str">
        <x:v>張</x:v>
      </x:c>
      <x:c r="O96" s="296" t="n">
        <x:v>10</x:v>
      </x:c>
      <x:c r="P96" s="296" t="n">
        <x:v>20</x:v>
      </x:c>
      <x:c r="Q96" s="296" t="n">
        <x:v>20</x:v>
      </x:c>
      <x:c r="R96" s="296" t="n">
        <x:v>0</x:v>
      </x:c>
      <x:c r="S96" s="295" t="str">
        <x:v>Yes</x:v>
      </x:c>
      <x:c r="T96" s="295" t="str">
        <x:v>High</x:v>
      </x:c>
      <x:c r="U96" s="295" t="str">
        <x:v>Jan_'25Dec_'25_Monthly_StatementSewing_machine_spareparts.pdf</x:v>
      </x:c>
      <x:c r="V96" s="295" t="n">
        <x:v>6</x:v>
      </x:c>
      <x:c r="W96" s="297"/>
    </x:row>
    <x:row r="97">
      <x:c r="A97" s="314" t="str">
        <x:v>2025-06</x:v>
      </x:c>
      <x:c r="B97" s="315" t="n">
        <x:v>45834</x:v>
      </x:c>
      <x:c r="C97" s="295" t="str">
        <x:v>YI-000046</x:v>
      </x:c>
      <x:c r="D97" s="295" t="str">
        <x:v>YI NEW SEWING MACHINE CO., LTD</x:v>
      </x:c>
      <x:c r="E97" s="295" t="str">
        <x:v>日本高溫消失筆/藍</x:v>
      </x:c>
      <x:c r="F97" s="295" t="str">
        <x:v>CN-HIGH-TEMP-PEN-BLUE-JP</x:v>
      </x:c>
      <x:c r="G97" s="295" t="str">
        <x:v>日本高溫消失筆（藍）</x:v>
      </x:c>
      <x:c r="H97" s="295"/>
      <x:c r="I97" s="295" t="str">
        <x:v>Consumable/Chemical</x:v>
      </x:c>
      <x:c r="J97" s="295" t="str">
        <x:v>Consumable</x:v>
      </x:c>
      <x:c r="K97" s="295" t="str">
        <x:v>Japan</x:v>
      </x:c>
      <x:c r="L97" s="295"/>
      <x:c r="M97" s="295" t="n">
        <x:v>5</x:v>
      </x:c>
      <x:c r="N97" s="295" t="str">
        <x:v>盒</x:v>
      </x:c>
      <x:c r="O97" s="296" t="n">
        <x:v>5</x:v>
      </x:c>
      <x:c r="P97" s="296" t="n">
        <x:v>25</x:v>
      </x:c>
      <x:c r="Q97" s="296" t="n">
        <x:v>25</x:v>
      </x:c>
      <x:c r="R97" s="296" t="n">
        <x:v>0</x:v>
      </x:c>
      <x:c r="S97" s="295" t="str">
        <x:v>Yes</x:v>
      </x:c>
      <x:c r="T97" s="295" t="str">
        <x:v>High</x:v>
      </x:c>
      <x:c r="U97" s="295" t="str">
        <x:v>Jan_'25Dec_'25_Monthly_StatementSewing_machine_spareparts.pdf</x:v>
      </x:c>
      <x:c r="V97" s="295" t="n">
        <x:v>6</x:v>
      </x:c>
      <x:c r="W97" s="297"/>
    </x:row>
    <x:row r="98">
      <x:c r="A98" s="314" t="str">
        <x:v>2025-06</x:v>
      </x:c>
      <x:c r="B98" s="315" t="n">
        <x:v>45834</x:v>
      </x:c>
      <x:c r="C98" s="295" t="str">
        <x:v>YI-000046</x:v>
      </x:c>
      <x:c r="D98" s="295" t="str">
        <x:v>YI NEW SEWING MACHINE CO., LTD</x:v>
      </x:c>
      <x:c r="E98" s="295" t="str">
        <x:v>韓國熊貓圓形畫粉</x:v>
      </x:c>
      <x:c r="F98" s="295" t="str">
        <x:v>CN-TAILOR-CHALK-PANDA-KR</x:v>
      </x:c>
      <x:c r="G98" s="295" t="str">
        <x:v>韓國熊貓圓形畫粉</x:v>
      </x:c>
      <x:c r="H98" s="295" t="str">
        <x:v>Round</x:v>
      </x:c>
      <x:c r="I98" s="295" t="str">
        <x:v>Consumable/Chemical</x:v>
      </x:c>
      <x:c r="J98" s="295" t="str">
        <x:v>Consumable</x:v>
      </x:c>
      <x:c r="K98" s="295" t="str">
        <x:v>Panda/Korea</x:v>
      </x:c>
      <x:c r="L98" s="295" t="str">
        <x:v>Marking</x:v>
      </x:c>
      <x:c r="M98" s="295" t="n">
        <x:v>4</x:v>
      </x:c>
      <x:c r="N98" s="295" t="str">
        <x:v>盒</x:v>
      </x:c>
      <x:c r="O98" s="296" t="n">
        <x:v>1.8</x:v>
      </x:c>
      <x:c r="P98" s="296" t="n">
        <x:v>7.2</x:v>
      </x:c>
      <x:c r="Q98" s="296" t="n">
        <x:v>7.2</x:v>
      </x:c>
      <x:c r="R98" s="296" t="n">
        <x:v>0</x:v>
      </x:c>
      <x:c r="S98" s="295" t="str">
        <x:v>Yes</x:v>
      </x:c>
      <x:c r="T98" s="295" t="str">
        <x:v>High</x:v>
      </x:c>
      <x:c r="U98" s="295" t="str">
        <x:v>Jan_'25Dec_'25_Monthly_StatementSewing_machine_spareparts.pdf</x:v>
      </x:c>
      <x:c r="V98" s="295" t="n">
        <x:v>6</x:v>
      </x:c>
      <x:c r="W98" s="297"/>
    </x:row>
    <x:row r="99">
      <x:c r="A99" s="314" t="str">
        <x:v>2025-06</x:v>
      </x:c>
      <x:c r="B99" s="315" t="n">
        <x:v>45834</x:v>
      </x:c>
      <x:c r="C99" s="295" t="str">
        <x:v>YI-000046</x:v>
      </x:c>
      <x:c r="D99" s="295" t="str">
        <x:v>YI NEW SEWING MACHINE CO., LTD</x:v>
      </x:c>
      <x:c r="E99" s="295" t="str">
        <x:v>VC008橡筋輔助擋邊組</x:v>
      </x:c>
      <x:c r="F99" s="295" t="str">
        <x:v>SP-VC008-GUIDE-SET</x:v>
      </x:c>
      <x:c r="G99" s="295" t="str">
        <x:v>VC008橡筋輔助擋邊組</x:v>
      </x:c>
      <x:c r="H99" s="295" t="str">
        <x:v>VC008</x:v>
      </x:c>
      <x:c r="I99" s="295" t="str">
        <x:v>Other</x:v>
      </x:c>
      <x:c r="J99" s="295" t="str">
        <x:v>Spare Part</x:v>
      </x:c>
      <x:c r="K99" s="295"/>
      <x:c r="L99" s="295" t="str">
        <x:v>Sewing</x:v>
      </x:c>
      <x:c r="M99" s="295" t="n">
        <x:v>4</x:v>
      </x:c>
      <x:c r="N99" s="295" t="str">
        <x:v>組</x:v>
      </x:c>
      <x:c r="O99" s="296" t="n">
        <x:v>6.5</x:v>
      </x:c>
      <x:c r="P99" s="296" t="n">
        <x:v>26</x:v>
      </x:c>
      <x:c r="Q99" s="296" t="n">
        <x:v>26</x:v>
      </x:c>
      <x:c r="R99" s="296" t="n">
        <x:v>0</x:v>
      </x:c>
      <x:c r="S99" s="295" t="str">
        <x:v>Yes</x:v>
      </x:c>
      <x:c r="T99" s="295" t="str">
        <x:v>High</x:v>
      </x:c>
      <x:c r="U99" s="295" t="str">
        <x:v>Jan_'25Dec_'25_Monthly_StatementSewing_machine_spareparts.pdf</x:v>
      </x:c>
      <x:c r="V99" s="295" t="n">
        <x:v>6</x:v>
      </x:c>
      <x:c r="W99" s="297"/>
    </x:row>
    <x:row r="100">
      <x:c r="A100" s="314" t="str">
        <x:v>2025-06</x:v>
      </x:c>
      <x:c r="B100" s="315" t="n">
        <x:v>45834</x:v>
      </x:c>
      <x:c r="C100" s="295" t="str">
        <x:v>YI-000047</x:v>
      </x:c>
      <x:c r="D100" s="295" t="str">
        <x:v>YI NEW SEWING MACHINE CO., LTD</x:v>
      </x:c>
      <x:c r="E100" s="295" t="str">
        <x:v>樣板打孔鉗</x:v>
      </x:c>
      <x:c r="F100" s="295" t="str">
        <x:v>TL-TEMPLATE-PUNCH-PLIERS</x:v>
      </x:c>
      <x:c r="G100" s="295" t="str">
        <x:v>樣板打孔鉗</x:v>
      </x:c>
      <x:c r="H100" s="295"/>
      <x:c r="I100" s="295" t="str">
        <x:v>Tools</x:v>
      </x:c>
      <x:c r="J100" s="295" t="str">
        <x:v>Tool</x:v>
      </x:c>
      <x:c r="K100" s="295"/>
      <x:c r="L100" s="295"/>
      <x:c r="M100" s="295" t="n">
        <x:v>1</x:v>
      </x:c>
      <x:c r="N100" s="295" t="str">
        <x:v>個</x:v>
      </x:c>
      <x:c r="O100" s="296" t="n">
        <x:v>7.5</x:v>
      </x:c>
      <x:c r="P100" s="296" t="n">
        <x:v>7.5</x:v>
      </x:c>
      <x:c r="Q100" s="296" t="n">
        <x:v>7.5</x:v>
      </x:c>
      <x:c r="R100" s="296" t="n">
        <x:v>0</x:v>
      </x:c>
      <x:c r="S100" s="295" t="str">
        <x:v>Yes</x:v>
      </x:c>
      <x:c r="T100" s="295" t="str">
        <x:v>High</x:v>
      </x:c>
      <x:c r="U100" s="295" t="str">
        <x:v>Jan_'25Dec_'25_Monthly_StatementSewing_machine_spareparts.pdf</x:v>
      </x:c>
      <x:c r="V100" s="295" t="n">
        <x:v>6</x:v>
      </x:c>
      <x:c r="W100" s="297"/>
    </x:row>
    <x:row r="101">
      <x:c r="A101" s="314" t="str">
        <x:v>2025-07</x:v>
      </x:c>
      <x:c r="B101" s="315" t="n">
        <x:v>45839</x:v>
      </x:c>
      <x:c r="C101" s="295" t="str">
        <x:v>YI-000048</x:v>
      </x:c>
      <x:c r="D101" s="295" t="str">
        <x:v>YI NEW SEWING MACHINE CO., LTD</x:v>
      </x:c>
      <x:c r="E101" s="295" t="str">
        <x:v>UHU補衣膠</x:v>
      </x:c>
      <x:c r="F101" s="295" t="str">
        <x:v>CH-UHU-GLUE</x:v>
      </x:c>
      <x:c r="G101" s="295" t="str">
        <x:v>UHU補衣膠</x:v>
      </x:c>
      <x:c r="H101" s="295"/>
      <x:c r="I101" s="295" t="str">
        <x:v>Consumable/Chemical</x:v>
      </x:c>
      <x:c r="J101" s="295" t="str">
        <x:v>Consumable</x:v>
      </x:c>
      <x:c r="K101" s="295" t="str">
        <x:v>UHU</x:v>
      </x:c>
      <x:c r="L101" s="295"/>
      <x:c r="M101" s="295" t="n">
        <x:v>2</x:v>
      </x:c>
      <x:c r="N101" s="295" t="str">
        <x:v>條</x:v>
      </x:c>
      <x:c r="O101" s="296" t="n">
        <x:v>5</x:v>
      </x:c>
      <x:c r="P101" s="296" t="n">
        <x:v>10</x:v>
      </x:c>
      <x:c r="Q101" s="296" t="n">
        <x:v>10</x:v>
      </x:c>
      <x:c r="R101" s="296" t="n">
        <x:v>0</x:v>
      </x:c>
      <x:c r="S101" s="295" t="str">
        <x:v>Yes</x:v>
      </x:c>
      <x:c r="T101" s="295" t="str">
        <x:v>High</x:v>
      </x:c>
      <x:c r="U101" s="295" t="str">
        <x:v>Jan_'25Dec_'25_Monthly_StatementSewing_machine_spareparts.pdf</x:v>
      </x:c>
      <x:c r="V101" s="295" t="n">
        <x:v>7</x:v>
      </x:c>
      <x:c r="W101" s="297"/>
    </x:row>
    <x:row r="102">
      <x:c r="A102" s="314" t="str">
        <x:v>2025-07</x:v>
      </x:c>
      <x:c r="B102" s="315" t="n">
        <x:v>45847</x:v>
      </x:c>
      <x:c r="C102" s="295" t="str">
        <x:v>YI-000050</x:v>
      </x:c>
      <x:c r="D102" s="295" t="str">
        <x:v>YI NEW SEWING MACHINE CO., LTD</x:v>
      </x:c>
      <x:c r="E102" s="295" t="str">
        <x:v>中海道TK8008服位雷射燈（好）</x:v>
      </x:c>
      <x:c r="F102" s="295" t="str">
        <x:v>EL-TK8008-LASER</x:v>
      </x:c>
      <x:c r="G102" s="295" t="str">
        <x:v>TK8008定位雷射燈</x:v>
      </x:c>
      <x:c r="H102" s="295" t="str">
        <x:v>TK8008</x:v>
      </x:c>
      <x:c r="I102" s="295" t="str">
        <x:v>Electrical/Control</x:v>
      </x:c>
      <x:c r="J102" s="295" t="str">
        <x:v>Spare Part</x:v>
      </x:c>
      <x:c r="K102" s="295"/>
      <x:c r="L102" s="295" t="str">
        <x:v>Sewing/Cutting</x:v>
      </x:c>
      <x:c r="M102" s="295" t="n">
        <x:v>10</x:v>
      </x:c>
      <x:c r="N102" s="295" t="str">
        <x:v>支</x:v>
      </x:c>
      <x:c r="O102" s="296" t="n">
        <x:v>23</x:v>
      </x:c>
      <x:c r="P102" s="296" t="n">
        <x:v>230</x:v>
      </x:c>
      <x:c r="Q102" s="296" t="n">
        <x:v>230</x:v>
      </x:c>
      <x:c r="R102" s="296" t="n">
        <x:v>0</x:v>
      </x:c>
      <x:c r="S102" s="295" t="str">
        <x:v>Yes</x:v>
      </x:c>
      <x:c r="T102" s="295" t="str">
        <x:v>High</x:v>
      </x:c>
      <x:c r="U102" s="295" t="str">
        <x:v>Jan_'25Dec_'25_Monthly_StatementSewing_machine_spareparts.pdf</x:v>
      </x:c>
      <x:c r="V102" s="295" t="n">
        <x:v>7</x:v>
      </x:c>
      <x:c r="W102" s="297"/>
    </x:row>
    <x:row r="103">
      <x:c r="A103" s="314" t="str">
        <x:v>2025-07</x:v>
      </x:c>
      <x:c r="B103" s="315" t="n">
        <x:v>45847</x:v>
      </x:c>
      <x:c r="C103" s="295" t="str">
        <x:v>YI-000050</x:v>
      </x:c>
      <x:c r="D103" s="295" t="str">
        <x:v>YI NEW SEWING MACHINE CO., LTD</x:v>
      </x:c>
      <x:c r="E103" s="295" t="str">
        <x:v>鐵氟龍條 1.0/mm</x:v>
      </x:c>
      <x:c r="F103" s="295" t="str">
        <x:v>CN-TEFLON-STRIP-1MM</x:v>
      </x:c>
      <x:c r="G103" s="295" t="str">
        <x:v>鐵氟龍條</x:v>
      </x:c>
      <x:c r="H103" s="295" t="str">
        <x:v>1.0 mm</x:v>
      </x:c>
      <x:c r="I103" s="295" t="str">
        <x:v>Consumable/Chemical</x:v>
      </x:c>
      <x:c r="J103" s="295" t="str">
        <x:v>Consumable</x:v>
      </x:c>
      <x:c r="K103" s="295" t="str">
        <x:v>Teflon</x:v>
      </x:c>
      <x:c r="L103" s="295" t="str">
        <x:v>Ironing/Sealing</x:v>
      </x:c>
      <x:c r="M103" s="295" t="n">
        <x:v>60</x:v>
      </x:c>
      <x:c r="N103" s="295" t="str">
        <x:v>條</x:v>
      </x:c>
      <x:c r="O103" s="296" t="n">
        <x:v>1.8</x:v>
      </x:c>
      <x:c r="P103" s="296" t="n">
        <x:v>108</x:v>
      </x:c>
      <x:c r="Q103" s="296" t="n">
        <x:v>108</x:v>
      </x:c>
      <x:c r="R103" s="296" t="n">
        <x:v>0</x:v>
      </x:c>
      <x:c r="S103" s="295" t="str">
        <x:v>Yes</x:v>
      </x:c>
      <x:c r="T103" s="295" t="str">
        <x:v>High</x:v>
      </x:c>
      <x:c r="U103" s="295" t="str">
        <x:v>Jan_'25Dec_'25_Monthly_StatementSewing_machine_spareparts.pdf</x:v>
      </x:c>
      <x:c r="V103" s="295" t="n">
        <x:v>7</x:v>
      </x:c>
      <x:c r="W103" s="297"/>
    </x:row>
    <x:row r="104">
      <x:c r="A104" s="314" t="str">
        <x:v>2025-07</x:v>
      </x:c>
      <x:c r="B104" s="315" t="n">
        <x:v>45847</x:v>
      </x:c>
      <x:c r="C104" s="295" t="str">
        <x:v>YI-000050</x:v>
      </x:c>
      <x:c r="D104" s="295" t="str">
        <x:v>YI NEW SEWING MACHINE CO., LTD</x:v>
      </x:c>
      <x:c r="E104" s="295" t="str">
        <x:v>502膠水・大瓶</x:v>
      </x:c>
      <x:c r="F104" s="295" t="str">
        <x:v>CH-502-GLUE-LARGE</x:v>
      </x:c>
      <x:c r="G104" s="295" t="str">
        <x:v>502膠水（大瓶）</x:v>
      </x:c>
      <x:c r="H104" s="295" t="str">
        <x:v>Large Bottle</x:v>
      </x:c>
      <x:c r="I104" s="295" t="str">
        <x:v>Consumable/Chemical</x:v>
      </x:c>
      <x:c r="J104" s="295" t="str">
        <x:v>Consumable</x:v>
      </x:c>
      <x:c r="K104" s="295"/>
      <x:c r="L104" s="295" t="str">
        <x:v>Maintenance</x:v>
      </x:c>
      <x:c r="M104" s="295" t="n">
        <x:v>20</x:v>
      </x:c>
      <x:c r="N104" s="295" t="str">
        <x:v>瓶</x:v>
      </x:c>
      <x:c r="O104" s="296" t="n">
        <x:v>0.65</x:v>
      </x:c>
      <x:c r="P104" s="296" t="n">
        <x:v>13</x:v>
      </x:c>
      <x:c r="Q104" s="296" t="n">
        <x:v>13</x:v>
      </x:c>
      <x:c r="R104" s="296" t="n">
        <x:v>0</x:v>
      </x:c>
      <x:c r="S104" s="295" t="str">
        <x:v>Yes</x:v>
      </x:c>
      <x:c r="T104" s="295" t="str">
        <x:v>High</x:v>
      </x:c>
      <x:c r="U104" s="295" t="str">
        <x:v>Jan_'25Dec_'25_Monthly_StatementSewing_machine_spareparts.pdf</x:v>
      </x:c>
      <x:c r="V104" s="295" t="n">
        <x:v>7</x:v>
      </x:c>
      <x:c r="W104" s="297"/>
    </x:row>
    <x:row r="105">
      <x:c r="A105" s="314" t="str">
        <x:v>2025-07</x:v>
      </x:c>
      <x:c r="B105" s="315" t="n">
        <x:v>45857</x:v>
      </x:c>
      <x:c r="C105" s="295" t="str">
        <x:v>YI-000051</x:v>
      </x:c>
      <x:c r="D105" s="295" t="str">
        <x:v>YI NEW SEWING MACHINE CO., LTD</x:v>
      </x:c>
      <x:c r="E105" s="295" t="str">
        <x:v>京木扳手六角</x:v>
      </x:c>
      <x:c r="F105" s="295" t="str">
        <x:v>TL-HEX-WRENCH-JINGMU</x:v>
      </x:c>
      <x:c r="G105" s="295" t="str">
        <x:v>京木六角扳手</x:v>
      </x:c>
      <x:c r="H105" s="295"/>
      <x:c r="I105" s="295" t="str">
        <x:v>Tools</x:v>
      </x:c>
      <x:c r="J105" s="295" t="str">
        <x:v>Tool</x:v>
      </x:c>
      <x:c r="K105" s="295" t="str">
        <x:v>京木</x:v>
      </x:c>
      <x:c r="L105" s="295"/>
      <x:c r="M105" s="295" t="n">
        <x:v>4</x:v>
      </x:c>
      <x:c r="N105" s="295" t="str">
        <x:v>套</x:v>
      </x:c>
      <x:c r="O105" s="296" t="n">
        <x:v>20</x:v>
      </x:c>
      <x:c r="P105" s="296" t="n">
        <x:v>80</x:v>
      </x:c>
      <x:c r="Q105" s="296" t="n">
        <x:v>80</x:v>
      </x:c>
      <x:c r="R105" s="296" t="n">
        <x:v>0</x:v>
      </x:c>
      <x:c r="S105" s="295" t="str">
        <x:v>Yes</x:v>
      </x:c>
      <x:c r="T105" s="295" t="str">
        <x:v>High</x:v>
      </x:c>
      <x:c r="U105" s="295" t="str">
        <x:v>Jan_'25Dec_'25_Monthly_StatementSewing_machine_spareparts.pdf</x:v>
      </x:c>
      <x:c r="V105" s="295" t="n">
        <x:v>7</x:v>
      </x:c>
      <x:c r="W105" s="297"/>
    </x:row>
    <x:row r="106">
      <x:c r="A106" s="314" t="str">
        <x:v>2025-07</x:v>
      </x:c>
      <x:c r="B106" s="315" t="n">
        <x:v>45857</x:v>
      </x:c>
      <x:c r="C106" s="295" t="str">
        <x:v>YI-000051</x:v>
      </x:c>
      <x:c r="D106" s="295" t="str">
        <x:v>YI NEW SEWING MACHINE CO., LTD</x:v>
      </x:c>
      <x:c r="E106" s="295" t="str">
        <x:v>十字螺絲刀</x:v>
      </x:c>
      <x:c r="F106" s="295" t="str">
        <x:v>TL-SCREWDRIVER-PHILLIPS</x:v>
      </x:c>
      <x:c r="G106" s="295" t="str">
        <x:v>十字螺絲刀</x:v>
      </x:c>
      <x:c r="H106" s="295"/>
      <x:c r="I106" s="295" t="str">
        <x:v>Tools</x:v>
      </x:c>
      <x:c r="J106" s="295" t="str">
        <x:v>Tool</x:v>
      </x:c>
      <x:c r="K106" s="295"/>
      <x:c r="L106" s="295"/>
      <x:c r="M106" s="295" t="n">
        <x:v>4</x:v>
      </x:c>
      <x:c r="N106" s="295" t="str">
        <x:v>支</x:v>
      </x:c>
      <x:c r="O106" s="296" t="n">
        <x:v>4.9</x:v>
      </x:c>
      <x:c r="P106" s="296" t="n">
        <x:v>19.6</x:v>
      </x:c>
      <x:c r="Q106" s="296" t="n">
        <x:v>19.6</x:v>
      </x:c>
      <x:c r="R106" s="296" t="n">
        <x:v>0</x:v>
      </x:c>
      <x:c r="S106" s="295" t="str">
        <x:v>Yes</x:v>
      </x:c>
      <x:c r="T106" s="295" t="str">
        <x:v>High</x:v>
      </x:c>
      <x:c r="U106" s="295" t="str">
        <x:v>Jan_'25Dec_'25_Monthly_StatementSewing_machine_spareparts.pdf</x:v>
      </x:c>
      <x:c r="V106" s="295" t="n">
        <x:v>7</x:v>
      </x:c>
      <x:c r="W106" s="297"/>
    </x:row>
    <x:row r="107">
      <x:c r="A107" s="314" t="str">
        <x:v>2025-07</x:v>
      </x:c>
      <x:c r="B107" s="315" t="n">
        <x:v>45857</x:v>
      </x:c>
      <x:c r="C107" s="295" t="str">
        <x:v>YI-000051</x:v>
      </x:c>
      <x:c r="D107" s="295" t="str">
        <x:v>YI NEW SEWING MACHINE CO., LTD</x:v>
      </x:c>
      <x:c r="E107" s="295" t="str">
        <x:v>扳手</x:v>
      </x:c>
      <x:c r="F107" s="295" t="str">
        <x:v>TL-WRENCH</x:v>
      </x:c>
      <x:c r="G107" s="295" t="str">
        <x:v>扳手</x:v>
      </x:c>
      <x:c r="H107" s="295"/>
      <x:c r="I107" s="295" t="str">
        <x:v>Tools</x:v>
      </x:c>
      <x:c r="J107" s="295" t="str">
        <x:v>Tool</x:v>
      </x:c>
      <x:c r="K107" s="295"/>
      <x:c r="L107" s="295"/>
      <x:c r="M107" s="295" t="n">
        <x:v>4</x:v>
      </x:c>
      <x:c r="N107" s="295" t="str">
        <x:v>支</x:v>
      </x:c>
      <x:c r="O107" s="296" t="n">
        <x:v>6</x:v>
      </x:c>
      <x:c r="P107" s="296" t="n">
        <x:v>24</x:v>
      </x:c>
      <x:c r="Q107" s="296" t="n">
        <x:v>24</x:v>
      </x:c>
      <x:c r="R107" s="296" t="n">
        <x:v>0</x:v>
      </x:c>
      <x:c r="S107" s="295" t="str">
        <x:v>Yes</x:v>
      </x:c>
      <x:c r="T107" s="295" t="str">
        <x:v>High</x:v>
      </x:c>
      <x:c r="U107" s="295" t="str">
        <x:v>Jan_'25Dec_'25_Monthly_StatementSewing_machine_spareparts.pdf</x:v>
      </x:c>
      <x:c r="V107" s="295" t="n">
        <x:v>7</x:v>
      </x:c>
      <x:c r="W107" s="297"/>
    </x:row>
    <x:row r="108">
      <x:c r="A108" s="314" t="str">
        <x:v>2025-07</x:v>
      </x:c>
      <x:c r="B108" s="315" t="n">
        <x:v>45866</x:v>
      </x:c>
      <x:c r="C108" s="295" t="str">
        <x:v>YI-000052</x:v>
      </x:c>
      <x:c r="D108" s="295" t="str">
        <x:v>YI NEW SEWING MACHINE CO., LTD</x:v>
      </x:c>
      <x:c r="E108" s="295" t="str">
        <x:v>維修：1790鎖眼電腦IC板</x:v>
      </x:c>
      <x:c r="F108" s="295" t="str">
        <x:v>EL-JUKI1790-IC-BOARD</x:v>
      </x:c>
      <x:c r="G108" s="295" t="str">
        <x:v>1790電子鎖眼機 IC 主板</x:v>
      </x:c>
      <x:c r="H108" s="295" t="str">
        <x:v>JUKI 1790</x:v>
      </x:c>
      <x:c r="I108" s="295" t="str">
        <x:v>Electrical/Control</x:v>
      </x:c>
      <x:c r="J108" s="295" t="str">
        <x:v>Spare Part</x:v>
      </x:c>
      <x:c r="K108" s="295" t="str">
        <x:v>JUKI</x:v>
      </x:c>
      <x:c r="L108" s="295" t="str">
        <x:v>Buttonhole</x:v>
      </x:c>
      <x:c r="M108" s="295" t="n">
        <x:v>2</x:v>
      </x:c>
      <x:c r="N108" s="295" t="str">
        <x:v>板</x:v>
      </x:c>
      <x:c r="O108" s="296" t="n">
        <x:v>120</x:v>
      </x:c>
      <x:c r="P108" s="296" t="n">
        <x:v>240</x:v>
      </x:c>
      <x:c r="Q108" s="296" t="n">
        <x:v>240</x:v>
      </x:c>
      <x:c r="R108" s="296" t="n">
        <x:v>0</x:v>
      </x:c>
      <x:c r="S108" s="295" t="str">
        <x:v>Yes</x:v>
      </x:c>
      <x:c r="T108" s="295" t="str">
        <x:v>High</x:v>
      </x:c>
      <x:c r="U108" s="295" t="str">
        <x:v>Jan_'25Dec_'25_Monthly_StatementSewing_machine_spareparts.pdf</x:v>
      </x:c>
      <x:c r="V108" s="295" t="n">
        <x:v>7</x:v>
      </x:c>
      <x:c r="W108" s="297"/>
    </x:row>
    <x:row r="109">
      <x:c r="A109" s="314" t="str">
        <x:v>2025-07</x:v>
      </x:c>
      <x:c r="B109" s="315" t="n">
        <x:v>45866</x:v>
      </x:c>
      <x:c r="C109" s="295" t="str">
        <x:v>YI-000052</x:v>
      </x:c>
      <x:c r="D109" s="295" t="str">
        <x:v>YI NEW SEWING MACHINE CO., LTD</x:v>
      </x:c>
      <x:c r="E109" s="295" t="str">
        <x:v>維修：電子平車控制器</x:v>
      </x:c>
      <x:c r="F109" s="295" t="str">
        <x:v>HIST25-107</x:v>
      </x:c>
      <x:c r="G109" s="295" t="str">
        <x:v>維修：電子平車控制器</x:v>
      </x:c>
      <x:c r="H109" s="295"/>
      <x:c r="I109" s="295" t="str">
        <x:v>Electrical/Control</x:v>
      </x:c>
      <x:c r="J109" s="295" t="str">
        <x:v>Spare Part</x:v>
      </x:c>
      <x:c r="K109" s="295"/>
      <x:c r="L109" s="295" t="str">
        <x:v>Single Needle</x:v>
      </x:c>
      <x:c r="M109" s="295" t="n">
        <x:v>2</x:v>
      </x:c>
      <x:c r="N109" s="295" t="str">
        <x:v>台</x:v>
      </x:c>
      <x:c r="O109" s="296" t="n">
        <x:v>25</x:v>
      </x:c>
      <x:c r="P109" s="296" t="n">
        <x:v>50</x:v>
      </x:c>
      <x:c r="Q109" s="296" t="n">
        <x:v>50</x:v>
      </x:c>
      <x:c r="R109" s="296" t="n">
        <x:v>0</x:v>
      </x:c>
      <x:c r="S109" s="295" t="str">
        <x:v>Yes</x:v>
      </x:c>
      <x:c r="T109" s="295" t="str">
        <x:v>High</x:v>
      </x:c>
      <x:c r="U109" s="295" t="str">
        <x:v>Jan_'25Dec_'25_Monthly_StatementSewing_machine_spareparts.pdf</x:v>
      </x:c>
      <x:c r="V109" s="295" t="n">
        <x:v>7</x:v>
      </x:c>
      <x:c r="W109" s="297"/>
    </x:row>
    <x:row r="110">
      <x:c r="A110" s="314" t="str">
        <x:v>2025-08</x:v>
      </x:c>
      <x:c r="B110" s="315" t="n">
        <x:v>45870</x:v>
      </x:c>
      <x:c r="C110" s="295" t="str">
        <x:v>YI-000053</x:v>
      </x:c>
      <x:c r="D110" s="295" t="str">
        <x:v>YI NEW SEWING MACHINE CO., LTD</x:v>
      </x:c>
      <x:c r="E110" s="295" t="str">
        <x:v>維修：元一自動拉布機</x:v>
      </x:c>
      <x:c r="F110" s="295" t="str">
        <x:v>SV-YUANYI-SPREADER-REPAIR</x:v>
      </x:c>
      <x:c r="G110" s="295" t="str">
        <x:v>元一自動拉布機維修</x:v>
      </x:c>
      <x:c r="H110" s="295"/>
      <x:c r="I110" s="295" t="str">
        <x:v>Repair Service</x:v>
      </x:c>
      <x:c r="J110" s="295" t="str">
        <x:v>Repair Service</x:v>
      </x:c>
      <x:c r="K110" s="295" t="str">
        <x:v>元一</x:v>
      </x:c>
      <x:c r="L110" s="295" t="str">
        <x:v>Cutting</x:v>
      </x:c>
      <x:c r="M110" s="295" t="n">
        <x:v>1</x:v>
      </x:c>
      <x:c r="N110" s="295" t="str">
        <x:v>台</x:v>
      </x:c>
      <x:c r="O110" s="296" t="n">
        <x:v>150</x:v>
      </x:c>
      <x:c r="P110" s="296" t="n">
        <x:v>150</x:v>
      </x:c>
      <x:c r="Q110" s="296" t="n">
        <x:v>150</x:v>
      </x:c>
      <x:c r="R110" s="296" t="n">
        <x:v>0</x:v>
      </x:c>
      <x:c r="S110" s="295" t="str">
        <x:v>Yes</x:v>
      </x:c>
      <x:c r="T110" s="295" t="str">
        <x:v>High</x:v>
      </x:c>
      <x:c r="U110" s="295" t="str">
        <x:v>Jan_'25Dec_'25_Monthly_StatementSewing_machine_spareparts.pdf</x:v>
      </x:c>
      <x:c r="V110" s="295" t="n">
        <x:v>8</x:v>
      </x:c>
      <x:c r="W110" s="297"/>
    </x:row>
    <x:row r="111">
      <x:c r="A111" s="314" t="str">
        <x:v>2025-08</x:v>
      </x:c>
      <x:c r="B111" s="315" t="n">
        <x:v>45870</x:v>
      </x:c>
      <x:c r="C111" s="295" t="str">
        <x:v>YI-000053</x:v>
      </x:c>
      <x:c r="D111" s="295" t="str">
        <x:v>YI NEW SEWING MACHINE CO., LTD</x:v>
      </x:c>
      <x:c r="E111" s="295" t="str">
        <x:v>Y3-190拉布機展佈輪馬達驅動器（原裝）</x:v>
      </x:c>
      <x:c r="F111" s="295" t="str">
        <x:v>MT-Y3190-SPREADER-DRIVE</x:v>
      </x:c>
      <x:c r="G111" s="295" t="str">
        <x:v>Y3-190拉布機展佈輪馬達驅動器（原裝）</x:v>
      </x:c>
      <x:c r="H111" s="295" t="str">
        <x:v>Y3-190</x:v>
      </x:c>
      <x:c r="I111" s="295" t="str">
        <x:v>Motor/Drive</x:v>
      </x:c>
      <x:c r="J111" s="295" t="str">
        <x:v>Spare Part</x:v>
      </x:c>
      <x:c r="K111" s="295" t="str">
        <x:v>Y3</x:v>
      </x:c>
      <x:c r="L111" s="295" t="str">
        <x:v>Spreader</x:v>
      </x:c>
      <x:c r="M111" s="295" t="n">
        <x:v>1</x:v>
      </x:c>
      <x:c r="N111" s="295" t="str">
        <x:v>組</x:v>
      </x:c>
      <x:c r="O111" s="296" t="n">
        <x:v>495</x:v>
      </x:c>
      <x:c r="P111" s="296" t="n">
        <x:v>495</x:v>
      </x:c>
      <x:c r="Q111" s="296" t="n">
        <x:v>495</x:v>
      </x:c>
      <x:c r="R111" s="296" t="n">
        <x:v>0</x:v>
      </x:c>
      <x:c r="S111" s="295" t="str">
        <x:v>Yes</x:v>
      </x:c>
      <x:c r="T111" s="295" t="str">
        <x:v>High</x:v>
      </x:c>
      <x:c r="U111" s="295" t="str">
        <x:v>Jan_'25Dec_'25_Monthly_StatementSewing_machine_spareparts.pdf</x:v>
      </x:c>
      <x:c r="V111" s="295" t="n">
        <x:v>8</x:v>
      </x:c>
      <x:c r="W111" s="297"/>
    </x:row>
    <x:row r="112">
      <x:c r="A112" s="314" t="str">
        <x:v>2025-08</x:v>
      </x:c>
      <x:c r="B112" s="315" t="n">
        <x:v>45875</x:v>
      </x:c>
      <x:c r="C112" s="295" t="str">
        <x:v>YI-000054</x:v>
      </x:c>
      <x:c r="D112" s="295" t="str">
        <x:v>YI NEW SEWING MACHINE CO., LTD</x:v>
      </x:c>
      <x:c r="E112" s="295" t="str">
        <x:v>NR-31S暗線壓腳</x:v>
      </x:c>
      <x:c r="F112" s="295" t="str">
        <x:v>PF-NR31S</x:v>
      </x:c>
      <x:c r="G112" s="295" t="str">
        <x:v>NR-31S 暗線壓腳</x:v>
      </x:c>
      <x:c r="H112" s="295" t="str">
        <x:v>NR-31S</x:v>
      </x:c>
      <x:c r="I112" s="295" t="str">
        <x:v>Presser Foot</x:v>
      </x:c>
      <x:c r="J112" s="295" t="str">
        <x:v>Spare Part</x:v>
      </x:c>
      <x:c r="K112" s="295"/>
      <x:c r="L112" s="295" t="str">
        <x:v>Blindstitch</x:v>
      </x:c>
      <x:c r="M112" s="295" t="n">
        <x:v>10</x:v>
      </x:c>
      <x:c r="N112" s="295" t="str">
        <x:v>個</x:v>
      </x:c>
      <x:c r="O112" s="296" t="n">
        <x:v>2</x:v>
      </x:c>
      <x:c r="P112" s="296" t="n">
        <x:v>20</x:v>
      </x:c>
      <x:c r="Q112" s="296" t="n">
        <x:v>20</x:v>
      </x:c>
      <x:c r="R112" s="296" t="n">
        <x:v>0</x:v>
      </x:c>
      <x:c r="S112" s="295" t="str">
        <x:v>Yes</x:v>
      </x:c>
      <x:c r="T112" s="295" t="str">
        <x:v>High</x:v>
      </x:c>
      <x:c r="U112" s="295" t="str">
        <x:v>Jan_'25Dec_'25_Monthly_StatementSewing_machine_spareparts.pdf</x:v>
      </x:c>
      <x:c r="V112" s="295" t="n">
        <x:v>8</x:v>
      </x:c>
      <x:c r="W112" s="297"/>
    </x:row>
    <x:row r="113">
      <x:c r="A113" s="314" t="str">
        <x:v>2025-08</x:v>
      </x:c>
      <x:c r="B113" s="315" t="n">
        <x:v>45875</x:v>
      </x:c>
      <x:c r="C113" s="295" t="str">
        <x:v>YI-000054</x:v>
      </x:c>
      <x:c r="D113" s="295" t="str">
        <x:v>YI NEW SEWING MACHINE CO., LTD</x:v>
      </x:c>
      <x:c r="E113" s="295" t="str">
        <x:v>利達行中剪刀</x:v>
      </x:c>
      <x:c r="F113" s="295" t="str">
        <x:v>TL-MEDIUM-SCISSOR-LIDA</x:v>
      </x:c>
      <x:c r="G113" s="295" t="str">
        <x:v>利達行中剪刀</x:v>
      </x:c>
      <x:c r="H113" s="295"/>
      <x:c r="I113" s="295" t="str">
        <x:v>Tools</x:v>
      </x:c>
      <x:c r="J113" s="295" t="str">
        <x:v>Tool</x:v>
      </x:c>
      <x:c r="K113" s="295" t="str">
        <x:v>利達行</x:v>
      </x:c>
      <x:c r="L113" s="295"/>
      <x:c r="M113" s="295" t="n">
        <x:v>5</x:v>
      </x:c>
      <x:c r="N113" s="295" t="str">
        <x:v>把</x:v>
      </x:c>
      <x:c r="O113" s="296" t="n">
        <x:v>1.6</x:v>
      </x:c>
      <x:c r="P113" s="296" t="n">
        <x:v>8</x:v>
      </x:c>
      <x:c r="Q113" s="296" t="n">
        <x:v>8</x:v>
      </x:c>
      <x:c r="R113" s="296" t="n">
        <x:v>0</x:v>
      </x:c>
      <x:c r="S113" s="295" t="str">
        <x:v>Yes</x:v>
      </x:c>
      <x:c r="T113" s="295" t="str">
        <x:v>High</x:v>
      </x:c>
      <x:c r="U113" s="295" t="str">
        <x:v>Jan_'25Dec_'25_Monthly_StatementSewing_machine_spareparts.pdf</x:v>
      </x:c>
      <x:c r="V113" s="295" t="n">
        <x:v>8</x:v>
      </x:c>
      <x:c r="W113" s="297"/>
    </x:row>
    <x:row r="114">
      <x:c r="A114" s="314" t="str">
        <x:v>2025-08</x:v>
      </x:c>
      <x:c r="B114" s="315" t="n">
        <x:v>45875</x:v>
      </x:c>
      <x:c r="C114" s="295" t="str">
        <x:v>YI-000054</x:v>
      </x:c>
      <x:c r="D114" s="295" t="str">
        <x:v>YI NEW SEWING MACHINE CO., LTD</x:v>
      </x:c>
      <x:c r="E114" s="295" t="str">
        <x:v>環球沙剪</x:v>
      </x:c>
      <x:c r="F114" s="295" t="str">
        <x:v>TL-THREAD-SNIP-GLOBE</x:v>
      </x:c>
      <x:c r="G114" s="295" t="str">
        <x:v>環球沙剪</x:v>
      </x:c>
      <x:c r="H114" s="295"/>
      <x:c r="I114" s="295" t="str">
        <x:v>Tools</x:v>
      </x:c>
      <x:c r="J114" s="295" t="str">
        <x:v>Tool</x:v>
      </x:c>
      <x:c r="K114" s="295" t="str">
        <x:v>環球</x:v>
      </x:c>
      <x:c r="L114" s="295"/>
      <x:c r="M114" s="295" t="n">
        <x:v>5</x:v>
      </x:c>
      <x:c r="N114" s="295" t="str">
        <x:v>打</x:v>
      </x:c>
      <x:c r="O114" s="296" t="n">
        <x:v>2.3</x:v>
      </x:c>
      <x:c r="P114" s="296" t="n">
        <x:v>11.5</x:v>
      </x:c>
      <x:c r="Q114" s="296" t="n">
        <x:v>11.5</x:v>
      </x:c>
      <x:c r="R114" s="296" t="n">
        <x:v>0</x:v>
      </x:c>
      <x:c r="S114" s="295" t="str">
        <x:v>Yes</x:v>
      </x:c>
      <x:c r="T114" s="295" t="str">
        <x:v>High</x:v>
      </x:c>
      <x:c r="U114" s="295" t="str">
        <x:v>Jan_'25Dec_'25_Monthly_StatementSewing_machine_spareparts.pdf</x:v>
      </x:c>
      <x:c r="V114" s="295" t="n">
        <x:v>8</x:v>
      </x:c>
      <x:c r="W114" s="297"/>
    </x:row>
    <x:row r="115">
      <x:c r="A115" s="314" t="str">
        <x:v>2025-08</x:v>
      </x:c>
      <x:c r="B115" s="315" t="n">
        <x:v>45875</x:v>
      </x:c>
      <x:c r="C115" s="295" t="str">
        <x:v>YI-000054</x:v>
      </x:c>
      <x:c r="D115" s="295" t="str">
        <x:v>YI NEW SEWING MACHINE CO., LTD</x:v>
      </x:c>
      <x:c r="E115" s="295" t="str">
        <x:v>TNC: DBx1 #18</x:v>
      </x:c>
      <x:c r="F115" s="295" t="str">
        <x:v>ND-TNC-DBX1-18</x:v>
      </x:c>
      <x:c r="G115" s="295" t="str">
        <x:v>TNC 機針 DBx1 #18</x:v>
      </x:c>
      <x:c r="H115" s="295" t="str">
        <x:v>DBx1 #18</x:v>
      </x:c>
      <x:c r="I115" s="295" t="str">
        <x:v>Needle</x:v>
      </x:c>
      <x:c r="J115" s="295" t="str">
        <x:v>Consumable</x:v>
      </x:c>
      <x:c r="K115" s="295" t="str">
        <x:v>TNC</x:v>
      </x:c>
      <x:c r="L115" s="295" t="str">
        <x:v>Single Needle</x:v>
      </x:c>
      <x:c r="M115" s="295" t="n">
        <x:v>100</x:v>
      </x:c>
      <x:c r="N115" s="295" t="str">
        <x:v>包</x:v>
      </x:c>
      <x:c r="O115" s="296" t="n">
        <x:v>0.59</x:v>
      </x:c>
      <x:c r="P115" s="296" t="n">
        <x:v>59</x:v>
      </x:c>
      <x:c r="Q115" s="296" t="n">
        <x:v>59</x:v>
      </x:c>
      <x:c r="R115" s="296" t="n">
        <x:v>0</x:v>
      </x:c>
      <x:c r="S115" s="295" t="str">
        <x:v>Yes</x:v>
      </x:c>
      <x:c r="T115" s="295" t="str">
        <x:v>High</x:v>
      </x:c>
      <x:c r="U115" s="295" t="str">
        <x:v>Jan_'25Dec_'25_Monthly_StatementSewing_machine_spareparts.pdf</x:v>
      </x:c>
      <x:c r="V115" s="295" t="n">
        <x:v>8</x:v>
      </x:c>
      <x:c r="W115" s="297"/>
    </x:row>
    <x:row r="116">
      <x:c r="A116" s="314" t="str">
        <x:v>2025-08</x:v>
      </x:c>
      <x:c r="B116" s="315" t="n">
        <x:v>45875</x:v>
      </x:c>
      <x:c r="C116" s="295" t="str">
        <x:v>YI-000054</x:v>
      </x:c>
      <x:c r="D116" s="295" t="str">
        <x:v>YI NEW SEWING MACHINE CO., LTD</x:v>
      </x:c>
      <x:c r="E116" s="295" t="str">
        <x:v>TNC: UYx128 #14</x:v>
      </x:c>
      <x:c r="F116" s="295" t="str">
        <x:v>ND-TNC-UYX128-14</x:v>
      </x:c>
      <x:c r="G116" s="295" t="str">
        <x:v>TNC 機針 UYx128 #14</x:v>
      </x:c>
      <x:c r="H116" s="295" t="str">
        <x:v>UYx128 #14</x:v>
      </x:c>
      <x:c r="I116" s="295" t="str">
        <x:v>Needle</x:v>
      </x:c>
      <x:c r="J116" s="295" t="str">
        <x:v>Consumable</x:v>
      </x:c>
      <x:c r="K116" s="295" t="str">
        <x:v>TNC</x:v>
      </x:c>
      <x:c r="L116" s="295" t="str">
        <x:v>Chainstitch</x:v>
      </x:c>
      <x:c r="M116" s="295" t="n">
        <x:v>50</x:v>
      </x:c>
      <x:c r="N116" s="295" t="str">
        <x:v>包</x:v>
      </x:c>
      <x:c r="O116" s="296" t="n">
        <x:v>1.2</x:v>
      </x:c>
      <x:c r="P116" s="296" t="n">
        <x:v>60</x:v>
      </x:c>
      <x:c r="Q116" s="296" t="n">
        <x:v>60</x:v>
      </x:c>
      <x:c r="R116" s="296" t="n">
        <x:v>0</x:v>
      </x:c>
      <x:c r="S116" s="295" t="str">
        <x:v>Yes</x:v>
      </x:c>
      <x:c r="T116" s="295" t="str">
        <x:v>High</x:v>
      </x:c>
      <x:c r="U116" s="295" t="str">
        <x:v>Jan_'25Dec_'25_Monthly_StatementSewing_machine_spareparts.pdf</x:v>
      </x:c>
      <x:c r="V116" s="295" t="n">
        <x:v>8</x:v>
      </x:c>
      <x:c r="W116" s="297"/>
    </x:row>
    <x:row r="117">
      <x:c r="A117" s="314" t="str">
        <x:v>2025-08</x:v>
      </x:c>
      <x:c r="B117" s="315" t="n">
        <x:v>45875</x:v>
      </x:c>
      <x:c r="C117" s="295" t="str">
        <x:v>YI-000054</x:v>
      </x:c>
      <x:c r="D117" s="295" t="str">
        <x:v>YI NEW SEWING MACHINE CO., LTD</x:v>
      </x:c>
      <x:c r="E117" s="295" t="str">
        <x:v>不鏽鋼鐵皮 0.3/mm</x:v>
      </x:c>
      <x:c r="F117" s="295" t="str">
        <x:v>MTL-SS-SHEET-03</x:v>
      </x:c>
      <x:c r="G117" s="295" t="str">
        <x:v>不鏽鋼鐵皮 0.3mm</x:v>
      </x:c>
      <x:c r="H117" s="295" t="str">
        <x:v>0.3 mm</x:v>
      </x:c>
      <x:c r="I117" s="295" t="str">
        <x:v>Material</x:v>
      </x:c>
      <x:c r="J117" s="295" t="str">
        <x:v>Consumable</x:v>
      </x:c>
      <x:c r="K117" s="295"/>
      <x:c r="L117" s="295"/>
      <x:c r="M117" s="295" t="n">
        <x:v>2</x:v>
      </x:c>
      <x:c r="N117" s="295" t="str">
        <x:v>m</x:v>
      </x:c>
      <x:c r="O117" s="296" t="n">
        <x:v>20</x:v>
      </x:c>
      <x:c r="P117" s="296" t="n">
        <x:v>40</x:v>
      </x:c>
      <x:c r="Q117" s="296" t="n">
        <x:v>40</x:v>
      </x:c>
      <x:c r="R117" s="296" t="n">
        <x:v>0</x:v>
      </x:c>
      <x:c r="S117" s="295" t="str">
        <x:v>Yes</x:v>
      </x:c>
      <x:c r="T117" s="295" t="str">
        <x:v>High</x:v>
      </x:c>
      <x:c r="U117" s="295" t="str">
        <x:v>Jan_'25Dec_'25_Monthly_StatementSewing_machine_spareparts.pdf</x:v>
      </x:c>
      <x:c r="V117" s="295" t="n">
        <x:v>8</x:v>
      </x:c>
      <x:c r="W117" s="297"/>
    </x:row>
    <x:row r="118">
      <x:c r="A118" s="314" t="str">
        <x:v>2025-08</x:v>
      </x:c>
      <x:c r="B118" s="315" t="n">
        <x:v>45883</x:v>
      </x:c>
      <x:c r="C118" s="295" t="str">
        <x:v>YI-000055</x:v>
      </x:c>
      <x:c r="D118" s="295" t="str">
        <x:v>YI NEW SEWING MACHINE CO., LTD</x:v>
      </x:c>
      <x:c r="E118" s="295" t="str">
        <x:v>台灣PVC膠簾</x:v>
      </x:c>
      <x:c r="F118" s="295" t="str">
        <x:v>EQ-PVC-CURTAIN-TW</x:v>
      </x:c>
      <x:c r="G118" s="295" t="str">
        <x:v>台灣PVC膠簾</x:v>
      </x:c>
      <x:c r="H118" s="295"/>
      <x:c r="I118" s="295" t="str">
        <x:v>Equipment</x:v>
      </x:c>
      <x:c r="J118" s="295" t="str">
        <x:v>Equipment</x:v>
      </x:c>
      <x:c r="K118" s="295" t="str">
        <x:v>Taiwan</x:v>
      </x:c>
      <x:c r="L118" s="295"/>
      <x:c r="M118" s="295" t="n">
        <x:v>1</x:v>
      </x:c>
      <x:c r="N118" s="295" t="str">
        <x:v>PC</x:v>
      </x:c>
      <x:c r="O118" s="296" t="n">
        <x:v>450</x:v>
      </x:c>
      <x:c r="P118" s="296" t="n">
        <x:v>450</x:v>
      </x:c>
      <x:c r="Q118" s="296" t="n">
        <x:v>450</x:v>
      </x:c>
      <x:c r="R118" s="296" t="n">
        <x:v>0</x:v>
      </x:c>
      <x:c r="S118" s="295" t="str">
        <x:v>Yes</x:v>
      </x:c>
      <x:c r="T118" s="295" t="str">
        <x:v>High</x:v>
      </x:c>
      <x:c r="U118" s="295" t="str">
        <x:v>Jan_'25Dec_'25_Monthly_StatementSewing_machine_spareparts.pdf</x:v>
      </x:c>
      <x:c r="V118" s="295" t="n">
        <x:v>8</x:v>
      </x:c>
      <x:c r="W118" s="297"/>
    </x:row>
    <x:row r="119">
      <x:c r="A119" s="314" t="str">
        <x:v>2025-08</x:v>
      </x:c>
      <x:c r="B119" s="315" t="n">
        <x:v>45884</x:v>
      </x:c>
      <x:c r="C119" s="295" t="str">
        <x:v>YI-000056</x:v>
      </x:c>
      <x:c r="D119" s="295" t="str">
        <x:v>YI NEW SEWING MACHINE CO., LTD</x:v>
      </x:c>
      <x:c r="E119" s="295" t="str">
        <x:v>A-1270 Li同步帶</x:v>
      </x:c>
      <x:c r="F119" s="295" t="str">
        <x:v>BLT-A1270-LI</x:v>
      </x:c>
      <x:c r="G119" s="295" t="str">
        <x:v>A-1270 Li 同步帶</x:v>
      </x:c>
      <x:c r="H119" s="295" t="str">
        <x:v>A-1270</x:v>
      </x:c>
      <x:c r="I119" s="295" t="str">
        <x:v>Belt</x:v>
      </x:c>
      <x:c r="J119" s="295" t="str">
        <x:v>Spare Part</x:v>
      </x:c>
      <x:c r="K119" s="295"/>
      <x:c r="L119" s="295" t="str">
        <x:v>Drive</x:v>
      </x:c>
      <x:c r="M119" s="295" t="n">
        <x:v>5</x:v>
      </x:c>
      <x:c r="N119" s="295" t="str">
        <x:v>PCS</x:v>
      </x:c>
      <x:c r="O119" s="296" t="n">
        <x:v>4.5</x:v>
      </x:c>
      <x:c r="P119" s="296" t="n">
        <x:v>22.5</x:v>
      </x:c>
      <x:c r="Q119" s="296" t="n">
        <x:v>22.5</x:v>
      </x:c>
      <x:c r="R119" s="296" t="n">
        <x:v>0</x:v>
      </x:c>
      <x:c r="S119" s="295" t="str">
        <x:v>Yes</x:v>
      </x:c>
      <x:c r="T119" s="295" t="str">
        <x:v>High</x:v>
      </x:c>
      <x:c r="U119" s="295" t="str">
        <x:v>Jan_'25Dec_'25_Monthly_StatementSewing_machine_spareparts.pdf</x:v>
      </x:c>
      <x:c r="V119" s="295" t="n">
        <x:v>8</x:v>
      </x:c>
      <x:c r="W119" s="297"/>
    </x:row>
    <x:row r="120">
      <x:c r="A120" s="314" t="str">
        <x:v>2025-08</x:v>
      </x:c>
      <x:c r="B120" s="315" t="n">
        <x:v>45884</x:v>
      </x:c>
      <x:c r="C120" s="295" t="str">
        <x:v>YI-000056</x:v>
      </x:c>
      <x:c r="D120" s="295" t="str">
        <x:v>YI NEW SEWING MACHINE CO., LTD</x:v>
      </x:c>
      <x:c r="E120" s="295" t="str">
        <x:v>RECMF-6500同步帶</x:v>
      </x:c>
      <x:c r="F120" s="295" t="str">
        <x:v>BLT-RECMF6500</x:v>
      </x:c>
      <x:c r="G120" s="295" t="str">
        <x:v>RECMF-6500 同步帶</x:v>
      </x:c>
      <x:c r="H120" s="295" t="str">
        <x:v>RECMF-6500</x:v>
      </x:c>
      <x:c r="I120" s="295" t="str">
        <x:v>Belt</x:v>
      </x:c>
      <x:c r="J120" s="295" t="str">
        <x:v>Spare Part</x:v>
      </x:c>
      <x:c r="K120" s="295"/>
      <x:c r="L120" s="295" t="str">
        <x:v>Drive</x:v>
      </x:c>
      <x:c r="M120" s="295" t="n">
        <x:v>5</x:v>
      </x:c>
      <x:c r="N120" s="295" t="str">
        <x:v>PCS</x:v>
      </x:c>
      <x:c r="O120" s="296" t="n">
        <x:v>5</x:v>
      </x:c>
      <x:c r="P120" s="296" t="n">
        <x:v>25</x:v>
      </x:c>
      <x:c r="Q120" s="296" t="n">
        <x:v>25</x:v>
      </x:c>
      <x:c r="R120" s="296" t="n">
        <x:v>0</x:v>
      </x:c>
      <x:c r="S120" s="295" t="str">
        <x:v>Yes</x:v>
      </x:c>
      <x:c r="T120" s="295" t="str">
        <x:v>High</x:v>
      </x:c>
      <x:c r="U120" s="295" t="str">
        <x:v>Jan_'25Dec_'25_Monthly_StatementSewing_machine_spareparts.pdf</x:v>
      </x:c>
      <x:c r="V120" s="295" t="n">
        <x:v>8</x:v>
      </x:c>
      <x:c r="W120" s="297"/>
    </x:row>
    <x:row r="121">
      <x:c r="A121" s="314" t="str">
        <x:v>2025-08</x:v>
      </x:c>
      <x:c r="B121" s="315" t="n">
        <x:v>45884</x:v>
      </x:c>
      <x:c r="C121" s="295" t="str">
        <x:v>YI-000056</x:v>
      </x:c>
      <x:c r="D121" s="295" t="str">
        <x:v>YI NEW SEWING MACHINE CO., LTD</x:v>
      </x:c>
      <x:c r="E121" s="295" t="str">
        <x:v>張小泉10吋大剪刀</x:v>
      </x:c>
      <x:c r="F121" s="295" t="str">
        <x:v>TL-SCISSOR-ZHANGXIAO-10IN</x:v>
      </x:c>
      <x:c r="G121" s="295" t="str">
        <x:v>張小泉10吋大剪刀</x:v>
      </x:c>
      <x:c r="H121" s="295" t="str">
        <x:v>10 inch</x:v>
      </x:c>
      <x:c r="I121" s="295" t="str">
        <x:v>Tools</x:v>
      </x:c>
      <x:c r="J121" s="295" t="str">
        <x:v>Tool</x:v>
      </x:c>
      <x:c r="K121" s="295" t="str">
        <x:v>張小泉</x:v>
      </x:c>
      <x:c r="L121" s="295"/>
      <x:c r="M121" s="295" t="n">
        <x:v>10</x:v>
      </x:c>
      <x:c r="N121" s="295" t="str">
        <x:v>PCS</x:v>
      </x:c>
      <x:c r="O121" s="296" t="n">
        <x:v>7</x:v>
      </x:c>
      <x:c r="P121" s="296" t="n">
        <x:v>70</x:v>
      </x:c>
      <x:c r="Q121" s="296" t="n">
        <x:v>70</x:v>
      </x:c>
      <x:c r="R121" s="296" t="n">
        <x:v>0</x:v>
      </x:c>
      <x:c r="S121" s="295" t="str">
        <x:v>Yes</x:v>
      </x:c>
      <x:c r="T121" s="295" t="str">
        <x:v>High</x:v>
      </x:c>
      <x:c r="U121" s="295" t="str">
        <x:v>Jan_'25Dec_'25_Monthly_StatementSewing_machine_spareparts.pdf</x:v>
      </x:c>
      <x:c r="V121" s="295" t="n">
        <x:v>8</x:v>
      </x:c>
      <x:c r="W121" s="297"/>
    </x:row>
    <x:row r="122">
      <x:c r="A122" s="314" t="str">
        <x:v>2025-08</x:v>
      </x:c>
      <x:c r="B122" s="315" t="n">
        <x:v>45884</x:v>
      </x:c>
      <x:c r="C122" s="295" t="str">
        <x:v>YI-000056</x:v>
      </x:c>
      <x:c r="D122" s="295" t="str">
        <x:v>YI NEW SEWING MACHINE CO., LTD</x:v>
      </x:c>
      <x:c r="E122" s="295" t="str">
        <x:v>母接頭 5x8/mm</x:v>
      </x:c>
      <x:c r="F122" s="295" t="str">
        <x:v>AIR-FEMALE-CONN-5X8</x:v>
      </x:c>
      <x:c r="G122" s="295" t="str">
        <x:v>母接頭 5x8mm</x:v>
      </x:c>
      <x:c r="H122" s="295" t="str">
        <x:v>5x8 mm</x:v>
      </x:c>
      <x:c r="I122" s="295" t="str">
        <x:v>Air/Pneumatic</x:v>
      </x:c>
      <x:c r="J122" s="295" t="str">
        <x:v>Spare Part</x:v>
      </x:c>
      <x:c r="K122" s="295"/>
      <x:c r="L122" s="295"/>
      <x:c r="M122" s="295" t="n">
        <x:v>10</x:v>
      </x:c>
      <x:c r="N122" s="295" t="str">
        <x:v>PCS</x:v>
      </x:c>
      <x:c r="O122" s="296" t="n">
        <x:v>1</x:v>
      </x:c>
      <x:c r="P122" s="296" t="n">
        <x:v>10</x:v>
      </x:c>
      <x:c r="Q122" s="296" t="n">
        <x:v>10</x:v>
      </x:c>
      <x:c r="R122" s="296" t="n">
        <x:v>0</x:v>
      </x:c>
      <x:c r="S122" s="295" t="str">
        <x:v>Yes</x:v>
      </x:c>
      <x:c r="T122" s="295" t="str">
        <x:v>High</x:v>
      </x:c>
      <x:c r="U122" s="295" t="str">
        <x:v>Jan_'25Dec_'25_Monthly_StatementSewing_machine_spareparts.pdf</x:v>
      </x:c>
      <x:c r="V122" s="295" t="n">
        <x:v>8</x:v>
      </x:c>
      <x:c r="W122" s="297"/>
    </x:row>
    <x:row r="123">
      <x:c r="A123" s="314" t="str">
        <x:v>2025-08</x:v>
      </x:c>
      <x:c r="B123" s="315" t="n">
        <x:v>45887</x:v>
      </x:c>
      <x:c r="C123" s="295" t="str">
        <x:v>YI-000057</x:v>
      </x:c>
      <x:c r="D123" s="295" t="str">
        <x:v>YI NEW SEWING MACHINE CO., LTD</x:v>
      </x:c>
      <x:c r="E123" s="295" t="str">
        <x:v>網型雙面膠 6/mm</x:v>
      </x:c>
      <x:c r="F123" s="295" t="str">
        <x:v>CN-DOUBLE-TAPE-6MM</x:v>
      </x:c>
      <x:c r="G123" s="295" t="str">
        <x:v>網型雙面膠 6mm</x:v>
      </x:c>
      <x:c r="H123" s="295" t="str">
        <x:v>6 mm</x:v>
      </x:c>
      <x:c r="I123" s="295" t="str">
        <x:v>Consumable/Chemical</x:v>
      </x:c>
      <x:c r="J123" s="295" t="str">
        <x:v>Consumable</x:v>
      </x:c>
      <x:c r="K123" s="295"/>
      <x:c r="L123" s="295"/>
      <x:c r="M123" s="295" t="n">
        <x:v>100</x:v>
      </x:c>
      <x:c r="N123" s="295" t="str">
        <x:v>卷</x:v>
      </x:c>
      <x:c r="O123" s="296" t="n">
        <x:v>0.78</x:v>
      </x:c>
      <x:c r="P123" s="296" t="n">
        <x:v>78</x:v>
      </x:c>
      <x:c r="Q123" s="296" t="n">
        <x:v>78</x:v>
      </x:c>
      <x:c r="R123" s="296" t="n">
        <x:v>0</x:v>
      </x:c>
      <x:c r="S123" s="295" t="str">
        <x:v>Yes</x:v>
      </x:c>
      <x:c r="T123" s="295" t="str">
        <x:v>High</x:v>
      </x:c>
      <x:c r="U123" s="295" t="str">
        <x:v>Jan_'25Dec_'25_Monthly_StatementSewing_machine_spareparts.pdf</x:v>
      </x:c>
      <x:c r="V123" s="295" t="n">
        <x:v>8</x:v>
      </x:c>
      <x:c r="W123" s="297"/>
    </x:row>
    <x:row r="124">
      <x:c r="A124" s="314" t="str">
        <x:v>2025-08</x:v>
      </x:c>
      <x:c r="B124" s="315" t="n">
        <x:v>45887</x:v>
      </x:c>
      <x:c r="C124" s="295" t="str">
        <x:v>YI-000057</x:v>
      </x:c>
      <x:c r="D124" s="295" t="str">
        <x:v>YI NEW SEWING MACHINE CO., LTD</x:v>
      </x:c>
      <x:c r="E124" s="295" t="str">
        <x:v>布基膠帶 24/mm</x:v>
      </x:c>
      <x:c r="F124" s="295" t="str">
        <x:v>CN-CLOTH-TAPE-24MM</x:v>
      </x:c>
      <x:c r="G124" s="295" t="str">
        <x:v>布基膠帶 24mm</x:v>
      </x:c>
      <x:c r="H124" s="295" t="str">
        <x:v>24 mm</x:v>
      </x:c>
      <x:c r="I124" s="295" t="str">
        <x:v>Consumable/Chemical</x:v>
      </x:c>
      <x:c r="J124" s="295" t="str">
        <x:v>Consumable</x:v>
      </x:c>
      <x:c r="K124" s="295"/>
      <x:c r="L124" s="295"/>
      <x:c r="M124" s="295" t="n">
        <x:v>24</x:v>
      </x:c>
      <x:c r="N124" s="295" t="str">
        <x:v>卷</x:v>
      </x:c>
      <x:c r="O124" s="296" t="n">
        <x:v>0.56</x:v>
      </x:c>
      <x:c r="P124" s="296" t="n">
        <x:v>13.44</x:v>
      </x:c>
      <x:c r="Q124" s="296" t="n">
        <x:v>13.44</x:v>
      </x:c>
      <x:c r="R124" s="296" t="n">
        <x:v>0</x:v>
      </x:c>
      <x:c r="S124" s="295" t="str">
        <x:v>Yes</x:v>
      </x:c>
      <x:c r="T124" s="295" t="str">
        <x:v>High</x:v>
      </x:c>
      <x:c r="U124" s="295" t="str">
        <x:v>Jan_'25Dec_'25_Monthly_StatementSewing_machine_spareparts.pdf</x:v>
      </x:c>
      <x:c r="V124" s="295" t="n">
        <x:v>8</x:v>
      </x:c>
      <x:c r="W124" s="297"/>
    </x:row>
    <x:row r="125">
      <x:c r="A125" s="314" t="str">
        <x:v>2025-08</x:v>
      </x:c>
      <x:c r="B125" s="315" t="n">
        <x:v>45887</x:v>
      </x:c>
      <x:c r="C125" s="295" t="str">
        <x:v>YI-000057</x:v>
      </x:c>
      <x:c r="D125" s="295" t="str">
        <x:v>YI NEW SEWING MACHINE CO., LTD</x:v>
      </x:c>
      <x:c r="E125" s="295" t="str">
        <x:v>砂紙 #400</x:v>
      </x:c>
      <x:c r="F125" s="295" t="str">
        <x:v>CN-SANDPAPER-400</x:v>
      </x:c>
      <x:c r="G125" s="295" t="str">
        <x:v>砂紙 #400</x:v>
      </x:c>
      <x:c r="H125" s="295" t="str">
        <x:v>#400</x:v>
      </x:c>
      <x:c r="I125" s="295" t="str">
        <x:v>Consumable/Chemical</x:v>
      </x:c>
      <x:c r="J125" s="295" t="str">
        <x:v>Consumable</x:v>
      </x:c>
      <x:c r="K125" s="295"/>
      <x:c r="L125" s="295"/>
      <x:c r="M125" s="295" t="n">
        <x:v>1</x:v>
      </x:c>
      <x:c r="N125" s="295" t="str">
        <x:v>包</x:v>
      </x:c>
      <x:c r="O125" s="296" t="n">
        <x:v>21</x:v>
      </x:c>
      <x:c r="P125" s="296" t="n">
        <x:v>21</x:v>
      </x:c>
      <x:c r="Q125" s="296" t="n">
        <x:v>21</x:v>
      </x:c>
      <x:c r="R125" s="296" t="n">
        <x:v>0</x:v>
      </x:c>
      <x:c r="S125" s="295" t="str">
        <x:v>Yes</x:v>
      </x:c>
      <x:c r="T125" s="295" t="str">
        <x:v>High</x:v>
      </x:c>
      <x:c r="U125" s="295" t="str">
        <x:v>Jan_'25Dec_'25_Monthly_StatementSewing_machine_spareparts.pdf</x:v>
      </x:c>
      <x:c r="V125" s="295" t="n">
        <x:v>8</x:v>
      </x:c>
      <x:c r="W125" s="297"/>
    </x:row>
    <x:row r="126">
      <x:c r="A126" s="314" t="str">
        <x:v>2025-08</x:v>
      </x:c>
      <x:c r="B126" s="315" t="n">
        <x:v>45887</x:v>
      </x:c>
      <x:c r="C126" s="295" t="str">
        <x:v>YI-000057</x:v>
      </x:c>
      <x:c r="D126" s="295" t="str">
        <x:v>YI NEW SEWING MACHINE CO., LTD</x:v>
      </x:c>
      <x:c r="E126" s="295" t="str">
        <x:v>張小泉12吋大剪刀</x:v>
      </x:c>
      <x:c r="F126" s="295" t="str">
        <x:v>TL-SCISSOR-ZHANGXIAO-12IN</x:v>
      </x:c>
      <x:c r="G126" s="295" t="str">
        <x:v>張小泉12吋大剪刀</x:v>
      </x:c>
      <x:c r="H126" s="295" t="str">
        <x:v>12 inch</x:v>
      </x:c>
      <x:c r="I126" s="295" t="str">
        <x:v>Tools</x:v>
      </x:c>
      <x:c r="J126" s="295" t="str">
        <x:v>Tool</x:v>
      </x:c>
      <x:c r="K126" s="295" t="str">
        <x:v>張小泉</x:v>
      </x:c>
      <x:c r="L126" s="295"/>
      <x:c r="M126" s="295" t="n">
        <x:v>10</x:v>
      </x:c>
      <x:c r="N126" s="295" t="str">
        <x:v>把</x:v>
      </x:c>
      <x:c r="O126" s="296" t="n">
        <x:v>8</x:v>
      </x:c>
      <x:c r="P126" s="296" t="n">
        <x:v>80</x:v>
      </x:c>
      <x:c r="Q126" s="296" t="n">
        <x:v>80</x:v>
      </x:c>
      <x:c r="R126" s="296" t="n">
        <x:v>0</x:v>
      </x:c>
      <x:c r="S126" s="295" t="str">
        <x:v>Yes</x:v>
      </x:c>
      <x:c r="T126" s="295" t="str">
        <x:v>High</x:v>
      </x:c>
      <x:c r="U126" s="295" t="str">
        <x:v>Jan_'25Dec_'25_Monthly_StatementSewing_machine_spareparts.pdf</x:v>
      </x:c>
      <x:c r="V126" s="295" t="n">
        <x:v>8</x:v>
      </x:c>
      <x:c r="W126" s="297"/>
    </x:row>
    <x:row r="127">
      <x:c r="A127" s="314" t="str">
        <x:v>2025-08</x:v>
      </x:c>
      <x:c r="B127" s="315" t="n">
        <x:v>45887</x:v>
      </x:c>
      <x:c r="C127" s="295" t="str">
        <x:v>YI-000057</x:v>
      </x:c>
      <x:c r="D127" s="295" t="str">
        <x:v>YI NEW SEWING MACHINE CO., LTD</x:v>
      </x:c>
      <x:c r="E127" s="295" t="str">
        <x:v>銅套喇叭杆固定座</x:v>
      </x:c>
      <x:c r="F127" s="295" t="str">
        <x:v>HIST25-125</x:v>
      </x:c>
      <x:c r="G127" s="295" t="str">
        <x:v>銅套喇叭杆固定座</x:v>
      </x:c>
      <x:c r="H127" s="295"/>
      <x:c r="I127" s="295" t="str">
        <x:v>Other</x:v>
      </x:c>
      <x:c r="J127" s="295" t="str">
        <x:v>Spare Part</x:v>
      </x:c>
      <x:c r="K127" s="295"/>
      <x:c r="L127" s="295"/>
      <x:c r="M127" s="295" t="n">
        <x:v>15</x:v>
      </x:c>
      <x:c r="N127" s="295" t="str">
        <x:v>個</x:v>
      </x:c>
      <x:c r="O127" s="296" t="n">
        <x:v>3.3</x:v>
      </x:c>
      <x:c r="P127" s="296" t="n">
        <x:v>49.5</x:v>
      </x:c>
      <x:c r="Q127" s="296" t="n">
        <x:v>49.5</x:v>
      </x:c>
      <x:c r="R127" s="296" t="n">
        <x:v>0</x:v>
      </x:c>
      <x:c r="S127" s="295" t="str">
        <x:v>Yes</x:v>
      </x:c>
      <x:c r="T127" s="295" t="str">
        <x:v>High</x:v>
      </x:c>
      <x:c r="U127" s="295" t="str">
        <x:v>Jan_'25Dec_'25_Monthly_StatementSewing_machine_spareparts.pdf</x:v>
      </x:c>
      <x:c r="V127" s="295" t="n">
        <x:v>8</x:v>
      </x:c>
      <x:c r="W127" s="297"/>
    </x:row>
    <x:row r="128">
      <x:c r="A128" s="314" t="str">
        <x:v>2025-08</x:v>
      </x:c>
      <x:c r="B128" s="315" t="n">
        <x:v>45890</x:v>
      </x:c>
      <x:c r="C128" s="295" t="str">
        <x:v>YI-000058</x:v>
      </x:c>
      <x:c r="D128" s="295" t="str">
        <x:v>YI NEW SEWING MACHINE CO., LTD</x:v>
      </x:c>
      <x:c r="E128" s="295" t="str">
        <x:v>維修：1790鎖眼電腦IC板</x:v>
      </x:c>
      <x:c r="F128" s="295" t="str">
        <x:v>EL-JUKI1790-IC-BOARD</x:v>
      </x:c>
      <x:c r="G128" s="295" t="str">
        <x:v>1790電子鎖眼機 IC 主板</x:v>
      </x:c>
      <x:c r="H128" s="295" t="str">
        <x:v>JUKI 1790</x:v>
      </x:c>
      <x:c r="I128" s="295" t="str">
        <x:v>Electrical/Control</x:v>
      </x:c>
      <x:c r="J128" s="295" t="str">
        <x:v>Spare Part</x:v>
      </x:c>
      <x:c r="K128" s="295" t="str">
        <x:v>JUKI</x:v>
      </x:c>
      <x:c r="L128" s="295" t="str">
        <x:v>Buttonhole</x:v>
      </x:c>
      <x:c r="M128" s="295" t="n">
        <x:v>1</x:v>
      </x:c>
      <x:c r="N128" s="295" t="str">
        <x:v>板</x:v>
      </x:c>
      <x:c r="O128" s="296" t="n">
        <x:v>120</x:v>
      </x:c>
      <x:c r="P128" s="296" t="n">
        <x:v>120</x:v>
      </x:c>
      <x:c r="Q128" s="296" t="n">
        <x:v>120</x:v>
      </x:c>
      <x:c r="R128" s="296" t="n">
        <x:v>0</x:v>
      </x:c>
      <x:c r="S128" s="295" t="str">
        <x:v>Yes</x:v>
      </x:c>
      <x:c r="T128" s="295" t="str">
        <x:v>High</x:v>
      </x:c>
      <x:c r="U128" s="295" t="str">
        <x:v>Jan_'25Dec_'25_Monthly_StatementSewing_machine_spareparts.pdf</x:v>
      </x:c>
      <x:c r="V128" s="295" t="n">
        <x:v>8</x:v>
      </x:c>
      <x:c r="W128" s="297"/>
    </x:row>
    <x:row r="129">
      <x:c r="A129" s="314" t="str">
        <x:v>2025-08</x:v>
      </x:c>
      <x:c r="B129" s="315" t="n">
        <x:v>45890</x:v>
      </x:c>
      <x:c r="C129" s="295" t="str">
        <x:v>YI-000059</x:v>
      </x:c>
      <x:c r="D129" s="295" t="str">
        <x:v>YI NEW SEWING MACHINE CO., LTD</x:v>
      </x:c>
      <x:c r="E129" s="295" t="str">
        <x:v>平車K1帶磨針位組 0.3/mm</x:v>
      </x:c>
      <x:c r="F129" s="295" t="str">
        <x:v>HIST25-127</x:v>
      </x:c>
      <x:c r="G129" s="295" t="str">
        <x:v>平車K1帶磨針位組 0.3/mm</x:v>
      </x:c>
      <x:c r="H129" s="295" t="str">
        <x:v>0.3 mm</x:v>
      </x:c>
      <x:c r="I129" s="295" t="str">
        <x:v>Other</x:v>
      </x:c>
      <x:c r="J129" s="295" t="str">
        <x:v>Spare Part</x:v>
      </x:c>
      <x:c r="K129" s="295"/>
      <x:c r="L129" s="295" t="str">
        <x:v>Single Needle</x:v>
      </x:c>
      <x:c r="M129" s="295" t="n">
        <x:v>5</x:v>
      </x:c>
      <x:c r="N129" s="295" t="str">
        <x:v>組</x:v>
      </x:c>
      <x:c r="O129" s="296" t="n">
        <x:v>3.6</x:v>
      </x:c>
      <x:c r="P129" s="296" t="n">
        <x:v>18</x:v>
      </x:c>
      <x:c r="Q129" s="296" t="n">
        <x:v>18</x:v>
      </x:c>
      <x:c r="R129" s="296" t="n">
        <x:v>0</x:v>
      </x:c>
      <x:c r="S129" s="295" t="str">
        <x:v>Yes</x:v>
      </x:c>
      <x:c r="T129" s="295" t="str">
        <x:v>High</x:v>
      </x:c>
      <x:c r="U129" s="295" t="str">
        <x:v>Jan_'25Dec_'25_Monthly_StatementSewing_machine_spareparts.pdf</x:v>
      </x:c>
      <x:c r="V129" s="295" t="n">
        <x:v>8</x:v>
      </x:c>
      <x:c r="W129" s="297"/>
    </x:row>
    <x:row r="130">
      <x:c r="A130" s="314" t="str">
        <x:v>2025-08</x:v>
      </x:c>
      <x:c r="B130" s="315" t="n">
        <x:v>45891</x:v>
      </x:c>
      <x:c r="C130" s="295" t="str">
        <x:v>YI-000060</x:v>
      </x:c>
      <x:c r="D130" s="295" t="str">
        <x:v>YI NEW SEWING MACHINE CO., LTD</x:v>
      </x:c>
      <x:c r="E130" s="295" t="str">
        <x:v>韓國熊貓圓形畫粉</x:v>
      </x:c>
      <x:c r="F130" s="295" t="str">
        <x:v>CN-TAILOR-CHALK-PANDA-KR</x:v>
      </x:c>
      <x:c r="G130" s="295" t="str">
        <x:v>韓國熊貓圓形畫粉</x:v>
      </x:c>
      <x:c r="H130" s="295"/>
      <x:c r="I130" s="295" t="str">
        <x:v>Consumable/Chemical</x:v>
      </x:c>
      <x:c r="J130" s="295" t="str">
        <x:v>Consumable</x:v>
      </x:c>
      <x:c r="K130" s="295" t="str">
        <x:v>Panda/Korea</x:v>
      </x:c>
      <x:c r="L130" s="295"/>
      <x:c r="M130" s="295" t="n">
        <x:v>10</x:v>
      </x:c>
      <x:c r="N130" s="295" t="str">
        <x:v>盒</x:v>
      </x:c>
      <x:c r="O130" s="296" t="n">
        <x:v>1.8</x:v>
      </x:c>
      <x:c r="P130" s="296" t="n">
        <x:v>18</x:v>
      </x:c>
      <x:c r="Q130" s="296" t="n">
        <x:v>18</x:v>
      </x:c>
      <x:c r="R130" s="296" t="n">
        <x:v>0</x:v>
      </x:c>
      <x:c r="S130" s="295" t="str">
        <x:v>Yes</x:v>
      </x:c>
      <x:c r="T130" s="295" t="str">
        <x:v>High</x:v>
      </x:c>
      <x:c r="U130" s="295" t="str">
        <x:v>Jan_'25Dec_'25_Monthly_StatementSewing_machine_spareparts.pdf</x:v>
      </x:c>
      <x:c r="V130" s="295" t="n">
        <x:v>8</x:v>
      </x:c>
      <x:c r="W130" s="297"/>
    </x:row>
    <x:row r="131">
      <x:c r="A131" s="314" t="str">
        <x:v>2025-08</x:v>
      </x:c>
      <x:c r="B131" s="315" t="n">
        <x:v>45891</x:v>
      </x:c>
      <x:c r="C131" s="295" t="str">
        <x:v>YI-000060</x:v>
      </x:c>
      <x:c r="D131" s="295" t="str">
        <x:v>YI NEW SEWING MACHINE CO., LTD</x:v>
      </x:c>
      <x:c r="E131" s="295" t="str">
        <x:v>不鏽鋼直尺</x:v>
      </x:c>
      <x:c r="F131" s="295" t="str">
        <x:v>TL-SS-RULER</x:v>
      </x:c>
      <x:c r="G131" s="295" t="str">
        <x:v>不鏽鋼直尺</x:v>
      </x:c>
      <x:c r="H131" s="295" t="str">
        <x:v>30cm</x:v>
      </x:c>
      <x:c r="I131" s="295" t="str">
        <x:v>Tools</x:v>
      </x:c>
      <x:c r="J131" s="295" t="str">
        <x:v>Tool</x:v>
      </x:c>
      <x:c r="K131" s="295"/>
      <x:c r="L131" s="295"/>
      <x:c r="M131" s="295" t="n">
        <x:v>1</x:v>
      </x:c>
      <x:c r="N131" s="295" t="str">
        <x:v>個</x:v>
      </x:c>
      <x:c r="O131" s="296" t="n">
        <x:v>3</x:v>
      </x:c>
      <x:c r="P131" s="296" t="n">
        <x:v>3</x:v>
      </x:c>
      <x:c r="Q131" s="296" t="n">
        <x:v>3</x:v>
      </x:c>
      <x:c r="R131" s="296" t="n">
        <x:v>0</x:v>
      </x:c>
      <x:c r="S131" s="295" t="str">
        <x:v>Yes</x:v>
      </x:c>
      <x:c r="T131" s="295" t="str">
        <x:v>High</x:v>
      </x:c>
      <x:c r="U131" s="295" t="str">
        <x:v>Jan_'25Dec_'25_Monthly_StatementSewing_machine_spareparts.pdf</x:v>
      </x:c>
      <x:c r="V131" s="295" t="n">
        <x:v>8</x:v>
      </x:c>
      <x:c r="W131" s="297"/>
    </x:row>
    <x:row r="132">
      <x:c r="A132" s="314" t="str">
        <x:v>2025-08</x:v>
      </x:c>
      <x:c r="B132" s="315" t="n">
        <x:v>45895</x:v>
      </x:c>
      <x:c r="C132" s="295" t="str">
        <x:v>YI-000061</x:v>
      </x:c>
      <x:c r="D132" s="295" t="str">
        <x:v>YI NEW SEWING MACHINE CO., LTD</x:v>
      </x:c>
      <x:c r="E132" s="295" t="str">
        <x:v>吊瓶燙斗開關閥</x:v>
      </x:c>
      <x:c r="F132" s="295" t="str">
        <x:v>IR-HANGING-BOTTLE-SWITCH</x:v>
      </x:c>
      <x:c r="G132" s="295" t="str">
        <x:v>吊瓶熨斗開關</x:v>
      </x:c>
      <x:c r="H132" s="295"/>
      <x:c r="I132" s="295" t="str">
        <x:v>Ironing/Heat Transfer</x:v>
      </x:c>
      <x:c r="J132" s="295" t="str">
        <x:v>Spare Part</x:v>
      </x:c>
      <x:c r="K132" s="295"/>
      <x:c r="L132" s="295" t="str">
        <x:v>Iron</x:v>
      </x:c>
      <x:c r="M132" s="295" t="n">
        <x:v>10</x:v>
      </x:c>
      <x:c r="N132" s="295" t="str">
        <x:v>個</x:v>
      </x:c>
      <x:c r="O132" s="296" t="n">
        <x:v>4.5</x:v>
      </x:c>
      <x:c r="P132" s="296" t="n">
        <x:v>45</x:v>
      </x:c>
      <x:c r="Q132" s="296" t="n">
        <x:v>45</x:v>
      </x:c>
      <x:c r="R132" s="296" t="n">
        <x:v>0</x:v>
      </x:c>
      <x:c r="S132" s="295" t="str">
        <x:v>Yes</x:v>
      </x:c>
      <x:c r="T132" s="295" t="str">
        <x:v>High</x:v>
      </x:c>
      <x:c r="U132" s="295" t="str">
        <x:v>Jan_'25Dec_'25_Monthly_StatementSewing_machine_spareparts.pdf</x:v>
      </x:c>
      <x:c r="V132" s="295" t="n">
        <x:v>8</x:v>
      </x:c>
      <x:c r="W132" s="297"/>
    </x:row>
    <x:row r="133">
      <x:c r="A133" s="314" t="str">
        <x:v>2025-08</x:v>
      </x:c>
      <x:c r="B133" s="315" t="n">
        <x:v>45895</x:v>
      </x:c>
      <x:c r="C133" s="295" t="str">
        <x:v>YI-000061</x:v>
      </x:c>
      <x:c r="D133" s="295" t="str">
        <x:v>YI NEW SEWING MACHINE CO., LTD</x:v>
      </x:c>
      <x:c r="E133" s="295" t="str">
        <x:v>P36LN壓腳（全鋼）</x:v>
      </x:c>
      <x:c r="F133" s="295" t="str">
        <x:v>PF-P36LN-STEEL</x:v>
      </x:c>
      <x:c r="G133" s="295" t="str">
        <x:v>P36LN壓腳（全鋼）</x:v>
      </x:c>
      <x:c r="H133" s="295" t="str">
        <x:v>P36LN</x:v>
      </x:c>
      <x:c r="I133" s="295" t="str">
        <x:v>Presser Foot</x:v>
      </x:c>
      <x:c r="J133" s="295" t="str">
        <x:v>Spare Part</x:v>
      </x:c>
      <x:c r="K133" s="295"/>
      <x:c r="L133" s="295"/>
      <x:c r="M133" s="295" t="n">
        <x:v>10</x:v>
      </x:c>
      <x:c r="N133" s="295" t="str">
        <x:v>個</x:v>
      </x:c>
      <x:c r="O133" s="296" t="n">
        <x:v>0.5</x:v>
      </x:c>
      <x:c r="P133" s="296" t="n">
        <x:v>5</x:v>
      </x:c>
      <x:c r="Q133" s="296" t="n">
        <x:v>5</x:v>
      </x:c>
      <x:c r="R133" s="296" t="n">
        <x:v>0</x:v>
      </x:c>
      <x:c r="S133" s="295" t="str">
        <x:v>Yes</x:v>
      </x:c>
      <x:c r="T133" s="295" t="str">
        <x:v>High</x:v>
      </x:c>
      <x:c r="U133" s="295" t="str">
        <x:v>Jan_'25Dec_'25_Monthly_StatementSewing_machine_spareparts.pdf</x:v>
      </x:c>
      <x:c r="V133" s="295" t="n">
        <x:v>8</x:v>
      </x:c>
      <x:c r="W133" s="297"/>
    </x:row>
    <x:row r="134">
      <x:c r="A134" s="314" t="str">
        <x:v>2025-08</x:v>
      </x:c>
      <x:c r="B134" s="315" t="n">
        <x:v>45895</x:v>
      </x:c>
      <x:c r="C134" s="295" t="str">
        <x:v>YI-000061</x:v>
      </x:c>
      <x:c r="D134" s="295" t="str">
        <x:v>YI NEW SEWING MACHINE CO., LTD</x:v>
      </x:c>
      <x:c r="E134" s="295" t="str">
        <x:v>熱轉印繼電器</x:v>
      </x:c>
      <x:c r="F134" s="295" t="str">
        <x:v>EL-HEAT-TRANSFER-RELAY</x:v>
      </x:c>
      <x:c r="G134" s="295" t="str">
        <x:v>熱轉印繼電器</x:v>
      </x:c>
      <x:c r="H134" s="295"/>
      <x:c r="I134" s="295" t="str">
        <x:v>Electrical/Control</x:v>
      </x:c>
      <x:c r="J134" s="295" t="str">
        <x:v>Spare Part</x:v>
      </x:c>
      <x:c r="K134" s="295"/>
      <x:c r="L134" s="295" t="str">
        <x:v>Heat Transfer</x:v>
      </x:c>
      <x:c r="M134" s="295" t="n">
        <x:v>4</x:v>
      </x:c>
      <x:c r="N134" s="295" t="str">
        <x:v>個</x:v>
      </x:c>
      <x:c r="O134" s="296" t="n">
        <x:v>8</x:v>
      </x:c>
      <x:c r="P134" s="296" t="n">
        <x:v>32</x:v>
      </x:c>
      <x:c r="Q134" s="296" t="n">
        <x:v>32</x:v>
      </x:c>
      <x:c r="R134" s="296" t="n">
        <x:v>0</x:v>
      </x:c>
      <x:c r="S134" s="295" t="str">
        <x:v>Yes</x:v>
      </x:c>
      <x:c r="T134" s="295" t="str">
        <x:v>High</x:v>
      </x:c>
      <x:c r="U134" s="295" t="str">
        <x:v>Jan_'25Dec_'25_Monthly_StatementSewing_machine_spareparts.pdf</x:v>
      </x:c>
      <x:c r="V134" s="295" t="n">
        <x:v>8</x:v>
      </x:c>
      <x:c r="W134" s="297"/>
    </x:row>
    <x:row r="135">
      <x:c r="A135" s="314" t="str">
        <x:v>2025-08</x:v>
      </x:c>
      <x:c r="B135" s="315" t="n">
        <x:v>45895</x:v>
      </x:c>
      <x:c r="C135" s="295" t="str">
        <x:v>YI-000061</x:v>
      </x:c>
      <x:c r="D135" s="295" t="str">
        <x:v>YI NEW SEWING MACHINE CO., LTD</x:v>
      </x:c>
      <x:c r="E135" s="295" t="str">
        <x:v>不鏽鋼絲 1.5/mm</x:v>
      </x:c>
      <x:c r="F135" s="295" t="str">
        <x:v>MTL-SS-WIRE-15MM</x:v>
      </x:c>
      <x:c r="G135" s="295" t="str">
        <x:v>不鏽鋼絲 1.5mm</x:v>
      </x:c>
      <x:c r="H135" s="295" t="str">
        <x:v>1.5 mm</x:v>
      </x:c>
      <x:c r="I135" s="295" t="str">
        <x:v>Material</x:v>
      </x:c>
      <x:c r="J135" s="295" t="str">
        <x:v>Consumable</x:v>
      </x:c>
      <x:c r="K135" s="295"/>
      <x:c r="L135" s="295"/>
      <x:c r="M135" s="295" t="n">
        <x:v>3</x:v>
      </x:c>
      <x:c r="N135" s="295" t="str">
        <x:v>KG</x:v>
      </x:c>
      <x:c r="O135" s="296" t="n">
        <x:v>16</x:v>
      </x:c>
      <x:c r="P135" s="296" t="n">
        <x:v>48</x:v>
      </x:c>
      <x:c r="Q135" s="296" t="n">
        <x:v>48</x:v>
      </x:c>
      <x:c r="R135" s="296" t="n">
        <x:v>0</x:v>
      </x:c>
      <x:c r="S135" s="295" t="str">
        <x:v>Yes</x:v>
      </x:c>
      <x:c r="T135" s="295" t="str">
        <x:v>High</x:v>
      </x:c>
      <x:c r="U135" s="295" t="str">
        <x:v>Jan_'25Dec_'25_Monthly_StatementSewing_machine_spareparts.pdf</x:v>
      </x:c>
      <x:c r="V135" s="295" t="n">
        <x:v>8</x:v>
      </x:c>
      <x:c r="W135" s="297"/>
    </x:row>
    <x:row r="136">
      <x:c r="A136" s="314" t="str">
        <x:v>2025-08</x:v>
      </x:c>
      <x:c r="B136" s="315" t="n">
        <x:v>45895</x:v>
      </x:c>
      <x:c r="C136" s="295" t="str">
        <x:v>YI-000061</x:v>
      </x:c>
      <x:c r="D136" s="295" t="str">
        <x:v>YI NEW SEWING MACHINE CO., LTD</x:v>
      </x:c>
      <x:c r="E136" s="295" t="str">
        <x:v>開磨機鎖頭 3/mm</x:v>
      </x:c>
      <x:c r="F136" s="295" t="str">
        <x:v>HIST25-134</x:v>
      </x:c>
      <x:c r="G136" s="295" t="str">
        <x:v>開磨機鎖頭 3/mm</x:v>
      </x:c>
      <x:c r="H136" s="295" t="str">
        <x:v>3 mm</x:v>
      </x:c>
      <x:c r="I136" s="295" t="str">
        <x:v>Tools</x:v>
      </x:c>
      <x:c r="J136" s="295" t="str">
        <x:v>Tool</x:v>
      </x:c>
      <x:c r="K136" s="295"/>
      <x:c r="L136" s="295"/>
      <x:c r="M136" s="295" t="n">
        <x:v>1</x:v>
      </x:c>
      <x:c r="N136" s="295" t="str">
        <x:v>支</x:v>
      </x:c>
      <x:c r="O136" s="296" t="n">
        <x:v>23</x:v>
      </x:c>
      <x:c r="P136" s="296" t="n">
        <x:v>23</x:v>
      </x:c>
      <x:c r="Q136" s="296" t="n">
        <x:v>23</x:v>
      </x:c>
      <x:c r="R136" s="296" t="n">
        <x:v>0</x:v>
      </x:c>
      <x:c r="S136" s="295" t="str">
        <x:v>Yes</x:v>
      </x:c>
      <x:c r="T136" s="295" t="str">
        <x:v>High</x:v>
      </x:c>
      <x:c r="U136" s="295" t="str">
        <x:v>Jan_'25Dec_'25_Monthly_StatementSewing_machine_spareparts.pdf</x:v>
      </x:c>
      <x:c r="V136" s="295" t="n">
        <x:v>8</x:v>
      </x:c>
      <x:c r="W136" s="297"/>
    </x:row>
    <x:row r="137">
      <x:c r="A137" s="314" t="str">
        <x:v>2025-08</x:v>
      </x:c>
      <x:c r="B137" s="315" t="n">
        <x:v>45895</x:v>
      </x:c>
      <x:c r="C137" s="295" t="str">
        <x:v>YI-000062</x:v>
      </x:c>
      <x:c r="D137" s="295" t="str">
        <x:v>YI NEW SEWING MACHINE CO., LTD</x:v>
      </x:c>
      <x:c r="E137" s="295" t="str">
        <x:v>維修：JUKI-896門禁用袋機</x:v>
      </x:c>
      <x:c r="F137" s="295" t="str">
        <x:v>HIST25-135</x:v>
      </x:c>
      <x:c r="G137" s="295" t="str">
        <x:v>維修：JUKI-896門禁用袋機</x:v>
      </x:c>
      <x:c r="H137" s="295"/>
      <x:c r="I137" s="295" t="str">
        <x:v>Repair Service</x:v>
      </x:c>
      <x:c r="J137" s="295" t="str">
        <x:v>Repair Service</x:v>
      </x:c>
      <x:c r="K137" s="295" t="str">
        <x:v>JUKI</x:v>
      </x:c>
      <x:c r="L137" s="295" t="str">
        <x:v>JUKI-896</x:v>
      </x:c>
      <x:c r="M137" s="295" t="n">
        <x:v>1</x:v>
      </x:c>
      <x:c r="N137" s="295" t="str">
        <x:v>台</x:v>
      </x:c>
      <x:c r="O137" s="296" t="n">
        <x:v>150</x:v>
      </x:c>
      <x:c r="P137" s="296" t="n">
        <x:v>150</x:v>
      </x:c>
      <x:c r="Q137" s="296" t="n">
        <x:v>150</x:v>
      </x:c>
      <x:c r="R137" s="296" t="n">
        <x:v>0</x:v>
      </x:c>
      <x:c r="S137" s="295" t="str">
        <x:v>Yes</x:v>
      </x:c>
      <x:c r="T137" s="295" t="str">
        <x:v>Medium</x:v>
      </x:c>
      <x:c r="U137" s="295" t="str">
        <x:v>Jan_'25Dec_'25_Monthly_StatementSewing_machine_spareparts.pdf</x:v>
      </x:c>
      <x:c r="V137" s="295" t="n">
        <x:v>8</x:v>
      </x:c>
      <x:c r="W137" s="297"/>
    </x:row>
    <x:row r="138">
      <x:c r="A138" s="314" t="str">
        <x:v>2025-08</x:v>
      </x:c>
      <x:c r="B138" s="315" t="n">
        <x:v>45895</x:v>
      </x:c>
      <x:c r="C138" s="295" t="str">
        <x:v>YI-000062</x:v>
      </x:c>
      <x:c r="D138" s="295" t="str">
        <x:v>YI NEW SEWING MACHINE CO., LTD</x:v>
      </x:c>
      <x:c r="E138" s="295" t="str">
        <x:v>JUKI-896定位器開關</x:v>
      </x:c>
      <x:c r="F138" s="295" t="str">
        <x:v>HIST25-136</x:v>
      </x:c>
      <x:c r="G138" s="295" t="str">
        <x:v>JUKI-896定位器開關</x:v>
      </x:c>
      <x:c r="H138" s="295"/>
      <x:c r="I138" s="295" t="str">
        <x:v>Electrical/Control</x:v>
      </x:c>
      <x:c r="J138" s="295" t="str">
        <x:v>Spare Part</x:v>
      </x:c>
      <x:c r="K138" s="295" t="str">
        <x:v>JUKI</x:v>
      </x:c>
      <x:c r="L138" s="295" t="str">
        <x:v>JUKI-896</x:v>
      </x:c>
      <x:c r="M138" s="295" t="n">
        <x:v>2</x:v>
      </x:c>
      <x:c r="N138" s="295" t="str">
        <x:v>個</x:v>
      </x:c>
      <x:c r="O138" s="296" t="n">
        <x:v>50</x:v>
      </x:c>
      <x:c r="P138" s="296" t="n">
        <x:v>100</x:v>
      </x:c>
      <x:c r="Q138" s="296" t="n">
        <x:v>100</x:v>
      </x:c>
      <x:c r="R138" s="296" t="n">
        <x:v>0</x:v>
      </x:c>
      <x:c r="S138" s="295" t="str">
        <x:v>Yes</x:v>
      </x:c>
      <x:c r="T138" s="295" t="str">
        <x:v>High</x:v>
      </x:c>
      <x:c r="U138" s="295" t="str">
        <x:v>Jan_'25Dec_'25_Monthly_StatementSewing_machine_spareparts.pdf</x:v>
      </x:c>
      <x:c r="V138" s="295" t="n">
        <x:v>8</x:v>
      </x:c>
      <x:c r="W138" s="297"/>
    </x:row>
    <x:row r="139">
      <x:c r="A139" s="314" t="str">
        <x:v>2025-08</x:v>
      </x:c>
      <x:c r="B139" s="315" t="n">
        <x:v>45895</x:v>
      </x:c>
      <x:c r="C139" s="295" t="str">
        <x:v>YI-000062</x:v>
      </x:c>
      <x:c r="D139" s="295" t="str">
        <x:v>YI NEW SEWING MACHINE CO., LTD</x:v>
      </x:c>
      <x:c r="E139" s="295" t="str">
        <x:v>JUKI-896安全警示卡榫</x:v>
      </x:c>
      <x:c r="F139" s="295" t="str">
        <x:v>HIST25-137</x:v>
      </x:c>
      <x:c r="G139" s="295" t="str">
        <x:v>JUKI-896安全警示卡榫</x:v>
      </x:c>
      <x:c r="H139" s="295"/>
      <x:c r="I139" s="295" t="str">
        <x:v>Other</x:v>
      </x:c>
      <x:c r="J139" s="295" t="str">
        <x:v>Spare Part</x:v>
      </x:c>
      <x:c r="K139" s="295" t="str">
        <x:v>JUKI</x:v>
      </x:c>
      <x:c r="L139" s="295" t="str">
        <x:v>JUKI-896</x:v>
      </x:c>
      <x:c r="M139" s="295" t="n">
        <x:v>1</x:v>
      </x:c>
      <x:c r="N139" s="295" t="str">
        <x:v>組</x:v>
      </x:c>
      <x:c r="O139" s="296" t="n">
        <x:v>18</x:v>
      </x:c>
      <x:c r="P139" s="296" t="n">
        <x:v>18</x:v>
      </x:c>
      <x:c r="Q139" s="296" t="n">
        <x:v>18</x:v>
      </x:c>
      <x:c r="R139" s="296" t="n">
        <x:v>0</x:v>
      </x:c>
      <x:c r="S139" s="295" t="str">
        <x:v>Yes</x:v>
      </x:c>
      <x:c r="T139" s="295" t="str">
        <x:v>High</x:v>
      </x:c>
      <x:c r="U139" s="295" t="str">
        <x:v>Jan_'25Dec_'25_Monthly_StatementSewing_machine_spareparts.pdf</x:v>
      </x:c>
      <x:c r="V139" s="295" t="n">
        <x:v>8</x:v>
      </x:c>
      <x:c r="W139" s="297"/>
    </x:row>
    <x:row r="140">
      <x:c r="A140" s="314" t="str">
        <x:v>2025-08</x:v>
      </x:c>
      <x:c r="B140" s="315" t="n">
        <x:v>45895</x:v>
      </x:c>
      <x:c r="C140" s="295" t="str">
        <x:v>YI-000062</x:v>
      </x:c>
      <x:c r="D140" s="295" t="str">
        <x:v>YI NEW SEWING MACHINE CO., LTD</x:v>
      </x:c>
      <x:c r="E140" s="295" t="str">
        <x:v>JUKI-896雙頭4號電磁閥組</x:v>
      </x:c>
      <x:c r="F140" s="295" t="str">
        <x:v>HIST25-138</x:v>
      </x:c>
      <x:c r="G140" s="295" t="str">
        <x:v>JUKI-896雙頭4號電磁閥組</x:v>
      </x:c>
      <x:c r="H140" s="295"/>
      <x:c r="I140" s="295" t="str">
        <x:v>Air/Pneumatic</x:v>
      </x:c>
      <x:c r="J140" s="295" t="str">
        <x:v>Spare Part</x:v>
      </x:c>
      <x:c r="K140" s="295" t="str">
        <x:v>JUKI</x:v>
      </x:c>
      <x:c r="L140" s="295" t="str">
        <x:v>JUKI-896</x:v>
      </x:c>
      <x:c r="M140" s="295" t="n">
        <x:v>1</x:v>
      </x:c>
      <x:c r="N140" s="295" t="str">
        <x:v>組</x:v>
      </x:c>
      <x:c r="O140" s="296" t="n">
        <x:v>55</x:v>
      </x:c>
      <x:c r="P140" s="296" t="n">
        <x:v>55</x:v>
      </x:c>
      <x:c r="Q140" s="296" t="n">
        <x:v>55</x:v>
      </x:c>
      <x:c r="R140" s="296" t="n">
        <x:v>0</x:v>
      </x:c>
      <x:c r="S140" s="295" t="str">
        <x:v>Yes</x:v>
      </x:c>
      <x:c r="T140" s="295" t="str">
        <x:v>High</x:v>
      </x:c>
      <x:c r="U140" s="295" t="str">
        <x:v>Jan_'25Dec_'25_Monthly_StatementSewing_machine_spareparts.pdf</x:v>
      </x:c>
      <x:c r="V140" s="295" t="n">
        <x:v>8</x:v>
      </x:c>
      <x:c r="W140" s="297"/>
    </x:row>
    <x:row r="141">
      <x:c r="A141" s="314" t="str">
        <x:v>2025-08</x:v>
      </x:c>
      <x:c r="B141" s="315" t="n">
        <x:v>45895</x:v>
      </x:c>
      <x:c r="C141" s="295" t="str">
        <x:v>YI-000062</x:v>
      </x:c>
      <x:c r="D141" s="295" t="str">
        <x:v>YI NEW SEWING MACHINE CO., LTD</x:v>
      </x:c>
      <x:c r="E141" s="295" t="str">
        <x:v>JUKI-896程式重載</x:v>
      </x:c>
      <x:c r="F141" s="295" t="str">
        <x:v>HIST25-139</x:v>
      </x:c>
      <x:c r="G141" s="295" t="str">
        <x:v>JUKI-896程式重載</x:v>
      </x:c>
      <x:c r="H141" s="295"/>
      <x:c r="I141" s="295" t="str">
        <x:v>Repair Service</x:v>
      </x:c>
      <x:c r="J141" s="295" t="str">
        <x:v>Repair Service</x:v>
      </x:c>
      <x:c r="K141" s="295" t="str">
        <x:v>JUKI</x:v>
      </x:c>
      <x:c r="L141" s="295" t="str">
        <x:v>JUKI-896</x:v>
      </x:c>
      <x:c r="M141" s="295" t="n">
        <x:v>1</x:v>
      </x:c>
      <x:c r="N141" s="295" t="str">
        <x:v>台</x:v>
      </x:c>
      <x:c r="O141" s="296" t="n">
        <x:v>50</x:v>
      </x:c>
      <x:c r="P141" s="296" t="n">
        <x:v>50</x:v>
      </x:c>
      <x:c r="Q141" s="296" t="n">
        <x:v>50</x:v>
      </x:c>
      <x:c r="R141" s="296" t="n">
        <x:v>0</x:v>
      </x:c>
      <x:c r="S141" s="295" t="str">
        <x:v>Yes</x:v>
      </x:c>
      <x:c r="T141" s="295" t="str">
        <x:v>High</x:v>
      </x:c>
      <x:c r="U141" s="295" t="str">
        <x:v>Jan_'25Dec_'25_Monthly_StatementSewing_machine_spareparts.pdf</x:v>
      </x:c>
      <x:c r="V141" s="295" t="n">
        <x:v>8</x:v>
      </x:c>
      <x:c r="W141" s="297"/>
    </x:row>
    <x:row r="142">
      <x:c r="A142" s="314" t="str">
        <x:v>2025-09</x:v>
      </x:c>
      <x:c r="B142" s="315" t="n">
        <x:v>45904</x:v>
      </x:c>
      <x:c r="C142" s="295" t="str">
        <x:v>YI-000063</x:v>
      </x:c>
      <x:c r="D142" s="295" t="str">
        <x:v>YI NEW SEWING MACHINE CO., LTD</x:v>
      </x:c>
      <x:c r="E142" s="295" t="str">
        <x:v>訂製：四合扣模具組 9.5/mm-12.5/mm</x:v>
      </x:c>
      <x:c r="F142" s="295" t="str">
        <x:v>TL-SNAP-MOLD-95-125</x:v>
      </x:c>
      <x:c r="G142" s="295" t="str">
        <x:v>四合扣模具組</x:v>
      </x:c>
      <x:c r="H142" s="295" t="str">
        <x:v>9.5-12.5 mm</x:v>
      </x:c>
      <x:c r="I142" s="295" t="str">
        <x:v>Tools</x:v>
      </x:c>
      <x:c r="J142" s="295" t="str">
        <x:v>Tool</x:v>
      </x:c>
      <x:c r="K142" s="295"/>
      <x:c r="L142" s="295" t="str">
        <x:v>Snap/Button</x:v>
      </x:c>
      <x:c r="M142" s="295" t="n">
        <x:v>5</x:v>
      </x:c>
      <x:c r="N142" s="295" t="str">
        <x:v>套</x:v>
      </x:c>
      <x:c r="O142" s="296" t="n">
        <x:v>32</x:v>
      </x:c>
      <x:c r="P142" s="296" t="n">
        <x:v>160</x:v>
      </x:c>
      <x:c r="Q142" s="296" t="n">
        <x:v>160</x:v>
      </x:c>
      <x:c r="R142" s="296" t="n">
        <x:v>0</x:v>
      </x:c>
      <x:c r="S142" s="295" t="str">
        <x:v>Yes</x:v>
      </x:c>
      <x:c r="T142" s="295" t="str">
        <x:v>High</x:v>
      </x:c>
      <x:c r="U142" s="295" t="str">
        <x:v>Jan_'25Dec_'25_Monthly_StatementSewing_machine_spareparts.pdf</x:v>
      </x:c>
      <x:c r="V142" s="295" t="n">
        <x:v>9</x:v>
      </x:c>
      <x:c r="W142" s="297"/>
    </x:row>
    <x:row r="143">
      <x:c r="A143" s="314" t="str">
        <x:v>2025-09</x:v>
      </x:c>
      <x:c r="B143" s="315" t="n">
        <x:v>45904</x:v>
      </x:c>
      <x:c r="C143" s="295" t="str">
        <x:v>YI-000063</x:v>
      </x:c>
      <x:c r="D143" s="295" t="str">
        <x:v>YI NEW SEWING MACHINE CO., LTD</x:v>
      </x:c>
      <x:c r="E143" s="295" t="str">
        <x:v>鎖頭組（好）</x:v>
      </x:c>
      <x:c r="F143" s="295" t="str">
        <x:v>HIST25-141</x:v>
      </x:c>
      <x:c r="G143" s="295" t="str">
        <x:v>鎖頭組（好）</x:v>
      </x:c>
      <x:c r="H143" s="295"/>
      <x:c r="I143" s="295" t="str">
        <x:v>Tools</x:v>
      </x:c>
      <x:c r="J143" s="295" t="str">
        <x:v>Tool</x:v>
      </x:c>
      <x:c r="K143" s="295"/>
      <x:c r="L143" s="295"/>
      <x:c r="M143" s="295" t="n">
        <x:v>2</x:v>
      </x:c>
      <x:c r="N143" s="295" t="str">
        <x:v>套</x:v>
      </x:c>
      <x:c r="O143" s="296" t="n">
        <x:v>13</x:v>
      </x:c>
      <x:c r="P143" s="296" t="n">
        <x:v>26</x:v>
      </x:c>
      <x:c r="Q143" s="296" t="n">
        <x:v>26</x:v>
      </x:c>
      <x:c r="R143" s="296" t="n">
        <x:v>0</x:v>
      </x:c>
      <x:c r="S143" s="295" t="str">
        <x:v>Yes</x:v>
      </x:c>
      <x:c r="T143" s="295" t="str">
        <x:v>High</x:v>
      </x:c>
      <x:c r="U143" s="295" t="str">
        <x:v>Jan_'25Dec_'25_Monthly_StatementSewing_machine_spareparts.pdf</x:v>
      </x:c>
      <x:c r="V143" s="295" t="n">
        <x:v>9</x:v>
      </x:c>
      <x:c r="W143" s="297"/>
    </x:row>
    <x:row r="144">
      <x:c r="A144" s="314" t="str">
        <x:v>2025-09</x:v>
      </x:c>
      <x:c r="B144" s="315" t="n">
        <x:v>45906</x:v>
      </x:c>
      <x:c r="C144" s="295" t="str">
        <x:v>YI-000064</x:v>
      </x:c>
      <x:c r="D144" s="295" t="str">
        <x:v>YI NEW SEWING MACHINE CO., LTD</x:v>
      </x:c>
      <x:c r="E144" s="295" t="str">
        <x:v>熱轉印燙襯測溫槍</x:v>
      </x:c>
      <x:c r="F144" s="295" t="str">
        <x:v>TL-INFRARED-TEMP-GUN</x:v>
      </x:c>
      <x:c r="G144" s="295" t="str">
        <x:v>熱轉印測溫槍</x:v>
      </x:c>
      <x:c r="H144" s="295"/>
      <x:c r="I144" s="295" t="str">
        <x:v>Tools</x:v>
      </x:c>
      <x:c r="J144" s="295" t="str">
        <x:v>Tool</x:v>
      </x:c>
      <x:c r="K144" s="295"/>
      <x:c r="L144" s="295" t="str">
        <x:v>Heat Transfer</x:v>
      </x:c>
      <x:c r="M144" s="295" t="n">
        <x:v>1</x:v>
      </x:c>
      <x:c r="N144" s="295" t="str">
        <x:v>把</x:v>
      </x:c>
      <x:c r="O144" s="296" t="n">
        <x:v>65</x:v>
      </x:c>
      <x:c r="P144" s="296" t="n">
        <x:v>65</x:v>
      </x:c>
      <x:c r="Q144" s="296" t="n">
        <x:v>65</x:v>
      </x:c>
      <x:c r="R144" s="296" t="n">
        <x:v>0</x:v>
      </x:c>
      <x:c r="S144" s="295" t="str">
        <x:v>Yes</x:v>
      </x:c>
      <x:c r="T144" s="295" t="str">
        <x:v>High</x:v>
      </x:c>
      <x:c r="U144" s="295" t="str">
        <x:v>Jan_'25Dec_'25_Monthly_StatementSewing_machine_spareparts.pdf</x:v>
      </x:c>
      <x:c r="V144" s="295" t="n">
        <x:v>9</x:v>
      </x:c>
      <x:c r="W144" s="297"/>
    </x:row>
    <x:row r="145">
      <x:c r="A145" s="314" t="str">
        <x:v>2025-10</x:v>
      </x:c>
      <x:c r="B145" s="315" t="n">
        <x:v>45930</x:v>
      </x:c>
      <x:c r="C145" s="295" t="str">
        <x:v>YI-000065</x:v>
      </x:c>
      <x:c r="D145" s="295" t="str">
        <x:v>YI NEW SEWING MACHINE CO., LTD</x:v>
      </x:c>
      <x:c r="E145" s="295" t="str">
        <x:v>沙剪刀</x:v>
      </x:c>
      <x:c r="F145" s="295" t="str">
        <x:v>TL-THREAD-SNIP-GLOBE</x:v>
      </x:c>
      <x:c r="G145" s="295" t="str">
        <x:v>環球沙剪</x:v>
      </x:c>
      <x:c r="H145" s="295"/>
      <x:c r="I145" s="295" t="str">
        <x:v>Tools</x:v>
      </x:c>
      <x:c r="J145" s="295" t="str">
        <x:v>Tool</x:v>
      </x:c>
      <x:c r="K145" s="295" t="str">
        <x:v>環球</x:v>
      </x:c>
      <x:c r="L145" s="295"/>
      <x:c r="M145" s="295" t="n">
        <x:v>5</x:v>
      </x:c>
      <x:c r="N145" s="295" t="str">
        <x:v>打</x:v>
      </x:c>
      <x:c r="O145" s="296" t="n">
        <x:v>2.3</x:v>
      </x:c>
      <x:c r="P145" s="296" t="n">
        <x:v>11.5</x:v>
      </x:c>
      <x:c r="Q145" s="296" t="n">
        <x:v>11.5</x:v>
      </x:c>
      <x:c r="R145" s="296" t="n">
        <x:v>0</x:v>
      </x:c>
      <x:c r="S145" s="295" t="str">
        <x:v>Yes</x:v>
      </x:c>
      <x:c r="T145" s="295" t="str">
        <x:v>High</x:v>
      </x:c>
      <x:c r="U145" s="295" t="str">
        <x:v>Jan_'25Dec_'25_Monthly_StatementSewing_machine_spareparts.pdf</x:v>
      </x:c>
      <x:c r="V145" s="295" t="n">
        <x:v>10</x:v>
      </x:c>
      <x:c r="W145" s="297" t="str">
        <x:v>原始發票寫沙剪刀；依同價同品項合併</x:v>
      </x:c>
    </x:row>
    <x:row r="146">
      <x:c r="A146" s="314" t="str">
        <x:v>2025-10</x:v>
      </x:c>
      <x:c r="B146" s="315" t="n">
        <x:v>45930</x:v>
      </x:c>
      <x:c r="C146" s="295" t="str">
        <x:v>YI-000065</x:v>
      </x:c>
      <x:c r="D146" s="295" t="str">
        <x:v>YI NEW SEWING MACHINE CO., LTD</x:v>
      </x:c>
      <x:c r="E146" s="295" t="str">
        <x:v>JJW-830</x:v>
      </x:c>
      <x:c r="F146" s="295" t="str">
        <x:v>CH-JJW830</x:v>
      </x:c>
      <x:c r="G146" s="295" t="str">
        <x:v>JJW-830</x:v>
      </x:c>
      <x:c r="H146" s="295"/>
      <x:c r="I146" s="295" t="str">
        <x:v>Consumable/Chemical</x:v>
      </x:c>
      <x:c r="J146" s="295" t="str">
        <x:v>Consumable</x:v>
      </x:c>
      <x:c r="K146" s="295"/>
      <x:c r="L146" s="295"/>
      <x:c r="M146" s="295" t="n">
        <x:v>48</x:v>
      </x:c>
      <x:c r="N146" s="295" t="str">
        <x:v>瓶</x:v>
      </x:c>
      <x:c r="O146" s="296" t="n">
        <x:v>2.8</x:v>
      </x:c>
      <x:c r="P146" s="296" t="n">
        <x:v>134.4</x:v>
      </x:c>
      <x:c r="Q146" s="296" t="n">
        <x:v>134.4</x:v>
      </x:c>
      <x:c r="R146" s="296" t="n">
        <x:v>0</x:v>
      </x:c>
      <x:c r="S146" s="295" t="str">
        <x:v>Yes</x:v>
      </x:c>
      <x:c r="T146" s="295" t="str">
        <x:v>High</x:v>
      </x:c>
      <x:c r="U146" s="295" t="str">
        <x:v>Jan_'25Dec_'25_Monthly_StatementSewing_machine_spareparts.pdf</x:v>
      </x:c>
      <x:c r="V146" s="295" t="n">
        <x:v>10</x:v>
      </x:c>
      <x:c r="W146" s="297"/>
    </x:row>
    <x:row r="147">
      <x:c r="A147" s="314" t="str">
        <x:v>2025-10</x:v>
      </x:c>
      <x:c r="B147" s="315" t="n">
        <x:v>45930</x:v>
      </x:c>
      <x:c r="C147" s="295" t="str">
        <x:v>YI-000065</x:v>
      </x:c>
      <x:c r="D147" s="295" t="str">
        <x:v>YI NEW SEWING MACHINE CO., LTD</x:v>
      </x:c>
      <x:c r="E147" s="295" t="str">
        <x:v>平車電子梭殼</x:v>
      </x:c>
      <x:c r="F147" s="295" t="str">
        <x:v>BC-SN-ELECTRONIC</x:v>
      </x:c>
      <x:c r="G147" s="295" t="str">
        <x:v>平車電子梭殼</x:v>
      </x:c>
      <x:c r="H147" s="295"/>
      <x:c r="I147" s="295" t="str">
        <x:v>Bobbin/Shuttle</x:v>
      </x:c>
      <x:c r="J147" s="295" t="str">
        <x:v>Spare Part</x:v>
      </x:c>
      <x:c r="K147" s="295"/>
      <x:c r="L147" s="295" t="str">
        <x:v>Single Needle</x:v>
      </x:c>
      <x:c r="M147" s="295" t="n">
        <x:v>20</x:v>
      </x:c>
      <x:c r="N147" s="295" t="str">
        <x:v>個</x:v>
      </x:c>
      <x:c r="O147" s="296" t="n">
        <x:v>0.45</x:v>
      </x:c>
      <x:c r="P147" s="296" t="n">
        <x:v>9</x:v>
      </x:c>
      <x:c r="Q147" s="296" t="n">
        <x:v>9</x:v>
      </x:c>
      <x:c r="R147" s="296" t="n">
        <x:v>0</x:v>
      </x:c>
      <x:c r="S147" s="295" t="str">
        <x:v>Yes</x:v>
      </x:c>
      <x:c r="T147" s="295" t="str">
        <x:v>High</x:v>
      </x:c>
      <x:c r="U147" s="295" t="str">
        <x:v>Jan_'25Dec_'25_Monthly_StatementSewing_machine_spareparts.pdf</x:v>
      </x:c>
      <x:c r="V147" s="295" t="n">
        <x:v>10</x:v>
      </x:c>
      <x:c r="W147" s="297"/>
    </x:row>
    <x:row r="148">
      <x:c r="A148" s="314" t="str">
        <x:v>2025-10</x:v>
      </x:c>
      <x:c r="B148" s="315" t="n">
        <x:v>45930</x:v>
      </x:c>
      <x:c r="C148" s="295" t="str">
        <x:v>YI-000065</x:v>
      </x:c>
      <x:c r="D148" s="295" t="str">
        <x:v>YI NEW SEWING MACHINE CO., LTD</x:v>
      </x:c>
      <x:c r="E148" s="295" t="str">
        <x:v>熨斗鞋 ES-94(A)</x:v>
      </x:c>
      <x:c r="F148" s="295" t="str">
        <x:v>IR-ES94A-SHOE</x:v>
      </x:c>
      <x:c r="G148" s="295" t="str">
        <x:v>熨斗鞋 ES-94(A)</x:v>
      </x:c>
      <x:c r="H148" s="295" t="str">
        <x:v>ES-94(A)</x:v>
      </x:c>
      <x:c r="I148" s="295" t="str">
        <x:v>Ironing/Heat Transfer</x:v>
      </x:c>
      <x:c r="J148" s="295" t="str">
        <x:v>Consumable</x:v>
      </x:c>
      <x:c r="K148" s="295"/>
      <x:c r="L148" s="295" t="str">
        <x:v>Iron</x:v>
      </x:c>
      <x:c r="M148" s="295" t="n">
        <x:v>50</x:v>
      </x:c>
      <x:c r="N148" s="295" t="str">
        <x:v>個</x:v>
      </x:c>
      <x:c r="O148" s="296" t="n">
        <x:v>1.8</x:v>
      </x:c>
      <x:c r="P148" s="296" t="n">
        <x:v>90</x:v>
      </x:c>
      <x:c r="Q148" s="296" t="n">
        <x:v>90</x:v>
      </x:c>
      <x:c r="R148" s="296" t="n">
        <x:v>0</x:v>
      </x:c>
      <x:c r="S148" s="295" t="str">
        <x:v>Yes</x:v>
      </x:c>
      <x:c r="T148" s="295" t="str">
        <x:v>High</x:v>
      </x:c>
      <x:c r="U148" s="295" t="str">
        <x:v>Jan_'25Dec_'25_Monthly_StatementSewing_machine_spareparts.pdf</x:v>
      </x:c>
      <x:c r="V148" s="295" t="n">
        <x:v>10</x:v>
      </x:c>
      <x:c r="W148" s="297"/>
    </x:row>
    <x:row r="149">
      <x:c r="A149" s="314" t="str">
        <x:v>2025-10</x:v>
      </x:c>
      <x:c r="B149" s="315" t="n">
        <x:v>45930</x:v>
      </x:c>
      <x:c r="C149" s="295" t="str">
        <x:v>YI-000065</x:v>
      </x:c>
      <x:c r="D149" s="295" t="str">
        <x:v>YI NEW SEWING MACHINE CO., LTD</x:v>
      </x:c>
      <x:c r="E149" s="295" t="str">
        <x:v>韓國吊瓶熨斗</x:v>
      </x:c>
      <x:c r="F149" s="295" t="str">
        <x:v>IR-HANGING-BOTTLE-SET-KR</x:v>
      </x:c>
      <x:c r="G149" s="295" t="str">
        <x:v>韓國吊瓶熨斗組</x:v>
      </x:c>
      <x:c r="H149" s="295"/>
      <x:c r="I149" s="295" t="str">
        <x:v>Ironing/Heat Transfer</x:v>
      </x:c>
      <x:c r="J149" s="295" t="str">
        <x:v>Equipment</x:v>
      </x:c>
      <x:c r="K149" s="295" t="str">
        <x:v>Korea</x:v>
      </x:c>
      <x:c r="L149" s="295" t="str">
        <x:v>Iron</x:v>
      </x:c>
      <x:c r="M149" s="295" t="n">
        <x:v>5</x:v>
      </x:c>
      <x:c r="N149" s="295" t="str">
        <x:v>個</x:v>
      </x:c>
      <x:c r="O149" s="296" t="n">
        <x:v>29</x:v>
      </x:c>
      <x:c r="P149" s="296" t="n">
        <x:v>145</x:v>
      </x:c>
      <x:c r="Q149" s="296" t="n">
        <x:v>145</x:v>
      </x:c>
      <x:c r="R149" s="296" t="n">
        <x:v>0</x:v>
      </x:c>
      <x:c r="S149" s="295" t="str">
        <x:v>Yes</x:v>
      </x:c>
      <x:c r="T149" s="295" t="str">
        <x:v>High</x:v>
      </x:c>
      <x:c r="U149" s="295" t="str">
        <x:v>Jan_'25Dec_'25_Monthly_StatementSewing_machine_spareparts.pdf</x:v>
      </x:c>
      <x:c r="V149" s="295" t="n">
        <x:v>10</x:v>
      </x:c>
      <x:c r="W149" s="297"/>
    </x:row>
    <x:row r="150">
      <x:c r="A150" s="314" t="str">
        <x:v>2025-10</x:v>
      </x:c>
      <x:c r="B150" s="315" t="n">
        <x:v>45930</x:v>
      </x:c>
      <x:c r="C150" s="295" t="str">
        <x:v>YI-000065</x:v>
      </x:c>
      <x:c r="D150" s="295" t="str">
        <x:v>YI NEW SEWING MACHINE CO., LTD</x:v>
      </x:c>
      <x:c r="E150" s="295" t="str">
        <x:v>京木十字螺絲刀</x:v>
      </x:c>
      <x:c r="F150" s="295" t="str">
        <x:v>TL-SCREWDRIVER-PHILLIPS-JINGMU</x:v>
      </x:c>
      <x:c r="G150" s="295" t="str">
        <x:v>京木十字螺絲刀</x:v>
      </x:c>
      <x:c r="H150" s="295"/>
      <x:c r="I150" s="295" t="str">
        <x:v>Tools</x:v>
      </x:c>
      <x:c r="J150" s="295" t="str">
        <x:v>Tool</x:v>
      </x:c>
      <x:c r="K150" s="295" t="str">
        <x:v>京木</x:v>
      </x:c>
      <x:c r="L150" s="295"/>
      <x:c r="M150" s="295" t="n">
        <x:v>1</x:v>
      </x:c>
      <x:c r="N150" s="295" t="str">
        <x:v>個</x:v>
      </x:c>
      <x:c r="O150" s="296" t="n">
        <x:v>7</x:v>
      </x:c>
      <x:c r="P150" s="296" t="n">
        <x:v>7</x:v>
      </x:c>
      <x:c r="Q150" s="296" t="n">
        <x:v>7</x:v>
      </x:c>
      <x:c r="R150" s="296" t="n">
        <x:v>0</x:v>
      </x:c>
      <x:c r="S150" s="295" t="str">
        <x:v>Yes</x:v>
      </x:c>
      <x:c r="T150" s="295" t="str">
        <x:v>High</x:v>
      </x:c>
      <x:c r="U150" s="295" t="str">
        <x:v>Jan_'25Dec_'25_Monthly_StatementSewing_machine_spareparts.pdf</x:v>
      </x:c>
      <x:c r="V150" s="295" t="n">
        <x:v>10</x:v>
      </x:c>
      <x:c r="W150" s="297"/>
    </x:row>
    <x:row r="151">
      <x:c r="A151" s="314" t="str">
        <x:v>2025-10</x:v>
      </x:c>
      <x:c r="B151" s="315" t="n">
        <x:v>45930</x:v>
      </x:c>
      <x:c r="C151" s="295" t="str">
        <x:v>YI-000065</x:v>
      </x:c>
      <x:c r="D151" s="295" t="str">
        <x:v>YI NEW SEWING MACHINE CO., LTD</x:v>
      </x:c>
      <x:c r="E151" s="295" t="str">
        <x:v>壓腳 12463HR-1/8</x:v>
      </x:c>
      <x:c r="F151" s="295" t="str">
        <x:v>HIST25-149</x:v>
      </x:c>
      <x:c r="G151" s="295" t="str">
        <x:v>壓腳 12463HR-1/8</x:v>
      </x:c>
      <x:c r="H151" s="295" t="str">
        <x:v>12463HR-1/8</x:v>
      </x:c>
      <x:c r="I151" s="295" t="str">
        <x:v>Presser Foot</x:v>
      </x:c>
      <x:c r="J151" s="295" t="str">
        <x:v>Spare Part</x:v>
      </x:c>
      <x:c r="K151" s="295"/>
      <x:c r="L151" s="295"/>
      <x:c r="M151" s="295" t="n">
        <x:v>10</x:v>
      </x:c>
      <x:c r="N151" s="295" t="str">
        <x:v>個</x:v>
      </x:c>
      <x:c r="O151" s="296" t="n">
        <x:v>1</x:v>
      </x:c>
      <x:c r="P151" s="296" t="n">
        <x:v>10</x:v>
      </x:c>
      <x:c r="Q151" s="296" t="n">
        <x:v>10</x:v>
      </x:c>
      <x:c r="R151" s="296" t="n">
        <x:v>0</x:v>
      </x:c>
      <x:c r="S151" s="295" t="str">
        <x:v>Yes</x:v>
      </x:c>
      <x:c r="T151" s="295" t="str">
        <x:v>High</x:v>
      </x:c>
      <x:c r="U151" s="295" t="str">
        <x:v>Jan_'25Dec_'25_Monthly_StatementSewing_machine_spareparts.pdf</x:v>
      </x:c>
      <x:c r="V151" s="295" t="n">
        <x:v>10</x:v>
      </x:c>
      <x:c r="W151" s="297"/>
    </x:row>
    <x:row r="152">
      <x:c r="A152" s="314" t="str">
        <x:v>2025-10</x:v>
      </x:c>
      <x:c r="B152" s="315" t="n">
        <x:v>45934</x:v>
      </x:c>
      <x:c r="C152" s="295" t="str">
        <x:v>YI-000066</x:v>
      </x:c>
      <x:c r="D152" s="295" t="str">
        <x:v>YI NEW SEWING MACHINE CO., LTD</x:v>
      </x:c>
      <x:c r="E152" s="295" t="str">
        <x:v>平雙針1-3/4針位組</x:v>
      </x:c>
      <x:c r="F152" s="295" t="str">
        <x:v>NP-TWIN-1-3-4-SET</x:v>
      </x:c>
      <x:c r="G152" s="295" t="str">
        <x:v>平雙針 1-3/4 針位組</x:v>
      </x:c>
      <x:c r="H152" s="295" t="str">
        <x:v>1-3/4</x:v>
      </x:c>
      <x:c r="I152" s="295" t="str">
        <x:v>Needle Plate/Feed Dog</x:v>
      </x:c>
      <x:c r="J152" s="295" t="str">
        <x:v>Spare Part</x:v>
      </x:c>
      <x:c r="K152" s="295"/>
      <x:c r="L152" s="295" t="str">
        <x:v>Twin Needle</x:v>
      </x:c>
      <x:c r="M152" s="295" t="n">
        <x:v>8</x:v>
      </x:c>
      <x:c r="N152" s="295" t="str">
        <x:v>套</x:v>
      </x:c>
      <x:c r="O152" s="296" t="n">
        <x:v>10</x:v>
      </x:c>
      <x:c r="P152" s="296" t="n">
        <x:v>80</x:v>
      </x:c>
      <x:c r="Q152" s="296" t="n">
        <x:v>80</x:v>
      </x:c>
      <x:c r="R152" s="296" t="n">
        <x:v>0</x:v>
      </x:c>
      <x:c r="S152" s="295" t="str">
        <x:v>Yes</x:v>
      </x:c>
      <x:c r="T152" s="295" t="str">
        <x:v>High</x:v>
      </x:c>
      <x:c r="U152" s="295" t="str">
        <x:v>Jan_'25Dec_'25_Monthly_StatementSewing_machine_spareparts.pdf</x:v>
      </x:c>
      <x:c r="V152" s="295" t="n">
        <x:v>10</x:v>
      </x:c>
      <x:c r="W152" s="297"/>
    </x:row>
    <x:row r="153">
      <x:c r="A153" s="314" t="str">
        <x:v>2025-10</x:v>
      </x:c>
      <x:c r="B153" s="315" t="n">
        <x:v>45934</x:v>
      </x:c>
      <x:c r="C153" s="295" t="str">
        <x:v>YI-000067</x:v>
      </x:c>
      <x:c r="D153" s="295" t="str">
        <x:v>YI NEW SEWING MACHINE CO., LTD</x:v>
      </x:c>
      <x:c r="E153" s="295" t="str">
        <x:v>TCR 1/32N 高低壓腳（塑料）</x:v>
      </x:c>
      <x:c r="F153" s="295" t="str">
        <x:v>PF-TCR-1-32N</x:v>
      </x:c>
      <x:c r="G153" s="295" t="str">
        <x:v>TCR 1/32N 高低壓腳</x:v>
      </x:c>
      <x:c r="H153" s="295" t="str">
        <x:v>TCR 1/32N</x:v>
      </x:c>
      <x:c r="I153" s="295" t="str">
        <x:v>Presser Foot</x:v>
      </x:c>
      <x:c r="J153" s="295" t="str">
        <x:v>Spare Part</x:v>
      </x:c>
      <x:c r="K153" s="295"/>
      <x:c r="L153" s="295"/>
      <x:c r="M153" s="295" t="n">
        <x:v>40</x:v>
      </x:c>
      <x:c r="N153" s="295" t="str">
        <x:v>個</x:v>
      </x:c>
      <x:c r="O153" s="296" t="n">
        <x:v>0.75</x:v>
      </x:c>
      <x:c r="P153" s="296" t="n">
        <x:v>30</x:v>
      </x:c>
      <x:c r="Q153" s="296" t="n">
        <x:v>30</x:v>
      </x:c>
      <x:c r="R153" s="296" t="n">
        <x:v>0</x:v>
      </x:c>
      <x:c r="S153" s="295" t="str">
        <x:v>Yes</x:v>
      </x:c>
      <x:c r="T153" s="295" t="str">
        <x:v>High</x:v>
      </x:c>
      <x:c r="U153" s="295" t="str">
        <x:v>Jan_'25Dec_'25_Monthly_StatementSewing_machine_spareparts.pdf</x:v>
      </x:c>
      <x:c r="V153" s="295" t="n">
        <x:v>10</x:v>
      </x:c>
      <x:c r="W153" s="297"/>
    </x:row>
    <x:row r="154">
      <x:c r="A154" s="314" t="str">
        <x:v>2025-10</x:v>
      </x:c>
      <x:c r="B154" s="315" t="n">
        <x:v>45934</x:v>
      </x:c>
      <x:c r="C154" s="295" t="str">
        <x:v>YI-000067</x:v>
      </x:c>
      <x:c r="D154" s="295" t="str">
        <x:v>YI NEW SEWING MACHINE CO., LTD</x:v>
      </x:c>
      <x:c r="E154" s="295" t="str">
        <x:v>TCL 1/32N 高低壓腳（塑料）</x:v>
      </x:c>
      <x:c r="F154" s="295" t="str">
        <x:v>PF-TCL-1-32N</x:v>
      </x:c>
      <x:c r="G154" s="295" t="str">
        <x:v>TCL 1/32N 高低壓腳</x:v>
      </x:c>
      <x:c r="H154" s="295" t="str">
        <x:v>TCL 1/32N</x:v>
      </x:c>
      <x:c r="I154" s="295" t="str">
        <x:v>Presser Foot</x:v>
      </x:c>
      <x:c r="J154" s="295" t="str">
        <x:v>Spare Part</x:v>
      </x:c>
      <x:c r="K154" s="295"/>
      <x:c r="L154" s="295"/>
      <x:c r="M154" s="295" t="n">
        <x:v>10</x:v>
      </x:c>
      <x:c r="N154" s="295" t="str">
        <x:v>個</x:v>
      </x:c>
      <x:c r="O154" s="296" t="n">
        <x:v>0.75</x:v>
      </x:c>
      <x:c r="P154" s="296" t="n">
        <x:v>7.5</x:v>
      </x:c>
      <x:c r="Q154" s="296" t="n">
        <x:v>7.5</x:v>
      </x:c>
      <x:c r="R154" s="296" t="n">
        <x:v>0</x:v>
      </x:c>
      <x:c r="S154" s="295" t="str">
        <x:v>Yes</x:v>
      </x:c>
      <x:c r="T154" s="295" t="str">
        <x:v>High</x:v>
      </x:c>
      <x:c r="U154" s="295" t="str">
        <x:v>Jan_'25Dec_'25_Monthly_StatementSewing_machine_spareparts.pdf</x:v>
      </x:c>
      <x:c r="V154" s="295" t="n">
        <x:v>10</x:v>
      </x:c>
      <x:c r="W154" s="297"/>
    </x:row>
    <x:row r="155">
      <x:c r="A155" s="314" t="str">
        <x:v>2025-10</x:v>
      </x:c>
      <x:c r="B155" s="315" t="n">
        <x:v>45941</x:v>
      </x:c>
      <x:c r="C155" s="295" t="str">
        <x:v>YI-000068</x:v>
      </x:c>
      <x:c r="D155" s="295" t="str">
        <x:v>YI NEW SEWING MACHINE CO., LTD</x:v>
      </x:c>
      <x:c r="E155" s="295" t="str">
        <x:v>平雙針1-7/8針位組</x:v>
      </x:c>
      <x:c r="F155" s="295" t="str">
        <x:v>NP-TWIN-1-7-8-SET</x:v>
      </x:c>
      <x:c r="G155" s="295" t="str">
        <x:v>平雙針 1-7/8 針位組</x:v>
      </x:c>
      <x:c r="H155" s="295" t="str">
        <x:v>1-7/8</x:v>
      </x:c>
      <x:c r="I155" s="295" t="str">
        <x:v>Needle Plate/Feed Dog</x:v>
      </x:c>
      <x:c r="J155" s="295" t="str">
        <x:v>Spare Part</x:v>
      </x:c>
      <x:c r="K155" s="295"/>
      <x:c r="L155" s="295" t="str">
        <x:v>Twin Needle</x:v>
      </x:c>
      <x:c r="M155" s="295" t="n">
        <x:v>2</x:v>
      </x:c>
      <x:c r="N155" s="295" t="str">
        <x:v>套</x:v>
      </x:c>
      <x:c r="O155" s="296" t="n">
        <x:v>12</x:v>
      </x:c>
      <x:c r="P155" s="296" t="n">
        <x:v>24</x:v>
      </x:c>
      <x:c r="Q155" s="296" t="n">
        <x:v>24</x:v>
      </x:c>
      <x:c r="R155" s="296" t="n">
        <x:v>0</x:v>
      </x:c>
      <x:c r="S155" s="295" t="str">
        <x:v>Yes</x:v>
      </x:c>
      <x:c r="T155" s="295" t="str">
        <x:v>High</x:v>
      </x:c>
      <x:c r="U155" s="295" t="str">
        <x:v>Jan_'25Dec_'25_Monthly_StatementSewing_machine_spareparts.pdf</x:v>
      </x:c>
      <x:c r="V155" s="295" t="n">
        <x:v>10</x:v>
      </x:c>
      <x:c r="W155" s="297"/>
    </x:row>
    <x:row r="156">
      <x:c r="A156" s="314" t="str">
        <x:v>2025-10</x:v>
      </x:c>
      <x:c r="B156" s="315" t="n">
        <x:v>45941</x:v>
      </x:c>
      <x:c r="C156" s="295" t="str">
        <x:v>YI-000068</x:v>
      </x:c>
      <x:c r="D156" s="295" t="str">
        <x:v>YI NEW SEWING MACHINE CO., LTD</x:v>
      </x:c>
      <x:c r="E156" s="295" t="str">
        <x:v>SIRUBA-747K牙齒組</x:v>
      </x:c>
      <x:c r="F156" s="295" t="str">
        <x:v>FD-SIRUBA747K-SET</x:v>
      </x:c>
      <x:c r="G156" s="295" t="str">
        <x:v>SIRUBA-747K 牙齒組</x:v>
      </x:c>
      <x:c r="H156" s="295" t="str">
        <x:v>747K</x:v>
      </x:c>
      <x:c r="I156" s="295" t="str">
        <x:v>Needle Plate/Feed Dog</x:v>
      </x:c>
      <x:c r="J156" s="295" t="str">
        <x:v>Spare Part</x:v>
      </x:c>
      <x:c r="K156" s="295" t="str">
        <x:v>SIRUBA</x:v>
      </x:c>
      <x:c r="L156" s="295" t="str">
        <x:v>Overlock</x:v>
      </x:c>
      <x:c r="M156" s="295" t="n">
        <x:v>5</x:v>
      </x:c>
      <x:c r="N156" s="295" t="str">
        <x:v>套</x:v>
      </x:c>
      <x:c r="O156" s="296" t="n">
        <x:v>6.5</x:v>
      </x:c>
      <x:c r="P156" s="296" t="n">
        <x:v>32.5</x:v>
      </x:c>
      <x:c r="Q156" s="296" t="n">
        <x:v>32.5</x:v>
      </x:c>
      <x:c r="R156" s="296" t="n">
        <x:v>0</x:v>
      </x:c>
      <x:c r="S156" s="295" t="str">
        <x:v>Yes</x:v>
      </x:c>
      <x:c r="T156" s="295" t="str">
        <x:v>High</x:v>
      </x:c>
      <x:c r="U156" s="295" t="str">
        <x:v>Jan_'25Dec_'25_Monthly_StatementSewing_machine_spareparts.pdf</x:v>
      </x:c>
      <x:c r="V156" s="295" t="n">
        <x:v>10</x:v>
      </x:c>
      <x:c r="W156" s="297"/>
    </x:row>
    <x:row r="157">
      <x:c r="A157" s="314" t="str">
        <x:v>2025-10</x:v>
      </x:c>
      <x:c r="B157" s="315" t="n">
        <x:v>45941</x:v>
      </x:c>
      <x:c r="C157" s="295" t="str">
        <x:v>YI-000068</x:v>
      </x:c>
      <x:c r="D157" s="295" t="str">
        <x:v>YI NEW SEWING MACHINE CO., LTD</x:v>
      </x:c>
      <x:c r="E157" s="295" t="str">
        <x:v>環球沙剪</x:v>
      </x:c>
      <x:c r="F157" s="295" t="str">
        <x:v>TL-THREAD-SNIP-GLOBE</x:v>
      </x:c>
      <x:c r="G157" s="295" t="str">
        <x:v>環球沙剪</x:v>
      </x:c>
      <x:c r="H157" s="295"/>
      <x:c r="I157" s="295" t="str">
        <x:v>Tools</x:v>
      </x:c>
      <x:c r="J157" s="295" t="str">
        <x:v>Tool</x:v>
      </x:c>
      <x:c r="K157" s="295" t="str">
        <x:v>環球</x:v>
      </x:c>
      <x:c r="L157" s="295"/>
      <x:c r="M157" s="295" t="n">
        <x:v>20</x:v>
      </x:c>
      <x:c r="N157" s="295" t="str">
        <x:v>打</x:v>
      </x:c>
      <x:c r="O157" s="296" t="n">
        <x:v>2.3</x:v>
      </x:c>
      <x:c r="P157" s="296" t="n">
        <x:v>46</x:v>
      </x:c>
      <x:c r="Q157" s="296" t="n">
        <x:v>46</x:v>
      </x:c>
      <x:c r="R157" s="296" t="n">
        <x:v>0</x:v>
      </x:c>
      <x:c r="S157" s="295" t="str">
        <x:v>Yes</x:v>
      </x:c>
      <x:c r="T157" s="295" t="str">
        <x:v>High</x:v>
      </x:c>
      <x:c r="U157" s="295" t="str">
        <x:v>Jan_'25Dec_'25_Monthly_StatementSewing_machine_spareparts.pdf</x:v>
      </x:c>
      <x:c r="V157" s="295" t="n">
        <x:v>10</x:v>
      </x:c>
      <x:c r="W157" s="297"/>
    </x:row>
    <x:row r="158">
      <x:c r="A158" s="314" t="str">
        <x:v>2025-10</x:v>
      </x:c>
      <x:c r="B158" s="315" t="n">
        <x:v>45944</x:v>
      </x:c>
      <x:c r="C158" s="295" t="str">
        <x:v>YI-000069</x:v>
      </x:c>
      <x:c r="D158" s="295" t="str">
        <x:v>YI NEW SEWING MACHINE CO., LTD</x:v>
      </x:c>
      <x:c r="E158" s="295" t="str">
        <x:v>維修：鎖眼電子馬達</x:v>
      </x:c>
      <x:c r="F158" s="295" t="str">
        <x:v>HIST25-156</x:v>
      </x:c>
      <x:c r="G158" s="295" t="str">
        <x:v>維修：鎖眼電子馬達</x:v>
      </x:c>
      <x:c r="H158" s="295"/>
      <x:c r="I158" s="295" t="str">
        <x:v>Repair Service</x:v>
      </x:c>
      <x:c r="J158" s="295" t="str">
        <x:v>Repair Service</x:v>
      </x:c>
      <x:c r="K158" s="295"/>
      <x:c r="L158" s="295" t="str">
        <x:v>Buttonhole</x:v>
      </x:c>
      <x:c r="M158" s="295" t="n">
        <x:v>1</x:v>
      </x:c>
      <x:c r="N158" s="295" t="str">
        <x:v>套</x:v>
      </x:c>
      <x:c r="O158" s="296" t="n">
        <x:v>85</x:v>
      </x:c>
      <x:c r="P158" s="296" t="n">
        <x:v>85</x:v>
      </x:c>
      <x:c r="Q158" s="296" t="n">
        <x:v>85</x:v>
      </x:c>
      <x:c r="R158" s="296" t="n">
        <x:v>0</x:v>
      </x:c>
      <x:c r="S158" s="295" t="str">
        <x:v>Yes</x:v>
      </x:c>
      <x:c r="T158" s="295" t="str">
        <x:v>High</x:v>
      </x:c>
      <x:c r="U158" s="295" t="str">
        <x:v>Jan_'25Dec_'25_Monthly_StatementSewing_machine_spareparts.pdf</x:v>
      </x:c>
      <x:c r="V158" s="295" t="n">
        <x:v>10</x:v>
      </x:c>
      <x:c r="W158" s="297"/>
    </x:row>
    <x:row r="159">
      <x:c r="A159" s="314" t="str">
        <x:v>2025-10</x:v>
      </x:c>
      <x:c r="B159" s="315" t="n">
        <x:v>45951</x:v>
      </x:c>
      <x:c r="C159" s="295" t="str">
        <x:v>YI-000070</x:v>
      </x:c>
      <x:c r="D159" s="295" t="str">
        <x:v>YI NEW SEWING MACHINE CO., LTD</x:v>
      </x:c>
      <x:c r="E159" s="295" t="str">
        <x:v>Manually Operated Crockmeter Machine #BF-FS9.1</x:v>
      </x:c>
      <x:c r="F159" s="295" t="str">
        <x:v>EQ-CROCKMETER-BF-FS9-1</x:v>
      </x:c>
      <x:c r="G159" s="295" t="str">
        <x:v>Manual Crockmeter Machine</x:v>
      </x:c>
      <x:c r="H159" s="295" t="str">
        <x:v>BF-FS9.1</x:v>
      </x:c>
      <x:c r="I159" s="295" t="str">
        <x:v>Equipment</x:v>
      </x:c>
      <x:c r="J159" s="295" t="str">
        <x:v>Equipment</x:v>
      </x:c>
      <x:c r="K159" s="295"/>
      <x:c r="L159" s="295" t="str">
        <x:v>Lab/QC</x:v>
      </x:c>
      <x:c r="M159" s="295" t="n">
        <x:v>1</x:v>
      </x:c>
      <x:c r="N159" s="295" t="str">
        <x:v>PC</x:v>
      </x:c>
      <x:c r="O159" s="296" t="n">
        <x:v>275</x:v>
      </x:c>
      <x:c r="P159" s="296" t="n">
        <x:v>275</x:v>
      </x:c>
      <x:c r="Q159" s="296" t="n">
        <x:v>275</x:v>
      </x:c>
      <x:c r="R159" s="296" t="n">
        <x:v>0</x:v>
      </x:c>
      <x:c r="S159" s="295" t="str">
        <x:v>Yes</x:v>
      </x:c>
      <x:c r="T159" s="295" t="str">
        <x:v>High</x:v>
      </x:c>
      <x:c r="U159" s="295" t="str">
        <x:v>Jan_'25Dec_'25_Monthly_StatementSewing_machine_spareparts.pdf</x:v>
      </x:c>
      <x:c r="V159" s="295" t="n">
        <x:v>10</x:v>
      </x:c>
      <x:c r="W159" s="297"/>
    </x:row>
    <x:row r="160">
      <x:c r="A160" s="314" t="str">
        <x:v>2025-10</x:v>
      </x:c>
      <x:c r="B160" s="315" t="n">
        <x:v>45954</x:v>
      </x:c>
      <x:c r="C160" s="295" t="str">
        <x:v>YI-000071</x:v>
      </x:c>
      <x:c r="D160" s="295" t="str">
        <x:v>YI NEW SEWING MACHINE CO., LTD</x:v>
      </x:c>
      <x:c r="E160" s="295" t="str">
        <x:v>ORGAN: UYx128 #9</x:v>
      </x:c>
      <x:c r="F160" s="295" t="str">
        <x:v>ND-UYX128-9</x:v>
      </x:c>
      <x:c r="G160" s="295" t="str">
        <x:v>風琴機針 UYx128 #9</x:v>
      </x:c>
      <x:c r="H160" s="295" t="str">
        <x:v>UYx128 #9</x:v>
      </x:c>
      <x:c r="I160" s="295" t="str">
        <x:v>Needle</x:v>
      </x:c>
      <x:c r="J160" s="295" t="str">
        <x:v>Consumable</x:v>
      </x:c>
      <x:c r="K160" s="295" t="str">
        <x:v>ORGAN/風琴</x:v>
      </x:c>
      <x:c r="L160" s="295" t="str">
        <x:v>Chainstitch</x:v>
      </x:c>
      <x:c r="M160" s="295" t="n">
        <x:v>150</x:v>
      </x:c>
      <x:c r="N160" s="295" t="str">
        <x:v>pack</x:v>
      </x:c>
      <x:c r="O160" s="296" t="n">
        <x:v>1.78</x:v>
      </x:c>
      <x:c r="P160" s="296" t="n">
        <x:v>267</x:v>
      </x:c>
      <x:c r="Q160" s="296" t="n">
        <x:v>267</x:v>
      </x:c>
      <x:c r="R160" s="296" t="n">
        <x:v>0</x:v>
      </x:c>
      <x:c r="S160" s="295" t="str">
        <x:v>Yes</x:v>
      </x:c>
      <x:c r="T160" s="295" t="str">
        <x:v>High</x:v>
      </x:c>
      <x:c r="U160" s="295" t="str">
        <x:v>Jan_'25Dec_'25_Monthly_StatementSewing_machine_spareparts.pdf</x:v>
      </x:c>
      <x:c r="V160" s="295" t="n">
        <x:v>10</x:v>
      </x:c>
      <x:c r="W160" s="297"/>
    </x:row>
    <x:row r="161">
      <x:c r="A161" s="314" t="str">
        <x:v>2025-10</x:v>
      </x:c>
      <x:c r="B161" s="315" t="n">
        <x:v>45954</x:v>
      </x:c>
      <x:c r="C161" s="295" t="str">
        <x:v>YI-000071</x:v>
      </x:c>
      <x:c r="D161" s="295" t="str">
        <x:v>YI NEW SEWING MACHINE CO., LTD</x:v>
      </x:c>
      <x:c r="E161" s="295" t="str">
        <x:v>ORGAN: UYx128 #11</x:v>
      </x:c>
      <x:c r="F161" s="295" t="str">
        <x:v>ND-UYX128-11</x:v>
      </x:c>
      <x:c r="G161" s="295" t="str">
        <x:v>風琴機針 UYx128 #11</x:v>
      </x:c>
      <x:c r="H161" s="295" t="str">
        <x:v>UYx128 #11</x:v>
      </x:c>
      <x:c r="I161" s="295" t="str">
        <x:v>Needle</x:v>
      </x:c>
      <x:c r="J161" s="295" t="str">
        <x:v>Consumable</x:v>
      </x:c>
      <x:c r="K161" s="295" t="str">
        <x:v>ORGAN/風琴</x:v>
      </x:c>
      <x:c r="L161" s="295" t="str">
        <x:v>Chainstitch</x:v>
      </x:c>
      <x:c r="M161" s="295" t="n">
        <x:v>150</x:v>
      </x:c>
      <x:c r="N161" s="295" t="str">
        <x:v>pack</x:v>
      </x:c>
      <x:c r="O161" s="296" t="n">
        <x:v>1.78</x:v>
      </x:c>
      <x:c r="P161" s="296" t="n">
        <x:v>267</x:v>
      </x:c>
      <x:c r="Q161" s="296" t="n">
        <x:v>267</x:v>
      </x:c>
      <x:c r="R161" s="296" t="n">
        <x:v>0</x:v>
      </x:c>
      <x:c r="S161" s="295" t="str">
        <x:v>Yes</x:v>
      </x:c>
      <x:c r="T161" s="295" t="str">
        <x:v>High</x:v>
      </x:c>
      <x:c r="U161" s="295" t="str">
        <x:v>Jan_'25Dec_'25_Monthly_StatementSewing_machine_spareparts.pdf</x:v>
      </x:c>
      <x:c r="V161" s="295" t="n">
        <x:v>10</x:v>
      </x:c>
      <x:c r="W161" s="297"/>
    </x:row>
    <x:row r="162">
      <x:c r="A162" s="314" t="str">
        <x:v>2025-10</x:v>
      </x:c>
      <x:c r="B162" s="315" t="n">
        <x:v>45954</x:v>
      </x:c>
      <x:c r="C162" s="295" t="str">
        <x:v>YI-000071</x:v>
      </x:c>
      <x:c r="D162" s="295" t="str">
        <x:v>YI NEW SEWING MACHINE CO., LTD</x:v>
      </x:c>
      <x:c r="E162" s="295" t="str">
        <x:v>ORGAN: UYx128 #12</x:v>
      </x:c>
      <x:c r="F162" s="295" t="str">
        <x:v>ND-UYX128-12</x:v>
      </x:c>
      <x:c r="G162" s="295" t="str">
        <x:v>風琴機針 UYx128 #12</x:v>
      </x:c>
      <x:c r="H162" s="295" t="str">
        <x:v>UYx128 #12</x:v>
      </x:c>
      <x:c r="I162" s="295" t="str">
        <x:v>Needle</x:v>
      </x:c>
      <x:c r="J162" s="295" t="str">
        <x:v>Consumable</x:v>
      </x:c>
      <x:c r="K162" s="295" t="str">
        <x:v>ORGAN/風琴</x:v>
      </x:c>
      <x:c r="L162" s="295" t="str">
        <x:v>Chainstitch</x:v>
      </x:c>
      <x:c r="M162" s="295" t="n">
        <x:v>150</x:v>
      </x:c>
      <x:c r="N162" s="295" t="str">
        <x:v>pack</x:v>
      </x:c>
      <x:c r="O162" s="296" t="n">
        <x:v>1.78</x:v>
      </x:c>
      <x:c r="P162" s="296" t="n">
        <x:v>267</x:v>
      </x:c>
      <x:c r="Q162" s="296" t="n">
        <x:v>267</x:v>
      </x:c>
      <x:c r="R162" s="296" t="n">
        <x:v>0</x:v>
      </x:c>
      <x:c r="S162" s="295" t="str">
        <x:v>Yes</x:v>
      </x:c>
      <x:c r="T162" s="295" t="str">
        <x:v>High</x:v>
      </x:c>
      <x:c r="U162" s="295" t="str">
        <x:v>Jan_'25Dec_'25_Monthly_StatementSewing_machine_spareparts.pdf</x:v>
      </x:c>
      <x:c r="V162" s="295" t="n">
        <x:v>10</x:v>
      </x:c>
      <x:c r="W162" s="297"/>
    </x:row>
    <x:row r="163">
      <x:c r="A163" s="314" t="str">
        <x:v>2025-10</x:v>
      </x:c>
      <x:c r="B163" s="315" t="n">
        <x:v>45954</x:v>
      </x:c>
      <x:c r="C163" s="295" t="str">
        <x:v>YI-000071</x:v>
      </x:c>
      <x:c r="D163" s="295" t="str">
        <x:v>YI NEW SEWING MACHINE CO., LTD</x:v>
      </x:c>
      <x:c r="E163" s="295" t="str">
        <x:v>ORGAN: DCx27 #11</x:v>
      </x:c>
      <x:c r="F163" s="295" t="str">
        <x:v>ND-DCX27-11</x:v>
      </x:c>
      <x:c r="G163" s="295" t="str">
        <x:v>風琴機針 DCx27 #11</x:v>
      </x:c>
      <x:c r="H163" s="295" t="str">
        <x:v>DCx27 #11</x:v>
      </x:c>
      <x:c r="I163" s="295" t="str">
        <x:v>Needle</x:v>
      </x:c>
      <x:c r="J163" s="295" t="str">
        <x:v>Consumable</x:v>
      </x:c>
      <x:c r="K163" s="295" t="str">
        <x:v>ORGAN/風琴</x:v>
      </x:c>
      <x:c r="L163" s="295" t="str">
        <x:v>Overlock</x:v>
      </x:c>
      <x:c r="M163" s="295" t="n">
        <x:v>150</x:v>
      </x:c>
      <x:c r="N163" s="295" t="str">
        <x:v>pack</x:v>
      </x:c>
      <x:c r="O163" s="296" t="n">
        <x:v>1.3</x:v>
      </x:c>
      <x:c r="P163" s="296" t="n">
        <x:v>195</x:v>
      </x:c>
      <x:c r="Q163" s="296" t="n">
        <x:v>195</x:v>
      </x:c>
      <x:c r="R163" s="296" t="n">
        <x:v>0</x:v>
      </x:c>
      <x:c r="S163" s="295" t="str">
        <x:v>Yes</x:v>
      </x:c>
      <x:c r="T163" s="295" t="str">
        <x:v>High</x:v>
      </x:c>
      <x:c r="U163" s="295" t="str">
        <x:v>Jan_'25Dec_'25_Monthly_StatementSewing_machine_spareparts.pdf</x:v>
      </x:c>
      <x:c r="V163" s="295" t="n">
        <x:v>10</x:v>
      </x:c>
      <x:c r="W163" s="297"/>
    </x:row>
    <x:row r="164">
      <x:c r="A164" s="314" t="str">
        <x:v>2025-10</x:v>
      </x:c>
      <x:c r="B164" s="315" t="n">
        <x:v>45954</x:v>
      </x:c>
      <x:c r="C164" s="295" t="str">
        <x:v>YI-000071</x:v>
      </x:c>
      <x:c r="D164" s="295" t="str">
        <x:v>YI NEW SEWING MACHINE CO., LTD</x:v>
      </x:c>
      <x:c r="E164" s="295" t="str">
        <x:v>ORGAN: UOx113 #12</x:v>
      </x:c>
      <x:c r="F164" s="295" t="str">
        <x:v>ND-UOX113-12</x:v>
      </x:c>
      <x:c r="G164" s="295" t="str">
        <x:v>風琴機針 UOx113 #12</x:v>
      </x:c>
      <x:c r="H164" s="295" t="str">
        <x:v>UOx113 #12</x:v>
      </x:c>
      <x:c r="I164" s="295" t="str">
        <x:v>Needle</x:v>
      </x:c>
      <x:c r="J164" s="295" t="str">
        <x:v>Consumable</x:v>
      </x:c>
      <x:c r="K164" s="295" t="str">
        <x:v>ORGAN/風琴</x:v>
      </x:c>
      <x:c r="L164" s="295" t="str">
        <x:v>Multi-needle</x:v>
      </x:c>
      <x:c r="M164" s="295" t="n">
        <x:v>100</x:v>
      </x:c>
      <x:c r="N164" s="295" t="str">
        <x:v>pack</x:v>
      </x:c>
      <x:c r="O164" s="296" t="n">
        <x:v>3</x:v>
      </x:c>
      <x:c r="P164" s="296" t="n">
        <x:v>300</x:v>
      </x:c>
      <x:c r="Q164" s="296" t="n">
        <x:v>300</x:v>
      </x:c>
      <x:c r="R164" s="296" t="n">
        <x:v>0</x:v>
      </x:c>
      <x:c r="S164" s="295" t="str">
        <x:v>Yes</x:v>
      </x:c>
      <x:c r="T164" s="295" t="str">
        <x:v>High</x:v>
      </x:c>
      <x:c r="U164" s="295" t="str">
        <x:v>Jan_'25Dec_'25_Monthly_StatementSewing_machine_spareparts.pdf</x:v>
      </x:c>
      <x:c r="V164" s="295" t="n">
        <x:v>10</x:v>
      </x:c>
      <x:c r="W164" s="297"/>
    </x:row>
    <x:row r="165">
      <x:c r="A165" s="314" t="str">
        <x:v>2025-10</x:v>
      </x:c>
      <x:c r="B165" s="315" t="n">
        <x:v>45954</x:v>
      </x:c>
      <x:c r="C165" s="295" t="str">
        <x:v>YI-000071</x:v>
      </x:c>
      <x:c r="D165" s="295" t="str">
        <x:v>YI NEW SEWING MACHINE CO., LTD</x:v>
      </x:c>
      <x:c r="E165" s="295" t="str">
        <x:v>ORGAN: UOx113 #14</x:v>
      </x:c>
      <x:c r="F165" s="295" t="str">
        <x:v>ND-UOX113-14</x:v>
      </x:c>
      <x:c r="G165" s="295" t="str">
        <x:v>風琴機針 UOx113 #14</x:v>
      </x:c>
      <x:c r="H165" s="295" t="str">
        <x:v>UOx113 #14</x:v>
      </x:c>
      <x:c r="I165" s="295" t="str">
        <x:v>Needle</x:v>
      </x:c>
      <x:c r="J165" s="295" t="str">
        <x:v>Consumable</x:v>
      </x:c>
      <x:c r="K165" s="295" t="str">
        <x:v>ORGAN/風琴</x:v>
      </x:c>
      <x:c r="L165" s="295" t="str">
        <x:v>Multi-needle</x:v>
      </x:c>
      <x:c r="M165" s="295" t="n">
        <x:v>100</x:v>
      </x:c>
      <x:c r="N165" s="295" t="str">
        <x:v>pack</x:v>
      </x:c>
      <x:c r="O165" s="296" t="n">
        <x:v>3</x:v>
      </x:c>
      <x:c r="P165" s="296" t="n">
        <x:v>300</x:v>
      </x:c>
      <x:c r="Q165" s="296" t="n">
        <x:v>300</x:v>
      </x:c>
      <x:c r="R165" s="296" t="n">
        <x:v>0</x:v>
      </x:c>
      <x:c r="S165" s="295" t="str">
        <x:v>Yes</x:v>
      </x:c>
      <x:c r="T165" s="295" t="str">
        <x:v>High</x:v>
      </x:c>
      <x:c r="U165" s="295" t="str">
        <x:v>Jan_'25Dec_'25_Monthly_StatementSewing_machine_spareparts.pdf</x:v>
      </x:c>
      <x:c r="V165" s="295" t="n">
        <x:v>10</x:v>
      </x:c>
      <x:c r="W165" s="297"/>
    </x:row>
    <x:row r="166">
      <x:c r="A166" s="314" t="str">
        <x:v>2025-10</x:v>
      </x:c>
      <x:c r="B166" s="315" t="n">
        <x:v>45958</x:v>
      </x:c>
      <x:c r="C166" s="295" t="str">
        <x:v>YI-000072</x:v>
      </x:c>
      <x:c r="D166" s="295" t="str">
        <x:v>YI NEW SEWING MACHINE CO., LTD</x:v>
      </x:c>
      <x:c r="E166" s="295" t="str">
        <x:v>裁件 24c1-3</x:v>
      </x:c>
      <x:c r="F166" s="295" t="str">
        <x:v>HIST25-164</x:v>
      </x:c>
      <x:c r="G166" s="295" t="str">
        <x:v>裁件 24c1-3</x:v>
      </x:c>
      <x:c r="H166" s="295" t="str">
        <x:v>24c1-3</x:v>
      </x:c>
      <x:c r="I166" s="295" t="str">
        <x:v>Other</x:v>
      </x:c>
      <x:c r="J166" s="295" t="str">
        <x:v>Spare Part</x:v>
      </x:c>
      <x:c r="K166" s="295"/>
      <x:c r="L166" s="295"/>
      <x:c r="M166" s="295" t="n">
        <x:v>10</x:v>
      </x:c>
      <x:c r="N166" s="295" t="str">
        <x:v>pcs</x:v>
      </x:c>
      <x:c r="O166" s="296" t="n">
        <x:v>0.8</x:v>
      </x:c>
      <x:c r="P166" s="296" t="n">
        <x:v>8</x:v>
      </x:c>
      <x:c r="Q166" s="296" t="n">
        <x:v>8</x:v>
      </x:c>
      <x:c r="R166" s="296" t="n">
        <x:v>0</x:v>
      </x:c>
      <x:c r="S166" s="295" t="str">
        <x:v>Yes</x:v>
      </x:c>
      <x:c r="T166" s="295" t="str">
        <x:v>High</x:v>
      </x:c>
      <x:c r="U166" s="295" t="str">
        <x:v>Jan_'25Dec_'25_Monthly_StatementSewing_machine_spareparts.pdf</x:v>
      </x:c>
      <x:c r="V166" s="295" t="n">
        <x:v>10</x:v>
      </x:c>
      <x:c r="W166" s="297"/>
    </x:row>
    <x:row r="167">
      <x:c r="A167" s="314" t="str">
        <x:v>2025-10</x:v>
      </x:c>
      <x:c r="B167" s="315" t="n">
        <x:v>45958</x:v>
      </x:c>
      <x:c r="C167" s="295" t="str">
        <x:v>YI-000072</x:v>
      </x:c>
      <x:c r="D167" s="295" t="str">
        <x:v>YI NEW SEWING MACHINE CO., LTD</x:v>
      </x:c>
      <x:c r="E167" s="295" t="str">
        <x:v>裁件 12c1-24</x:v>
      </x:c>
      <x:c r="F167" s="295" t="str">
        <x:v>HIST25-165</x:v>
      </x:c>
      <x:c r="G167" s="295" t="str">
        <x:v>裁件 12c1-24</x:v>
      </x:c>
      <x:c r="H167" s="295" t="str">
        <x:v>12c1-24</x:v>
      </x:c>
      <x:c r="I167" s="295" t="str">
        <x:v>Other</x:v>
      </x:c>
      <x:c r="J167" s="295" t="str">
        <x:v>Spare Part</x:v>
      </x:c>
      <x:c r="K167" s="295"/>
      <x:c r="L167" s="295"/>
      <x:c r="M167" s="295" t="n">
        <x:v>10</x:v>
      </x:c>
      <x:c r="N167" s="295" t="str">
        <x:v>pcs</x:v>
      </x:c>
      <x:c r="O167" s="296" t="n">
        <x:v>1</x:v>
      </x:c>
      <x:c r="P167" s="296" t="n">
        <x:v>10</x:v>
      </x:c>
      <x:c r="Q167" s="296" t="n">
        <x:v>10</x:v>
      </x:c>
      <x:c r="R167" s="296" t="n">
        <x:v>0</x:v>
      </x:c>
      <x:c r="S167" s="295" t="str">
        <x:v>Yes</x:v>
      </x:c>
      <x:c r="T167" s="295" t="str">
        <x:v>High</x:v>
      </x:c>
      <x:c r="U167" s="295" t="str">
        <x:v>Jan_'25Dec_'25_Monthly_StatementSewing_machine_spareparts.pdf</x:v>
      </x:c>
      <x:c r="V167" s="295" t="n">
        <x:v>10</x:v>
      </x:c>
      <x:c r="W167" s="297"/>
    </x:row>
    <x:row r="168">
      <x:c r="A168" s="314" t="str">
        <x:v>2025-10</x:v>
      </x:c>
      <x:c r="B168" s="315" t="n">
        <x:v>45958</x:v>
      </x:c>
      <x:c r="C168" s="295" t="str">
        <x:v>YI-000072</x:v>
      </x:c>
      <x:c r="D168" s="295" t="str">
        <x:v>YI NEW SEWING MACHINE CO., LTD</x:v>
      </x:c>
      <x:c r="E168" s="295" t="str">
        <x:v>韓國熊貓圓形畫粉</x:v>
      </x:c>
      <x:c r="F168" s="295" t="str">
        <x:v>CN-TAILOR-CHALK-PANDA-KR</x:v>
      </x:c>
      <x:c r="G168" s="295" t="str">
        <x:v>韓國熊貓圓形畫粉</x:v>
      </x:c>
      <x:c r="H168" s="295"/>
      <x:c r="I168" s="295" t="str">
        <x:v>Consumable/Chemical</x:v>
      </x:c>
      <x:c r="J168" s="295" t="str">
        <x:v>Consumable</x:v>
      </x:c>
      <x:c r="K168" s="295" t="str">
        <x:v>Panda/Korea</x:v>
      </x:c>
      <x:c r="L168" s="295"/>
      <x:c r="M168" s="295" t="n">
        <x:v>2</x:v>
      </x:c>
      <x:c r="N168" s="295" t="str">
        <x:v>box</x:v>
      </x:c>
      <x:c r="O168" s="296" t="n">
        <x:v>1.8</x:v>
      </x:c>
      <x:c r="P168" s="296" t="n">
        <x:v>3.6</x:v>
      </x:c>
      <x:c r="Q168" s="296" t="n">
        <x:v>3.6</x:v>
      </x:c>
      <x:c r="R168" s="296" t="n">
        <x:v>0</x:v>
      </x:c>
      <x:c r="S168" s="295" t="str">
        <x:v>Yes</x:v>
      </x:c>
      <x:c r="T168" s="295" t="str">
        <x:v>High</x:v>
      </x:c>
      <x:c r="U168" s="295" t="str">
        <x:v>Jan_'25Dec_'25_Monthly_StatementSewing_machine_spareparts.pdf</x:v>
      </x:c>
      <x:c r="V168" s="295" t="n">
        <x:v>10</x:v>
      </x:c>
      <x:c r="W168" s="297"/>
    </x:row>
    <x:row r="169">
      <x:c r="A169" s="314" t="str">
        <x:v>2025-11</x:v>
      </x:c>
      <x:c r="B169" s="315" t="n">
        <x:v>45959</x:v>
      </x:c>
      <x:c r="C169" s="295" t="str">
        <x:v>YI-000073</x:v>
      </x:c>
      <x:c r="D169" s="295" t="str">
        <x:v>YI NEW SEWING MACHINE CO., LTD</x:v>
      </x:c>
      <x:c r="E169" s="295" t="str">
        <x:v>斷布機圓刀片</x:v>
      </x:c>
      <x:c r="F169" s="295" t="str">
        <x:v>KN-CLOTH-CUTTER-ROUND</x:v>
      </x:c>
      <x:c r="G169" s="295" t="str">
        <x:v>斷布機圓刀片</x:v>
      </x:c>
      <x:c r="H169" s="295"/>
      <x:c r="I169" s="295" t="str">
        <x:v>Cutting</x:v>
      </x:c>
      <x:c r="J169" s="295" t="str">
        <x:v>Spare Part</x:v>
      </x:c>
      <x:c r="K169" s="295"/>
      <x:c r="L169" s="295" t="str">
        <x:v>Fabric Cutter</x:v>
      </x:c>
      <x:c r="M169" s="295" t="n">
        <x:v>5</x:v>
      </x:c>
      <x:c r="N169" s="295" t="str">
        <x:v>pcs</x:v>
      </x:c>
      <x:c r="O169" s="296" t="n">
        <x:v>4</x:v>
      </x:c>
      <x:c r="P169" s="296" t="n">
        <x:v>20</x:v>
      </x:c>
      <x:c r="Q169" s="296" t="n">
        <x:v>20</x:v>
      </x:c>
      <x:c r="R169" s="296" t="n">
        <x:v>0</x:v>
      </x:c>
      <x:c r="S169" s="295" t="str">
        <x:v>Yes</x:v>
      </x:c>
      <x:c r="T169" s="295" t="str">
        <x:v>High</x:v>
      </x:c>
      <x:c r="U169" s="295" t="str">
        <x:v>Jan_'25Dec_'25_Monthly_StatementSewing_machine_spareparts.pdf</x:v>
      </x:c>
      <x:c r="V169" s="295" t="n">
        <x:v>11</x:v>
      </x:c>
      <x:c r="W169" s="297"/>
    </x:row>
    <x:row r="170">
      <x:c r="A170" s="314" t="str">
        <x:v>2025-11</x:v>
      </x:c>
      <x:c r="B170" s="315" t="n">
        <x:v>45969</x:v>
      </x:c>
      <x:c r="C170" s="295" t="str">
        <x:v>YI-000074</x:v>
      </x:c>
      <x:c r="D170" s="295" t="str">
        <x:v>YI NEW SEWING MACHINE CO., LTD</x:v>
      </x:c>
      <x:c r="E170" s="295" t="str">
        <x:v>韓國熊貓圓形畫粉</x:v>
      </x:c>
      <x:c r="F170" s="295" t="str">
        <x:v>CN-TAILOR-CHALK-PANDA-KR</x:v>
      </x:c>
      <x:c r="G170" s="295" t="str">
        <x:v>韓國熊貓圓形畫粉</x:v>
      </x:c>
      <x:c r="H170" s="295"/>
      <x:c r="I170" s="295" t="str">
        <x:v>Consumable/Chemical</x:v>
      </x:c>
      <x:c r="J170" s="295" t="str">
        <x:v>Consumable</x:v>
      </x:c>
      <x:c r="K170" s="295" t="str">
        <x:v>Panda/Korea</x:v>
      </x:c>
      <x:c r="L170" s="295"/>
      <x:c r="M170" s="295" t="n">
        <x:v>28</x:v>
      </x:c>
      <x:c r="N170" s="295" t="str">
        <x:v>盒</x:v>
      </x:c>
      <x:c r="O170" s="296" t="n">
        <x:v>1.8</x:v>
      </x:c>
      <x:c r="P170" s="296" t="n">
        <x:v>50.4</x:v>
      </x:c>
      <x:c r="Q170" s="296" t="n">
        <x:v>50.4</x:v>
      </x:c>
      <x:c r="R170" s="296" t="n">
        <x:v>0</x:v>
      </x:c>
      <x:c r="S170" s="295" t="str">
        <x:v>Yes</x:v>
      </x:c>
      <x:c r="T170" s="295" t="str">
        <x:v>High</x:v>
      </x:c>
      <x:c r="U170" s="295" t="str">
        <x:v>Jan_'25Dec_'25_Monthly_StatementSewing_machine_spareparts.pdf</x:v>
      </x:c>
      <x:c r="V170" s="295" t="n">
        <x:v>11</x:v>
      </x:c>
      <x:c r="W170" s="297"/>
    </x:row>
    <x:row r="171">
      <x:c r="A171" s="314" t="str">
        <x:v>2025-11</x:v>
      </x:c>
      <x:c r="B171" s="315" t="n">
        <x:v>45969</x:v>
      </x:c>
      <x:c r="C171" s="295" t="str">
        <x:v>YI-000074</x:v>
      </x:c>
      <x:c r="D171" s="295" t="str">
        <x:v>YI NEW SEWING MACHINE CO., LTD</x:v>
      </x:c>
      <x:c r="E171" s="295" t="str">
        <x:v>EX壓腳杆</x:v>
      </x:c>
      <x:c r="F171" s="295" t="str">
        <x:v>HIST25-169</x:v>
      </x:c>
      <x:c r="G171" s="295" t="str">
        <x:v>EX壓腳杆</x:v>
      </x:c>
      <x:c r="H171" s="295" t="str">
        <x:v>EX</x:v>
      </x:c>
      <x:c r="I171" s="295" t="str">
        <x:v>Presser Foot</x:v>
      </x:c>
      <x:c r="J171" s="295" t="str">
        <x:v>Spare Part</x:v>
      </x:c>
      <x:c r="K171" s="295"/>
      <x:c r="L171" s="295"/>
      <x:c r="M171" s="295" t="n">
        <x:v>10</x:v>
      </x:c>
      <x:c r="N171" s="295" t="str">
        <x:v>支</x:v>
      </x:c>
      <x:c r="O171" s="296" t="n">
        <x:v>7.5</x:v>
      </x:c>
      <x:c r="P171" s="296" t="n">
        <x:v>75</x:v>
      </x:c>
      <x:c r="Q171" s="296" t="n">
        <x:v>75</x:v>
      </x:c>
      <x:c r="R171" s="296" t="n">
        <x:v>0</x:v>
      </x:c>
      <x:c r="S171" s="295" t="str">
        <x:v>Yes</x:v>
      </x:c>
      <x:c r="T171" s="295" t="str">
        <x:v>High</x:v>
      </x:c>
      <x:c r="U171" s="295" t="str">
        <x:v>Jan_'25Dec_'25_Monthly_StatementSewing_machine_spareparts.pdf</x:v>
      </x:c>
      <x:c r="V171" s="295" t="n">
        <x:v>11</x:v>
      </x:c>
      <x:c r="W171" s="297"/>
    </x:row>
    <x:row r="172">
      <x:c r="A172" s="314" t="str">
        <x:v>2025-11</x:v>
      </x:c>
      <x:c r="B172" s="315" t="n">
        <x:v>45969</x:v>
      </x:c>
      <x:c r="C172" s="295" t="str">
        <x:v>YI-000074</x:v>
      </x:c>
      <x:c r="D172" s="295" t="str">
        <x:v>YI NEW SEWING MACHINE CO., LTD</x:v>
      </x:c>
      <x:c r="E172" s="295" t="str">
        <x:v>SIRUBA-747KD馬達聯軸器</x:v>
      </x:c>
      <x:c r="F172" s="295" t="str">
        <x:v>MT-SIRUBA747KD-COUPLER</x:v>
      </x:c>
      <x:c r="G172" s="295" t="str">
        <x:v>SIRUBA-747KD 馬達聯軸器</x:v>
      </x:c>
      <x:c r="H172" s="295" t="str">
        <x:v>747KD</x:v>
      </x:c>
      <x:c r="I172" s="295" t="str">
        <x:v>Motor/Drive</x:v>
      </x:c>
      <x:c r="J172" s="295" t="str">
        <x:v>Spare Part</x:v>
      </x:c>
      <x:c r="K172" s="295" t="str">
        <x:v>SIRUBA</x:v>
      </x:c>
      <x:c r="L172" s="295" t="str">
        <x:v>Overlock</x:v>
      </x:c>
      <x:c r="M172" s="295" t="n">
        <x:v>10</x:v>
      </x:c>
      <x:c r="N172" s="295" t="str">
        <x:v>個</x:v>
      </x:c>
      <x:c r="O172" s="296" t="n">
        <x:v>8.5</x:v>
      </x:c>
      <x:c r="P172" s="296" t="n">
        <x:v>85</x:v>
      </x:c>
      <x:c r="Q172" s="296" t="n">
        <x:v>85</x:v>
      </x:c>
      <x:c r="R172" s="296" t="n">
        <x:v>0</x:v>
      </x:c>
      <x:c r="S172" s="295" t="str">
        <x:v>Yes</x:v>
      </x:c>
      <x:c r="T172" s="295" t="str">
        <x:v>High</x:v>
      </x:c>
      <x:c r="U172" s="295" t="str">
        <x:v>Jan_'25Dec_'25_Monthly_StatementSewing_machine_spareparts.pdf</x:v>
      </x:c>
      <x:c r="V172" s="295" t="n">
        <x:v>11</x:v>
      </x:c>
      <x:c r="W172" s="297"/>
    </x:row>
    <x:row r="173">
      <x:c r="A173" s="314" t="str">
        <x:v>2025-11</x:v>
      </x:c>
      <x:c r="B173" s="315" t="n">
        <x:v>45969</x:v>
      </x:c>
      <x:c r="C173" s="295" t="str">
        <x:v>YI-000074</x:v>
      </x:c>
      <x:c r="D173" s="295" t="str">
        <x:v>YI NEW SEWING MACHINE CO., LTD</x:v>
      </x:c>
      <x:c r="E173" s="295" t="str">
        <x:v>電工膠布</x:v>
      </x:c>
      <x:c r="F173" s="295" t="str">
        <x:v>EL-INSULATION-TAPE</x:v>
      </x:c>
      <x:c r="G173" s="295" t="str">
        <x:v>電工膠布</x:v>
      </x:c>
      <x:c r="H173" s="295"/>
      <x:c r="I173" s="295" t="str">
        <x:v>Electrical/Control</x:v>
      </x:c>
      <x:c r="J173" s="295" t="str">
        <x:v>Consumable</x:v>
      </x:c>
      <x:c r="K173" s="295"/>
      <x:c r="L173" s="295"/>
      <x:c r="M173" s="295" t="n">
        <x:v>10</x:v>
      </x:c>
      <x:c r="N173" s="295" t="str">
        <x:v>卷</x:v>
      </x:c>
      <x:c r="O173" s="296" t="n">
        <x:v>5</x:v>
      </x:c>
      <x:c r="P173" s="296" t="n">
        <x:v>50</x:v>
      </x:c>
      <x:c r="Q173" s="296" t="n">
        <x:v>50</x:v>
      </x:c>
      <x:c r="R173" s="296" t="n">
        <x:v>0</x:v>
      </x:c>
      <x:c r="S173" s="295" t="str">
        <x:v>Yes</x:v>
      </x:c>
      <x:c r="T173" s="295" t="str">
        <x:v>High</x:v>
      </x:c>
      <x:c r="U173" s="295" t="str">
        <x:v>Jan_'25Dec_'25_Monthly_StatementSewing_machine_spareparts.pdf</x:v>
      </x:c>
      <x:c r="V173" s="295" t="n">
        <x:v>11</x:v>
      </x:c>
      <x:c r="W173" s="297"/>
    </x:row>
    <x:row r="174">
      <x:c r="A174" s="314" t="str">
        <x:v>2025-11</x:v>
      </x:c>
      <x:c r="B174" s="315" t="n">
        <x:v>45969</x:v>
      </x:c>
      <x:c r="C174" s="295" t="str">
        <x:v>YI-000074</x:v>
      </x:c>
      <x:c r="D174" s="295" t="str">
        <x:v>YI NEW SEWING MACHINE CO., LTD</x:v>
      </x:c>
      <x:c r="E174" s="295" t="str">
        <x:v>鐵皮剪刀（好）</x:v>
      </x:c>
      <x:c r="F174" s="295" t="str">
        <x:v>HIST25-172</x:v>
      </x:c>
      <x:c r="G174" s="295" t="str">
        <x:v>鐵皮剪刀（好）</x:v>
      </x:c>
      <x:c r="H174" s="295"/>
      <x:c r="I174" s="295" t="str">
        <x:v>Tools</x:v>
      </x:c>
      <x:c r="J174" s="295" t="str">
        <x:v>Tool</x:v>
      </x:c>
      <x:c r="K174" s="295"/>
      <x:c r="L174" s="295"/>
      <x:c r="M174" s="295" t="n">
        <x:v>1</x:v>
      </x:c>
      <x:c r="N174" s="295" t="str">
        <x:v>把</x:v>
      </x:c>
      <x:c r="O174" s="296" t="n">
        <x:v>12</x:v>
      </x:c>
      <x:c r="P174" s="296" t="n">
        <x:v>12</x:v>
      </x:c>
      <x:c r="Q174" s="296" t="n">
        <x:v>12</x:v>
      </x:c>
      <x:c r="R174" s="296" t="n">
        <x:v>0</x:v>
      </x:c>
      <x:c r="S174" s="295" t="str">
        <x:v>Yes</x:v>
      </x:c>
      <x:c r="T174" s="295" t="str">
        <x:v>High</x:v>
      </x:c>
      <x:c r="U174" s="295" t="str">
        <x:v>Jan_'25Dec_'25_Monthly_StatementSewing_machine_spareparts.pdf</x:v>
      </x:c>
      <x:c r="V174" s="295" t="n">
        <x:v>11</x:v>
      </x:c>
      <x:c r="W174" s="297"/>
    </x:row>
    <x:row r="175">
      <x:c r="A175" s="314" t="str">
        <x:v>2025-11</x:v>
      </x:c>
      <x:c r="B175" s="315" t="n">
        <x:v>45974</x:v>
      </x:c>
      <x:c r="C175" s="295" t="str">
        <x:v>YI-000080</x:v>
      </x:c>
      <x:c r="D175" s="295" t="str">
        <x:v>YI NEW SEWING MACHINE CO., LTD</x:v>
      </x:c>
      <x:c r="E175" s="295" t="str">
        <x:v>張小泉10吋大剪刀</x:v>
      </x:c>
      <x:c r="F175" s="295" t="str">
        <x:v>TL-SCISSOR-ZHANGXIAO-10IN</x:v>
      </x:c>
      <x:c r="G175" s="295" t="str">
        <x:v>張小泉10吋大剪刀</x:v>
      </x:c>
      <x:c r="H175" s="295" t="str">
        <x:v>10 inch</x:v>
      </x:c>
      <x:c r="I175" s="295" t="str">
        <x:v>Tools</x:v>
      </x:c>
      <x:c r="J175" s="295" t="str">
        <x:v>Tool</x:v>
      </x:c>
      <x:c r="K175" s="295" t="str">
        <x:v>張小泉</x:v>
      </x:c>
      <x:c r="L175" s="295"/>
      <x:c r="M175" s="295" t="n">
        <x:v>10</x:v>
      </x:c>
      <x:c r="N175" s="295" t="str">
        <x:v>個</x:v>
      </x:c>
      <x:c r="O175" s="296" t="n">
        <x:v>7</x:v>
      </x:c>
      <x:c r="P175" s="296" t="n">
        <x:v>70</x:v>
      </x:c>
      <x:c r="Q175" s="296" t="n">
        <x:v>70</x:v>
      </x:c>
      <x:c r="R175" s="296" t="n">
        <x:v>0</x:v>
      </x:c>
      <x:c r="S175" s="295" t="str">
        <x:v>Yes</x:v>
      </x:c>
      <x:c r="T175" s="295" t="str">
        <x:v>High</x:v>
      </x:c>
      <x:c r="U175" s="295" t="str">
        <x:v>Jan_'25Dec_'25_Monthly_StatementSewing_machine_spareparts.pdf</x:v>
      </x:c>
      <x:c r="V175" s="295" t="n">
        <x:v>11</x:v>
      </x:c>
      <x:c r="W175" s="297"/>
    </x:row>
    <x:row r="176">
      <x:c r="A176" s="314" t="str">
        <x:v>2025-11</x:v>
      </x:c>
      <x:c r="B176" s="315" t="n">
        <x:v>45974</x:v>
      </x:c>
      <x:c r="C176" s="295" t="str">
        <x:v>YI-000080</x:v>
      </x:c>
      <x:c r="D176" s="295" t="str">
        <x:v>YI NEW SEWING MACHINE CO., LTD</x:v>
      </x:c>
      <x:c r="E176" s="295" t="str">
        <x:v>ORGAN UYx128 #11</x:v>
      </x:c>
      <x:c r="F176" s="295" t="str">
        <x:v>ND-UYX128-11</x:v>
      </x:c>
      <x:c r="G176" s="295" t="str">
        <x:v>風琴機針 UYx128 #11</x:v>
      </x:c>
      <x:c r="H176" s="295" t="str">
        <x:v>UYx128 #11</x:v>
      </x:c>
      <x:c r="I176" s="295" t="str">
        <x:v>Needle</x:v>
      </x:c>
      <x:c r="J176" s="295" t="str">
        <x:v>Consumable</x:v>
      </x:c>
      <x:c r="K176" s="295" t="str">
        <x:v>ORGAN/風琴</x:v>
      </x:c>
      <x:c r="L176" s="295" t="str">
        <x:v>Chainstitch</x:v>
      </x:c>
      <x:c r="M176" s="295" t="n">
        <x:v>150</x:v>
      </x:c>
      <x:c r="N176" s="295" t="str">
        <x:v>包</x:v>
      </x:c>
      <x:c r="O176" s="296" t="n">
        <x:v>1.78</x:v>
      </x:c>
      <x:c r="P176" s="296" t="n">
        <x:v>267</x:v>
      </x:c>
      <x:c r="Q176" s="296" t="n">
        <x:v>267</x:v>
      </x:c>
      <x:c r="R176" s="296" t="n">
        <x:v>0</x:v>
      </x:c>
      <x:c r="S176" s="295" t="str">
        <x:v>Yes</x:v>
      </x:c>
      <x:c r="T176" s="295" t="str">
        <x:v>High</x:v>
      </x:c>
      <x:c r="U176" s="295" t="str">
        <x:v>Jan_'25Dec_'25_Monthly_StatementSewing_machine_spareparts.pdf</x:v>
      </x:c>
      <x:c r="V176" s="295" t="n">
        <x:v>11</x:v>
      </x:c>
      <x:c r="W176" s="297"/>
    </x:row>
    <x:row r="177">
      <x:c r="A177" s="314" t="str">
        <x:v>2025-11</x:v>
      </x:c>
      <x:c r="B177" s="315" t="n">
        <x:v>45974</x:v>
      </x:c>
      <x:c r="C177" s="295" t="str">
        <x:v>YI-000080</x:v>
      </x:c>
      <x:c r="D177" s="295" t="str">
        <x:v>YI NEW SEWING MACHINE CO., LTD</x:v>
      </x:c>
      <x:c r="E177" s="295" t="str">
        <x:v>CR1/16N 壓腳</x:v>
      </x:c>
      <x:c r="F177" s="295" t="str">
        <x:v>PF-CR1-16N</x:v>
      </x:c>
      <x:c r="G177" s="295" t="str">
        <x:v>CR1/16N 壓腳</x:v>
      </x:c>
      <x:c r="H177" s="295" t="str">
        <x:v>CR1/16N</x:v>
      </x:c>
      <x:c r="I177" s="295" t="str">
        <x:v>Presser Foot</x:v>
      </x:c>
      <x:c r="J177" s="295" t="str">
        <x:v>Spare Part</x:v>
      </x:c>
      <x:c r="K177" s="295"/>
      <x:c r="L177" s="295"/>
      <x:c r="M177" s="295" t="n">
        <x:v>30</x:v>
      </x:c>
      <x:c r="N177" s="295" t="str">
        <x:v>個</x:v>
      </x:c>
      <x:c r="O177" s="296" t="n">
        <x:v>0.6</x:v>
      </x:c>
      <x:c r="P177" s="296" t="n">
        <x:v>18</x:v>
      </x:c>
      <x:c r="Q177" s="296" t="n">
        <x:v>18</x:v>
      </x:c>
      <x:c r="R177" s="296" t="n">
        <x:v>0</x:v>
      </x:c>
      <x:c r="S177" s="295" t="str">
        <x:v>Yes</x:v>
      </x:c>
      <x:c r="T177" s="295" t="str">
        <x:v>High</x:v>
      </x:c>
      <x:c r="U177" s="295" t="str">
        <x:v>Jan_'25Dec_'25_Monthly_StatementSewing_machine_spareparts.pdf</x:v>
      </x:c>
      <x:c r="V177" s="295" t="n">
        <x:v>11</x:v>
      </x:c>
      <x:c r="W177" s="297"/>
    </x:row>
    <x:row r="178">
      <x:c r="A178" s="314" t="str">
        <x:v>2025-11</x:v>
      </x:c>
      <x:c r="B178" s="315" t="n">
        <x:v>45974</x:v>
      </x:c>
      <x:c r="C178" s="295" t="str">
        <x:v>YI-000080</x:v>
      </x:c>
      <x:c r="D178" s="295" t="str">
        <x:v>YI NEW SEWING MACHINE CO., LTD</x:v>
      </x:c>
      <x:c r="E178" s="295" t="str">
        <x:v>CL1/16N 壓腳</x:v>
      </x:c>
      <x:c r="F178" s="295" t="str">
        <x:v>PF-CL1-16N</x:v>
      </x:c>
      <x:c r="G178" s="295" t="str">
        <x:v>CL1/16N 壓腳</x:v>
      </x:c>
      <x:c r="H178" s="295" t="str">
        <x:v>CL1/16N</x:v>
      </x:c>
      <x:c r="I178" s="295" t="str">
        <x:v>Presser Foot</x:v>
      </x:c>
      <x:c r="J178" s="295" t="str">
        <x:v>Spare Part</x:v>
      </x:c>
      <x:c r="K178" s="295"/>
      <x:c r="L178" s="295"/>
      <x:c r="M178" s="295" t="n">
        <x:v>30</x:v>
      </x:c>
      <x:c r="N178" s="295" t="str">
        <x:v>個</x:v>
      </x:c>
      <x:c r="O178" s="296" t="n">
        <x:v>0.6</x:v>
      </x:c>
      <x:c r="P178" s="296" t="n">
        <x:v>18</x:v>
      </x:c>
      <x:c r="Q178" s="296" t="n">
        <x:v>18</x:v>
      </x:c>
      <x:c r="R178" s="296" t="n">
        <x:v>0</x:v>
      </x:c>
      <x:c r="S178" s="295" t="str">
        <x:v>Yes</x:v>
      </x:c>
      <x:c r="T178" s="295" t="str">
        <x:v>High</x:v>
      </x:c>
      <x:c r="U178" s="295" t="str">
        <x:v>Jan_'25Dec_'25_Monthly_StatementSewing_machine_spareparts.pdf</x:v>
      </x:c>
      <x:c r="V178" s="295" t="n">
        <x:v>11</x:v>
      </x:c>
      <x:c r="W178" s="297"/>
    </x:row>
    <x:row r="179">
      <x:c r="A179" s="314" t="str">
        <x:v>2025-11</x:v>
      </x:c>
      <x:c r="B179" s="315" t="n">
        <x:v>45974</x:v>
      </x:c>
      <x:c r="C179" s="295" t="str">
        <x:v>YI-000080</x:v>
      </x:c>
      <x:c r="D179" s="295" t="str">
        <x:v>YI NEW SEWING MACHINE CO., LTD</x:v>
      </x:c>
      <x:c r="E179" s="295" t="str">
        <x:v>ORGAN DCx27 #11</x:v>
      </x:c>
      <x:c r="F179" s="295" t="str">
        <x:v>ND-DCX27-11</x:v>
      </x:c>
      <x:c r="G179" s="295" t="str">
        <x:v>風琴機針 DCx27 #11</x:v>
      </x:c>
      <x:c r="H179" s="295" t="str">
        <x:v>DCx27 #11</x:v>
      </x:c>
      <x:c r="I179" s="295" t="str">
        <x:v>Needle</x:v>
      </x:c>
      <x:c r="J179" s="295" t="str">
        <x:v>Consumable</x:v>
      </x:c>
      <x:c r="K179" s="295" t="str">
        <x:v>ORGAN/風琴</x:v>
      </x:c>
      <x:c r="L179" s="295" t="str">
        <x:v>Overlock</x:v>
      </x:c>
      <x:c r="M179" s="295" t="n">
        <x:v>50</x:v>
      </x:c>
      <x:c r="N179" s="295" t="str">
        <x:v>包</x:v>
      </x:c>
      <x:c r="O179" s="296" t="n">
        <x:v>1.3</x:v>
      </x:c>
      <x:c r="P179" s="296" t="n">
        <x:v>65</x:v>
      </x:c>
      <x:c r="Q179" s="296" t="n">
        <x:v>65</x:v>
      </x:c>
      <x:c r="R179" s="296" t="n">
        <x:v>0</x:v>
      </x:c>
      <x:c r="S179" s="295" t="str">
        <x:v>Yes</x:v>
      </x:c>
      <x:c r="T179" s="295" t="str">
        <x:v>High</x:v>
      </x:c>
      <x:c r="U179" s="295" t="str">
        <x:v>Jan_'25Dec_'25_Monthly_StatementSewing_machine_spareparts.pdf</x:v>
      </x:c>
      <x:c r="V179" s="295" t="n">
        <x:v>11</x:v>
      </x:c>
      <x:c r="W179" s="297"/>
    </x:row>
    <x:row r="180">
      <x:c r="A180" s="314" t="str">
        <x:v>2025-11</x:v>
      </x:c>
      <x:c r="B180" s="315" t="n">
        <x:v>45978</x:v>
      </x:c>
      <x:c r="C180" s="295" t="str">
        <x:v>YI-000076</x:v>
      </x:c>
      <x:c r="D180" s="295" t="str">
        <x:v>YI NEW SEWING MACHINE CO., LTD</x:v>
      </x:c>
      <x:c r="E180" s="295" t="str">
        <x:v>訂製：手工上鎖模板</x:v>
      </x:c>
      <x:c r="F180" s="295" t="str">
        <x:v>HIST25-178</x:v>
      </x:c>
      <x:c r="G180" s="295" t="str">
        <x:v>訂製：手工上鎖模板</x:v>
      </x:c>
      <x:c r="H180" s="295"/>
      <x:c r="I180" s="295" t="str">
        <x:v>Tools</x:v>
      </x:c>
      <x:c r="J180" s="295" t="str">
        <x:v>Tool</x:v>
      </x:c>
      <x:c r="K180" s="295"/>
      <x:c r="L180" s="295" t="str">
        <x:v>Template</x:v>
      </x:c>
      <x:c r="M180" s="295" t="n">
        <x:v>1</x:v>
      </x:c>
      <x:c r="N180" s="295" t="str">
        <x:v>板</x:v>
      </x:c>
      <x:c r="O180" s="296" t="n">
        <x:v>30</x:v>
      </x:c>
      <x:c r="P180" s="296" t="n">
        <x:v>30</x:v>
      </x:c>
      <x:c r="Q180" s="296" t="n">
        <x:v>30</x:v>
      </x:c>
      <x:c r="R180" s="296" t="n">
        <x:v>0</x:v>
      </x:c>
      <x:c r="S180" s="295" t="str">
        <x:v>Yes</x:v>
      </x:c>
      <x:c r="T180" s="295" t="str">
        <x:v>High</x:v>
      </x:c>
      <x:c r="U180" s="295" t="str">
        <x:v>Jan_'25Dec_'25_Monthly_StatementSewing_machine_spareparts.pdf</x:v>
      </x:c>
      <x:c r="V180" s="295" t="n">
        <x:v>11</x:v>
      </x:c>
      <x:c r="W180" s="297"/>
    </x:row>
    <x:row r="181">
      <x:c r="A181" s="314" t="str">
        <x:v>2025-11</x:v>
      </x:c>
      <x:c r="B181" s="315" t="n">
        <x:v>45981</x:v>
      </x:c>
      <x:c r="C181" s="295" t="str">
        <x:v>YI-000078</x:v>
      </x:c>
      <x:c r="D181" s="295" t="str">
        <x:v>YI NEW SEWING MACHINE CO., LTD</x:v>
      </x:c>
      <x:c r="E181" s="295" t="str">
        <x:v>插電式燙斗</x:v>
      </x:c>
      <x:c r="F181" s="295" t="str">
        <x:v>IR-ELECTRIC-IRON</x:v>
      </x:c>
      <x:c r="G181" s="295" t="str">
        <x:v>插電式燙斗</x:v>
      </x:c>
      <x:c r="H181" s="295"/>
      <x:c r="I181" s="295" t="str">
        <x:v>Ironing/Heat Transfer</x:v>
      </x:c>
      <x:c r="J181" s="295" t="str">
        <x:v>Equipment</x:v>
      </x:c>
      <x:c r="K181" s="295"/>
      <x:c r="L181" s="295" t="str">
        <x:v>Iron</x:v>
      </x:c>
      <x:c r="M181" s="295" t="n">
        <x:v>2</x:v>
      </x:c>
      <x:c r="N181" s="295" t="str">
        <x:v>把</x:v>
      </x:c>
      <x:c r="O181" s="296" t="n">
        <x:v>26</x:v>
      </x:c>
      <x:c r="P181" s="296" t="n">
        <x:v>52</x:v>
      </x:c>
      <x:c r="Q181" s="296" t="n">
        <x:v>52</x:v>
      </x:c>
      <x:c r="R181" s="296" t="n">
        <x:v>0</x:v>
      </x:c>
      <x:c r="S181" s="295" t="str">
        <x:v>Yes</x:v>
      </x:c>
      <x:c r="T181" s="295" t="str">
        <x:v>High</x:v>
      </x:c>
      <x:c r="U181" s="295" t="str">
        <x:v>Jan_'25Dec_'25_Monthly_StatementSewing_machine_spareparts.pdf</x:v>
      </x:c>
      <x:c r="V181" s="295" t="n">
        <x:v>11</x:v>
      </x:c>
      <x:c r="W181" s="297"/>
    </x:row>
    <x:row r="182">
      <x:c r="A182" s="314" t="str">
        <x:v>2025-11</x:v>
      </x:c>
      <x:c r="B182" s="315" t="n">
        <x:v>45981</x:v>
      </x:c>
      <x:c r="C182" s="295" t="str">
        <x:v>YI-000078</x:v>
      </x:c>
      <x:c r="D182" s="295" t="str">
        <x:v>YI NEW SEWING MACHINE CO., LTD</x:v>
      </x:c>
      <x:c r="E182" s="295" t="str">
        <x:v>ORGAN DCx27 #12</x:v>
      </x:c>
      <x:c r="F182" s="295" t="str">
        <x:v>ND-DCX27-12</x:v>
      </x:c>
      <x:c r="G182" s="295" t="str">
        <x:v>風琴機針 DCx27 #12</x:v>
      </x:c>
      <x:c r="H182" s="295" t="str">
        <x:v>DCx27 #12</x:v>
      </x:c>
      <x:c r="I182" s="295" t="str">
        <x:v>Needle</x:v>
      </x:c>
      <x:c r="J182" s="295" t="str">
        <x:v>Consumable</x:v>
      </x:c>
      <x:c r="K182" s="295" t="str">
        <x:v>ORGAN/風琴</x:v>
      </x:c>
      <x:c r="L182" s="295" t="str">
        <x:v>Overlock</x:v>
      </x:c>
      <x:c r="M182" s="295" t="n">
        <x:v>100</x:v>
      </x:c>
      <x:c r="N182" s="295" t="str">
        <x:v>包</x:v>
      </x:c>
      <x:c r="O182" s="296" t="n">
        <x:v>1.3</x:v>
      </x:c>
      <x:c r="P182" s="296" t="n">
        <x:v>130</x:v>
      </x:c>
      <x:c r="Q182" s="296" t="n">
        <x:v>130</x:v>
      </x:c>
      <x:c r="R182" s="296" t="n">
        <x:v>0</x:v>
      </x:c>
      <x:c r="S182" s="295" t="str">
        <x:v>Yes</x:v>
      </x:c>
      <x:c r="T182" s="295" t="str">
        <x:v>High</x:v>
      </x:c>
      <x:c r="U182" s="295" t="str">
        <x:v>Jan_'25Dec_'25_Monthly_StatementSewing_machine_spareparts.pdf</x:v>
      </x:c>
      <x:c r="V182" s="295" t="n">
        <x:v>11</x:v>
      </x:c>
      <x:c r="W182" s="297"/>
    </x:row>
    <x:row r="183">
      <x:c r="A183" s="314" t="str">
        <x:v>2025-11</x:v>
      </x:c>
      <x:c r="B183" s="315" t="n">
        <x:v>45981</x:v>
      </x:c>
      <x:c r="C183" s="295" t="str">
        <x:v>YI-000078</x:v>
      </x:c>
      <x:c r="D183" s="295" t="str">
        <x:v>YI NEW SEWING MACHINE CO., LTD</x:v>
      </x:c>
      <x:c r="E183" s="295" t="str">
        <x:v>ORGAN DCx27 #16</x:v>
      </x:c>
      <x:c r="F183" s="295" t="str">
        <x:v>ND-DCX27-16</x:v>
      </x:c>
      <x:c r="G183" s="295" t="str">
        <x:v>風琴機針 DCx27 #16</x:v>
      </x:c>
      <x:c r="H183" s="295" t="str">
        <x:v>DCx27 #16</x:v>
      </x:c>
      <x:c r="I183" s="295" t="str">
        <x:v>Needle</x:v>
      </x:c>
      <x:c r="J183" s="295" t="str">
        <x:v>Consumable</x:v>
      </x:c>
      <x:c r="K183" s="295" t="str">
        <x:v>ORGAN/風琴</x:v>
      </x:c>
      <x:c r="L183" s="295" t="str">
        <x:v>Overlock</x:v>
      </x:c>
      <x:c r="M183" s="295" t="n">
        <x:v>50</x:v>
      </x:c>
      <x:c r="N183" s="295" t="str">
        <x:v>包</x:v>
      </x:c>
      <x:c r="O183" s="296" t="n">
        <x:v>1.3</x:v>
      </x:c>
      <x:c r="P183" s="296" t="n">
        <x:v>65</x:v>
      </x:c>
      <x:c r="Q183" s="296" t="n">
        <x:v>65</x:v>
      </x:c>
      <x:c r="R183" s="296" t="n">
        <x:v>0</x:v>
      </x:c>
      <x:c r="S183" s="295" t="str">
        <x:v>Yes</x:v>
      </x:c>
      <x:c r="T183" s="295" t="str">
        <x:v>High</x:v>
      </x:c>
      <x:c r="U183" s="295" t="str">
        <x:v>Jan_'25Dec_'25_Monthly_StatementSewing_machine_spareparts.pdf</x:v>
      </x:c>
      <x:c r="V183" s="295" t="n">
        <x:v>11</x:v>
      </x:c>
      <x:c r="W183" s="297"/>
    </x:row>
    <x:row r="184">
      <x:c r="A184" s="314" t="str">
        <x:v>2025-11</x:v>
      </x:c>
      <x:c r="B184" s="315" t="n">
        <x:v>45981</x:v>
      </x:c>
      <x:c r="C184" s="295" t="str">
        <x:v>YI-000078</x:v>
      </x:c>
      <x:c r="D184" s="295" t="str">
        <x:v>YI NEW SEWING MACHINE CO., LTD</x:v>
      </x:c>
      <x:c r="E184" s="295" t="str">
        <x:v>ORGAN DBx1 #11</x:v>
      </x:c>
      <x:c r="F184" s="295" t="str">
        <x:v>ND-DBX1-11</x:v>
      </x:c>
      <x:c r="G184" s="295" t="str">
        <x:v>風琴機針 DBx1 #11</x:v>
      </x:c>
      <x:c r="H184" s="295" t="str">
        <x:v>DBx1 #11</x:v>
      </x:c>
      <x:c r="I184" s="295" t="str">
        <x:v>Needle</x:v>
      </x:c>
      <x:c r="J184" s="295" t="str">
        <x:v>Consumable</x:v>
      </x:c>
      <x:c r="K184" s="295" t="str">
        <x:v>ORGAN/風琴</x:v>
      </x:c>
      <x:c r="L184" s="295" t="str">
        <x:v>Single Needle</x:v>
      </x:c>
      <x:c r="M184" s="295" t="n">
        <x:v>100</x:v>
      </x:c>
      <x:c r="N184" s="295" t="str">
        <x:v>包</x:v>
      </x:c>
      <x:c r="O184" s="296" t="n">
        <x:v>0.78</x:v>
      </x:c>
      <x:c r="P184" s="296" t="n">
        <x:v>78</x:v>
      </x:c>
      <x:c r="Q184" s="296" t="n">
        <x:v>78</x:v>
      </x:c>
      <x:c r="R184" s="296" t="n">
        <x:v>0</x:v>
      </x:c>
      <x:c r="S184" s="295" t="str">
        <x:v>Yes</x:v>
      </x:c>
      <x:c r="T184" s="295" t="str">
        <x:v>High</x:v>
      </x:c>
      <x:c r="U184" s="295" t="str">
        <x:v>Jan_'25Dec_'25_Monthly_StatementSewing_machine_spareparts.pdf</x:v>
      </x:c>
      <x:c r="V184" s="295" t="n">
        <x:v>11</x:v>
      </x:c>
      <x:c r="W184" s="297"/>
    </x:row>
    <x:row r="185">
      <x:c r="A185" s="314" t="str">
        <x:v>2025-11</x:v>
      </x:c>
      <x:c r="B185" s="315" t="n">
        <x:v>45981</x:v>
      </x:c>
      <x:c r="C185" s="295" t="str">
        <x:v>YI-000078</x:v>
      </x:c>
      <x:c r="D185" s="295" t="str">
        <x:v>YI NEW SEWING MACHINE CO., LTD</x:v>
      </x:c>
      <x:c r="E185" s="295" t="str">
        <x:v>ORGAN UOx113 #14</x:v>
      </x:c>
      <x:c r="F185" s="295" t="str">
        <x:v>ND-UOX113-14</x:v>
      </x:c>
      <x:c r="G185" s="295" t="str">
        <x:v>風琴機針 UOx113 #14</x:v>
      </x:c>
      <x:c r="H185" s="295" t="str">
        <x:v>UOx113 #14</x:v>
      </x:c>
      <x:c r="I185" s="295" t="str">
        <x:v>Needle</x:v>
      </x:c>
      <x:c r="J185" s="295" t="str">
        <x:v>Consumable</x:v>
      </x:c>
      <x:c r="K185" s="295" t="str">
        <x:v>ORGAN/風琴</x:v>
      </x:c>
      <x:c r="L185" s="295" t="str">
        <x:v>Multi-needle</x:v>
      </x:c>
      <x:c r="M185" s="295" t="n">
        <x:v>50</x:v>
      </x:c>
      <x:c r="N185" s="295" t="str">
        <x:v>包</x:v>
      </x:c>
      <x:c r="O185" s="296" t="n">
        <x:v>3</x:v>
      </x:c>
      <x:c r="P185" s="296" t="n">
        <x:v>150</x:v>
      </x:c>
      <x:c r="Q185" s="296" t="n">
        <x:v>150</x:v>
      </x:c>
      <x:c r="R185" s="296" t="n">
        <x:v>0</x:v>
      </x:c>
      <x:c r="S185" s="295" t="str">
        <x:v>Yes</x:v>
      </x:c>
      <x:c r="T185" s="295" t="str">
        <x:v>High</x:v>
      </x:c>
      <x:c r="U185" s="295" t="str">
        <x:v>Jan_'25Dec_'25_Monthly_StatementSewing_machine_spareparts.pdf</x:v>
      </x:c>
      <x:c r="V185" s="295" t="n">
        <x:v>11</x:v>
      </x:c>
      <x:c r="W185" s="297"/>
    </x:row>
    <x:row r="186">
      <x:c r="A186" s="314" t="str">
        <x:v>2025-11</x:v>
      </x:c>
      <x:c r="B186" s="315" t="n">
        <x:v>45985</x:v>
      </x:c>
      <x:c r="C186" s="295" t="str">
        <x:v>YI-000079</x:v>
      </x:c>
      <x:c r="D186" s="295" t="str">
        <x:v>YI NEW SEWING MACHINE CO., LTD</x:v>
      </x:c>
      <x:c r="E186" s="295" t="str">
        <x:v>ORGAN DCx27 #12</x:v>
      </x:c>
      <x:c r="F186" s="295" t="str">
        <x:v>ND-DCX27-12</x:v>
      </x:c>
      <x:c r="G186" s="295" t="str">
        <x:v>風琴機針 DCx27 #12</x:v>
      </x:c>
      <x:c r="H186" s="295" t="str">
        <x:v>DCx27 #12</x:v>
      </x:c>
      <x:c r="I186" s="295" t="str">
        <x:v>Needle</x:v>
      </x:c>
      <x:c r="J186" s="295" t="str">
        <x:v>Consumable</x:v>
      </x:c>
      <x:c r="K186" s="295" t="str">
        <x:v>ORGAN/風琴</x:v>
      </x:c>
      <x:c r="L186" s="295" t="str">
        <x:v>Overlock</x:v>
      </x:c>
      <x:c r="M186" s="295" t="n">
        <x:v>100</x:v>
      </x:c>
      <x:c r="N186" s="295" t="str">
        <x:v>包</x:v>
      </x:c>
      <x:c r="O186" s="296" t="n">
        <x:v>1.3</x:v>
      </x:c>
      <x:c r="P186" s="296" t="n">
        <x:v>130</x:v>
      </x:c>
      <x:c r="Q186" s="296" t="n">
        <x:v>130</x:v>
      </x:c>
      <x:c r="R186" s="296" t="n">
        <x:v>0</x:v>
      </x:c>
      <x:c r="S186" s="295" t="str">
        <x:v>Yes</x:v>
      </x:c>
      <x:c r="T186" s="295" t="str">
        <x:v>High</x:v>
      </x:c>
      <x:c r="U186" s="295" t="str">
        <x:v>Jan_'25Dec_'25_Monthly_StatementSewing_machine_spareparts.pdf</x:v>
      </x:c>
      <x:c r="V186" s="295" t="n">
        <x:v>11</x:v>
      </x:c>
      <x:c r="W186" s="297"/>
    </x:row>
    <x:row r="187">
      <x:c r="A187" s="314" t="str">
        <x:v>2025-11</x:v>
      </x:c>
      <x:c r="B187" s="315" t="n">
        <x:v>45985</x:v>
      </x:c>
      <x:c r="C187" s="295" t="str">
        <x:v>YI-000079</x:v>
      </x:c>
      <x:c r="D187" s="295" t="str">
        <x:v>YI NEW SEWING MACHINE CO., LTD</x:v>
      </x:c>
      <x:c r="E187" s="295" t="str">
        <x:v>京木扳手六角</x:v>
      </x:c>
      <x:c r="F187" s="295" t="str">
        <x:v>TL-HEX-WRENCH-JINGMU</x:v>
      </x:c>
      <x:c r="G187" s="295" t="str">
        <x:v>京木六角扳手</x:v>
      </x:c>
      <x:c r="H187" s="295"/>
      <x:c r="I187" s="295" t="str">
        <x:v>Tools</x:v>
      </x:c>
      <x:c r="J187" s="295" t="str">
        <x:v>Tool</x:v>
      </x:c>
      <x:c r="K187" s="295" t="str">
        <x:v>京木</x:v>
      </x:c>
      <x:c r="L187" s="295"/>
      <x:c r="M187" s="295" t="n">
        <x:v>1</x:v>
      </x:c>
      <x:c r="N187" s="295" t="str">
        <x:v>套</x:v>
      </x:c>
      <x:c r="O187" s="296" t="n">
        <x:v>20</x:v>
      </x:c>
      <x:c r="P187" s="296" t="n">
        <x:v>20</x:v>
      </x:c>
      <x:c r="Q187" s="296" t="n">
        <x:v>20</x:v>
      </x:c>
      <x:c r="R187" s="296" t="n">
        <x:v>0</x:v>
      </x:c>
      <x:c r="S187" s="295" t="str">
        <x:v>Yes</x:v>
      </x:c>
      <x:c r="T187" s="295" t="str">
        <x:v>High</x:v>
      </x:c>
      <x:c r="U187" s="295" t="str">
        <x:v>Jan_'25Dec_'25_Monthly_StatementSewing_machine_spareparts.pdf</x:v>
      </x:c>
      <x:c r="V187" s="295" t="n">
        <x:v>11</x:v>
      </x:c>
      <x:c r="W187" s="297"/>
    </x:row>
    <x:row r="188">
      <x:c r="A188" s="314" t="str">
        <x:v>2025-11</x:v>
      </x:c>
      <x:c r="B188" s="315" t="n">
        <x:v>45985</x:v>
      </x:c>
      <x:c r="C188" s="295" t="str">
        <x:v>YI-000079</x:v>
      </x:c>
      <x:c r="D188" s="295" t="str">
        <x:v>YI NEW SEWING MACHINE CO., LTD</x:v>
      </x:c>
      <x:c r="E188" s="295" t="str">
        <x:v>尖嘴鉗</x:v>
      </x:c>
      <x:c r="F188" s="295" t="str">
        <x:v>TL-LONG-NOSE-PLIERS</x:v>
      </x:c>
      <x:c r="G188" s="295" t="str">
        <x:v>尖嘴鉗</x:v>
      </x:c>
      <x:c r="H188" s="295"/>
      <x:c r="I188" s="295" t="str">
        <x:v>Tools</x:v>
      </x:c>
      <x:c r="J188" s="295" t="str">
        <x:v>Tool</x:v>
      </x:c>
      <x:c r="K188" s="295"/>
      <x:c r="L188" s="295"/>
      <x:c r="M188" s="295" t="n">
        <x:v>1</x:v>
      </x:c>
      <x:c r="N188" s="295" t="str">
        <x:v>把</x:v>
      </x:c>
      <x:c r="O188" s="296" t="n">
        <x:v>6</x:v>
      </x:c>
      <x:c r="P188" s="296" t="n">
        <x:v>6</x:v>
      </x:c>
      <x:c r="Q188" s="296" t="n">
        <x:v>6</x:v>
      </x:c>
      <x:c r="R188" s="296" t="n">
        <x:v>0</x:v>
      </x:c>
      <x:c r="S188" s="295" t="str">
        <x:v>Yes</x:v>
      </x:c>
      <x:c r="T188" s="295" t="str">
        <x:v>High</x:v>
      </x:c>
      <x:c r="U188" s="295" t="str">
        <x:v>Jan_'25Dec_'25_Monthly_StatementSewing_machine_spareparts.pdf</x:v>
      </x:c>
      <x:c r="V188" s="295" t="n">
        <x:v>11</x:v>
      </x:c>
      <x:c r="W188" s="297"/>
    </x:row>
    <x:row r="189">
      <x:c r="A189" s="314" t="str">
        <x:v>2025-11</x:v>
      </x:c>
      <x:c r="B189" s="315" t="n">
        <x:v>45985</x:v>
      </x:c>
      <x:c r="C189" s="295" t="str">
        <x:v>YI-000079</x:v>
      </x:c>
      <x:c r="D189" s="295" t="str">
        <x:v>YI NEW SEWING MACHINE CO., LTD</x:v>
      </x:c>
      <x:c r="E189" s="295" t="str">
        <x:v>京木一字螺絲刀</x:v>
      </x:c>
      <x:c r="F189" s="295" t="str">
        <x:v>TL-SCREWDRIVER-FLAT-JINGMU</x:v>
      </x:c>
      <x:c r="G189" s="295" t="str">
        <x:v>京木一字螺絲刀</x:v>
      </x:c>
      <x:c r="H189" s="295"/>
      <x:c r="I189" s="295" t="str">
        <x:v>Tools</x:v>
      </x:c>
      <x:c r="J189" s="295" t="str">
        <x:v>Tool</x:v>
      </x:c>
      <x:c r="K189" s="295" t="str">
        <x:v>京木</x:v>
      </x:c>
      <x:c r="L189" s="295"/>
      <x:c r="M189" s="295" t="n">
        <x:v>1</x:v>
      </x:c>
      <x:c r="N189" s="295" t="str">
        <x:v>個</x:v>
      </x:c>
      <x:c r="O189" s="296" t="n">
        <x:v>7</x:v>
      </x:c>
      <x:c r="P189" s="296" t="n">
        <x:v>7</x:v>
      </x:c>
      <x:c r="Q189" s="296" t="n">
        <x:v>7</x:v>
      </x:c>
      <x:c r="R189" s="296" t="n">
        <x:v>0</x:v>
      </x:c>
      <x:c r="S189" s="295" t="str">
        <x:v>Yes</x:v>
      </x:c>
      <x:c r="T189" s="295" t="str">
        <x:v>High</x:v>
      </x:c>
      <x:c r="U189" s="295" t="str">
        <x:v>Jan_'25Dec_'25_Monthly_StatementSewing_machine_spareparts.pdf</x:v>
      </x:c>
      <x:c r="V189" s="295" t="n">
        <x:v>11</x:v>
      </x:c>
      <x:c r="W189" s="297"/>
    </x:row>
    <x:row r="190">
      <x:c r="A190" s="314" t="str">
        <x:v>2025-11</x:v>
      </x:c>
      <x:c r="B190" s="315" t="n">
        <x:v>45989</x:v>
      </x:c>
      <x:c r="C190" s="295" t="str">
        <x:v>YI-000081</x:v>
      </x:c>
      <x:c r="D190" s="295" t="str">
        <x:v>YI NEW SEWING MACHINE CO., LTD</x:v>
      </x:c>
      <x:c r="E190" s="295" t="str">
        <x:v>插電式燙斗</x:v>
      </x:c>
      <x:c r="F190" s="295" t="str">
        <x:v>IR-ELECTRIC-IRON</x:v>
      </x:c>
      <x:c r="G190" s="295" t="str">
        <x:v>插電式燙斗</x:v>
      </x:c>
      <x:c r="H190" s="295"/>
      <x:c r="I190" s="295" t="str">
        <x:v>Ironing/Heat Transfer</x:v>
      </x:c>
      <x:c r="J190" s="295" t="str">
        <x:v>Equipment</x:v>
      </x:c>
      <x:c r="K190" s="295"/>
      <x:c r="L190" s="295" t="str">
        <x:v>Iron</x:v>
      </x:c>
      <x:c r="M190" s="295" t="n">
        <x:v>2</x:v>
      </x:c>
      <x:c r="N190" s="295" t="str">
        <x:v>把</x:v>
      </x:c>
      <x:c r="O190" s="296" t="n">
        <x:v>26</x:v>
      </x:c>
      <x:c r="P190" s="296" t="n">
        <x:v>52</x:v>
      </x:c>
      <x:c r="Q190" s="296" t="n">
        <x:v>52</x:v>
      </x:c>
      <x:c r="R190" s="296" t="n">
        <x:v>0</x:v>
      </x:c>
      <x:c r="S190" s="295" t="str">
        <x:v>Yes</x:v>
      </x:c>
      <x:c r="T190" s="295" t="str">
        <x:v>High</x:v>
      </x:c>
      <x:c r="U190" s="295" t="str">
        <x:v>Jan_'25Dec_'25_Monthly_StatementSewing_machine_spareparts.pdf</x:v>
      </x:c>
      <x:c r="V190" s="295" t="n">
        <x:v>11</x:v>
      </x:c>
      <x:c r="W190" s="297"/>
    </x:row>
    <x:row r="191">
      <x:c r="A191" s="314" t="str">
        <x:v>2025-11</x:v>
      </x:c>
      <x:c r="B191" s="315" t="n">
        <x:v>45989</x:v>
      </x:c>
      <x:c r="C191" s="295" t="str">
        <x:v>YI-000081</x:v>
      </x:c>
      <x:c r="D191" s="295" t="str">
        <x:v>YI NEW SEWING MACHINE CO., LTD</x:v>
      </x:c>
      <x:c r="E191" s="295" t="str">
        <x:v>熱轉印高溫墊</x:v>
      </x:c>
      <x:c r="F191" s="295" t="str">
        <x:v>HT-HIGH-TEMP-PAD</x:v>
      </x:c>
      <x:c r="G191" s="295" t="str">
        <x:v>熱轉印高溫墊</x:v>
      </x:c>
      <x:c r="H191" s="295"/>
      <x:c r="I191" s="295" t="str">
        <x:v>Ironing/Heat Transfer</x:v>
      </x:c>
      <x:c r="J191" s="295" t="str">
        <x:v>Consumable</x:v>
      </x:c>
      <x:c r="K191" s="295"/>
      <x:c r="L191" s="295" t="str">
        <x:v>Heat Transfer</x:v>
      </x:c>
      <x:c r="M191" s="295" t="n">
        <x:v>1</x:v>
      </x:c>
      <x:c r="N191" s="295" t="str">
        <x:v>張</x:v>
      </x:c>
      <x:c r="O191" s="296" t="n">
        <x:v>23</x:v>
      </x:c>
      <x:c r="P191" s="296" t="n">
        <x:v>23</x:v>
      </x:c>
      <x:c r="Q191" s="296" t="n">
        <x:v>23</x:v>
      </x:c>
      <x:c r="R191" s="296" t="n">
        <x:v>0</x:v>
      </x:c>
      <x:c r="S191" s="295" t="str">
        <x:v>Yes</x:v>
      </x:c>
      <x:c r="T191" s="295" t="str">
        <x:v>High</x:v>
      </x:c>
      <x:c r="U191" s="295" t="str">
        <x:v>Jan_'25Dec_'25_Monthly_StatementSewing_machine_spareparts.pdf</x:v>
      </x:c>
      <x:c r="V191" s="295" t="n">
        <x:v>11</x:v>
      </x:c>
      <x:c r="W191" s="297"/>
    </x:row>
    <x:row r="192">
      <x:c r="A192" s="314" t="str">
        <x:v>2025-12</x:v>
      </x:c>
      <x:c r="B192" s="315" t="n">
        <x:v>45993</x:v>
      </x:c>
      <x:c r="C192" s="295" t="str">
        <x:v>YI-000083</x:v>
      </x:c>
      <x:c r="D192" s="295" t="str">
        <x:v>YI NEW SEWING MACHINE CO., LTD</x:v>
      </x:c>
      <x:c r="E192" s="295" t="str">
        <x:v>ORGAN UOx113 #14</x:v>
      </x:c>
      <x:c r="F192" s="295" t="str">
        <x:v>ND-UOX113-14</x:v>
      </x:c>
      <x:c r="G192" s="295" t="str">
        <x:v>風琴機針 UOx113 #14</x:v>
      </x:c>
      <x:c r="H192" s="295" t="str">
        <x:v>UOx113 #14</x:v>
      </x:c>
      <x:c r="I192" s="295" t="str">
        <x:v>Needle</x:v>
      </x:c>
      <x:c r="J192" s="295" t="str">
        <x:v>Consumable</x:v>
      </x:c>
      <x:c r="K192" s="295" t="str">
        <x:v>ORGAN/風琴</x:v>
      </x:c>
      <x:c r="L192" s="295" t="str">
        <x:v>Multi-needle</x:v>
      </x:c>
      <x:c r="M192" s="295" t="n">
        <x:v>50</x:v>
      </x:c>
      <x:c r="N192" s="295" t="str">
        <x:v>包</x:v>
      </x:c>
      <x:c r="O192" s="296" t="n">
        <x:v>3</x:v>
      </x:c>
      <x:c r="P192" s="296" t="n">
        <x:v>150</x:v>
      </x:c>
      <x:c r="Q192" s="296" t="n">
        <x:v>150</x:v>
      </x:c>
      <x:c r="R192" s="296" t="n">
        <x:v>0</x:v>
      </x:c>
      <x:c r="S192" s="295" t="str">
        <x:v>Yes</x:v>
      </x:c>
      <x:c r="T192" s="295" t="str">
        <x:v>High</x:v>
      </x:c>
      <x:c r="U192" s="295" t="str">
        <x:v>Jan_'25Dec_'25_Monthly_StatementSewing_machine_spareparts.pdf</x:v>
      </x:c>
      <x:c r="V192" s="295" t="n">
        <x:v>12</x:v>
      </x:c>
      <x:c r="W192" s="297"/>
    </x:row>
    <x:row r="193">
      <x:c r="A193" s="314" t="str">
        <x:v>2025-12</x:v>
      </x:c>
      <x:c r="B193" s="315" t="n">
        <x:v>45993</x:v>
      </x:c>
      <x:c r="C193" s="295" t="str">
        <x:v>YI-000083</x:v>
      </x:c>
      <x:c r="D193" s="295" t="str">
        <x:v>YI NEW SEWING MACHINE CO., LTD</x:v>
      </x:c>
      <x:c r="E193" s="295" t="str">
        <x:v>ORGAN DCx27 #12</x:v>
      </x:c>
      <x:c r="F193" s="295" t="str">
        <x:v>ND-DCX27-12</x:v>
      </x:c>
      <x:c r="G193" s="295" t="str">
        <x:v>風琴機針 DCx27 #12</x:v>
      </x:c>
      <x:c r="H193" s="295" t="str">
        <x:v>DCx27 #12</x:v>
      </x:c>
      <x:c r="I193" s="295" t="str">
        <x:v>Needle</x:v>
      </x:c>
      <x:c r="J193" s="295" t="str">
        <x:v>Consumable</x:v>
      </x:c>
      <x:c r="K193" s="295" t="str">
        <x:v>ORGAN/風琴</x:v>
      </x:c>
      <x:c r="L193" s="295" t="str">
        <x:v>Overlock</x:v>
      </x:c>
      <x:c r="M193" s="295" t="n">
        <x:v>50</x:v>
      </x:c>
      <x:c r="N193" s="295" t="str">
        <x:v>包</x:v>
      </x:c>
      <x:c r="O193" s="296" t="n">
        <x:v>1.3</x:v>
      </x:c>
      <x:c r="P193" s="296" t="n">
        <x:v>65</x:v>
      </x:c>
      <x:c r="Q193" s="296" t="n">
        <x:v>65</x:v>
      </x:c>
      <x:c r="R193" s="296" t="n">
        <x:v>0</x:v>
      </x:c>
      <x:c r="S193" s="295" t="str">
        <x:v>Yes</x:v>
      </x:c>
      <x:c r="T193" s="295" t="str">
        <x:v>High</x:v>
      </x:c>
      <x:c r="U193" s="295" t="str">
        <x:v>Jan_'25Dec_'25_Monthly_StatementSewing_machine_spareparts.pdf</x:v>
      </x:c>
      <x:c r="V193" s="295" t="n">
        <x:v>12</x:v>
      </x:c>
      <x:c r="W193" s="297"/>
    </x:row>
    <x:row r="194">
      <x:c r="A194" s="314" t="str">
        <x:v>2025-12</x:v>
      </x:c>
      <x:c r="B194" s="315" t="n">
        <x:v>45993</x:v>
      </x:c>
      <x:c r="C194" s="295" t="str">
        <x:v>YI-000083</x:v>
      </x:c>
      <x:c r="D194" s="295" t="str">
        <x:v>YI NEW SEWING MACHINE CO., LTD</x:v>
      </x:c>
      <x:c r="E194" s="295" t="str">
        <x:v>ORGAN UYx128 #11</x:v>
      </x:c>
      <x:c r="F194" s="295" t="str">
        <x:v>ND-UYX128-11</x:v>
      </x:c>
      <x:c r="G194" s="295" t="str">
        <x:v>風琴機針 UYx128 #11</x:v>
      </x:c>
      <x:c r="H194" s="295" t="str">
        <x:v>UYx128 #11</x:v>
      </x:c>
      <x:c r="I194" s="295" t="str">
        <x:v>Needle</x:v>
      </x:c>
      <x:c r="J194" s="295" t="str">
        <x:v>Consumable</x:v>
      </x:c>
      <x:c r="K194" s="295" t="str">
        <x:v>ORGAN/風琴</x:v>
      </x:c>
      <x:c r="L194" s="295" t="str">
        <x:v>Chainstitch</x:v>
      </x:c>
      <x:c r="M194" s="295" t="n">
        <x:v>50</x:v>
      </x:c>
      <x:c r="N194" s="295" t="str">
        <x:v>包</x:v>
      </x:c>
      <x:c r="O194" s="296" t="n">
        <x:v>1.78</x:v>
      </x:c>
      <x:c r="P194" s="296" t="n">
        <x:v>89</x:v>
      </x:c>
      <x:c r="Q194" s="296" t="n">
        <x:v>89</x:v>
      </x:c>
      <x:c r="R194" s="296" t="n">
        <x:v>0</x:v>
      </x:c>
      <x:c r="S194" s="295" t="str">
        <x:v>Yes</x:v>
      </x:c>
      <x:c r="T194" s="295" t="str">
        <x:v>High</x:v>
      </x:c>
      <x:c r="U194" s="295" t="str">
        <x:v>Jan_'25Dec_'25_Monthly_StatementSewing_machine_spareparts.pdf</x:v>
      </x:c>
      <x:c r="V194" s="295" t="n">
        <x:v>12</x:v>
      </x:c>
      <x:c r="W194" s="297"/>
    </x:row>
    <x:row r="195">
      <x:c r="A195" s="314" t="str">
        <x:v>2025-12</x:v>
      </x:c>
      <x:c r="B195" s="315" t="n">
        <x:v>45993</x:v>
      </x:c>
      <x:c r="C195" s="295" t="str">
        <x:v>YI-000083</x:v>
      </x:c>
      <x:c r="D195" s="295" t="str">
        <x:v>YI NEW SEWING MACHINE CO., LTD</x:v>
      </x:c>
      <x:c r="E195" s="295" t="str">
        <x:v>鎖眼刀 781-3/4</x:v>
      </x:c>
      <x:c r="F195" s="295" t="str">
        <x:v>KN-781-3-4</x:v>
      </x:c>
      <x:c r="G195" s="295" t="str">
        <x:v>鎖眼刀 781-3/4</x:v>
      </x:c>
      <x:c r="H195" s="295" t="str">
        <x:v>781-3/4</x:v>
      </x:c>
      <x:c r="I195" s="295" t="str">
        <x:v>Knife/Looper</x:v>
      </x:c>
      <x:c r="J195" s="295" t="str">
        <x:v>Spare Part</x:v>
      </x:c>
      <x:c r="K195" s="295"/>
      <x:c r="L195" s="295" t="str">
        <x:v>Buttonhole</x:v>
      </x:c>
      <x:c r="M195" s="295" t="n">
        <x:v>3</x:v>
      </x:c>
      <x:c r="N195" s="295" t="str">
        <x:v>盒</x:v>
      </x:c>
      <x:c r="O195" s="296" t="n">
        <x:v>2.5</x:v>
      </x:c>
      <x:c r="P195" s="296" t="n">
        <x:v>7.5</x:v>
      </x:c>
      <x:c r="Q195" s="296" t="n">
        <x:v>7.5</x:v>
      </x:c>
      <x:c r="R195" s="296" t="n">
        <x:v>0</x:v>
      </x:c>
      <x:c r="S195" s="295" t="str">
        <x:v>Yes</x:v>
      </x:c>
      <x:c r="T195" s="295" t="str">
        <x:v>High</x:v>
      </x:c>
      <x:c r="U195" s="295" t="str">
        <x:v>Jan_'25Dec_'25_Monthly_StatementSewing_machine_spareparts.pdf</x:v>
      </x:c>
      <x:c r="V195" s="295" t="n">
        <x:v>12</x:v>
      </x:c>
      <x:c r="W195" s="297"/>
    </x:row>
    <x:row r="196">
      <x:c r="A196" s="314" t="str">
        <x:v>2025-12</x:v>
      </x:c>
      <x:c r="B196" s="315" t="n">
        <x:v>45994</x:v>
      </x:c>
      <x:c r="C196" s="295" t="str">
        <x:v>YI-000085</x:v>
      </x:c>
      <x:c r="D196" s="295" t="str">
        <x:v>YI NEW SEWING MACHINE CO., LTD</x:v>
      </x:c>
      <x:c r="E196" s="295" t="str">
        <x:v>熱轉印高溫墊</x:v>
      </x:c>
      <x:c r="F196" s="295" t="str">
        <x:v>HT-HIGH-TEMP-PAD</x:v>
      </x:c>
      <x:c r="G196" s="295" t="str">
        <x:v>熱轉印高溫墊</x:v>
      </x:c>
      <x:c r="H196" s="295"/>
      <x:c r="I196" s="295" t="str">
        <x:v>Ironing/Heat Transfer</x:v>
      </x:c>
      <x:c r="J196" s="295" t="str">
        <x:v>Consumable</x:v>
      </x:c>
      <x:c r="K196" s="295"/>
      <x:c r="L196" s="295" t="str">
        <x:v>Heat Transfer</x:v>
      </x:c>
      <x:c r="M196" s="295" t="n">
        <x:v>3</x:v>
      </x:c>
      <x:c r="N196" s="295" t="str">
        <x:v>張</x:v>
      </x:c>
      <x:c r="O196" s="296" t="n">
        <x:v>23</x:v>
      </x:c>
      <x:c r="P196" s="296" t="n">
        <x:v>69</x:v>
      </x:c>
      <x:c r="Q196" s="296" t="n">
        <x:v>69</x:v>
      </x:c>
      <x:c r="R196" s="296" t="n">
        <x:v>0</x:v>
      </x:c>
      <x:c r="S196" s="295" t="str">
        <x:v>Yes</x:v>
      </x:c>
      <x:c r="T196" s="295" t="str">
        <x:v>High</x:v>
      </x:c>
      <x:c r="U196" s="295" t="str">
        <x:v>Jan_'25Dec_'25_Monthly_StatementSewing_machine_spareparts.pdf</x:v>
      </x:c>
      <x:c r="V196" s="295" t="n">
        <x:v>12</x:v>
      </x:c>
      <x:c r="W196" s="297"/>
    </x:row>
    <x:row r="197">
      <x:c r="A197" s="314" t="str">
        <x:v>2025-12</x:v>
      </x:c>
      <x:c r="B197" s="315" t="n">
        <x:v>45996</x:v>
      </x:c>
      <x:c r="C197" s="295" t="str">
        <x:v>YI-000086</x:v>
      </x:c>
      <x:c r="D197" s="295" t="str">
        <x:v>YI NEW SEWING MACHINE CO., LTD</x:v>
      </x:c>
      <x:c r="E197" s="295" t="str">
        <x:v>拉筒用不鏽鋼板 0.3</x:v>
      </x:c>
      <x:c r="F197" s="295" t="str">
        <x:v>MTL-SS-SHEET-03</x:v>
      </x:c>
      <x:c r="G197" s="295" t="str">
        <x:v>不鏽鋼鐵皮 0.3mm</x:v>
      </x:c>
      <x:c r="H197" s="295" t="str">
        <x:v>0.3 mm</x:v>
      </x:c>
      <x:c r="I197" s="295" t="str">
        <x:v>Material</x:v>
      </x:c>
      <x:c r="J197" s="295" t="str">
        <x:v>Consumable</x:v>
      </x:c>
      <x:c r="K197" s="295"/>
      <x:c r="L197" s="295"/>
      <x:c r="M197" s="295" t="n">
        <x:v>2</x:v>
      </x:c>
      <x:c r="N197" s="295" t="str">
        <x:v>M</x:v>
      </x:c>
      <x:c r="O197" s="296" t="n">
        <x:v>20</x:v>
      </x:c>
      <x:c r="P197" s="296" t="n">
        <x:v>40</x:v>
      </x:c>
      <x:c r="Q197" s="296" t="n">
        <x:v>40</x:v>
      </x:c>
      <x:c r="R197" s="296" t="n">
        <x:v>0</x:v>
      </x:c>
      <x:c r="S197" s="295" t="str">
        <x:v>Yes</x:v>
      </x:c>
      <x:c r="T197" s="295" t="str">
        <x:v>High</x:v>
      </x:c>
      <x:c r="U197" s="295" t="str">
        <x:v>Jan_'25Dec_'25_Monthly_StatementSewing_machine_spareparts.pdf</x:v>
      </x:c>
      <x:c r="V197" s="295" t="n">
        <x:v>12</x:v>
      </x:c>
      <x:c r="W197" s="297"/>
    </x:row>
    <x:row r="198">
      <x:c r="A198" s="314" t="str">
        <x:v>2025-12</x:v>
      </x:c>
      <x:c r="B198" s="315" t="n">
        <x:v>46000</x:v>
      </x:c>
      <x:c r="C198" s="295" t="str">
        <x:v>YI-000089</x:v>
      </x:c>
      <x:c r="D198" s="295" t="str">
        <x:v>YI NEW SEWING MACHINE CO., LTD</x:v>
      </x:c>
      <x:c r="E198" s="295" t="str">
        <x:v>502膠水・大瓶</x:v>
      </x:c>
      <x:c r="F198" s="295" t="str">
        <x:v>CH-502-GLUE-LARGE</x:v>
      </x:c>
      <x:c r="G198" s="295" t="str">
        <x:v>502膠水（大瓶）</x:v>
      </x:c>
      <x:c r="H198" s="295" t="str">
        <x:v>Large Bottle</x:v>
      </x:c>
      <x:c r="I198" s="295" t="str">
        <x:v>Consumable/Chemical</x:v>
      </x:c>
      <x:c r="J198" s="295" t="str">
        <x:v>Consumable</x:v>
      </x:c>
      <x:c r="K198" s="295"/>
      <x:c r="L198" s="295"/>
      <x:c r="M198" s="295" t="n">
        <x:v>15</x:v>
      </x:c>
      <x:c r="N198" s="295" t="str">
        <x:v>瓶</x:v>
      </x:c>
      <x:c r="O198" s="296" t="n">
        <x:v>0.65</x:v>
      </x:c>
      <x:c r="P198" s="296" t="n">
        <x:v>9.75</x:v>
      </x:c>
      <x:c r="Q198" s="296" t="n">
        <x:v>9.75</x:v>
      </x:c>
      <x:c r="R198" s="296" t="n">
        <x:v>0</x:v>
      </x:c>
      <x:c r="S198" s="295" t="str">
        <x:v>Yes</x:v>
      </x:c>
      <x:c r="T198" s="295" t="str">
        <x:v>High</x:v>
      </x:c>
      <x:c r="U198" s="295" t="str">
        <x:v>Jan_'25Dec_'25_Monthly_StatementSewing_machine_spareparts.pdf</x:v>
      </x:c>
      <x:c r="V198" s="295" t="n">
        <x:v>12</x:v>
      </x:c>
      <x:c r="W198" s="297"/>
    </x:row>
    <x:row r="199">
      <x:c r="A199" s="314" t="str">
        <x:v>2025-12</x:v>
      </x:c>
      <x:c r="B199" s="315" t="n">
        <x:v>46000</x:v>
      </x:c>
      <x:c r="C199" s="295" t="str">
        <x:v>YI-000089</x:v>
      </x:c>
      <x:c r="D199" s="295" t="str">
        <x:v>YI NEW SEWING MACHINE CO., LTD</x:v>
      </x:c>
      <x:c r="E199" s="295" t="str">
        <x:v>針車油 30L</x:v>
      </x:c>
      <x:c r="F199" s="295" t="str">
        <x:v>CN-SEWING-OIL-30L</x:v>
      </x:c>
      <x:c r="G199" s="295" t="str">
        <x:v>針車油 30L</x:v>
      </x:c>
      <x:c r="H199" s="295" t="str">
        <x:v>30L</x:v>
      </x:c>
      <x:c r="I199" s="295" t="str">
        <x:v>Consumable/Chemical</x:v>
      </x:c>
      <x:c r="J199" s="295" t="str">
        <x:v>Consumable</x:v>
      </x:c>
      <x:c r="K199" s="295"/>
      <x:c r="L199" s="295" t="str">
        <x:v>Sewing Machine</x:v>
      </x:c>
      <x:c r="M199" s="295" t="n">
        <x:v>3</x:v>
      </x:c>
      <x:c r="N199" s="295" t="str">
        <x:v>桶</x:v>
      </x:c>
      <x:c r="O199" s="296" t="n">
        <x:v>45</x:v>
      </x:c>
      <x:c r="P199" s="296" t="n">
        <x:v>135</x:v>
      </x:c>
      <x:c r="Q199" s="296" t="n">
        <x:v>135</x:v>
      </x:c>
      <x:c r="R199" s="296" t="n">
        <x:v>0</x:v>
      </x:c>
      <x:c r="S199" s="295" t="str">
        <x:v>Yes</x:v>
      </x:c>
      <x:c r="T199" s="295" t="str">
        <x:v>High</x:v>
      </x:c>
      <x:c r="U199" s="295" t="str">
        <x:v>Jan_'25Dec_'25_Monthly_StatementSewing_machine_spareparts.pdf</x:v>
      </x:c>
      <x:c r="V199" s="295" t="n">
        <x:v>12</x:v>
      </x:c>
      <x:c r="W199" s="297"/>
    </x:row>
    <x:row r="200">
      <x:c r="A200" s="314" t="str">
        <x:v>2025-12</x:v>
      </x:c>
      <x:c r="B200" s="315" t="n">
        <x:v>46000</x:v>
      </x:c>
      <x:c r="C200" s="295" t="str">
        <x:v>YI-000089</x:v>
      </x:c>
      <x:c r="D200" s="295" t="str">
        <x:v>YI NEW SEWING MACHINE CO., LTD</x:v>
      </x:c>
      <x:c r="E200" s="295" t="str">
        <x:v>ORGAN UOx113 #14</x:v>
      </x:c>
      <x:c r="F200" s="295" t="str">
        <x:v>ND-UOX113-14</x:v>
      </x:c>
      <x:c r="G200" s="295" t="str">
        <x:v>風琴機針 UOx113 #14</x:v>
      </x:c>
      <x:c r="H200" s="295" t="str">
        <x:v>UOx113 #14</x:v>
      </x:c>
      <x:c r="I200" s="295" t="str">
        <x:v>Needle</x:v>
      </x:c>
      <x:c r="J200" s="295" t="str">
        <x:v>Consumable</x:v>
      </x:c>
      <x:c r="K200" s="295" t="str">
        <x:v>ORGAN/風琴</x:v>
      </x:c>
      <x:c r="L200" s="295" t="str">
        <x:v>Multi-needle</x:v>
      </x:c>
      <x:c r="M200" s="295" t="n">
        <x:v>100</x:v>
      </x:c>
      <x:c r="N200" s="295" t="str">
        <x:v>包</x:v>
      </x:c>
      <x:c r="O200" s="296" t="n">
        <x:v>3</x:v>
      </x:c>
      <x:c r="P200" s="296" t="n">
        <x:v>300</x:v>
      </x:c>
      <x:c r="Q200" s="296" t="n">
        <x:v>300</x:v>
      </x:c>
      <x:c r="R200" s="296" t="n">
        <x:v>0</x:v>
      </x:c>
      <x:c r="S200" s="295" t="str">
        <x:v>Yes</x:v>
      </x:c>
      <x:c r="T200" s="295" t="str">
        <x:v>High</x:v>
      </x:c>
      <x:c r="U200" s="295" t="str">
        <x:v>Jan_'25Dec_'25_Monthly_StatementSewing_machine_spareparts.pdf</x:v>
      </x:c>
      <x:c r="V200" s="295" t="n">
        <x:v>12</x:v>
      </x:c>
      <x:c r="W200" s="297"/>
    </x:row>
    <x:row r="201">
      <x:c r="A201" s="314" t="str">
        <x:v>2025-12</x:v>
      </x:c>
      <x:c r="B201" s="315" t="n">
        <x:v>46000</x:v>
      </x:c>
      <x:c r="C201" s="295" t="str">
        <x:v>YI-000089</x:v>
      </x:c>
      <x:c r="D201" s="295" t="str">
        <x:v>YI NEW SEWING MACHINE CO., LTD</x:v>
      </x:c>
      <x:c r="E201" s="295" t="str">
        <x:v>ORGAN DCx27 #12</x:v>
      </x:c>
      <x:c r="F201" s="295" t="str">
        <x:v>ND-DCX27-12</x:v>
      </x:c>
      <x:c r="G201" s="295" t="str">
        <x:v>風琴機針 DCx27 #12</x:v>
      </x:c>
      <x:c r="H201" s="295" t="str">
        <x:v>DCx27 #12</x:v>
      </x:c>
      <x:c r="I201" s="295" t="str">
        <x:v>Needle</x:v>
      </x:c>
      <x:c r="J201" s="295" t="str">
        <x:v>Consumable</x:v>
      </x:c>
      <x:c r="K201" s="295" t="str">
        <x:v>ORGAN/風琴</x:v>
      </x:c>
      <x:c r="L201" s="295" t="str">
        <x:v>Overlock</x:v>
      </x:c>
      <x:c r="M201" s="295" t="n">
        <x:v>100</x:v>
      </x:c>
      <x:c r="N201" s="295" t="str">
        <x:v>包</x:v>
      </x:c>
      <x:c r="O201" s="296" t="n">
        <x:v>1.3</x:v>
      </x:c>
      <x:c r="P201" s="296" t="n">
        <x:v>130</x:v>
      </x:c>
      <x:c r="Q201" s="296" t="n">
        <x:v>130</x:v>
      </x:c>
      <x:c r="R201" s="296" t="n">
        <x:v>0</x:v>
      </x:c>
      <x:c r="S201" s="295" t="str">
        <x:v>Yes</x:v>
      </x:c>
      <x:c r="T201" s="295" t="str">
        <x:v>High</x:v>
      </x:c>
      <x:c r="U201" s="295" t="str">
        <x:v>Jan_'25Dec_'25_Monthly_StatementSewing_machine_spareparts.pdf</x:v>
      </x:c>
      <x:c r="V201" s="295" t="n">
        <x:v>12</x:v>
      </x:c>
      <x:c r="W201" s="297"/>
    </x:row>
    <x:row r="202">
      <x:c r="A202" s="314" t="str">
        <x:v>2025-12</x:v>
      </x:c>
      <x:c r="B202" s="315" t="n">
        <x:v>46000</x:v>
      </x:c>
      <x:c r="C202" s="295" t="str">
        <x:v>YI-000089</x:v>
      </x:c>
      <x:c r="D202" s="295" t="str">
        <x:v>YI NEW SEWING MACHINE CO., LTD</x:v>
      </x:c>
      <x:c r="E202" s="295" t="str">
        <x:v>絕緣板 1.0mm（黃）</x:v>
      </x:c>
      <x:c r="F202" s="295" t="str">
        <x:v>EL-INSULATION-BOARD-1MM-Y</x:v>
      </x:c>
      <x:c r="G202" s="295" t="str">
        <x:v>絕緣板 1.0mm（黃）</x:v>
      </x:c>
      <x:c r="H202" s="295" t="str">
        <x:v>1.0 mm</x:v>
      </x:c>
      <x:c r="I202" s="295" t="str">
        <x:v>Electrical/Control</x:v>
      </x:c>
      <x:c r="J202" s="295" t="str">
        <x:v>Consumable</x:v>
      </x:c>
      <x:c r="K202" s="295"/>
      <x:c r="L202" s="295"/>
      <x:c r="M202" s="295" t="n">
        <x:v>3</x:v>
      </x:c>
      <x:c r="N202" s="295" t="str">
        <x:v>張</x:v>
      </x:c>
      <x:c r="O202" s="296" t="n">
        <x:v>24</x:v>
      </x:c>
      <x:c r="P202" s="296" t="n">
        <x:v>72</x:v>
      </x:c>
      <x:c r="Q202" s="296" t="n">
        <x:v>72</x:v>
      </x:c>
      <x:c r="R202" s="296" t="n">
        <x:v>0</x:v>
      </x:c>
      <x:c r="S202" s="295" t="str">
        <x:v>Yes</x:v>
      </x:c>
      <x:c r="T202" s="295" t="str">
        <x:v>High</x:v>
      </x:c>
      <x:c r="U202" s="295" t="str">
        <x:v>Jan_'25Dec_'25_Monthly_StatementSewing_machine_spareparts.pdf</x:v>
      </x:c>
      <x:c r="V202" s="295" t="n">
        <x:v>12</x:v>
      </x:c>
      <x:c r="W202" s="297"/>
    </x:row>
    <x:row r="203">
      <x:c r="A203" s="314" t="str">
        <x:v>2025-12</x:v>
      </x:c>
      <x:c r="B203" s="315" t="n">
        <x:v>46004</x:v>
      </x:c>
      <x:c r="C203" s="295" t="str">
        <x:v>YI-000090</x:v>
      </x:c>
      <x:c r="D203" s="295" t="str">
        <x:v>YI NEW SEWING MACHINE CO., LTD</x:v>
      </x:c>
      <x:c r="E203" s="295" t="str">
        <x:v>沙剪刀</x:v>
      </x:c>
      <x:c r="F203" s="295" t="str">
        <x:v>TL-THREAD-SNIP-GLOBE</x:v>
      </x:c>
      <x:c r="G203" s="295" t="str">
        <x:v>環球沙剪</x:v>
      </x:c>
      <x:c r="H203" s="295"/>
      <x:c r="I203" s="295" t="str">
        <x:v>Tools</x:v>
      </x:c>
      <x:c r="J203" s="295" t="str">
        <x:v>Tool</x:v>
      </x:c>
      <x:c r="K203" s="295" t="str">
        <x:v>環球</x:v>
      </x:c>
      <x:c r="L203" s="295"/>
      <x:c r="M203" s="295" t="n">
        <x:v>10</x:v>
      </x:c>
      <x:c r="N203" s="295" t="str">
        <x:v>打</x:v>
      </x:c>
      <x:c r="O203" s="296" t="n">
        <x:v>2.3</x:v>
      </x:c>
      <x:c r="P203" s="296" t="n">
        <x:v>23</x:v>
      </x:c>
      <x:c r="Q203" s="296" t="n">
        <x:v>23</x:v>
      </x:c>
      <x:c r="R203" s="296" t="n">
        <x:v>0</x:v>
      </x:c>
      <x:c r="S203" s="295" t="str">
        <x:v>Yes</x:v>
      </x:c>
      <x:c r="T203" s="295" t="str">
        <x:v>High</x:v>
      </x:c>
      <x:c r="U203" s="295" t="str">
        <x:v>Jan_'25Dec_'25_Monthly_StatementSewing_machine_spareparts.pdf</x:v>
      </x:c>
      <x:c r="V203" s="295" t="n">
        <x:v>12</x:v>
      </x:c>
      <x:c r="W203" s="297"/>
    </x:row>
    <x:row r="204">
      <x:c r="A204" s="314" t="str">
        <x:v>2025-12</x:v>
      </x:c>
      <x:c r="B204" s="315" t="n">
        <x:v>46004</x:v>
      </x:c>
      <x:c r="C204" s="295" t="str">
        <x:v>YI-000090</x:v>
      </x:c>
      <x:c r="D204" s="295" t="str">
        <x:v>YI NEW SEWING MACHINE CO., LTD</x:v>
      </x:c>
      <x:c r="E204" s="295" t="str">
        <x:v>利達行中剪刀</x:v>
      </x:c>
      <x:c r="F204" s="295" t="str">
        <x:v>TL-MEDIUM-SCISSOR-LIDA</x:v>
      </x:c>
      <x:c r="G204" s="295" t="str">
        <x:v>利達行中剪刀</x:v>
      </x:c>
      <x:c r="H204" s="295"/>
      <x:c r="I204" s="295" t="str">
        <x:v>Tools</x:v>
      </x:c>
      <x:c r="J204" s="295" t="str">
        <x:v>Tool</x:v>
      </x:c>
      <x:c r="K204" s="295" t="str">
        <x:v>利達行</x:v>
      </x:c>
      <x:c r="L204" s="295"/>
      <x:c r="M204" s="295" t="n">
        <x:v>50</x:v>
      </x:c>
      <x:c r="N204" s="295" t="str">
        <x:v>把</x:v>
      </x:c>
      <x:c r="O204" s="296" t="n">
        <x:v>1.6</x:v>
      </x:c>
      <x:c r="P204" s="296" t="n">
        <x:v>80</x:v>
      </x:c>
      <x:c r="Q204" s="296" t="n">
        <x:v>80</x:v>
      </x:c>
      <x:c r="R204" s="296" t="n">
        <x:v>0</x:v>
      </x:c>
      <x:c r="S204" s="295" t="str">
        <x:v>Yes</x:v>
      </x:c>
      <x:c r="T204" s="295" t="str">
        <x:v>High</x:v>
      </x:c>
      <x:c r="U204" s="295" t="str">
        <x:v>Jan_'25Dec_'25_Monthly_StatementSewing_machine_spareparts.pdf</x:v>
      </x:c>
      <x:c r="V204" s="295" t="n">
        <x:v>12</x:v>
      </x:c>
      <x:c r="W204" s="297"/>
    </x:row>
    <x:row r="205">
      <x:c r="A205" s="314" t="str">
        <x:v>2025-12</x:v>
      </x:c>
      <x:c r="B205" s="315" t="n">
        <x:v>46004</x:v>
      </x:c>
      <x:c r="C205" s="295" t="str">
        <x:v>YI-000090</x:v>
      </x:c>
      <x:c r="D205" s="295" t="str">
        <x:v>YI NEW SEWING MACHINE CO., LTD</x:v>
      </x:c>
      <x:c r="E205" s="295" t="str">
        <x:v>張小泉10吋大剪刀</x:v>
      </x:c>
      <x:c r="F205" s="295" t="str">
        <x:v>TL-SCISSOR-ZHANGXIAO-10IN</x:v>
      </x:c>
      <x:c r="G205" s="295" t="str">
        <x:v>張小泉10吋大剪刀</x:v>
      </x:c>
      <x:c r="H205" s="295" t="str">
        <x:v>10 inch</x:v>
      </x:c>
      <x:c r="I205" s="295" t="str">
        <x:v>Tools</x:v>
      </x:c>
      <x:c r="J205" s="295" t="str">
        <x:v>Tool</x:v>
      </x:c>
      <x:c r="K205" s="295" t="str">
        <x:v>張小泉</x:v>
      </x:c>
      <x:c r="L205" s="295"/>
      <x:c r="M205" s="295" t="n">
        <x:v>10</x:v>
      </x:c>
      <x:c r="N205" s="295" t="str">
        <x:v>個</x:v>
      </x:c>
      <x:c r="O205" s="296" t="n">
        <x:v>7</x:v>
      </x:c>
      <x:c r="P205" s="296" t="n">
        <x:v>70</x:v>
      </x:c>
      <x:c r="Q205" s="296" t="n">
        <x:v>70</x:v>
      </x:c>
      <x:c r="R205" s="296" t="n">
        <x:v>0</x:v>
      </x:c>
      <x:c r="S205" s="295" t="str">
        <x:v>Yes</x:v>
      </x:c>
      <x:c r="T205" s="295" t="str">
        <x:v>High</x:v>
      </x:c>
      <x:c r="U205" s="295" t="str">
        <x:v>Jan_'25Dec_'25_Monthly_StatementSewing_machine_spareparts.pdf</x:v>
      </x:c>
      <x:c r="V205" s="295" t="n">
        <x:v>12</x:v>
      </x:c>
      <x:c r="W205" s="297"/>
    </x:row>
    <x:row r="206">
      <x:c r="A206" s="314" t="str">
        <x:v>2025-12</x:v>
      </x:c>
      <x:c r="B206" s="315" t="n">
        <x:v>46004</x:v>
      </x:c>
      <x:c r="C206" s="295" t="str">
        <x:v>YI-000090</x:v>
      </x:c>
      <x:c r="D206" s="295" t="str">
        <x:v>YI NEW SEWING MACHINE CO., LTD</x:v>
      </x:c>
      <x:c r="E206" s="295" t="str">
        <x:v>ORGAN DCx27 #12</x:v>
      </x:c>
      <x:c r="F206" s="295" t="str">
        <x:v>ND-DCX27-12</x:v>
      </x:c>
      <x:c r="G206" s="295" t="str">
        <x:v>風琴機針 DCx27 #12</x:v>
      </x:c>
      <x:c r="H206" s="295" t="str">
        <x:v>DCx27 #12</x:v>
      </x:c>
      <x:c r="I206" s="295" t="str">
        <x:v>Needle</x:v>
      </x:c>
      <x:c r="J206" s="295" t="str">
        <x:v>Consumable</x:v>
      </x:c>
      <x:c r="K206" s="295" t="str">
        <x:v>ORGAN/風琴</x:v>
      </x:c>
      <x:c r="L206" s="295" t="str">
        <x:v>Overlock</x:v>
      </x:c>
      <x:c r="M206" s="295" t="n">
        <x:v>100</x:v>
      </x:c>
      <x:c r="N206" s="295" t="str">
        <x:v>包</x:v>
      </x:c>
      <x:c r="O206" s="296" t="n">
        <x:v>1.3</x:v>
      </x:c>
      <x:c r="P206" s="296" t="n">
        <x:v>130</x:v>
      </x:c>
      <x:c r="Q206" s="296" t="n">
        <x:v>130</x:v>
      </x:c>
      <x:c r="R206" s="296" t="n">
        <x:v>0</x:v>
      </x:c>
      <x:c r="S206" s="295" t="str">
        <x:v>Yes</x:v>
      </x:c>
      <x:c r="T206" s="295" t="str">
        <x:v>High</x:v>
      </x:c>
      <x:c r="U206" s="295" t="str">
        <x:v>Jan_'25Dec_'25_Monthly_StatementSewing_machine_spareparts.pdf</x:v>
      </x:c>
      <x:c r="V206" s="295" t="n">
        <x:v>12</x:v>
      </x:c>
      <x:c r="W206" s="297"/>
    </x:row>
    <x:row r="207">
      <x:c r="A207" s="314" t="str">
        <x:v>2025-12</x:v>
      </x:c>
      <x:c r="B207" s="315" t="n">
        <x:v>46004</x:v>
      </x:c>
      <x:c r="C207" s="295" t="str">
        <x:v>YI-000090</x:v>
      </x:c>
      <x:c r="D207" s="295" t="str">
        <x:v>YI NEW SEWING MACHINE CO., LTD</x:v>
      </x:c>
      <x:c r="E207" s="295" t="str">
        <x:v>P351 壓腳</x:v>
      </x:c>
      <x:c r="F207" s="295" t="str">
        <x:v>PF-P351</x:v>
      </x:c>
      <x:c r="G207" s="295" t="str">
        <x:v>P351 壓腳</x:v>
      </x:c>
      <x:c r="H207" s="295" t="str">
        <x:v>P351</x:v>
      </x:c>
      <x:c r="I207" s="295" t="str">
        <x:v>Presser Foot</x:v>
      </x:c>
      <x:c r="J207" s="295" t="str">
        <x:v>Spare Part</x:v>
      </x:c>
      <x:c r="K207" s="295"/>
      <x:c r="L207" s="295"/>
      <x:c r="M207" s="295" t="n">
        <x:v>50</x:v>
      </x:c>
      <x:c r="N207" s="295" t="str">
        <x:v>個</x:v>
      </x:c>
      <x:c r="O207" s="296" t="n">
        <x:v>0.6</x:v>
      </x:c>
      <x:c r="P207" s="296" t="n">
        <x:v>30</x:v>
      </x:c>
      <x:c r="Q207" s="296" t="n">
        <x:v>30</x:v>
      </x:c>
      <x:c r="R207" s="296" t="n">
        <x:v>0</x:v>
      </x:c>
      <x:c r="S207" s="295" t="str">
        <x:v>Yes</x:v>
      </x:c>
      <x:c r="T207" s="295" t="str">
        <x:v>High</x:v>
      </x:c>
      <x:c r="U207" s="295" t="str">
        <x:v>Jan_'25Dec_'25_Monthly_StatementSewing_machine_spareparts.pdf</x:v>
      </x:c>
      <x:c r="V207" s="295" t="n">
        <x:v>12</x:v>
      </x:c>
      <x:c r="W207" s="297"/>
    </x:row>
    <x:row r="208">
      <x:c r="A208" s="314" t="str">
        <x:v>2025-12</x:v>
      </x:c>
      <x:c r="B208" s="315" t="n">
        <x:v>46004</x:v>
      </x:c>
      <x:c r="C208" s="295" t="str">
        <x:v>YI-000090</x:v>
      </x:c>
      <x:c r="D208" s="295" t="str">
        <x:v>YI NEW SEWING MACHINE CO., LTD</x:v>
      </x:c>
      <x:c r="E208" s="295" t="str">
        <x:v>碳刷（斷布機）</x:v>
      </x:c>
      <x:c r="F208" s="295" t="str">
        <x:v>EL-CARBON-BRUSH-CUTTER</x:v>
      </x:c>
      <x:c r="G208" s="295" t="str">
        <x:v>碳刷（斷布機）</x:v>
      </x:c>
      <x:c r="H208" s="295"/>
      <x:c r="I208" s="295" t="str">
        <x:v>Electrical/Control</x:v>
      </x:c>
      <x:c r="J208" s="295" t="str">
        <x:v>Spare Part</x:v>
      </x:c>
      <x:c r="K208" s="295"/>
      <x:c r="L208" s="295" t="str">
        <x:v>Fabric Cutter</x:v>
      </x:c>
      <x:c r="M208" s="295" t="n">
        <x:v>2</x:v>
      </x:c>
      <x:c r="N208" s="295" t="str">
        <x:v>套</x:v>
      </x:c>
      <x:c r="O208" s="296" t="n">
        <x:v>3</x:v>
      </x:c>
      <x:c r="P208" s="296" t="n">
        <x:v>6</x:v>
      </x:c>
      <x:c r="Q208" s="296" t="n">
        <x:v>6</x:v>
      </x:c>
      <x:c r="R208" s="296" t="n">
        <x:v>0</x:v>
      </x:c>
      <x:c r="S208" s="295" t="str">
        <x:v>Yes</x:v>
      </x:c>
      <x:c r="T208" s="295" t="str">
        <x:v>High</x:v>
      </x:c>
      <x:c r="U208" s="295" t="str">
        <x:v>Jan_'25Dec_'25_Monthly_StatementSewing_machine_spareparts.pdf</x:v>
      </x:c>
      <x:c r="V208" s="295" t="n">
        <x:v>12</x:v>
      </x:c>
      <x:c r="W208" s="297"/>
    </x:row>
    <x:row r="209">
      <x:c r="A209" s="314" t="str">
        <x:v>2025-12</x:v>
      </x:c>
      <x:c r="B209" s="315" t="n">
        <x:v>46008</x:v>
      </x:c>
      <x:c r="C209" s="295" t="str">
        <x:v>YI-000092</x:v>
      </x:c>
      <x:c r="D209" s="295" t="str">
        <x:v>YI NEW SEWING MACHINE CO., LTD</x:v>
      </x:c>
      <x:c r="E209" s="295" t="str">
        <x:v>ORGAN DBx1 #12</x:v>
      </x:c>
      <x:c r="F209" s="295" t="str">
        <x:v>ND-DBX1-12</x:v>
      </x:c>
      <x:c r="G209" s="295" t="str">
        <x:v>風琴機針 DBx1 #12</x:v>
      </x:c>
      <x:c r="H209" s="295" t="str">
        <x:v>DBx1 #12</x:v>
      </x:c>
      <x:c r="I209" s="295" t="str">
        <x:v>Needle</x:v>
      </x:c>
      <x:c r="J209" s="295" t="str">
        <x:v>Consumable</x:v>
      </x:c>
      <x:c r="K209" s="295" t="str">
        <x:v>ORGAN/風琴</x:v>
      </x:c>
      <x:c r="L209" s="295" t="str">
        <x:v>Single Needle</x:v>
      </x:c>
      <x:c r="M209" s="295" t="n">
        <x:v>100</x:v>
      </x:c>
      <x:c r="N209" s="295" t="str">
        <x:v>包</x:v>
      </x:c>
      <x:c r="O209" s="296" t="n">
        <x:v>0.78</x:v>
      </x:c>
      <x:c r="P209" s="296" t="n">
        <x:v>78</x:v>
      </x:c>
      <x:c r="Q209" s="296" t="n">
        <x:v>78</x:v>
      </x:c>
      <x:c r="R209" s="296" t="n">
        <x:v>0</x:v>
      </x:c>
      <x:c r="S209" s="295" t="str">
        <x:v>Yes</x:v>
      </x:c>
      <x:c r="T209" s="295" t="str">
        <x:v>High</x:v>
      </x:c>
      <x:c r="U209" s="295" t="str">
        <x:v>Jan_'25Dec_'25_Monthly_StatementSewing_machine_spareparts.pdf</x:v>
      </x:c>
      <x:c r="V209" s="295" t="n">
        <x:v>12</x:v>
      </x:c>
      <x:c r="W209" s="297"/>
    </x:row>
    <x:row r="210">
      <x:c r="A210" s="314" t="str">
        <x:v>2025-12</x:v>
      </x:c>
      <x:c r="B210" s="315" t="n">
        <x:v>46008</x:v>
      </x:c>
      <x:c r="C210" s="295" t="str">
        <x:v>YI-000092</x:v>
      </x:c>
      <x:c r="D210" s="295" t="str">
        <x:v>YI NEW SEWING MACHINE CO., LTD</x:v>
      </x:c>
      <x:c r="E210" s="295" t="str">
        <x:v>ORGAN UYx128 #11</x:v>
      </x:c>
      <x:c r="F210" s="295" t="str">
        <x:v>ND-UYX128-11</x:v>
      </x:c>
      <x:c r="G210" s="295" t="str">
        <x:v>風琴機針 UYx128 #11</x:v>
      </x:c>
      <x:c r="H210" s="295" t="str">
        <x:v>UYx128 #11</x:v>
      </x:c>
      <x:c r="I210" s="295" t="str">
        <x:v>Needle</x:v>
      </x:c>
      <x:c r="J210" s="295" t="str">
        <x:v>Consumable</x:v>
      </x:c>
      <x:c r="K210" s="295" t="str">
        <x:v>ORGAN/風琴</x:v>
      </x:c>
      <x:c r="L210" s="295" t="str">
        <x:v>Chainstitch</x:v>
      </x:c>
      <x:c r="M210" s="295" t="n">
        <x:v>100</x:v>
      </x:c>
      <x:c r="N210" s="295" t="str">
        <x:v>包</x:v>
      </x:c>
      <x:c r="O210" s="296" t="n">
        <x:v>1.78</x:v>
      </x:c>
      <x:c r="P210" s="296" t="n">
        <x:v>178</x:v>
      </x:c>
      <x:c r="Q210" s="296" t="n">
        <x:v>178</x:v>
      </x:c>
      <x:c r="R210" s="296" t="n">
        <x:v>0</x:v>
      </x:c>
      <x:c r="S210" s="295" t="str">
        <x:v>Yes</x:v>
      </x:c>
      <x:c r="T210" s="295" t="str">
        <x:v>High</x:v>
      </x:c>
      <x:c r="U210" s="295" t="str">
        <x:v>Jan_'25Dec_'25_Monthly_StatementSewing_machine_spareparts.pdf</x:v>
      </x:c>
      <x:c r="V210" s="295" t="n">
        <x:v>12</x:v>
      </x:c>
      <x:c r="W210" s="297"/>
    </x:row>
    <x:row r="211">
      <x:c r="A211" s="314" t="str">
        <x:v>2025-12</x:v>
      </x:c>
      <x:c r="B211" s="315" t="n">
        <x:v>46009</x:v>
      </x:c>
      <x:c r="C211" s="295" t="str">
        <x:v>YI-000093</x:v>
      </x:c>
      <x:c r="D211" s="295" t="str">
        <x:v>YI NEW SEWING MACHINE CO., LTD</x:v>
      </x:c>
      <x:c r="E211" s="295" t="str">
        <x:v>砂紙 #280</x:v>
      </x:c>
      <x:c r="F211" s="295" t="str">
        <x:v>CN-SANDPAPER-280</x:v>
      </x:c>
      <x:c r="G211" s="295" t="str">
        <x:v>砂紙 #280</x:v>
      </x:c>
      <x:c r="H211" s="295" t="str">
        <x:v>#280</x:v>
      </x:c>
      <x:c r="I211" s="295" t="str">
        <x:v>Consumable/Chemical</x:v>
      </x:c>
      <x:c r="J211" s="295" t="str">
        <x:v>Consumable</x:v>
      </x:c>
      <x:c r="K211" s="295"/>
      <x:c r="L211" s="295"/>
      <x:c r="M211" s="295" t="n">
        <x:v>1</x:v>
      </x:c>
      <x:c r="N211" s="295" t="str">
        <x:v>包</x:v>
      </x:c>
      <x:c r="O211" s="296" t="n">
        <x:v>21</x:v>
      </x:c>
      <x:c r="P211" s="296" t="n">
        <x:v>21</x:v>
      </x:c>
      <x:c r="Q211" s="296" t="n">
        <x:v>21</x:v>
      </x:c>
      <x:c r="R211" s="296" t="n">
        <x:v>0</x:v>
      </x:c>
      <x:c r="S211" s="295" t="str">
        <x:v>Yes</x:v>
      </x:c>
      <x:c r="T211" s="295" t="str">
        <x:v>High</x:v>
      </x:c>
      <x:c r="U211" s="295" t="str">
        <x:v>Jan_'25Dec_'25_Monthly_StatementSewing_machine_spareparts.pdf</x:v>
      </x:c>
      <x:c r="V211" s="295" t="n">
        <x:v>12</x:v>
      </x:c>
      <x:c r="W211" s="297"/>
    </x:row>
    <x:row r="212">
      <x:c r="A212" s="314" t="str">
        <x:v>2025-12</x:v>
      </x:c>
      <x:c r="B212" s="315" t="n">
        <x:v>46009</x:v>
      </x:c>
      <x:c r="C212" s="295" t="str">
        <x:v>YI-000093</x:v>
      </x:c>
      <x:c r="D212" s="295" t="str">
        <x:v>YI NEW SEWING MACHINE CO., LTD</x:v>
      </x:c>
      <x:c r="E212" s="295" t="str">
        <x:v>三角插頭</x:v>
      </x:c>
      <x:c r="F212" s="295" t="str">
        <x:v>EL-TRIANGLE-PLUG</x:v>
      </x:c>
      <x:c r="G212" s="295" t="str">
        <x:v>三角插頭</x:v>
      </x:c>
      <x:c r="H212" s="295"/>
      <x:c r="I212" s="295" t="str">
        <x:v>Electrical/Control</x:v>
      </x:c>
      <x:c r="J212" s="295" t="str">
        <x:v>Spare Part</x:v>
      </x:c>
      <x:c r="K212" s="295"/>
      <x:c r="L212" s="295"/>
      <x:c r="M212" s="295" t="n">
        <x:v>30</x:v>
      </x:c>
      <x:c r="N212" s="295" t="str">
        <x:v>個</x:v>
      </x:c>
      <x:c r="O212" s="296" t="n">
        <x:v>0.85</x:v>
      </x:c>
      <x:c r="P212" s="296" t="n">
        <x:v>25.5</x:v>
      </x:c>
      <x:c r="Q212" s="296" t="n">
        <x:v>25.5</x:v>
      </x:c>
      <x:c r="R212" s="296" t="n">
        <x:v>0</x:v>
      </x:c>
      <x:c r="S212" s="295" t="str">
        <x:v>Yes</x:v>
      </x:c>
      <x:c r="T212" s="295" t="str">
        <x:v>High</x:v>
      </x:c>
      <x:c r="U212" s="295" t="str">
        <x:v>Jan_'25Dec_'25_Monthly_StatementSewing_machine_spareparts.pdf</x:v>
      </x:c>
      <x:c r="V212" s="295" t="n">
        <x:v>12</x:v>
      </x:c>
      <x:c r="W212" s="297"/>
    </x:row>
    <x:row r="213">
      <x:c r="A213" s="314" t="str">
        <x:v>2025-12</x:v>
      </x:c>
      <x:c r="B213" s="315" t="n">
        <x:v>46009</x:v>
      </x:c>
      <x:c r="C213" s="295" t="str">
        <x:v>YI-000094</x:v>
      </x:c>
      <x:c r="D213" s="295" t="str">
        <x:v>YI NEW SEWING MACHINE CO., LTD</x:v>
      </x:c>
      <x:c r="E213" s="295" t="str">
        <x:v>十字螺絲刀</x:v>
      </x:c>
      <x:c r="F213" s="295" t="str">
        <x:v>TL-SCREWDRIVER-PHILLIPS</x:v>
      </x:c>
      <x:c r="G213" s="295" t="str">
        <x:v>十字螺絲刀</x:v>
      </x:c>
      <x:c r="H213" s="295"/>
      <x:c r="I213" s="295" t="str">
        <x:v>Tools</x:v>
      </x:c>
      <x:c r="J213" s="295" t="str">
        <x:v>Tool</x:v>
      </x:c>
      <x:c r="K213" s="295"/>
      <x:c r="L213" s="295"/>
      <x:c r="M213" s="295" t="n">
        <x:v>3</x:v>
      </x:c>
      <x:c r="N213" s="295" t="str">
        <x:v>支</x:v>
      </x:c>
      <x:c r="O213" s="296" t="n">
        <x:v>4.9</x:v>
      </x:c>
      <x:c r="P213" s="296" t="n">
        <x:v>14.7</x:v>
      </x:c>
      <x:c r="Q213" s="296" t="n">
        <x:v>14.7</x:v>
      </x:c>
      <x:c r="R213" s="296" t="n">
        <x:v>0</x:v>
      </x:c>
      <x:c r="S213" s="295" t="str">
        <x:v>Yes</x:v>
      </x:c>
      <x:c r="T213" s="295" t="str">
        <x:v>High</x:v>
      </x:c>
      <x:c r="U213" s="295" t="str">
        <x:v>Jan_'25Dec_'25_Monthly_StatementSewing_machine_spareparts.pdf</x:v>
      </x:c>
      <x:c r="V213" s="295" t="n">
        <x:v>12</x:v>
      </x:c>
      <x:c r="W213" s="297"/>
    </x:row>
    <x:row r="214">
      <x:c r="A214" s="314" t="str">
        <x:v>2025-12</x:v>
      </x:c>
      <x:c r="B214" s="315" t="n">
        <x:v>46011</x:v>
      </x:c>
      <x:c r="C214" s="295" t="str">
        <x:v>YI-000095</x:v>
      </x:c>
      <x:c r="D214" s="295" t="str">
        <x:v>YI NEW SEWING MACHINE CO., LTD</x:v>
      </x:c>
      <x:c r="E214" s="295" t="str">
        <x:v>裁件 532C2-5組</x:v>
      </x:c>
      <x:c r="F214" s="295" t="str">
        <x:v>HIST25-212</x:v>
      </x:c>
      <x:c r="G214" s="295" t="str">
        <x:v>裁件 532C2-5組</x:v>
      </x:c>
      <x:c r="H214" s="295" t="str">
        <x:v>532C2-5</x:v>
      </x:c>
      <x:c r="I214" s="295" t="str">
        <x:v>Other</x:v>
      </x:c>
      <x:c r="J214" s="295" t="str">
        <x:v>Spare Part</x:v>
      </x:c>
      <x:c r="K214" s="295"/>
      <x:c r="L214" s="295"/>
      <x:c r="M214" s="295" t="n">
        <x:v>8</x:v>
      </x:c>
      <x:c r="N214" s="295" t="str">
        <x:v>pcs</x:v>
      </x:c>
      <x:c r="O214" s="296" t="n">
        <x:v>2.2</x:v>
      </x:c>
      <x:c r="P214" s="296" t="n">
        <x:v>17.6</x:v>
      </x:c>
      <x:c r="Q214" s="296" t="n">
        <x:v>17.6</x:v>
      </x:c>
      <x:c r="R214" s="296" t="n">
        <x:v>0</x:v>
      </x:c>
      <x:c r="S214" s="295" t="str">
        <x:v>Yes</x:v>
      </x:c>
      <x:c r="T214" s="295" t="str">
        <x:v>High</x:v>
      </x:c>
      <x:c r="U214" s="295" t="str">
        <x:v>Jan_'25Dec_'25_Monthly_StatementSewing_machine_spareparts.pdf</x:v>
      </x:c>
      <x:c r="V214" s="295" t="n">
        <x:v>12</x:v>
      </x:c>
      <x:c r="W214" s="297"/>
    </x:row>
    <x:row r="215">
      <x:c r="A215" s="314" t="str">
        <x:v>2025-12</x:v>
      </x:c>
      <x:c r="B215" s="315" t="n">
        <x:v>46011</x:v>
      </x:c>
      <x:c r="C215" s="295" t="str">
        <x:v>YI-000095</x:v>
      </x:c>
      <x:c r="D215" s="295" t="str">
        <x:v>YI NEW SEWING MACHINE CO., LTD</x:v>
      </x:c>
      <x:c r="E215" s="295" t="str">
        <x:v>細砂輪（好）</x:v>
      </x:c>
      <x:c r="F215" s="295" t="str">
        <x:v>TL-GRINDING-WHEEL-FINE</x:v>
      </x:c>
      <x:c r="G215" s="295" t="str">
        <x:v>細砂輪</x:v>
      </x:c>
      <x:c r="H215" s="295"/>
      <x:c r="I215" s="295" t="str">
        <x:v>Tools</x:v>
      </x:c>
      <x:c r="J215" s="295" t="str">
        <x:v>Tool</x:v>
      </x:c>
      <x:c r="K215" s="295"/>
      <x:c r="L215" s="295"/>
      <x:c r="M215" s="295" t="n">
        <x:v>1</x:v>
      </x:c>
      <x:c r="N215" s="295" t="str">
        <x:v>pcs</x:v>
      </x:c>
      <x:c r="O215" s="296" t="n">
        <x:v>15</x:v>
      </x:c>
      <x:c r="P215" s="296" t="n">
        <x:v>15</x:v>
      </x:c>
      <x:c r="Q215" s="296" t="n">
        <x:v>15</x:v>
      </x:c>
      <x:c r="R215" s="296" t="n">
        <x:v>0</x:v>
      </x:c>
      <x:c r="S215" s="295" t="str">
        <x:v>Yes</x:v>
      </x:c>
      <x:c r="T215" s="295" t="str">
        <x:v>High</x:v>
      </x:c>
      <x:c r="U215" s="295" t="str">
        <x:v>Jan_'25Dec_'25_Monthly_StatementSewing_machine_spareparts.pdf</x:v>
      </x:c>
      <x:c r="V215" s="295" t="n">
        <x:v>12</x:v>
      </x:c>
      <x:c r="W215" s="297"/>
    </x:row>
    <x:row r="216">
      <x:c r="A216" s="314" t="str">
        <x:v>2025-12</x:v>
      </x:c>
      <x:c r="B216" s="315" t="n">
        <x:v>46011</x:v>
      </x:c>
      <x:c r="C216" s="295" t="str">
        <x:v>YI-000095</x:v>
      </x:c>
      <x:c r="D216" s="295" t="str">
        <x:v>YI NEW SEWING MACHINE CO., LTD</x:v>
      </x:c>
      <x:c r="E216" s="295" t="str">
        <x:v>拋光布輪（厚）-40/mm</x:v>
      </x:c>
      <x:c r="F216" s="295" t="str">
        <x:v>TL-POLISHING-CLOTH-WHEEL-40MM</x:v>
      </x:c>
      <x:c r="G216" s="295" t="str">
        <x:v>拋光布輪（厚）</x:v>
      </x:c>
      <x:c r="H216" s="295" t="str">
        <x:v>40 mm</x:v>
      </x:c>
      <x:c r="I216" s="295" t="str">
        <x:v>Tools</x:v>
      </x:c>
      <x:c r="J216" s="295" t="str">
        <x:v>Tool</x:v>
      </x:c>
      <x:c r="K216" s="295"/>
      <x:c r="L216" s="295"/>
      <x:c r="M216" s="295" t="n">
        <x:v>1</x:v>
      </x:c>
      <x:c r="N216" s="295" t="str">
        <x:v>pcs</x:v>
      </x:c>
      <x:c r="O216" s="296" t="n">
        <x:v>6.5</x:v>
      </x:c>
      <x:c r="P216" s="296" t="n">
        <x:v>6.5</x:v>
      </x:c>
      <x:c r="Q216" s="296" t="n">
        <x:v>6.5</x:v>
      </x:c>
      <x:c r="R216" s="296" t="n">
        <x:v>0</x:v>
      </x:c>
      <x:c r="S216" s="295" t="str">
        <x:v>Yes</x:v>
      </x:c>
      <x:c r="T216" s="295" t="str">
        <x:v>High</x:v>
      </x:c>
      <x:c r="U216" s="295" t="str">
        <x:v>Jan_'25Dec_'25_Monthly_StatementSewing_machine_spareparts.pdf</x:v>
      </x:c>
      <x:c r="V216" s="295" t="n">
        <x:v>12</x:v>
      </x:c>
      <x:c r="W216" s="297"/>
    </x:row>
    <x:row r="217">
      <x:c r="A217" s="314" t="str">
        <x:v>2025-12</x:v>
      </x:c>
      <x:c r="B217" s="315" t="n">
        <x:v>46011</x:v>
      </x:c>
      <x:c r="C217" s="295" t="str">
        <x:v>YI-000095</x:v>
      </x:c>
      <x:c r="D217" s="295" t="str">
        <x:v>YI NEW SEWING MACHINE CO., LTD</x:v>
      </x:c>
      <x:c r="E217" s="295" t="str">
        <x:v>ORGAN UOx113 #14</x:v>
      </x:c>
      <x:c r="F217" s="295" t="str">
        <x:v>ND-UOX113-14</x:v>
      </x:c>
      <x:c r="G217" s="295" t="str">
        <x:v>風琴機針 UOx113 #14</x:v>
      </x:c>
      <x:c r="H217" s="295" t="str">
        <x:v>UOx113 #14</x:v>
      </x:c>
      <x:c r="I217" s="295" t="str">
        <x:v>Needle</x:v>
      </x:c>
      <x:c r="J217" s="295" t="str">
        <x:v>Consumable</x:v>
      </x:c>
      <x:c r="K217" s="295" t="str">
        <x:v>ORGAN/風琴</x:v>
      </x:c>
      <x:c r="L217" s="295" t="str">
        <x:v>Multi-needle</x:v>
      </x:c>
      <x:c r="M217" s="295" t="n">
        <x:v>100</x:v>
      </x:c>
      <x:c r="N217" s="295" t="str">
        <x:v>pack</x:v>
      </x:c>
      <x:c r="O217" s="296" t="n">
        <x:v>3</x:v>
      </x:c>
      <x:c r="P217" s="296" t="n">
        <x:v>300</x:v>
      </x:c>
      <x:c r="Q217" s="296" t="n">
        <x:v>300</x:v>
      </x:c>
      <x:c r="R217" s="296" t="n">
        <x:v>0</x:v>
      </x:c>
      <x:c r="S217" s="295" t="str">
        <x:v>Yes</x:v>
      </x:c>
      <x:c r="T217" s="295" t="str">
        <x:v>High</x:v>
      </x:c>
      <x:c r="U217" s="295" t="str">
        <x:v>Jan_'25Dec_'25_Monthly_StatementSewing_machine_spareparts.pdf</x:v>
      </x:c>
      <x:c r="V217" s="295" t="n">
        <x:v>12</x:v>
      </x:c>
      <x:c r="W217" s="297"/>
    </x:row>
    <x:row r="218">
      <x:c r="A218" s="314" t="str">
        <x:v>2025-12</x:v>
      </x:c>
      <x:c r="B218" s="315" t="n">
        <x:v>46011</x:v>
      </x:c>
      <x:c r="C218" s="295" t="str">
        <x:v>YI-000095</x:v>
      </x:c>
      <x:c r="D218" s="295" t="str">
        <x:v>YI NEW SEWING MACHINE CO., LTD</x:v>
      </x:c>
      <x:c r="E218" s="295" t="str">
        <x:v>平車電子梭床（日本佐文）</x:v>
      </x:c>
      <x:c r="F218" s="295" t="str">
        <x:v>BS-SN-ELECTRONIC-JP</x:v>
      </x:c>
      <x:c r="G218" s="295" t="str">
        <x:v>平車電子梭床（日本）</x:v>
      </x:c>
      <x:c r="H218" s="295"/>
      <x:c r="I218" s="295" t="str">
        <x:v>Bobbin/Shuttle</x:v>
      </x:c>
      <x:c r="J218" s="295" t="str">
        <x:v>Spare Part</x:v>
      </x:c>
      <x:c r="K218" s="295" t="str">
        <x:v>Japan</x:v>
      </x:c>
      <x:c r="L218" s="295" t="str">
        <x:v>Single Needle</x:v>
      </x:c>
      <x:c r="M218" s="295" t="n">
        <x:v>12</x:v>
      </x:c>
      <x:c r="N218" s="295" t="str">
        <x:v>pack</x:v>
      </x:c>
      <x:c r="O218" s="296" t="n">
        <x:v>18</x:v>
      </x:c>
      <x:c r="P218" s="296" t="n">
        <x:v>216</x:v>
      </x:c>
      <x:c r="Q218" s="296" t="n">
        <x:v>216</x:v>
      </x:c>
      <x:c r="R218" s="296" t="n">
        <x:v>0</x:v>
      </x:c>
      <x:c r="S218" s="295" t="str">
        <x:v>Yes</x:v>
      </x:c>
      <x:c r="T218" s="295" t="str">
        <x:v>High</x:v>
      </x:c>
      <x:c r="U218" s="295" t="str">
        <x:v>Jan_'25Dec_'25_Monthly_StatementSewing_machine_spareparts.pdf</x:v>
      </x:c>
      <x:c r="V218" s="295" t="n">
        <x:v>12</x:v>
      </x:c>
      <x:c r="W218" s="297"/>
    </x:row>
    <x:row r="219">
      <x:c r="A219" s="314" t="str">
        <x:v>2025-12</x:v>
      </x:c>
      <x:c r="B219" s="315" t="n">
        <x:v>46011</x:v>
      </x:c>
      <x:c r="C219" s="295" t="str">
        <x:v>YI-000095</x:v>
      </x:c>
      <x:c r="D219" s="295" t="str">
        <x:v>YI NEW SEWING MACHINE CO., LTD</x:v>
      </x:c>
      <x:c r="E219" s="295" t="str">
        <x:v>平車護手擋</x:v>
      </x:c>
      <x:c r="F219" s="295" t="str">
        <x:v>SAF-SN-HAND-GUARD</x:v>
      </x:c>
      <x:c r="G219" s="295" t="str">
        <x:v>平車護手擋</x:v>
      </x:c>
      <x:c r="H219" s="295"/>
      <x:c r="I219" s="295" t="str">
        <x:v>Safety</x:v>
      </x:c>
      <x:c r="J219" s="295" t="str">
        <x:v>Spare Part</x:v>
      </x:c>
      <x:c r="K219" s="295"/>
      <x:c r="L219" s="295"/>
      <x:c r="M219" s="295" t="n">
        <x:v>200</x:v>
      </x:c>
      <x:c r="N219" s="295" t="str">
        <x:v>pcs</x:v>
      </x:c>
      <x:c r="O219" s="296" t="n">
        <x:v>0.06</x:v>
      </x:c>
      <x:c r="P219" s="296" t="n">
        <x:v>12</x:v>
      </x:c>
      <x:c r="Q219" s="296" t="n">
        <x:v>12</x:v>
      </x:c>
      <x:c r="R219" s="296" t="n">
        <x:v>0</x:v>
      </x:c>
      <x:c r="S219" s="295" t="str">
        <x:v>Yes</x:v>
      </x:c>
      <x:c r="T219" s="295" t="str">
        <x:v>High</x:v>
      </x:c>
      <x:c r="U219" s="295" t="str">
        <x:v>Jan_'25Dec_'25_Monthly_StatementSewing_machine_spareparts.pdf</x:v>
      </x:c>
      <x:c r="V219" s="295" t="n">
        <x:v>12</x:v>
      </x:c>
      <x:c r="W219" s="297"/>
    </x:row>
    <x:row r="220">
      <x:c r="A220" s="316" t="str">
        <x:v>2025-12</x:v>
      </x:c>
      <x:c r="B220" s="317" t="n">
        <x:v>46011</x:v>
      </x:c>
      <x:c r="C220" s="299" t="str">
        <x:v>YI-000095</x:v>
      </x:c>
      <x:c r="D220" s="299" t="str">
        <x:v>YI NEW SEWING MACHINE CO., LTD</x:v>
      </x:c>
      <x:c r="E220" s="299" t="str">
        <x:v>編號紙 #5</x:v>
      </x:c>
      <x:c r="F220" s="299" t="str">
        <x:v>CN-NUMBER-PAPER-5</x:v>
      </x:c>
      <x:c r="G220" s="299" t="str">
        <x:v>編號紙 #5</x:v>
      </x:c>
      <x:c r="H220" s="299" t="str">
        <x:v>No.5</x:v>
      </x:c>
      <x:c r="I220" s="299" t="str">
        <x:v>Consumable/Chemical</x:v>
      </x:c>
      <x:c r="J220" s="299" t="str">
        <x:v>Consumable</x:v>
      </x:c>
      <x:c r="K220" s="299"/>
      <x:c r="L220" s="299" t="str">
        <x:v>Cutting/Bundle</x:v>
      </x:c>
      <x:c r="M220" s="299" t="n">
        <x:v>3</x:v>
      </x:c>
      <x:c r="N220" s="299" t="str">
        <x:v>box</x:v>
      </x:c>
      <x:c r="O220" s="300" t="n">
        <x:v>110</x:v>
      </x:c>
      <x:c r="P220" s="300" t="n">
        <x:v>330</x:v>
      </x:c>
      <x:c r="Q220" s="300" t="n">
        <x:v>330</x:v>
      </x:c>
      <x:c r="R220" s="300" t="n">
        <x:v>0</x:v>
      </x:c>
      <x:c r="S220" s="299" t="str">
        <x:v>Yes</x:v>
      </x:c>
      <x:c r="T220" s="299" t="str">
        <x:v>High</x:v>
      </x:c>
      <x:c r="U220" s="299" t="str">
        <x:v>Jan_'25Dec_'25_Monthly_StatementSewing_machine_spareparts.pdf</x:v>
      </x:c>
      <x:c r="V220" s="299" t="n">
        <x:v>12</x:v>
      </x:c>
      <x:c r="W220" s="301"/>
    </x:row>
  </x:sheetData>
  <x:mergeCells>
    <x:mergeCell ref="A1:W1"/>
  </x:mergeCells>
  <x:pageMargins left="0.7" right="0.7" top="0.75" bottom="0.75" header="0.3" footer="0.3"/>
  <x:tableParts count="1">
    <x:tablePart xmlns:r="http://schemas.openxmlformats.org/officeDocument/2006/relationships" r:id="R2890b96fb18049ad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4" hidden="0" customWidth="1"/>
    <x:col min="4" max="4" width="14" hidden="0" customWidth="1"/>
    <x:col min="5" max="5" width="14" hidden="0" customWidth="1"/>
    <x:col min="6" max="6" width="15" hidden="0" customWidth="1"/>
    <x:col min="7" max="7" width="15" hidden="0" customWidth="1"/>
    <x:col min="8" max="8" width="44" hidden="0" customWidth="1"/>
  </x:cols>
  <x:sheetData>
    <x:row r="1" ht="28" customHeight="1">
      <x:c r="A1" s="283" t="str">
        <x:v>Cross-Year Monthly Spend | 月別採購金額比較（USD, pre-VAT）</x:v>
      </x:c>
      <x:c r="B1" s="283"/>
      <x:c r="C1" s="283"/>
      <x:c r="D1" s="283"/>
      <x:c r="E1" s="283"/>
      <x:c r="F1" s="283"/>
      <x:c r="G1" s="283"/>
      <x:c r="H1" s="283"/>
    </x:row>
    <x:row r="2" ht="28" customHeight="1">
      <x:c r="A2" s="291" t="str">
        <x:v>Month No.</x:v>
      </x:c>
      <x:c r="B2" s="292" t="str">
        <x:v>Month</x:v>
      </x:c>
      <x:c r="C2" s="292" t="str">
        <x:v>2024</x:v>
      </x:c>
      <x:c r="D2" s="292" t="str">
        <x:v>2025</x:v>
      </x:c>
      <x:c r="E2" s="292" t="str">
        <x:v>2026 H1</x:v>
      </x:c>
      <x:c r="F2" s="292" t="str">
        <x:v>2025 vs 2024</x:v>
      </x:c>
      <x:c r="G2" s="292" t="str">
        <x:v>2026 vs 2025</x:v>
      </x:c>
      <x:c r="H2" s="293" t="str">
        <x:v>Notes</x:v>
      </x:c>
    </x:row>
    <x:row r="3">
      <x:c r="A3" s="314" t="n">
        <x:v>1</x:v>
      </x:c>
      <x:c r="B3" s="295" t="str">
        <x:v>Jan</x:v>
      </x:c>
      <x:c r="C3" s="296" t="n">
        <x:f>SUMIFS('2024 Invoice Summary'!$F$3:$F$53,'2024 Invoice Summary'!$B$3:$B$53,"2024-"&amp;TEXT(A3,"00"))</x:f>
        <x:v>846</x:v>
      </x:c>
      <x:c r="D3" s="296" t="n">
        <x:f>SUMIFS('2025 Transaction Detail'!$P$3:$P$220,'2025 Transaction Detail'!$A$3:$A$220,"2025-"&amp;TEXT(A3,"00"))</x:f>
        <x:v>1689.3999999999999</x:v>
      </x:c>
      <x:c r="E3" s="296" t="n">
        <x:f>SUMIFS('Transaction Detail'!$P$2:$P$153,'Transaction Detail'!$A$2:$A$153,"2026-"&amp;TEXT(A3,"00"))</x:f>
        <x:v>2610</x:v>
      </x:c>
      <x:c r="F3" s="330" t="n">
        <x:f>IF(C3=0,"",D3/C3-1)</x:f>
        <x:v>0.9969267139479905</x:v>
      </x:c>
      <x:c r="G3" s="330" t="n">
        <x:f>IF(E3="","",E3/D3-1)</x:f>
        <x:v>0.5449271930863029</x:v>
      </x:c>
      <x:c r="H3" s="297"/>
    </x:row>
    <x:row r="4">
      <x:c r="A4" s="314" t="n">
        <x:v>2</x:v>
      </x:c>
      <x:c r="B4" s="295" t="str">
        <x:v>Feb</x:v>
      </x:c>
      <x:c r="C4" s="296" t="n">
        <x:f>SUMIFS('2024 Invoice Summary'!$F$3:$F$53,'2024 Invoice Summary'!$B$3:$B$53,"2024-"&amp;TEXT(A4,"00"))</x:f>
        <x:v>106</x:v>
      </x:c>
      <x:c r="D4" s="296" t="n">
        <x:f>SUMIFS('2025 Transaction Detail'!$P$3:$P$220,'2025 Transaction Detail'!$A$3:$A$220,"2025-"&amp;TEXT(A4,"00"))</x:f>
        <x:v>1452.3</x:v>
      </x:c>
      <x:c r="E4" s="296" t="n">
        <x:f>SUMIFS('Transaction Detail'!$P$2:$P$153,'Transaction Detail'!$A$2:$A$153,"2026-"&amp;TEXT(A4,"00"))</x:f>
        <x:v>1850.9</x:v>
      </x:c>
      <x:c r="F4" s="330" t="n">
        <x:f>IF(C4=0,"",D4/C4-1)</x:f>
        <x:v>12.700943396226414</x:v>
      </x:c>
      <x:c r="G4" s="330" t="n">
        <x:f>IF(E4="","",E4/D4-1)</x:f>
        <x:v>0.27446119947669234</x:v>
      </x:c>
      <x:c r="H4" s="297"/>
    </x:row>
    <x:row r="5">
      <x:c r="A5" s="314" t="n">
        <x:v>3</x:v>
      </x:c>
      <x:c r="B5" s="295" t="str">
        <x:v>Mar</x:v>
      </x:c>
      <x:c r="C5" s="296" t="n">
        <x:f>SUMIFS('2024 Invoice Summary'!$F$3:$F$53,'2024 Invoice Summary'!$B$3:$B$53,"2024-"&amp;TEXT(A5,"00"))</x:f>
        <x:v>0</x:v>
      </x:c>
      <x:c r="D5" s="296" t="n">
        <x:f>SUMIFS('2025 Transaction Detail'!$P$3:$P$220,'2025 Transaction Detail'!$A$3:$A$220,"2025-"&amp;TEXT(A5,"00"))</x:f>
        <x:v>2169</x:v>
      </x:c>
      <x:c r="E5" s="296" t="n">
        <x:f>SUMIFS('Transaction Detail'!$P$2:$P$153,'Transaction Detail'!$A$2:$A$153,"2026-"&amp;TEXT(A5,"00"))</x:f>
        <x:v>3032</x:v>
      </x:c>
      <x:c r="F5" s="330" t="str">
        <x:f>IF(C5=0,"",D5/C5-1)</x:f>
      </x:c>
      <x:c r="G5" s="330" t="n">
        <x:f>IF(E5="","",E5/D5-1)</x:f>
        <x:v>0.39787920700783763</x:v>
      </x:c>
      <x:c r="H5" s="297" t="str">
        <x:v>No March invoice detected in the provided 2024 PDF.</x:v>
      </x:c>
    </x:row>
    <x:row r="6">
      <x:c r="A6" s="314" t="n">
        <x:v>4</x:v>
      </x:c>
      <x:c r="B6" s="295" t="str">
        <x:v>Apr</x:v>
      </x:c>
      <x:c r="C6" s="296" t="n">
        <x:f>SUMIFS('2024 Invoice Summary'!$F$3:$F$53,'2024 Invoice Summary'!$B$3:$B$53,"2024-"&amp;TEXT(A6,"00"))</x:f>
        <x:v>1309</x:v>
      </x:c>
      <x:c r="D6" s="296" t="n">
        <x:f>SUMIFS('2025 Transaction Detail'!$P$3:$P$220,'2025 Transaction Detail'!$A$3:$A$220,"2025-"&amp;TEXT(A6,"00"))</x:f>
        <x:v>298</x:v>
      </x:c>
      <x:c r="E6" s="296" t="n">
        <x:f>SUMIFS('Transaction Detail'!$P$2:$P$153,'Transaction Detail'!$A$2:$A$153,"2026-"&amp;TEXT(A6,"00"))</x:f>
        <x:v>1736</x:v>
      </x:c>
      <x:c r="F6" s="330" t="n">
        <x:f>IF(C6=0,"",D6/C6-1)</x:f>
        <x:v>-0.7723453017570665</x:v>
      </x:c>
      <x:c r="G6" s="330" t="n">
        <x:f>IF(E6="","",E6/D6-1)</x:f>
        <x:v>4.825503355704698</x:v>
      </x:c>
      <x:c r="H6" s="297"/>
    </x:row>
    <x:row r="7">
      <x:c r="A7" s="314" t="n">
        <x:v>5</x:v>
      </x:c>
      <x:c r="B7" s="295" t="str">
        <x:v>May</x:v>
      </x:c>
      <x:c r="C7" s="296" t="n">
        <x:f>SUMIFS('2024 Invoice Summary'!$F$3:$F$53,'2024 Invoice Summary'!$B$3:$B$53,"2024-"&amp;TEXT(A7,"00"))</x:f>
        <x:v>1941</x:v>
      </x:c>
      <x:c r="D7" s="296" t="n">
        <x:f>SUMIFS('2025 Transaction Detail'!$P$3:$P$220,'2025 Transaction Detail'!$A$3:$A$220,"2025-"&amp;TEXT(A7,"00"))</x:f>
        <x:v>833.4</x:v>
      </x:c>
      <x:c r="E7" s="296" t="n">
        <x:f>SUMIFS('Transaction Detail'!$P$2:$P$153,'Transaction Detail'!$A$2:$A$153,"2026-"&amp;TEXT(A7,"00"))</x:f>
        <x:v>2572.5</x:v>
      </x:c>
      <x:c r="F7" s="330" t="n">
        <x:f>IF(C7=0,"",D7/C7-1)</x:f>
        <x:v>-0.5706336939721792</x:v>
      </x:c>
      <x:c r="G7" s="330" t="n">
        <x:f>IF(E7="","",E7/D7-1)</x:f>
        <x:v>2.0867530597552197</x:v>
      </x:c>
      <x:c r="H7" s="297"/>
    </x:row>
    <x:row r="8">
      <x:c r="A8" s="314" t="n">
        <x:v>6</x:v>
      </x:c>
      <x:c r="B8" s="295" t="str">
        <x:v>Jun</x:v>
      </x:c>
      <x:c r="C8" s="296" t="n">
        <x:f>SUMIFS('2024 Invoice Summary'!$F$3:$F$53,'2024 Invoice Summary'!$B$3:$B$53,"2024-"&amp;TEXT(A8,"00"))</x:f>
        <x:v>1528</x:v>
      </x:c>
      <x:c r="D8" s="296" t="n">
        <x:f>SUMIFS('2025 Transaction Detail'!$P$3:$P$220,'2025 Transaction Detail'!$A$3:$A$220,"2025-"&amp;TEXT(A8,"00"))</x:f>
        <x:v>1245.2</x:v>
      </x:c>
      <x:c r="E8" s="296" t="n">
        <x:f>SUMIFS('Transaction Detail'!$P$2:$P$153,'Transaction Detail'!$A$2:$A$153,"2026-"&amp;TEXT(A8,"00"))</x:f>
        <x:v>2761.75</x:v>
      </x:c>
      <x:c r="F8" s="330" t="n">
        <x:f>IF(C8=0,"",D8/C8-1)</x:f>
        <x:v>-0.1850785340314136</x:v>
      </x:c>
      <x:c r="G8" s="330" t="n">
        <x:f>IF(E8="","",E8/D8-1)</x:f>
        <x:v>1.2179168005139736</x:v>
      </x:c>
      <x:c r="H8" s="297"/>
    </x:row>
    <x:row r="9">
      <x:c r="A9" s="314" t="n">
        <x:v>7</x:v>
      </x:c>
      <x:c r="B9" s="295" t="str">
        <x:v>Jul</x:v>
      </x:c>
      <x:c r="C9" s="296" t="n">
        <x:f>SUMIFS('2024 Invoice Summary'!$F$3:$F$53,'2024 Invoice Summary'!$B$3:$B$53,"2024-"&amp;TEXT(A9,"00"))</x:f>
        <x:v>1117.7</x:v>
      </x:c>
      <x:c r="D9" s="296" t="n">
        <x:f>SUMIFS('2025 Transaction Detail'!$P$3:$P$220,'2025 Transaction Detail'!$A$3:$A$220,"2025-"&amp;TEXT(A9,"00"))</x:f>
        <x:v>774.6</x:v>
      </x:c>
      <x:c r="E9" s="296" t="str"/>
      <x:c r="F9" s="330" t="n">
        <x:f>IF(C9=0,"",D9/C9-1)</x:f>
        <x:v>-0.30696966985774354</x:v>
      </x:c>
      <x:c r="G9" s="330" t="str">
        <x:f>IF(E9="","",E9/D9-1)</x:f>
      </x:c>
      <x:c r="H9" s="297" t="str">
        <x:v>2026 source currently covers Jan-Jun only.</x:v>
      </x:c>
    </x:row>
    <x:row r="10">
      <x:c r="A10" s="314" t="n">
        <x:v>8</x:v>
      </x:c>
      <x:c r="B10" s="295" t="str">
        <x:v>Aug</x:v>
      </x:c>
      <x:c r="C10" s="296" t="n">
        <x:f>SUMIFS('2024 Invoice Summary'!$F$3:$F$53,'2024 Invoice Summary'!$B$3:$B$53,"2024-"&amp;TEXT(A10,"00"))</x:f>
        <x:v>1086</x:v>
      </x:c>
      <x:c r="D10" s="296" t="n">
        <x:f>SUMIFS('2025 Transaction Detail'!$P$3:$P$220,'2025 Transaction Detail'!$A$3:$A$220,"2025-"&amp;TEXT(A10,"00"))</x:f>
        <x:v>2347.94</x:v>
      </x:c>
      <x:c r="E10" s="296" t="str"/>
      <x:c r="F10" s="330" t="n">
        <x:f>IF(C10=0,"",D10/C10-1)</x:f>
        <x:v>1.1620073664825048</x:v>
      </x:c>
      <x:c r="G10" s="330" t="str">
        <x:f>IF(E10="","",E10/D10-1)</x:f>
      </x:c>
      <x:c r="H10" s="297"/>
    </x:row>
    <x:row r="11">
      <x:c r="A11" s="314" t="n">
        <x:v>9</x:v>
      </x:c>
      <x:c r="B11" s="295" t="str">
        <x:v>Sep</x:v>
      </x:c>
      <x:c r="C11" s="296" t="n">
        <x:f>SUMIFS('2024 Invoice Summary'!$F$3:$F$53,'2024 Invoice Summary'!$B$3:$B$53,"2024-"&amp;TEXT(A11,"00"))</x:f>
        <x:v>460</x:v>
      </x:c>
      <x:c r="D11" s="296" t="n">
        <x:f>SUMIFS('2025 Transaction Detail'!$P$3:$P$220,'2025 Transaction Detail'!$A$3:$A$220,"2025-"&amp;TEXT(A11,"00"))</x:f>
        <x:v>251</x:v>
      </x:c>
      <x:c r="E11" s="296" t="str"/>
      <x:c r="F11" s="330" t="n">
        <x:f>IF(C11=0,"",D11/C11-1)</x:f>
        <x:v>-0.45434782608695656</x:v>
      </x:c>
      <x:c r="G11" s="330" t="str">
        <x:f>IF(E11="","",E11/D11-1)</x:f>
      </x:c>
      <x:c r="H11" s="297"/>
    </x:row>
    <x:row r="12">
      <x:c r="A12" s="314" t="n">
        <x:v>10</x:v>
      </x:c>
      <x:c r="B12" s="295" t="str">
        <x:v>Oct</x:v>
      </x:c>
      <x:c r="C12" s="296" t="n">
        <x:f>SUMIFS('2024 Invoice Summary'!$F$3:$F$53,'2024 Invoice Summary'!$B$3:$B$53,"2024-"&amp;TEXT(A12,"00"))</x:f>
        <x:v>980</x:v>
      </x:c>
      <x:c r="D12" s="296" t="n">
        <x:f>SUMIFS('2025 Transaction Detail'!$P$3:$P$220,'2025 Transaction Detail'!$A$3:$A$220,"2025-"&amp;TEXT(A12,"00"))</x:f>
        <x:v>2604.5</x:v>
      </x:c>
      <x:c r="E12" s="296" t="str"/>
      <x:c r="F12" s="330" t="n">
        <x:f>IF(C12=0,"",D12/C12-1)</x:f>
        <x:v>1.6576530612244897</x:v>
      </x:c>
      <x:c r="G12" s="330" t="str">
        <x:f>IF(E12="","",E12/D12-1)</x:f>
      </x:c>
      <x:c r="H12" s="297"/>
    </x:row>
    <x:row r="13">
      <x:c r="A13" s="314" t="n">
        <x:v>11</x:v>
      </x:c>
      <x:c r="B13" s="295" t="str">
        <x:v>Nov</x:v>
      </x:c>
      <x:c r="C13" s="296" t="n">
        <x:f>SUMIFS('2024 Invoice Summary'!$F$3:$F$53,'2024 Invoice Summary'!$B$3:$B$53,"2024-"&amp;TEXT(A13,"00"))</x:f>
        <x:v>1609</x:v>
      </x:c>
      <x:c r="D13" s="296" t="n">
        <x:f>SUMIFS('2025 Transaction Detail'!$P$3:$P$220,'2025 Transaction Detail'!$A$3:$A$220,"2025-"&amp;TEXT(A13,"00"))</x:f>
        <x:v>1473.4</x:v>
      </x:c>
      <x:c r="E13" s="296" t="str"/>
      <x:c r="F13" s="330" t="n">
        <x:f>IF(C13=0,"",D13/C13-1)</x:f>
        <x:v>-0.08427594779366065</x:v>
      </x:c>
      <x:c r="G13" s="330" t="str">
        <x:f>IF(E13="","",E13/D13-1)</x:f>
      </x:c>
      <x:c r="H13" s="297"/>
    </x:row>
    <x:row r="14">
      <x:c r="A14" s="314" t="n">
        <x:v>12</x:v>
      </x:c>
      <x:c r="B14" s="295" t="str">
        <x:v>Dec</x:v>
      </x:c>
      <x:c r="C14" s="296" t="n">
        <x:f>SUMIFS('2024 Invoice Summary'!$F$3:$F$53,'2024 Invoice Summary'!$B$3:$B$53,"2024-"&amp;TEXT(A14,"00"))</x:f>
        <x:v>1458.3</x:v>
      </x:c>
      <x:c r="D14" s="296" t="n">
        <x:f>SUMIFS('2025 Transaction Detail'!$P$3:$P$220,'2025 Transaction Detail'!$A$3:$A$220,"2025-"&amp;TEXT(A14,"00"))</x:f>
        <x:v>2620.55</x:v>
      </x:c>
      <x:c r="E14" s="296" t="str"/>
      <x:c r="F14" s="330" t="n">
        <x:f>IF(C14=0,"",D14/C14-1)</x:f>
        <x:v>0.7969896454776111</x:v>
      </x:c>
      <x:c r="G14" s="330" t="str">
        <x:f>IF(E14="","",E14/D14-1)</x:f>
      </x:c>
      <x:c r="H14" s="297"/>
    </x:row>
    <x:row r="15">
      <x:c r="A15" s="314"/>
      <x:c r="B15" s="295"/>
      <x:c r="C15" s="296"/>
      <x:c r="D15" s="296"/>
      <x:c r="E15" s="296"/>
      <x:c r="F15" s="330"/>
      <x:c r="G15" s="330"/>
      <x:c r="H15" s="297"/>
    </x:row>
    <x:row r="16">
      <x:c r="A16" s="331" t="str"/>
      <x:c r="B16" s="332" t="str">
        <x:v>Total / Available Period</x:v>
      </x:c>
      <x:c r="C16" s="333" t="n">
        <x:f>SUM(C3:C14)</x:f>
        <x:v>12441</x:v>
      </x:c>
      <x:c r="D16" s="333" t="n">
        <x:f>SUM(D3:D14)</x:f>
        <x:v>17759.29</x:v>
      </x:c>
      <x:c r="E16" s="333" t="n">
        <x:f>SUM(E3:E14)</x:f>
        <x:v>14563.15</x:v>
      </x:c>
      <x:c r="F16" s="334" t="n">
        <x:f>D16/C16-1</x:f>
        <x:v>0.427480909894703</x:v>
      </x:c>
      <x:c r="G16" s="334" t="str"/>
      <x:c r="H16" s="335"/>
    </x:row>
  </x:sheetData>
  <x:mergeCells>
    <x:mergeCell ref="A1:H1"/>
  </x:mergeCells>
  <x:conditionalFormatting sqref="F3:G15">
    <x:cfRule type="expression" dxfId="8" priority="1">
      <x:formula>F3&gt;0.2</x:formula>
    </x:cfRule>
    <x:cfRule type="expression" dxfId="9" priority="2">
      <x:formula>AND(F3&gt;0.1,F3&lt;=0.2)</x:formula>
    </x:cfRule>
    <x:cfRule type="expression" dxfId="10" priority="3">
      <x:formula>F3&lt;0</x:formula>
    </x:cfRule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14" hidden="0" customWidth="1"/>
    <x:col min="5" max="5" width="15" hidden="0" customWidth="1"/>
    <x:col min="6" max="6" width="15" hidden="0" customWidth="1"/>
    <x:col min="7" max="7" width="46" hidden="0" customWidth="1"/>
  </x:cols>
  <x:sheetData>
    <x:row r="1" ht="28" customHeight="1">
      <x:c r="A1" s="283" t="str">
        <x:v>Quarterly Spend Trend | 季度採購趨勢（USD, pre-VAT）</x:v>
      </x:c>
      <x:c r="B1" s="283"/>
      <x:c r="C1" s="283"/>
      <x:c r="D1" s="283"/>
      <x:c r="E1" s="283"/>
      <x:c r="F1" s="283"/>
      <x:c r="G1" s="283"/>
    </x:row>
    <x:row r="2" ht="28" customHeight="1">
      <x:c r="A2" s="291" t="str">
        <x:v>Period</x:v>
      </x:c>
      <x:c r="B2" s="292" t="str">
        <x:v>2024</x:v>
      </x:c>
      <x:c r="C2" s="292" t="str">
        <x:v>2025</x:v>
      </x:c>
      <x:c r="D2" s="292" t="str">
        <x:v>2026</x:v>
      </x:c>
      <x:c r="E2" s="292" t="str">
        <x:v>2025 vs 2024</x:v>
      </x:c>
      <x:c r="F2" s="292" t="str">
        <x:v>2026 vs 2025</x:v>
      </x:c>
      <x:c r="G2" s="293" t="str">
        <x:v>Comment</x:v>
      </x:c>
    </x:row>
    <x:row r="3">
      <x:c r="A3" s="314" t="str">
        <x:v>Q1</x:v>
      </x:c>
      <x:c r="B3" s="296" t="n">
        <x:f>SUM('Cross-Year Monthly'!C3:C5)</x:f>
        <x:v>952</x:v>
      </x:c>
      <x:c r="C3" s="296" t="n">
        <x:f>SUM('Cross-Year Monthly'!D3:D5)</x:f>
        <x:v>5310.7</x:v>
      </x:c>
      <x:c r="D3" s="296" t="n">
        <x:f>SUM('Cross-Year Monthly'!E3:E5)</x:f>
        <x:v>7492.9</x:v>
      </x:c>
      <x:c r="E3" s="330" t="n">
        <x:f>IF(B3=0,"",C3/B3-1)</x:f>
        <x:v>4.578466386554622</x:v>
      </x:c>
      <x:c r="F3" s="330" t="n">
        <x:f>IF(D3="","",D3/C3-1)</x:f>
        <x:v>0.4109062835407762</x:v>
      </x:c>
      <x:c r="G3" s="297" t="str">
        <x:v>2025 Q1 was high, mainly Jan-Mar.</x:v>
      </x:c>
    </x:row>
    <x:row r="4">
      <x:c r="A4" s="314" t="str">
        <x:v>Q2</x:v>
      </x:c>
      <x:c r="B4" s="296" t="n">
        <x:f>SUM('Cross-Year Monthly'!C6:C8)</x:f>
        <x:v>4778</x:v>
      </x:c>
      <x:c r="C4" s="296" t="n">
        <x:f>SUM('Cross-Year Monthly'!D6:D8)</x:f>
        <x:v>2376.6000000000004</x:v>
      </x:c>
      <x:c r="D4" s="296" t="n">
        <x:f>SUM('Cross-Year Monthly'!E6:E8)</x:f>
        <x:v>7070.25</x:v>
      </x:c>
      <x:c r="E4" s="330" t="n">
        <x:f>IF(B4=0,"",C4/B4-1)</x:f>
        <x:v>-0.5025952281289241</x:v>
      </x:c>
      <x:c r="F4" s="330" t="n">
        <x:f>IF(D4="","",D4/C4-1)</x:f>
        <x:v>1.974943196162585</x:v>
      </x:c>
      <x:c r="G4" s="297" t="str">
        <x:v>2026 Q2 remains above 2025 Q2.</x:v>
      </x:c>
    </x:row>
    <x:row r="5">
      <x:c r="A5" s="314" t="str">
        <x:v>Q3</x:v>
      </x:c>
      <x:c r="B5" s="296" t="n">
        <x:f>SUM('Cross-Year Monthly'!C9:C11)</x:f>
        <x:v>2663.7</x:v>
      </x:c>
      <x:c r="C5" s="296" t="n">
        <x:f>SUM('Cross-Year Monthly'!D9:D11)</x:f>
        <x:v>3373.54</x:v>
      </x:c>
      <x:c r="D5" s="296" t="str"/>
      <x:c r="E5" s="330" t="n">
        <x:f>IF(B5=0,"",C5/B5-1)</x:f>
        <x:v>0.2664864661936406</x:v>
      </x:c>
      <x:c r="F5" s="330" t="str">
        <x:f>IF(D5="","",D5/C5-1)</x:f>
      </x:c>
      <x:c r="G5" s="297" t="str">
        <x:v>2026 Q3 not yet available.</x:v>
      </x:c>
    </x:row>
    <x:row r="6">
      <x:c r="A6" s="314" t="str">
        <x:v>Q4</x:v>
      </x:c>
      <x:c r="B6" s="296" t="n">
        <x:f>SUM('Cross-Year Monthly'!C12:C14)</x:f>
        <x:v>4047.3</x:v>
      </x:c>
      <x:c r="C6" s="296" t="n">
        <x:f>SUM('Cross-Year Monthly'!D12:D14)</x:f>
        <x:v>6698.450000000001</x:v>
      </x:c>
      <x:c r="D6" s="296" t="str"/>
      <x:c r="E6" s="330" t="n">
        <x:f>IF(B6=0,"",C6/B6-1)</x:f>
        <x:v>0.6550416326934005</x:v>
      </x:c>
      <x:c r="F6" s="330" t="str">
        <x:f>IF(D6="","",D6/C6-1)</x:f>
      </x:c>
      <x:c r="G6" s="297" t="str">
        <x:v>2025 Q4 is the highest full quarter in 2025.</x:v>
      </x:c>
    </x:row>
    <x:row r="7">
      <x:c r="A7" s="314"/>
      <x:c r="B7" s="296"/>
      <x:c r="C7" s="296"/>
      <x:c r="D7" s="296"/>
      <x:c r="E7" s="330"/>
      <x:c r="F7" s="330"/>
      <x:c r="G7" s="297"/>
    </x:row>
    <x:row r="8">
      <x:c r="A8" s="340" t="str">
        <x:v>H1</x:v>
      </x:c>
      <x:c r="B8" s="341" t="n">
        <x:f>SUM(B3:B4)</x:f>
        <x:v>5730</x:v>
      </x:c>
      <x:c r="C8" s="341" t="n">
        <x:f>SUM(C3:C4)</x:f>
        <x:v>7687.3</x:v>
      </x:c>
      <x:c r="D8" s="341" t="n">
        <x:f>SUM(D3:D4)</x:f>
        <x:v>14563.15</x:v>
      </x:c>
      <x:c r="E8" s="342" t="n">
        <x:f>C8/B8-1</x:f>
        <x:v>0.341588132635253</x:v>
      </x:c>
      <x:c r="F8" s="342" t="n">
        <x:f>D8/C8-1</x:f>
        <x:v>0.8944427822512455</x:v>
      </x:c>
      <x:c r="G8" s="343" t="str">
        <x:v>2026 H1 vs 2025 H1 is a key management comparison.</x:v>
      </x:c>
    </x:row>
    <x:row r="9">
      <x:c r="A9" s="331" t="str">
        <x:v>FY</x:v>
      </x:c>
      <x:c r="B9" s="333" t="n">
        <x:f>SUM(B3:B6)</x:f>
        <x:v>12441</x:v>
      </x:c>
      <x:c r="C9" s="333" t="n">
        <x:f>SUM(C3:C6)</x:f>
        <x:v>17759.29</x:v>
      </x:c>
      <x:c r="D9" s="333" t="str"/>
      <x:c r="E9" s="334" t="n">
        <x:f>C9/B9-1</x:f>
        <x:v>0.427480909894703</x:v>
      </x:c>
      <x:c r="F9" s="334" t="str"/>
      <x:c r="G9" s="335" t="str">
        <x:v>2026 full year not available.</x:v>
      </x:c>
    </x:row>
  </x:sheetData>
  <x:mergeCells>
    <x:mergeCell ref="A1:G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16" hidden="0" customWidth="1"/>
    <x:col min="4" max="4" width="16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3" hidden="0" customWidth="1"/>
    <x:col min="10" max="10" width="15" hidden="0" customWidth="1"/>
    <x:col min="11" max="11" width="15" hidden="0" customWidth="1"/>
    <x:col min="12" max="12" width="15" hidden="0" customWidth="1"/>
    <x:col min="13" max="13" width="12" hidden="0" customWidth="1"/>
    <x:col min="14" max="14" width="12" hidden="0" customWidth="1"/>
    <x:col min="15" max="15" width="52" hidden="0" customWidth="1"/>
  </x:cols>
  <x:sheetData>
    <x:row r="1" ht="28" customHeight="1">
      <x:c r="A1" s="283" t="str">
        <x:v>Cross-Year Price Benchmark | 2024-2026 Confirmed Unit Price Comparison</x:v>
      </x:c>
      <x:c r="B1" s="283"/>
      <x:c r="C1" s="283"/>
      <x:c r="D1" s="283"/>
      <x:c r="E1" s="283"/>
      <x:c r="F1" s="283"/>
      <x:c r="G1" s="283"/>
      <x:c r="H1" s="283"/>
      <x:c r="I1" s="283"/>
      <x:c r="J1" s="283"/>
      <x:c r="K1" s="283"/>
      <x:c r="L1" s="283"/>
      <x:c r="M1" s="283"/>
      <x:c r="N1" s="283"/>
      <x:c r="O1" s="283"/>
    </x:row>
    <x:row r="2" ht="28" customHeight="1">
      <x:c r="A2" s="291" t="str">
        <x:v>Part No.</x:v>
      </x:c>
      <x:c r="B2" s="292" t="str">
        <x:v>Standard Name</x:v>
      </x:c>
      <x:c r="C2" s="292" t="str">
        <x:v>Spec</x:v>
      </x:c>
      <x:c r="D2" s="292" t="str">
        <x:v>Brand</x:v>
      </x:c>
      <x:c r="E2" s="292" t="str">
        <x:v>2024 Ref</x:v>
      </x:c>
      <x:c r="F2" s="292" t="str">
        <x:v>2025 Min</x:v>
      </x:c>
      <x:c r="G2" s="292" t="str">
        <x:v>2025 Max</x:v>
      </x:c>
      <x:c r="H2" s="292" t="str">
        <x:v>2026 Min</x:v>
      </x:c>
      <x:c r="I2" s="292" t="str">
        <x:v>2026 Latest</x:v>
      </x:c>
      <x:c r="J2" s="292" t="str">
        <x:v>2026 Internal Δ</x:v>
      </x:c>
      <x:c r="K2" s="292" t="str">
        <x:v>Latest vs 2025</x:v>
      </x:c>
      <x:c r="L2" s="292" t="str">
        <x:v>Latest vs 2024</x:v>
      </x:c>
      <x:c r="M2" s="292" t="str">
        <x:v>Status</x:v>
      </x:c>
      <x:c r="N2" s="292" t="str">
        <x:v>Reliability</x:v>
      </x:c>
      <x:c r="O2" s="293" t="str">
        <x:v>Notes</x:v>
      </x:c>
    </x:row>
    <x:row r="3">
      <x:c r="A3" s="314" t="str">
        <x:v>CN-SEWING-OIL-30L</x:v>
      </x:c>
      <x:c r="B3" s="295" t="str">
        <x:v>針車油 30L</x:v>
      </x:c>
      <x:c r="C3" s="295" t="str">
        <x:v>30L</x:v>
      </x:c>
      <x:c r="D3" s="295" t="str"/>
      <x:c r="E3" s="347" t="n">
        <x:v>45</x:v>
      </x:c>
      <x:c r="F3" s="347" t="n">
        <x:v>45</x:v>
      </x:c>
      <x:c r="G3" s="347" t="n">
        <x:v>45</x:v>
      </x:c>
      <x:c r="H3" s="347" t="n">
        <x:v>65</x:v>
      </x:c>
      <x:c r="I3" s="347" t="n">
        <x:v>65</x:v>
      </x:c>
      <x:c r="J3" s="330" t="n">
        <x:f>IF(OR(H3="",I3=""),"",I3/H3-1)</x:f>
        <x:v>0</x:v>
      </x:c>
      <x:c r="K3" s="330" t="n">
        <x:f>IF(OR(G3="",I3=""),"",I3/G3-1)</x:f>
        <x:v>0.4444444444444444</x:v>
      </x:c>
      <x:c r="L3" s="330" t="n">
        <x:f>IF(OR(E3="",I3=""),"",I3/E3-1)</x:f>
        <x:v>0.4444444444444444</x:v>
      </x:c>
      <x:c r="M3" s="295" t="str">
        <x:v>REVIEW</x:v>
      </x:c>
      <x:c r="N3" s="295" t="str">
        <x:v>High</x:v>
      </x:c>
      <x:c r="O3" s="297" t="str">
        <x:v>Same 30L unit; 2026 description updated to reinforced sewing oil. Verify formulation/brand before final like-for-like conclusion.</x:v>
      </x:c>
    </x:row>
    <x:row r="4">
      <x:c r="A4" s="314" t="str">
        <x:v>EL-JUKI1790-IC-BOARD</x:v>
      </x:c>
      <x:c r="B4" s="295" t="str">
        <x:v>1790電子鎖眼機 IC 主板</x:v>
      </x:c>
      <x:c r="C4" s="295" t="str">
        <x:v>JUKI 1790</x:v>
      </x:c>
      <x:c r="D4" s="295" t="str">
        <x:v>JUKI</x:v>
      </x:c>
      <x:c r="E4" s="347" t="n">
        <x:v>120</x:v>
      </x:c>
      <x:c r="F4" s="347" t="n">
        <x:v>120</x:v>
      </x:c>
      <x:c r="G4" s="347" t="n">
        <x:v>120</x:v>
      </x:c>
      <x:c r="H4" s="347" t="n">
        <x:v>120</x:v>
      </x:c>
      <x:c r="I4" s="347" t="n">
        <x:v>120</x:v>
      </x:c>
      <x:c r="J4" s="330" t="n">
        <x:f>IF(OR(H4="",I4=""),"",I4/H4-1)</x:f>
        <x:v>0</x:v>
      </x:c>
      <x:c r="K4" s="330" t="n">
        <x:f>IF(OR(G4="",I4=""),"",I4/G4-1)</x:f>
        <x:v>0</x:v>
      </x:c>
      <x:c r="L4" s="330" t="n">
        <x:f>IF(OR(E4="",I4=""),"",I4/E4-1)</x:f>
        <x:v>0</x:v>
      </x:c>
      <x:c r="M4" s="295" t="str">
        <x:v>STABLE</x:v>
      </x:c>
      <x:c r="N4" s="295" t="str">
        <x:v>High</x:v>
      </x:c>
      <x:c r="O4" s="297" t="str">
        <x:v>Stable across confirmed YI records.</x:v>
      </x:c>
    </x:row>
    <x:row r="5">
      <x:c r="A5" s="314" t="str">
        <x:v>IR-ES94A-SHOE</x:v>
      </x:c>
      <x:c r="B5" s="295" t="str">
        <x:v>熨斗鞋 ES-94(A)</x:v>
      </x:c>
      <x:c r="C5" s="295" t="str">
        <x:v>ES-94(A)</x:v>
      </x:c>
      <x:c r="D5" s="295" t="str"/>
      <x:c r="E5" s="347" t="n">
        <x:v>1.8</x:v>
      </x:c>
      <x:c r="F5" s="347" t="n">
        <x:v>1.8</x:v>
      </x:c>
      <x:c r="G5" s="347" t="n">
        <x:v>1.8</x:v>
      </x:c>
      <x:c r="H5" s="347" t="n">
        <x:v>1.8</x:v>
      </x:c>
      <x:c r="I5" s="347" t="n">
        <x:v>1.8</x:v>
      </x:c>
      <x:c r="J5" s="330" t="n">
        <x:f>IF(OR(H5="",I5=""),"",I5/H5-1)</x:f>
        <x:v>0</x:v>
      </x:c>
      <x:c r="K5" s="330" t="n">
        <x:f>IF(OR(G5="",I5=""),"",I5/G5-1)</x:f>
        <x:v>0</x:v>
      </x:c>
      <x:c r="L5" s="330" t="n">
        <x:f>IF(OR(E5="",I5=""),"",I5/E5-1)</x:f>
        <x:v>0</x:v>
      </x:c>
      <x:c r="M5" s="295" t="str">
        <x:v>STABLE</x:v>
      </x:c>
      <x:c r="N5" s="295" t="str">
        <x:v>High</x:v>
      </x:c>
      <x:c r="O5" s="297" t="str">
        <x:v>Stable across 2024-2026.</x:v>
      </x:c>
    </x:row>
    <x:row r="6">
      <x:c r="A6" s="314" t="str">
        <x:v>CH-JJW830</x:v>
      </x:c>
      <x:c r="B6" s="295" t="str">
        <x:v>JJW-830</x:v>
      </x:c>
      <x:c r="C6" s="295" t="str">
        <x:v>JJW-830</x:v>
      </x:c>
      <x:c r="D6" s="295" t="str"/>
      <x:c r="E6" s="347" t="n">
        <x:v>2.8</x:v>
      </x:c>
      <x:c r="F6" s="347" t="n">
        <x:v>2.8</x:v>
      </x:c>
      <x:c r="G6" s="347" t="n">
        <x:v>2.8</x:v>
      </x:c>
      <x:c r="H6" s="347" t="n">
        <x:v>2.8</x:v>
      </x:c>
      <x:c r="I6" s="347" t="n">
        <x:v>2.8</x:v>
      </x:c>
      <x:c r="J6" s="330" t="n">
        <x:f>IF(OR(H6="",I6=""),"",I6/H6-1)</x:f>
        <x:v>0</x:v>
      </x:c>
      <x:c r="K6" s="330" t="n">
        <x:f>IF(OR(G6="",I6=""),"",I6/G6-1)</x:f>
        <x:v>0</x:v>
      </x:c>
      <x:c r="L6" s="330" t="n">
        <x:f>IF(OR(E6="",I6=""),"",I6/E6-1)</x:f>
        <x:v>0</x:v>
      </x:c>
      <x:c r="M6" s="295" t="str">
        <x:v>STABLE</x:v>
      </x:c>
      <x:c r="N6" s="295" t="str">
        <x:v>High</x:v>
      </x:c>
      <x:c r="O6" s="297" t="str">
        <x:v>Stable across 2024-2026.</x:v>
      </x:c>
    </x:row>
    <x:row r="7">
      <x:c r="A7" s="314" t="str">
        <x:v>CN-NUMBER-PAPER-5</x:v>
      </x:c>
      <x:c r="B7" s="295" t="str">
        <x:v>編號紙 #5</x:v>
      </x:c>
      <x:c r="C7" s="295" t="str">
        <x:v>No.5</x:v>
      </x:c>
      <x:c r="D7" s="295" t="str"/>
      <x:c r="E7" s="347" t="n">
        <x:v>110</x:v>
      </x:c>
      <x:c r="F7" s="347" t="n">
        <x:v>110</x:v>
      </x:c>
      <x:c r="G7" s="347" t="n">
        <x:v>110</x:v>
      </x:c>
      <x:c r="H7" s="347" t="n">
        <x:v>110</x:v>
      </x:c>
      <x:c r="I7" s="347" t="n">
        <x:v>110</x:v>
      </x:c>
      <x:c r="J7" s="330" t="n">
        <x:f>IF(OR(H7="",I7=""),"",I7/H7-1)</x:f>
        <x:v>0</x:v>
      </x:c>
      <x:c r="K7" s="330" t="n">
        <x:f>IF(OR(G7="",I7=""),"",I7/G7-1)</x:f>
        <x:v>0</x:v>
      </x:c>
      <x:c r="L7" s="330" t="n">
        <x:f>IF(OR(E7="",I7=""),"",I7/E7-1)</x:f>
        <x:v>0</x:v>
      </x:c>
      <x:c r="M7" s="295" t="str">
        <x:v>STABLE</x:v>
      </x:c>
      <x:c r="N7" s="295" t="str">
        <x:v>High</x:v>
      </x:c>
      <x:c r="O7" s="297" t="str">
        <x:v>Stable across 2024-2026.</x:v>
      </x:c>
    </x:row>
    <x:row r="8">
      <x:c r="A8" s="314" t="str">
        <x:v>TL-THREAD-SNIP-GLOBE</x:v>
      </x:c>
      <x:c r="B8" s="295" t="str">
        <x:v>環球沙剪</x:v>
      </x:c>
      <x:c r="C8" s="295" t="str"/>
      <x:c r="D8" s="295" t="str"/>
      <x:c r="E8" s="347" t="n">
        <x:v>2.3</x:v>
      </x:c>
      <x:c r="F8" s="347" t="n">
        <x:v>2.3</x:v>
      </x:c>
      <x:c r="G8" s="347" t="n">
        <x:v>2.3</x:v>
      </x:c>
      <x:c r="H8" s="347" t="n">
        <x:v>2.3</x:v>
      </x:c>
      <x:c r="I8" s="347" t="n">
        <x:v>2.3</x:v>
      </x:c>
      <x:c r="J8" s="330" t="n">
        <x:f>IF(OR(H8="",I8=""),"",I8/H8-1)</x:f>
        <x:v>0</x:v>
      </x:c>
      <x:c r="K8" s="330" t="n">
        <x:f>IF(OR(G8="",I8=""),"",I8/G8-1)</x:f>
        <x:v>0</x:v>
      </x:c>
      <x:c r="L8" s="330" t="n">
        <x:f>IF(OR(E8="",I8=""),"",I8/E8-1)</x:f>
        <x:v>0</x:v>
      </x:c>
      <x:c r="M8" s="295" t="str">
        <x:v>STABLE</x:v>
      </x:c>
      <x:c r="N8" s="295" t="str">
        <x:v>High</x:v>
      </x:c>
      <x:c r="O8" s="297" t="str">
        <x:v>Stable across 2024-2026.</x:v>
      </x:c>
    </x:row>
    <x:row r="9">
      <x:c r="A9" s="314" t="str">
        <x:v>IR-HANGING-BOTTLE-SET-KR</x:v>
      </x:c>
      <x:c r="B9" s="295" t="str">
        <x:v>韓國吊瓶熨斗組</x:v>
      </x:c>
      <x:c r="C9" s="295" t="str"/>
      <x:c r="D9" s="295" t="str">
        <x:v>Korea</x:v>
      </x:c>
      <x:c r="E9" s="347" t="n">
        <x:v>29</x:v>
      </x:c>
      <x:c r="F9" s="347" t="n">
        <x:v>29</x:v>
      </x:c>
      <x:c r="G9" s="347" t="n">
        <x:v>29</x:v>
      </x:c>
      <x:c r="H9" s="347" t="n">
        <x:v>29</x:v>
      </x:c>
      <x:c r="I9" s="347" t="n">
        <x:v>29</x:v>
      </x:c>
      <x:c r="J9" s="330" t="n">
        <x:f>IF(OR(H9="",I9=""),"",I9/H9-1)</x:f>
        <x:v>0</x:v>
      </x:c>
      <x:c r="K9" s="330" t="n">
        <x:f>IF(OR(G9="",I9=""),"",I9/G9-1)</x:f>
        <x:v>0</x:v>
      </x:c>
      <x:c r="L9" s="330" t="n">
        <x:f>IF(OR(E9="",I9=""),"",I9/E9-1)</x:f>
        <x:v>0</x:v>
      </x:c>
      <x:c r="M9" s="295" t="str">
        <x:v>STABLE</x:v>
      </x:c>
      <x:c r="N9" s="295" t="str">
        <x:v>High</x:v>
      </x:c>
      <x:c r="O9" s="297" t="str">
        <x:v>Stable across confirmed YI records.</x:v>
      </x:c>
    </x:row>
    <x:row r="10">
      <x:c r="A10" s="314" t="str">
        <x:v>ND-DBX1-16</x:v>
      </x:c>
      <x:c r="B10" s="295" t="str">
        <x:v>ORGAN 機針 DBx1 #16</x:v>
      </x:c>
      <x:c r="C10" s="295" t="str">
        <x:v>DBx1 #16</x:v>
      </x:c>
      <x:c r="D10" s="295" t="str">
        <x:v>ORGAN/風琴</x:v>
      </x:c>
      <x:c r="E10" s="347" t="n">
        <x:v>0.76</x:v>
      </x:c>
      <x:c r="F10" s="347" t="n">
        <x:v>0.76</x:v>
      </x:c>
      <x:c r="G10" s="347" t="n">
        <x:v>0.76</x:v>
      </x:c>
      <x:c r="H10" s="347" t="n">
        <x:v>0.78</x:v>
      </x:c>
      <x:c r="I10" s="347" t="n">
        <x:v>0.78</x:v>
      </x:c>
      <x:c r="J10" s="330" t="n">
        <x:f>IF(OR(H10="",I10=""),"",I10/H10-1)</x:f>
        <x:v>0</x:v>
      </x:c>
      <x:c r="K10" s="330" t="n">
        <x:f>IF(OR(G10="",I10=""),"",I10/G10-1)</x:f>
        <x:v>0.026315789473684292</x:v>
      </x:c>
      <x:c r="L10" s="330" t="n">
        <x:f>IF(OR(E10="",I10=""),"",I10/E10-1)</x:f>
        <x:v>0.026315789473684292</x:v>
      </x:c>
      <x:c r="M10" s="295" t="str">
        <x:v>STABLE</x:v>
      </x:c>
      <x:c r="N10" s="295" t="str">
        <x:v>High</x:v>
      </x:c>
      <x:c r="O10" s="297" t="str">
        <x:v>Small increase from historical $0.76 to $0.78; still stable in 2026.</x:v>
      </x:c>
    </x:row>
    <x:row r="11">
      <x:c r="A11" s="314" t="str">
        <x:v>CH-502-GLUE-LARGE</x:v>
      </x:c>
      <x:c r="B11" s="295" t="str">
        <x:v>502膠水（大瓶）</x:v>
      </x:c>
      <x:c r="C11" s="295" t="str"/>
      <x:c r="D11" s="295" t="str"/>
      <x:c r="E11" s="347"/>
      <x:c r="F11" s="347" t="n">
        <x:v>0.65</x:v>
      </x:c>
      <x:c r="G11" s="347" t="n">
        <x:v>0.65</x:v>
      </x:c>
      <x:c r="H11" s="347" t="n">
        <x:v>0.65</x:v>
      </x:c>
      <x:c r="I11" s="347" t="n">
        <x:v>0.65</x:v>
      </x:c>
      <x:c r="J11" s="330" t="n">
        <x:f>IF(OR(H11="",I11=""),"",I11/H11-1)</x:f>
        <x:v>0</x:v>
      </x:c>
      <x:c r="K11" s="330" t="n">
        <x:f>IF(OR(G11="",I11=""),"",I11/G11-1)</x:f>
        <x:v>0</x:v>
      </x:c>
      <x:c r="L11" s="330" t="str">
        <x:f>IF(OR(E11="",I11=""),"",I11/E11-1)</x:f>
      </x:c>
      <x:c r="M11" s="295" t="str">
        <x:v>STABLE</x:v>
      </x:c>
      <x:c r="N11" s="295" t="str">
        <x:v>High</x:v>
      </x:c>
      <x:c r="O11" s="297" t="str">
        <x:v>No confirmed 2024 printed benchmark; stable 2025-2026.</x:v>
      </x:c>
    </x:row>
    <x:row r="12">
      <x:c r="A12" s="314" t="str">
        <x:v>CN-TEFLON-STRIP-1MM</x:v>
      </x:c>
      <x:c r="B12" s="295" t="str">
        <x:v>鐵氟龍條</x:v>
      </x:c>
      <x:c r="C12" s="295" t="str">
        <x:v>1.0mm</x:v>
      </x:c>
      <x:c r="D12" s="295" t="str"/>
      <x:c r="E12" s="347"/>
      <x:c r="F12" s="347" t="n">
        <x:v>1.8</x:v>
      </x:c>
      <x:c r="G12" s="347" t="n">
        <x:v>1.8</x:v>
      </x:c>
      <x:c r="H12" s="347" t="n">
        <x:v>1.8</x:v>
      </x:c>
      <x:c r="I12" s="347" t="n">
        <x:v>1.8</x:v>
      </x:c>
      <x:c r="J12" s="330" t="n">
        <x:f>IF(OR(H12="",I12=""),"",I12/H12-1)</x:f>
        <x:v>0</x:v>
      </x:c>
      <x:c r="K12" s="330" t="n">
        <x:f>IF(OR(G12="",I12=""),"",I12/G12-1)</x:f>
        <x:v>0</x:v>
      </x:c>
      <x:c r="L12" s="330" t="str">
        <x:f>IF(OR(E12="",I12=""),"",I12/E12-1)</x:f>
      </x:c>
      <x:c r="M12" s="295" t="str">
        <x:v>STABLE</x:v>
      </x:c>
      <x:c r="N12" s="295" t="str">
        <x:v>High</x:v>
      </x:c>
      <x:c r="O12" s="297" t="str">
        <x:v>No confirmed 2024 printed benchmark; stable 2025-2026.</x:v>
      </x:c>
    </x:row>
    <x:row r="13">
      <x:c r="A13" s="314" t="str">
        <x:v>TL-SCISSOR-ZHANGXIAO-10IN</x:v>
      </x:c>
      <x:c r="B13" s="295" t="str">
        <x:v>張小泉/張小牌10吋大剪刀</x:v>
      </x:c>
      <x:c r="C13" s="295" t="str">
        <x:v>10 inch</x:v>
      </x:c>
      <x:c r="D13" s="295" t="str"/>
      <x:c r="E13" s="347"/>
      <x:c r="F13" s="347" t="n">
        <x:v>7</x:v>
      </x:c>
      <x:c r="G13" s="347" t="n">
        <x:v>7</x:v>
      </x:c>
      <x:c r="H13" s="347" t="n">
        <x:v>7</x:v>
      </x:c>
      <x:c r="I13" s="347" t="n">
        <x:v>7</x:v>
      </x:c>
      <x:c r="J13" s="330" t="n">
        <x:f>IF(OR(H13="",I13=""),"",I13/H13-1)</x:f>
        <x:v>0</x:v>
      </x:c>
      <x:c r="K13" s="330" t="n">
        <x:f>IF(OR(G13="",I13=""),"",I13/G13-1)</x:f>
        <x:v>0</x:v>
      </x:c>
      <x:c r="L13" s="330" t="str">
        <x:f>IF(OR(E13="",I13=""),"",I13/E13-1)</x:f>
      </x:c>
      <x:c r="M13" s="295" t="str">
        <x:v>STABLE</x:v>
      </x:c>
      <x:c r="N13" s="295" t="str">
        <x:v>High</x:v>
      </x:c>
      <x:c r="O13" s="297" t="str">
        <x:v>Stable 2025-2026.</x:v>
      </x:c>
    </x:row>
    <x:row r="14">
      <x:c r="A14" s="316" t="str">
        <x:v>KN-JUKI8700A-MOVING</x:v>
      </x:c>
      <x:c r="B14" s="299" t="str">
        <x:v>JUKI-8700A 活動刀</x:v>
      </x:c>
      <x:c r="C14" s="299" t="str">
        <x:v>8700A</x:v>
      </x:c>
      <x:c r="D14" s="299" t="str">
        <x:v>JUKI</x:v>
      </x:c>
      <x:c r="E14" s="348"/>
      <x:c r="F14" s="348"/>
      <x:c r="G14" s="348"/>
      <x:c r="H14" s="348" t="n">
        <x:v>2.3</x:v>
      </x:c>
      <x:c r="I14" s="348" t="n">
        <x:v>2.5</x:v>
      </x:c>
      <x:c r="J14" s="349" t="n">
        <x:f>IF(OR(H14="",I14=""),"",I14/H14-1)</x:f>
        <x:v>0.0869565217391306</x:v>
      </x:c>
      <x:c r="K14" s="349" t="str">
        <x:f>IF(OR(G14="",I14=""),"",I14/G14-1)</x:f>
      </x:c>
      <x:c r="L14" s="349" t="str">
        <x:f>IF(OR(E14="",I14=""),"",I14/E14-1)</x:f>
      </x:c>
      <x:c r="M14" s="299" t="str">
        <x:v>WATCH</x:v>
      </x:c>
      <x:c r="N14" s="299" t="str">
        <x:v>High</x:v>
      </x:c>
      <x:c r="O14" s="301" t="str">
        <x:v>2026 intra-H1 movement: $2.30 to $2.50 (+8.7%).</x:v>
      </x:c>
    </x:row>
    <x:row r="16">
      <x:c r="A16" s="352" t="str">
        <x:v>Control note: compare prices only when Part No. + specification + brand + unit are the same. TNC and ORGAN/風琴 needles are not interchangeable price benchmarks unless the purchase specification explicitly allows both brands.</x:v>
      </x:c>
      <x:c r="B16" s="352"/>
      <x:c r="C16" s="352"/>
      <x:c r="D16" s="352"/>
      <x:c r="E16" s="352"/>
      <x:c r="F16" s="352"/>
      <x:c r="G16" s="352"/>
      <x:c r="H16" s="352"/>
      <x:c r="I16" s="352"/>
      <x:c r="J16" s="352"/>
      <x:c r="K16" s="352"/>
      <x:c r="L16" s="352"/>
      <x:c r="M16" s="352"/>
      <x:c r="N16" s="352"/>
      <x:c r="O16" s="352"/>
    </x:row>
    <x:row r="17">
      <x:c r="A17" s="352"/>
      <x:c r="B17" s="352"/>
      <x:c r="C17" s="352"/>
      <x:c r="D17" s="352"/>
      <x:c r="E17" s="352"/>
      <x:c r="F17" s="352"/>
      <x:c r="G17" s="352"/>
      <x:c r="H17" s="352"/>
      <x:c r="I17" s="352"/>
      <x:c r="J17" s="352"/>
      <x:c r="K17" s="352"/>
      <x:c r="L17" s="352"/>
      <x:c r="M17" s="352"/>
      <x:c r="N17" s="352"/>
      <x:c r="O17" s="352"/>
    </x:row>
  </x:sheetData>
  <x:mergeCells>
    <x:mergeCell ref="A1:O1"/>
    <x:mergeCell ref="A16:O17"/>
  </x:mergeCells>
  <x:conditionalFormatting sqref="M3:M14">
    <x:cfRule type="expression" dxfId="11" priority="1">
      <x:formula>M3="REVIEW"</x:formula>
    </x:cfRule>
    <x:cfRule type="expression" dxfId="12" priority="2">
      <x:formula>M3="WATCH"</x:formula>
    </x:cfRule>
    <x:cfRule type="expression" dxfId="13" priority="3">
      <x:formula>M3="STABLE"</x:formula>
    </x:cfRule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16" hidden="0" customWidth="1"/>
    <x:col min="4" max="4" width="10" hidden="0" customWidth="1"/>
    <x:col min="5" max="5" width="13" hidden="0" customWidth="1"/>
    <x:col min="6" max="6" width="12" hidden="0" customWidth="1"/>
    <x:col min="7" max="7" width="14" hidden="0" customWidth="1"/>
    <x:col min="8" max="8" width="15" hidden="0" customWidth="1"/>
    <x:col min="9" max="9" width="13" hidden="0" customWidth="1"/>
    <x:col min="10" max="10" width="15" hidden="0" customWidth="1"/>
    <x:col min="11" max="11" width="13" hidden="0" customWidth="1"/>
    <x:col min="12" max="12" width="12" hidden="0" customWidth="1"/>
    <x:col min="13" max="13" width="13" hidden="0" customWidth="1"/>
    <x:col min="14" max="14" width="48" hidden="0" customWidth="1"/>
  </x:cols>
  <x:sheetData>
    <x:row r="1" ht="28" customHeight="1">
      <x:c r="A1" s="283" t="str">
        <x:v>Purchase Frequency | 2025 + 2026 H1 Recurring Items</x:v>
      </x:c>
      <x:c r="B1" s="283"/>
      <x:c r="C1" s="283"/>
      <x:c r="D1" s="283"/>
      <x:c r="E1" s="283"/>
      <x:c r="F1" s="283"/>
      <x:c r="G1" s="283"/>
      <x:c r="H1" s="283"/>
      <x:c r="I1" s="283"/>
      <x:c r="J1" s="283"/>
      <x:c r="K1" s="283"/>
      <x:c r="L1" s="283"/>
      <x:c r="M1" s="283"/>
      <x:c r="N1" s="283"/>
    </x:row>
    <x:row r="2" ht="28" customHeight="1">
      <x:c r="A2" s="291" t="str">
        <x:v>Part No.</x:v>
      </x:c>
      <x:c r="B2" s="292" t="str">
        <x:v>Standard Name</x:v>
      </x:c>
      <x:c r="C2" s="292" t="str">
        <x:v>Brand</x:v>
      </x:c>
      <x:c r="D2" s="292" t="str">
        <x:v>Unit</x:v>
      </x:c>
      <x:c r="E2" s="292" t="str">
        <x:v>2025 Records</x:v>
      </x:c>
      <x:c r="F2" s="292" t="str">
        <x:v>2025 Qty</x:v>
      </x:c>
      <x:c r="G2" s="292" t="str">
        <x:v>2025 Spend</x:v>
      </x:c>
      <x:c r="H2" s="292" t="str">
        <x:v>2026 H1 Records</x:v>
      </x:c>
      <x:c r="I2" s="292" t="str">
        <x:v>2026 H1 Qty</x:v>
      </x:c>
      <x:c r="J2" s="292" t="str">
        <x:v>2026 H1 Spend</x:v>
      </x:c>
      <x:c r="K2" s="292" t="str">
        <x:v>Total Records</x:v>
      </x:c>
      <x:c r="L2" s="292" t="str">
        <x:v>Latest Price</x:v>
      </x:c>
      <x:c r="M2" s="292" t="str">
        <x:v>Frequency</x:v>
      </x:c>
      <x:c r="N2" s="293" t="str">
        <x:v>Recommendation</x:v>
      </x:c>
    </x:row>
    <x:row r="3">
      <x:c r="A3" s="314" t="str">
        <x:v>ND-DCX27-12</x:v>
      </x:c>
      <x:c r="B3" s="295" t="str">
        <x:v>風琴機針 DCx27 #12</x:v>
      </x:c>
      <x:c r="C3" s="295" t="str">
        <x:v>ORGAN/風琴</x:v>
      </x:c>
      <x:c r="D3" s="295" t="str">
        <x:v>包</x:v>
      </x:c>
      <x:c r="E3" s="295" t="n">
        <x:v>5</x:v>
      </x:c>
      <x:c r="F3" s="295" t="n">
        <x:v>450</x:v>
      </x:c>
      <x:c r="G3" s="296" t="n">
        <x:v>585</x:v>
      </x:c>
      <x:c r="H3" s="295" t="n">
        <x:v>11</x:v>
      </x:c>
      <x:c r="I3" s="295" t="n">
        <x:v>1100</x:v>
      </x:c>
      <x:c r="J3" s="296" t="n">
        <x:v>1430</x:v>
      </x:c>
      <x:c r="K3" s="295" t="n">
        <x:v>16</x:v>
      </x:c>
      <x:c r="L3" s="347" t="n">
        <x:v>1.3</x:v>
      </x:c>
      <x:c r="M3" s="295" t="str">
        <x:v>Very High</x:v>
      </x:c>
      <x:c r="N3" s="297" t="str">
        <x:v>Needle: suitable for standard-price / framework agreement</x:v>
      </x:c>
    </x:row>
    <x:row r="4">
      <x:c r="A4" s="314" t="str">
        <x:v>ND-UOX113-14</x:v>
      </x:c>
      <x:c r="B4" s="295" t="str">
        <x:v>風琴機針 UOx113 #14</x:v>
      </x:c>
      <x:c r="C4" s="295" t="str">
        <x:v>ORGAN/風琴</x:v>
      </x:c>
      <x:c r="D4" s="295" t="str">
        <x:v>包</x:v>
      </x:c>
      <x:c r="E4" s="295" t="n">
        <x:v>5</x:v>
      </x:c>
      <x:c r="F4" s="295" t="n">
        <x:v>400</x:v>
      </x:c>
      <x:c r="G4" s="296" t="n">
        <x:v>1200</x:v>
      </x:c>
      <x:c r="H4" s="295" t="n">
        <x:v>7</x:v>
      </x:c>
      <x:c r="I4" s="295" t="n">
        <x:v>550</x:v>
      </x:c>
      <x:c r="J4" s="296" t="n">
        <x:v>1650</x:v>
      </x:c>
      <x:c r="K4" s="295" t="n">
        <x:v>12</x:v>
      </x:c>
      <x:c r="L4" s="347" t="n">
        <x:v>3</x:v>
      </x:c>
      <x:c r="M4" s="295" t="str">
        <x:v>Very High</x:v>
      </x:c>
      <x:c r="N4" s="297" t="str">
        <x:v>Needle: suitable for standard-price / framework agreement</x:v>
      </x:c>
    </x:row>
    <x:row r="5">
      <x:c r="A5" s="314" t="str">
        <x:v>TL-THREAD-SNIP-GLOBE</x:v>
      </x:c>
      <x:c r="B5" s="295" t="str">
        <x:v>環球沙剪</x:v>
      </x:c>
      <x:c r="C5" s="295" t="str">
        <x:v>環球</x:v>
      </x:c>
      <x:c r="D5" s="295" t="str">
        <x:v>打</x:v>
      </x:c>
      <x:c r="E5" s="295" t="n">
        <x:v>5</x:v>
      </x:c>
      <x:c r="F5" s="295" t="n">
        <x:v>53</x:v>
      </x:c>
      <x:c r="G5" s="296" t="n">
        <x:v>121.9</x:v>
      </x:c>
      <x:c r="H5" s="295" t="n">
        <x:v>4</x:v>
      </x:c>
      <x:c r="I5" s="295" t="n">
        <x:v>40</x:v>
      </x:c>
      <x:c r="J5" s="296" t="n">
        <x:v>92</x:v>
      </x:c>
      <x:c r="K5" s="295" t="n">
        <x:v>9</x:v>
      </x:c>
      <x:c r="L5" s="347" t="n">
        <x:v>2.3</x:v>
      </x:c>
      <x:c r="M5" s="295" t="str">
        <x:v>Very High</x:v>
      </x:c>
      <x:c r="N5" s="297" t="str">
        <x:v>Recurring item: monitor reorder cycle and quote consistency</x:v>
      </x:c>
    </x:row>
    <x:row r="6">
      <x:c r="A6" s="314" t="str">
        <x:v>ND-UOX113-12</x:v>
      </x:c>
      <x:c r="B6" s="295" t="str">
        <x:v>風琴機針 UOx113 #12</x:v>
      </x:c>
      <x:c r="C6" s="295" t="str">
        <x:v>ORGAN/風琴</x:v>
      </x:c>
      <x:c r="D6" s="295" t="str">
        <x:v>包</x:v>
      </x:c>
      <x:c r="E6" s="295" t="n">
        <x:v>1</x:v>
      </x:c>
      <x:c r="F6" s="295" t="n">
        <x:v>100</x:v>
      </x:c>
      <x:c r="G6" s="296" t="n">
        <x:v>300</x:v>
      </x:c>
      <x:c r="H6" s="295" t="n">
        <x:v>7</x:v>
      </x:c>
      <x:c r="I6" s="295" t="n">
        <x:v>530</x:v>
      </x:c>
      <x:c r="J6" s="296" t="n">
        <x:v>1590</x:v>
      </x:c>
      <x:c r="K6" s="295" t="n">
        <x:v>8</x:v>
      </x:c>
      <x:c r="L6" s="347" t="n">
        <x:v>3</x:v>
      </x:c>
      <x:c r="M6" s="295" t="str">
        <x:v>Very High</x:v>
      </x:c>
      <x:c r="N6" s="297" t="str">
        <x:v>Needle: suitable for standard-price / framework agreement</x:v>
      </x:c>
    </x:row>
    <x:row r="7">
      <x:c r="A7" s="314" t="str">
        <x:v>ND-UYX128-12</x:v>
      </x:c>
      <x:c r="B7" s="295" t="str">
        <x:v>風琴機針 UYx128 #12</x:v>
      </x:c>
      <x:c r="C7" s="295" t="str">
        <x:v>ORGAN/風琴</x:v>
      </x:c>
      <x:c r="D7" s="295" t="str">
        <x:v>包</x:v>
      </x:c>
      <x:c r="E7" s="295" t="n">
        <x:v>1</x:v>
      </x:c>
      <x:c r="F7" s="295" t="n">
        <x:v>150</x:v>
      </x:c>
      <x:c r="G7" s="296" t="n">
        <x:v>267</x:v>
      </x:c>
      <x:c r="H7" s="295" t="n">
        <x:v>7</x:v>
      </x:c>
      <x:c r="I7" s="295" t="n">
        <x:v>750</x:v>
      </x:c>
      <x:c r="J7" s="296" t="n">
        <x:v>1335</x:v>
      </x:c>
      <x:c r="K7" s="295" t="n">
        <x:v>8</x:v>
      </x:c>
      <x:c r="L7" s="347" t="n">
        <x:v>1.78</x:v>
      </x:c>
      <x:c r="M7" s="295" t="str">
        <x:v>Very High</x:v>
      </x:c>
      <x:c r="N7" s="297" t="str">
        <x:v>Needle: suitable for standard-price / framework agreement</x:v>
      </x:c>
    </x:row>
    <x:row r="8">
      <x:c r="A8" s="314" t="str">
        <x:v>ND-UYX128-11</x:v>
      </x:c>
      <x:c r="B8" s="295" t="str">
        <x:v>風琴機針 UYx128 #11</x:v>
      </x:c>
      <x:c r="C8" s="295" t="str">
        <x:v>ORGAN/風琴</x:v>
      </x:c>
      <x:c r="D8" s="295" t="str">
        <x:v>包</x:v>
      </x:c>
      <x:c r="E8" s="295" t="n">
        <x:v>4</x:v>
      </x:c>
      <x:c r="F8" s="295" t="n">
        <x:v>450</x:v>
      </x:c>
      <x:c r="G8" s="296" t="n">
        <x:v>801</x:v>
      </x:c>
      <x:c r="H8" s="295" t="n">
        <x:v>4</x:v>
      </x:c>
      <x:c r="I8" s="295" t="n">
        <x:v>400</x:v>
      </x:c>
      <x:c r="J8" s="296" t="n">
        <x:v>712</x:v>
      </x:c>
      <x:c r="K8" s="295" t="n">
        <x:v>8</x:v>
      </x:c>
      <x:c r="L8" s="347" t="n">
        <x:v>1.78</x:v>
      </x:c>
      <x:c r="M8" s="295" t="str">
        <x:v>Very High</x:v>
      </x:c>
      <x:c r="N8" s="297" t="str">
        <x:v>Needle: suitable for standard-price / framework agreement</x:v>
      </x:c>
    </x:row>
    <x:row r="9">
      <x:c r="A9" s="314" t="str">
        <x:v>IR-ES94A-SHOE</x:v>
      </x:c>
      <x:c r="B9" s="295" t="str">
        <x:v>熨斗鞋 ES-94(A)</x:v>
      </x:c>
      <x:c r="C9" s="295" t="str"/>
      <x:c r="D9" s="295" t="str">
        <x:v>個</x:v>
      </x:c>
      <x:c r="E9" s="295" t="n">
        <x:v>3</x:v>
      </x:c>
      <x:c r="F9" s="295" t="n">
        <x:v>118</x:v>
      </x:c>
      <x:c r="G9" s="296" t="n">
        <x:v>212.4</x:v>
      </x:c>
      <x:c r="H9" s="295" t="n">
        <x:v>2</x:v>
      </x:c>
      <x:c r="I9" s="295" t="n">
        <x:v>100</x:v>
      </x:c>
      <x:c r="J9" s="296" t="n">
        <x:v>180</x:v>
      </x:c>
      <x:c r="K9" s="295" t="n">
        <x:v>5</x:v>
      </x:c>
      <x:c r="L9" s="347" t="n">
        <x:v>1.8</x:v>
      </x:c>
      <x:c r="M9" s="295" t="str">
        <x:v>High</x:v>
      </x:c>
      <x:c r="N9" s="297" t="str">
        <x:v>Recurring item: monitor reorder cycle and quote consistency</x:v>
      </x:c>
    </x:row>
    <x:row r="10">
      <x:c r="A10" s="314" t="str">
        <x:v>CN-TAILOR-CHALK-PANDA-KR</x:v>
      </x:c>
      <x:c r="B10" s="295" t="str">
        <x:v>韓國熊貓圓形畫粉</x:v>
      </x:c>
      <x:c r="C10" s="295" t="str">
        <x:v>Panda/Korea</x:v>
      </x:c>
      <x:c r="D10" s="295" t="str">
        <x:v>盒</x:v>
      </x:c>
      <x:c r="E10" s="295" t="n">
        <x:v>4</x:v>
      </x:c>
      <x:c r="F10" s="295" t="n">
        <x:v>44</x:v>
      </x:c>
      <x:c r="G10" s="296" t="n">
        <x:v>79.2</x:v>
      </x:c>
      <x:c r="H10" s="295" t="n">
        <x:v>1</x:v>
      </x:c>
      <x:c r="I10" s="295" t="n">
        <x:v>20</x:v>
      </x:c>
      <x:c r="J10" s="296" t="n">
        <x:v>36</x:v>
      </x:c>
      <x:c r="K10" s="295" t="n">
        <x:v>5</x:v>
      </x:c>
      <x:c r="L10" s="347" t="n">
        <x:v>1.8</x:v>
      </x:c>
      <x:c r="M10" s="295" t="str">
        <x:v>High</x:v>
      </x:c>
      <x:c r="N10" s="297" t="str">
        <x:v>Recurring item: monitor reorder cycle and quote consistency</x:v>
      </x:c>
    </x:row>
    <x:row r="11">
      <x:c r="A11" s="314" t="str">
        <x:v>CH-502-GLUE-LARGE</x:v>
      </x:c>
      <x:c r="B11" s="295" t="str">
        <x:v>502膠水（大瓶）</x:v>
      </x:c>
      <x:c r="C11" s="295" t="str"/>
      <x:c r="D11" s="295" t="str">
        <x:v>瓶</x:v>
      </x:c>
      <x:c r="E11" s="295" t="n">
        <x:v>3</x:v>
      </x:c>
      <x:c r="F11" s="295" t="n">
        <x:v>45</x:v>
      </x:c>
      <x:c r="G11" s="296" t="n">
        <x:v>29.25</x:v>
      </x:c>
      <x:c r="H11" s="295" t="n">
        <x:v>2</x:v>
      </x:c>
      <x:c r="I11" s="295" t="n">
        <x:v>20</x:v>
      </x:c>
      <x:c r="J11" s="296" t="n">
        <x:v>13</x:v>
      </x:c>
      <x:c r="K11" s="295" t="n">
        <x:v>5</x:v>
      </x:c>
      <x:c r="L11" s="347" t="n">
        <x:v>0.65</x:v>
      </x:c>
      <x:c r="M11" s="295" t="str">
        <x:v>High</x:v>
      </x:c>
      <x:c r="N11" s="297" t="str">
        <x:v>Recurring item: monitor reorder cycle and quote consistency</x:v>
      </x:c>
    </x:row>
    <x:row r="12">
      <x:c r="A12" s="314" t="str">
        <x:v>CN-NUMBER-PAPER-5</x:v>
      </x:c>
      <x:c r="B12" s="295" t="str">
        <x:v>編號紙 #5</x:v>
      </x:c>
      <x:c r="C12" s="295" t="str"/>
      <x:c r="D12" s="295" t="str">
        <x:v>箱</x:v>
      </x:c>
      <x:c r="E12" s="295" t="n">
        <x:v>2</x:v>
      </x:c>
      <x:c r="F12" s="295" t="n">
        <x:v>8</x:v>
      </x:c>
      <x:c r="G12" s="296" t="n">
        <x:v>880</x:v>
      </x:c>
      <x:c r="H12" s="295" t="n">
        <x:v>2</x:v>
      </x:c>
      <x:c r="I12" s="295" t="n">
        <x:v>4</x:v>
      </x:c>
      <x:c r="J12" s="296" t="n">
        <x:v>440</x:v>
      </x:c>
      <x:c r="K12" s="295" t="n">
        <x:v>4</x:v>
      </x:c>
      <x:c r="L12" s="347" t="n">
        <x:v>110</x:v>
      </x:c>
      <x:c r="M12" s="295" t="str">
        <x:v>Medium</x:v>
      </x:c>
      <x:c r="N12" s="297" t="str">
        <x:v>Recurring item: monitor reorder cycle and quote consistency</x:v>
      </x:c>
    </x:row>
    <x:row r="13">
      <x:c r="A13" s="314" t="str">
        <x:v>IR-HANGING-BOTTLE-SET-KR</x:v>
      </x:c>
      <x:c r="B13" s="295" t="str">
        <x:v>韓國吊瓶熨斗組</x:v>
      </x:c>
      <x:c r="C13" s="295" t="str">
        <x:v>Korea</x:v>
      </x:c>
      <x:c r="D13" s="295" t="str">
        <x:v>把</x:v>
      </x:c>
      <x:c r="E13" s="295" t="n">
        <x:v>2</x:v>
      </x:c>
      <x:c r="F13" s="295" t="n">
        <x:v>15</x:v>
      </x:c>
      <x:c r="G13" s="296" t="n">
        <x:v>435</x:v>
      </x:c>
      <x:c r="H13" s="295" t="n">
        <x:v>2</x:v>
      </x:c>
      <x:c r="I13" s="295" t="n">
        <x:v>8</x:v>
      </x:c>
      <x:c r="J13" s="296" t="n">
        <x:v>232</x:v>
      </x:c>
      <x:c r="K13" s="295" t="n">
        <x:v>4</x:v>
      </x:c>
      <x:c r="L13" s="347" t="n">
        <x:v>29</x:v>
      </x:c>
      <x:c r="M13" s="295" t="str">
        <x:v>Medium</x:v>
      </x:c>
      <x:c r="N13" s="297" t="str">
        <x:v>Recurring item: monitor reorder cycle and quote consistency</x:v>
      </x:c>
    </x:row>
    <x:row r="14">
      <x:c r="A14" s="314" t="str">
        <x:v>EL-JUKI1790-IC-BOARD</x:v>
      </x:c>
      <x:c r="B14" s="295" t="str">
        <x:v>1790電子鎖眼機 IC 主板</x:v>
      </x:c>
      <x:c r="C14" s="295" t="str">
        <x:v>JUKI</x:v>
      </x:c>
      <x:c r="D14" s="295" t="str">
        <x:v>板</x:v>
      </x:c>
      <x:c r="E14" s="295" t="n">
        <x:v>3</x:v>
      </x:c>
      <x:c r="F14" s="295" t="n">
        <x:v>4</x:v>
      </x:c>
      <x:c r="G14" s="296" t="n">
        <x:v>480</x:v>
      </x:c>
      <x:c r="H14" s="295" t="n">
        <x:v>1</x:v>
      </x:c>
      <x:c r="I14" s="295" t="n">
        <x:v>1</x:v>
      </x:c>
      <x:c r="J14" s="296" t="n">
        <x:v>120</x:v>
      </x:c>
      <x:c r="K14" s="295" t="n">
        <x:v>4</x:v>
      </x:c>
      <x:c r="L14" s="347" t="n">
        <x:v>120</x:v>
      </x:c>
      <x:c r="M14" s="295" t="str">
        <x:v>Medium</x:v>
      </x:c>
      <x:c r="N14" s="297" t="str">
        <x:v>Recurring item: monitor reorder cycle and quote consistency</x:v>
      </x:c>
    </x:row>
    <x:row r="15">
      <x:c r="A15" s="314" t="str">
        <x:v>CH-JJW830</x:v>
      </x:c>
      <x:c r="B15" s="295" t="str">
        <x:v>JJW-830</x:v>
      </x:c>
      <x:c r="C15" s="295" t="str"/>
      <x:c r="D15" s="295" t="str">
        <x:v>瓶</x:v>
      </x:c>
      <x:c r="E15" s="295" t="n">
        <x:v>2</x:v>
      </x:c>
      <x:c r="F15" s="295" t="n">
        <x:v>120</x:v>
      </x:c>
      <x:c r="G15" s="296" t="n">
        <x:v>336</x:v>
      </x:c>
      <x:c r="H15" s="295" t="n">
        <x:v>2</x:v>
      </x:c>
      <x:c r="I15" s="295" t="n">
        <x:v>68</x:v>
      </x:c>
      <x:c r="J15" s="296" t="n">
        <x:v>190.39999999999998</x:v>
      </x:c>
      <x:c r="K15" s="295" t="n">
        <x:v>4</x:v>
      </x:c>
      <x:c r="L15" s="347" t="n">
        <x:v>2.8</x:v>
      </x:c>
      <x:c r="M15" s="295" t="str">
        <x:v>Medium</x:v>
      </x:c>
      <x:c r="N15" s="297" t="str">
        <x:v>Recurring item: monitor reorder cycle and quote consistency</x:v>
      </x:c>
    </x:row>
    <x:row r="16">
      <x:c r="A16" s="314" t="str">
        <x:v>CN-SEWING-OIL-30L</x:v>
      </x:c>
      <x:c r="B16" s="295" t="str">
        <x:v>強化型針車油</x:v>
      </x:c>
      <x:c r="C16" s="295" t="str"/>
      <x:c r="D16" s="295" t="str">
        <x:v>桶</x:v>
      </x:c>
      <x:c r="E16" s="295" t="n">
        <x:v>2</x:v>
      </x:c>
      <x:c r="F16" s="295" t="n">
        <x:v>6</x:v>
      </x:c>
      <x:c r="G16" s="296" t="n">
        <x:v>270</x:v>
      </x:c>
      <x:c r="H16" s="295" t="n">
        <x:v>2</x:v>
      </x:c>
      <x:c r="I16" s="295" t="n">
        <x:v>2</x:v>
      </x:c>
      <x:c r="J16" s="296" t="n">
        <x:v>130</x:v>
      </x:c>
      <x:c r="K16" s="295" t="n">
        <x:v>4</x:v>
      </x:c>
      <x:c r="L16" s="347" t="n">
        <x:v>65</x:v>
      </x:c>
      <x:c r="M16" s="295" t="str">
        <x:v>Medium</x:v>
      </x:c>
      <x:c r="N16" s="297" t="str">
        <x:v>Recurring item: monitor reorder cycle and quote consistency</x:v>
      </x:c>
    </x:row>
    <x:row r="17">
      <x:c r="A17" s="314" t="str">
        <x:v>ND-DCX27-16</x:v>
      </x:c>
      <x:c r="B17" s="295" t="str">
        <x:v>風琴機針 DCx27 #16</x:v>
      </x:c>
      <x:c r="C17" s="295" t="str">
        <x:v>ORGAN/風琴</x:v>
      </x:c>
      <x:c r="D17" s="295" t="str">
        <x:v>包</x:v>
      </x:c>
      <x:c r="E17" s="295" t="n">
        <x:v>1</x:v>
      </x:c>
      <x:c r="F17" s="295" t="n">
        <x:v>50</x:v>
      </x:c>
      <x:c r="G17" s="296" t="n">
        <x:v>65</x:v>
      </x:c>
      <x:c r="H17" s="295" t="n">
        <x:v>3</x:v>
      </x:c>
      <x:c r="I17" s="295" t="n">
        <x:v>200</x:v>
      </x:c>
      <x:c r="J17" s="296" t="n">
        <x:v>260</x:v>
      </x:c>
      <x:c r="K17" s="295" t="n">
        <x:v>4</x:v>
      </x:c>
      <x:c r="L17" s="347" t="n">
        <x:v>1.3</x:v>
      </x:c>
      <x:c r="M17" s="295" t="str">
        <x:v>Medium</x:v>
      </x:c>
      <x:c r="N17" s="297" t="str">
        <x:v>Needle: suitable for standard-price / framework agreement</x:v>
      </x:c>
    </x:row>
    <x:row r="18">
      <x:c r="A18" s="314" t="str">
        <x:v>ND-DBX1-16</x:v>
      </x:c>
      <x:c r="B18" s="295" t="str">
        <x:v>風琴機針 DBx1 #16</x:v>
      </x:c>
      <x:c r="C18" s="295" t="str">
        <x:v>ORGAN/風琴</x:v>
      </x:c>
      <x:c r="D18" s="295" t="str">
        <x:v>包</x:v>
      </x:c>
      <x:c r="E18" s="295" t="n">
        <x:v>1</x:v>
      </x:c>
      <x:c r="F18" s="295" t="n">
        <x:v>200</x:v>
      </x:c>
      <x:c r="G18" s="296" t="n">
        <x:v>152</x:v>
      </x:c>
      <x:c r="H18" s="295" t="n">
        <x:v>3</x:v>
      </x:c>
      <x:c r="I18" s="295" t="n">
        <x:v>200</x:v>
      </x:c>
      <x:c r="J18" s="296" t="n">
        <x:v>156</x:v>
      </x:c>
      <x:c r="K18" s="295" t="n">
        <x:v>4</x:v>
      </x:c>
      <x:c r="L18" s="347" t="n">
        <x:v>0.78</x:v>
      </x:c>
      <x:c r="M18" s="295" t="str">
        <x:v>Medium</x:v>
      </x:c>
      <x:c r="N18" s="297" t="str">
        <x:v>Needle: suitable for standard-price / framework agreement</x:v>
      </x:c>
    </x:row>
    <x:row r="19">
      <x:c r="A19" s="314" t="str">
        <x:v>TL-SCISSOR-ZHANGXIAO-10IN</x:v>
      </x:c>
      <x:c r="B19" s="295" t="str">
        <x:v>張小牌10吋大剪刀</x:v>
      </x:c>
      <x:c r="C19" s="295" t="str">
        <x:v>張小牌</x:v>
      </x:c>
      <x:c r="D19" s="295" t="str">
        <x:v>個</x:v>
      </x:c>
      <x:c r="E19" s="295" t="n">
        <x:v>3</x:v>
      </x:c>
      <x:c r="F19" s="295" t="n">
        <x:v>30</x:v>
      </x:c>
      <x:c r="G19" s="296" t="n">
        <x:v>210</x:v>
      </x:c>
      <x:c r="H19" s="295" t="n">
        <x:v>1</x:v>
      </x:c>
      <x:c r="I19" s="295" t="n">
        <x:v>11</x:v>
      </x:c>
      <x:c r="J19" s="296" t="n">
        <x:v>77</x:v>
      </x:c>
      <x:c r="K19" s="295" t="n">
        <x:v>4</x:v>
      </x:c>
      <x:c r="L19" s="347" t="n">
        <x:v>7</x:v>
      </x:c>
      <x:c r="M19" s="295" t="str">
        <x:v>Medium</x:v>
      </x:c>
      <x:c r="N19" s="297" t="str">
        <x:v>Recurring item: monitor reorder cycle and quote consistency</x:v>
      </x:c>
    </x:row>
    <x:row r="20">
      <x:c r="A20" s="314" t="str">
        <x:v>CN-TEFLON-STRIP-1MM</x:v>
      </x:c>
      <x:c r="B20" s="295" t="str">
        <x:v>鐵氟龍條</x:v>
      </x:c>
      <x:c r="C20" s="295" t="str">
        <x:v>Teflon</x:v>
      </x:c>
      <x:c r="D20" s="295" t="str">
        <x:v>條</x:v>
      </x:c>
      <x:c r="E20" s="295" t="n">
        <x:v>1</x:v>
      </x:c>
      <x:c r="F20" s="295" t="n">
        <x:v>60</x:v>
      </x:c>
      <x:c r="G20" s="296" t="n">
        <x:v>108</x:v>
      </x:c>
      <x:c r="H20" s="295" t="n">
        <x:v>3</x:v>
      </x:c>
      <x:c r="I20" s="295" t="n">
        <x:v>50</x:v>
      </x:c>
      <x:c r="J20" s="296" t="n">
        <x:v>90</x:v>
      </x:c>
      <x:c r="K20" s="295" t="n">
        <x:v>4</x:v>
      </x:c>
      <x:c r="L20" s="347" t="n">
        <x:v>1.8</x:v>
      </x:c>
      <x:c r="M20" s="295" t="str">
        <x:v>Medium</x:v>
      </x:c>
      <x:c r="N20" s="297" t="str">
        <x:v>Recurring item: monitor reorder cycle and quote consistency</x:v>
      </x:c>
    </x:row>
    <x:row r="21">
      <x:c r="A21" s="314" t="str">
        <x:v>ND-DBX1-14</x:v>
      </x:c>
      <x:c r="B21" s="295" t="str">
        <x:v>風琴機針 DBx1 #14</x:v>
      </x:c>
      <x:c r="C21" s="295" t="str">
        <x:v>ORGAN/風琴</x:v>
      </x:c>
      <x:c r="D21" s="295" t="str">
        <x:v>包</x:v>
      </x:c>
      <x:c r="E21" s="295" t="n">
        <x:v>1</x:v>
      </x:c>
      <x:c r="F21" s="295" t="n">
        <x:v>50</x:v>
      </x:c>
      <x:c r="G21" s="296" t="n">
        <x:v>38</x:v>
      </x:c>
      <x:c r="H21" s="295" t="n">
        <x:v>3</x:v>
      </x:c>
      <x:c r="I21" s="295" t="n">
        <x:v>200</x:v>
      </x:c>
      <x:c r="J21" s="296" t="n">
        <x:v>156</x:v>
      </x:c>
      <x:c r="K21" s="295" t="n">
        <x:v>4</x:v>
      </x:c>
      <x:c r="L21" s="347" t="n">
        <x:v>0.78</x:v>
      </x:c>
      <x:c r="M21" s="295" t="str">
        <x:v>Medium</x:v>
      </x:c>
      <x:c r="N21" s="297" t="str">
        <x:v>Needle: suitable for standard-price / framework agreement</x:v>
      </x:c>
    </x:row>
    <x:row r="22">
      <x:c r="A22" s="314" t="str">
        <x:v>TL-HEX-WRENCH-JINGMU</x:v>
      </x:c>
      <x:c r="B22" s="295" t="str">
        <x:v>京木六角扳手</x:v>
      </x:c>
      <x:c r="C22" s="295" t="str">
        <x:v>京木</x:v>
      </x:c>
      <x:c r="D22" s="295" t="str">
        <x:v>套</x:v>
      </x:c>
      <x:c r="E22" s="295" t="n">
        <x:v>3</x:v>
      </x:c>
      <x:c r="F22" s="295" t="n">
        <x:v>6</x:v>
      </x:c>
      <x:c r="G22" s="296" t="n">
        <x:v>120</x:v>
      </x:c>
      <x:c r="H22" s="295" t="n">
        <x:v>1</x:v>
      </x:c>
      <x:c r="I22" s="295" t="n">
        <x:v>1</x:v>
      </x:c>
      <x:c r="J22" s="296" t="n">
        <x:v>20</x:v>
      </x:c>
      <x:c r="K22" s="295" t="n">
        <x:v>4</x:v>
      </x:c>
      <x:c r="L22" s="347" t="n">
        <x:v>20</x:v>
      </x:c>
      <x:c r="M22" s="295" t="str">
        <x:v>Medium</x:v>
      </x:c>
      <x:c r="N22" s="297" t="str">
        <x:v>Recurring item: monitor reorder cycle and quote consistency</x:v>
      </x:c>
    </x:row>
    <x:row r="23">
      <x:c r="A23" s="314" t="str">
        <x:v>PF-CL1-16N</x:v>
      </x:c>
      <x:c r="B23" s="295" t="str">
        <x:v>CL1/16N 壓腳</x:v>
      </x:c>
      <x:c r="C23" s="295" t="str"/>
      <x:c r="D23" s="295" t="str">
        <x:v>個</x:v>
      </x:c>
      <x:c r="E23" s="295" t="n">
        <x:v>2</x:v>
      </x:c>
      <x:c r="F23" s="295" t="n">
        <x:v>70</x:v>
      </x:c>
      <x:c r="G23" s="296" t="n">
        <x:v>42</x:v>
      </x:c>
      <x:c r="H23" s="295" t="n">
        <x:v>2</x:v>
      </x:c>
      <x:c r="I23" s="295" t="n">
        <x:v>40</x:v>
      </x:c>
      <x:c r="J23" s="296" t="n">
        <x:v>24</x:v>
      </x:c>
      <x:c r="K23" s="295" t="n">
        <x:v>4</x:v>
      </x:c>
      <x:c r="L23" s="347" t="n">
        <x:v>0.6</x:v>
      </x:c>
      <x:c r="M23" s="295" t="str">
        <x:v>Medium</x:v>
      </x:c>
      <x:c r="N23" s="297" t="str">
        <x:v>Recurring item: monitor reorder cycle and quote consistency</x:v>
      </x:c>
    </x:row>
    <x:row r="24">
      <x:c r="A24" s="314" t="str">
        <x:v>ND-UYX128-14</x:v>
      </x:c>
      <x:c r="B24" s="295" t="str">
        <x:v>風琴機針 UYx128 #14</x:v>
      </x:c>
      <x:c r="C24" s="295" t="str">
        <x:v>ORGAN/風琴</x:v>
      </x:c>
      <x:c r="D24" s="295" t="str">
        <x:v>包</x:v>
      </x:c>
      <x:c r="E24" s="295" t="n">
        <x:v>0</x:v>
      </x:c>
      <x:c r="F24" s="295" t="n">
        <x:v>0</x:v>
      </x:c>
      <x:c r="G24" s="296" t="n">
        <x:v>0</x:v>
      </x:c>
      <x:c r="H24" s="295" t="n">
        <x:v>3</x:v>
      </x:c>
      <x:c r="I24" s="295" t="n">
        <x:v>300</x:v>
      </x:c>
      <x:c r="J24" s="296" t="n">
        <x:v>534</x:v>
      </x:c>
      <x:c r="K24" s="295" t="n">
        <x:v>3</x:v>
      </x:c>
      <x:c r="L24" s="347" t="n">
        <x:v>1.78</x:v>
      </x:c>
      <x:c r="M24" s="295" t="str">
        <x:v>Medium</x:v>
      </x:c>
      <x:c r="N24" s="297" t="str">
        <x:v>Needle: suitable for standard-price / framework agreement</x:v>
      </x:c>
    </x:row>
    <x:row r="25">
      <x:c r="A25" s="314" t="str">
        <x:v>MT-SIRUBA747KD-COUPLER</x:v>
      </x:c>
      <x:c r="B25" s="295" t="str">
        <x:v>SIRUBA-747KD 馬達聯軸器</x:v>
      </x:c>
      <x:c r="C25" s="295" t="str">
        <x:v>SIRUBA</x:v>
      </x:c>
      <x:c r="D25" s="295" t="str">
        <x:v>個</x:v>
      </x:c>
      <x:c r="E25" s="295" t="n">
        <x:v>1</x:v>
      </x:c>
      <x:c r="F25" s="295" t="n">
        <x:v>10</x:v>
      </x:c>
      <x:c r="G25" s="296" t="n">
        <x:v>85</x:v>
      </x:c>
      <x:c r="H25" s="295" t="n">
        <x:v>2</x:v>
      </x:c>
      <x:c r="I25" s="295" t="n">
        <x:v>40</x:v>
      </x:c>
      <x:c r="J25" s="296" t="n">
        <x:v>380</x:v>
      </x:c>
      <x:c r="K25" s="295" t="n">
        <x:v>3</x:v>
      </x:c>
      <x:c r="L25" s="347" t="n">
        <x:v>9.5</x:v>
      </x:c>
      <x:c r="M25" s="295" t="str">
        <x:v>Medium</x:v>
      </x:c>
      <x:c r="N25" s="297" t="str"/>
    </x:row>
    <x:row r="26">
      <x:c r="A26" s="314" t="str">
        <x:v>ND-UOX113-16</x:v>
      </x:c>
      <x:c r="B26" s="295" t="str">
        <x:v>風琴機針 UOx113 #16</x:v>
      </x:c>
      <x:c r="C26" s="295" t="str">
        <x:v>ORGAN/風琴</x:v>
      </x:c>
      <x:c r="D26" s="295" t="str">
        <x:v>包</x:v>
      </x:c>
      <x:c r="E26" s="295" t="n">
        <x:v>1</x:v>
      </x:c>
      <x:c r="F26" s="295" t="n">
        <x:v>50</x:v>
      </x:c>
      <x:c r="G26" s="296" t="n">
        <x:v>145</x:v>
      </x:c>
      <x:c r="H26" s="295" t="n">
        <x:v>2</x:v>
      </x:c>
      <x:c r="I26" s="295" t="n">
        <x:v>100</x:v>
      </x:c>
      <x:c r="J26" s="296" t="n">
        <x:v>300</x:v>
      </x:c>
      <x:c r="K26" s="295" t="n">
        <x:v>3</x:v>
      </x:c>
      <x:c r="L26" s="347" t="n">
        <x:v>3</x:v>
      </x:c>
      <x:c r="M26" s="295" t="str">
        <x:v>Medium</x:v>
      </x:c>
      <x:c r="N26" s="297" t="str">
        <x:v>Needle: suitable for standard-price / framework agreement</x:v>
      </x:c>
    </x:row>
    <x:row r="27">
      <x:c r="A27" s="316" t="str">
        <x:v>ND-DCX27-14</x:v>
      </x:c>
      <x:c r="B27" s="299" t="str">
        <x:v>風琴機針 DCx27 #14</x:v>
      </x:c>
      <x:c r="C27" s="299" t="str">
        <x:v>ORGAN/風琴</x:v>
      </x:c>
      <x:c r="D27" s="299" t="str">
        <x:v>包</x:v>
      </x:c>
      <x:c r="E27" s="299" t="n">
        <x:v>0</x:v>
      </x:c>
      <x:c r="F27" s="299" t="n">
        <x:v>0</x:v>
      </x:c>
      <x:c r="G27" s="300" t="n">
        <x:v>0</x:v>
      </x:c>
      <x:c r="H27" s="299" t="n">
        <x:v>3</x:v>
      </x:c>
      <x:c r="I27" s="299" t="n">
        <x:v>250</x:v>
      </x:c>
      <x:c r="J27" s="300" t="n">
        <x:v>325</x:v>
      </x:c>
      <x:c r="K27" s="299" t="n">
        <x:v>3</x:v>
      </x:c>
      <x:c r="L27" s="348" t="n">
        <x:v>1.3</x:v>
      </x:c>
      <x:c r="M27" s="299" t="str">
        <x:v>Medium</x:v>
      </x:c>
      <x:c r="N27" s="301" t="str">
        <x:v>Needle: suitable for standard-price / framework agreement</x:v>
      </x:c>
    </x:row>
    <x:row r="29">
      <x:c r="A29" s="353" t="str">
        <x:v>Note: “Records” means transaction-line occurrences, not invoice count. It is used as a practical proxy for purchase frequency.</x:v>
      </x:c>
      <x:c r="B29" s="353"/>
      <x:c r="C29" s="353"/>
      <x:c r="D29" s="353"/>
      <x:c r="E29" s="353"/>
      <x:c r="F29" s="353"/>
      <x:c r="G29" s="353"/>
      <x:c r="H29" s="353"/>
      <x:c r="I29" s="353"/>
      <x:c r="J29" s="353"/>
      <x:c r="K29" s="353"/>
      <x:c r="L29" s="353"/>
      <x:c r="M29" s="353"/>
      <x:c r="N29" s="353"/>
    </x:row>
  </x:sheetData>
  <x:mergeCells>
    <x:mergeCell ref="A1:N1"/>
    <x:mergeCell ref="A29:N29"/>
  </x:mergeCells>
  <x:conditionalFormatting sqref="M3:M27">
    <x:cfRule type="expression" dxfId="14" priority="1">
      <x:formula>M3="Very High"</x:formula>
    </x:cfRule>
    <x:cfRule type="expression" dxfId="15" priority="2">
      <x:formula>M3="High"</x:formula>
    </x:cfRule>
    <x:cfRule type="expression" dxfId="16" priority="3">
      <x:formula>M3="Medium"</x:formula>
    </x:cfRule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6" hidden="0" customWidth="1"/>
    <x:col min="3" max="3" width="15" hidden="0" customWidth="1"/>
    <x:col min="4" max="4" width="15" hidden="0" customWidth="1"/>
    <x:col min="5" max="5" width="12" hidden="0" customWidth="1"/>
    <x:col min="6" max="6" width="55" hidden="0" customWidth="1"/>
    <x:col min="7" max="7" width="56" hidden="0" customWidth="1"/>
    <x:col min="8" max="8" width="36" hidden="0" customWidth="1"/>
    <x:col min="9" max="9" width="22" hidden="0" customWidth="1"/>
    <x:col min="10" max="10" width="12" hidden="0" customWidth="1"/>
  </x:cols>
  <x:sheetData>
    <x:row r="1" ht="28" customHeight="1">
      <x:c r="A1" s="283" t="str">
        <x:v>Historical Review &amp; Action List | 異常、風險與管理建議</x:v>
      </x:c>
      <x:c r="B1" s="283"/>
      <x:c r="C1" s="283"/>
      <x:c r="D1" s="283"/>
      <x:c r="E1" s="283"/>
      <x:c r="F1" s="283"/>
      <x:c r="G1" s="283"/>
      <x:c r="H1" s="283"/>
      <x:c r="I1" s="283"/>
      <x:c r="J1" s="283"/>
    </x:row>
    <x:row r="2" ht="28" customHeight="1">
      <x:c r="A2" s="291" t="str">
        <x:v>Priority</x:v>
      </x:c>
      <x:c r="B2" s="292" t="str">
        <x:v>Topic</x:v>
      </x:c>
      <x:c r="C2" s="292" t="str">
        <x:v>Baseline (USD)</x:v>
      </x:c>
      <x:c r="D2" s="292" t="str">
        <x:v>Current (USD)</x:v>
      </x:c>
      <x:c r="E2" s="292" t="str">
        <x:v>Change %</x:v>
      </x:c>
      <x:c r="F2" s="292" t="str">
        <x:v>Finding</x:v>
      </x:c>
      <x:c r="G2" s="292" t="str">
        <x:v>Recommended Action</x:v>
      </x:c>
      <x:c r="H2" s="292" t="str">
        <x:v>Source Basis</x:v>
      </x:c>
      <x:c r="I2" s="292" t="str">
        <x:v>Owner</x:v>
      </x:c>
      <x:c r="J2" s="293" t="str">
        <x:v>Status</x:v>
      </x:c>
    </x:row>
    <x:row r="3">
      <x:c r="A3" s="314" t="str">
        <x:v>REVIEW</x:v>
      </x:c>
      <x:c r="B3" s="295" t="str">
        <x:v>30L sewing machine oil</x:v>
      </x:c>
      <x:c r="C3" s="296" t="n">
        <x:v>45</x:v>
      </x:c>
      <x:c r="D3" s="296" t="n">
        <x:v>65</x:v>
      </x:c>
      <x:c r="E3" s="330" t="n">
        <x:f>D3/C3-1</x:f>
        <x:v>0.4444444444444444</x:v>
      </x:c>
      <x:c r="F3" s="295" t="str">
        <x:v>Confirmed YI price was $45 in 2024 and 2025; 2026 benchmark is $65. Same 30L unit, but 2026 description is 'reinforced sewing oil'.</x:v>
      </x:c>
      <x:c r="G3" s="295" t="str">
        <x:v>Confirm formulation/brand and whether it is like-for-like. If same spec, obtain a second quotation and explain the increase before next purchase.</x:v>
      </x:c>
      <x:c r="H3" s="295" t="str">
        <x:v>2024 p26 / 2025 May &amp; Dec / 2026 Price Master</x:v>
      </x:c>
      <x:c r="I3" s="295" t="str">
        <x:v>Maintenance + Purchasing</x:v>
      </x:c>
      <x:c r="J3" s="297" t="str">
        <x:v>Open</x:v>
      </x:c>
    </x:row>
    <x:row r="4">
      <x:c r="A4" s="314" t="str">
        <x:v>WATCH</x:v>
      </x:c>
      <x:c r="B4" s="295" t="str">
        <x:v>2026 H1 procurement spend</x:v>
      </x:c>
      <x:c r="C4" s="296" t="n">
        <x:f>'Quarterly Trend'!C8</x:f>
        <x:v>7687.3</x:v>
      </x:c>
      <x:c r="D4" s="296" t="n">
        <x:f>'Quarterly Trend'!D8</x:f>
        <x:v>14563.15</x:v>
      </x:c>
      <x:c r="E4" s="330" t="n">
        <x:f>D4/C4-1</x:f>
        <x:v>0.8944427822512455</x:v>
      </x:c>
      <x:c r="F4" s="295" t="str">
        <x:v>2026 Jan-Jun spend is substantially above 2025 Jan-Jun.</x:v>
      </x:c>
      <x:c r="G4" s="295" t="str">
        <x:v>Separate quantity/maintenance-demand effect from unit-price effect; review top recurring needles and large parts monthly.</x:v>
      </x:c>
      <x:c r="H4" s="295" t="str">
        <x:v>Cross-Year Monthly / Quarterly Trend</x:v>
      </x:c>
      <x:c r="I4" s="295" t="str">
        <x:v>Factory + Purchasing</x:v>
      </x:c>
      <x:c r="J4" s="297" t="str">
        <x:v>Monitor</x:v>
      </x:c>
    </x:row>
    <x:row r="5">
      <x:c r="A5" s="314" t="str">
        <x:v>WATCH</x:v>
      </x:c>
      <x:c r="B5" s="295" t="str">
        <x:v>2025 full-year spend vs 2024</x:v>
      </x:c>
      <x:c r="C5" s="296" t="n">
        <x:f>'Quarterly Trend'!B9</x:f>
        <x:v>12441</x:v>
      </x:c>
      <x:c r="D5" s="296" t="n">
        <x:f>'Quarterly Trend'!C9</x:f>
        <x:v>17759.29</x:v>
      </x:c>
      <x:c r="E5" s="330" t="n">
        <x:f>D5/C5-1</x:f>
        <x:v>0.427480909894703</x:v>
      </x:c>
      <x:c r="F5" s="295" t="str">
        <x:v>2025 full-year procurement spend is above the invoice-based 2024 total.</x:v>
      </x:c>
      <x:c r="G5" s="295" t="str">
        <x:v>Use quarterly budget control and explain quarter-to-quarter spikes by part group.</x:v>
      </x:c>
      <x:c r="H5" s="295" t="str">
        <x:v>2024 Invoice Summary / 2025 Transaction Detail</x:v>
      </x:c>
      <x:c r="I5" s="295" t="str">
        <x:v>Factory + Purchasing</x:v>
      </x:c>
      <x:c r="J5" s="297" t="str">
        <x:v>Monitor</x:v>
      </x:c>
    </x:row>
    <x:row r="6">
      <x:c r="A6" s="314" t="str">
        <x:v>WATCH</x:v>
      </x:c>
      <x:c r="B6" s="295" t="str">
        <x:v>JUKI-8700A moving knife</x:v>
      </x:c>
      <x:c r="C6" s="296" t="n">
        <x:v>2.3</x:v>
      </x:c>
      <x:c r="D6" s="296" t="n">
        <x:v>2.5</x:v>
      </x:c>
      <x:c r="E6" s="330" t="n">
        <x:f>D6/C6-1</x:f>
        <x:v>0.0869565217391306</x:v>
      </x:c>
      <x:c r="F6" s="295" t="str">
        <x:v>2026 unit price moved from $2.30 to $2.50 within H1.</x:v>
      </x:c>
      <x:c r="G6" s="295" t="str">
        <x:v>Continue monitoring; require review if quote exceeds prior max by more than 10%.</x:v>
      </x:c>
      <x:c r="H6" s="295" t="str">
        <x:v>2026 Transaction Detail</x:v>
      </x:c>
      <x:c r="I6" s="295" t="str">
        <x:v>Maintenance + Purchasing</x:v>
      </x:c>
      <x:c r="J6" s="297" t="str">
        <x:v>Monitor</x:v>
      </x:c>
    </x:row>
    <x:row r="7">
      <x:c r="A7" s="314" t="str">
        <x:v>CONTROL</x:v>
      </x:c>
      <x:c r="B7" s="295" t="str">
        <x:v>Needle brand comparability</x:v>
      </x:c>
      <x:c r="C7" s="296"/>
      <x:c r="D7" s="296"/>
      <x:c r="E7" s="330"/>
      <x:c r="F7" s="295" t="str">
        <x:v>TNC and ORGAN/風琴 prices differ materially for some needle models.</x:v>
      </x:c>
      <x:c r="G7" s="295" t="str">
        <x:v>Price comparison must use the same brand + model + size + unit. Do not flag cross-brand price differences as supplier anomalies.</x:v>
      </x:c>
      <x:c r="H7" s="295" t="str">
        <x:v>2024 YI printed statements + 2025/2026 standardized data</x:v>
      </x:c>
      <x:c r="I7" s="295" t="str">
        <x:v>Maintenance</x:v>
      </x:c>
      <x:c r="J7" s="297" t="str">
        <x:v>Control</x:v>
      </x:c>
    </x:row>
    <x:row r="8">
      <x:c r="A8" s="314" t="str">
        <x:v>OPPORTUNITY</x:v>
      </x:c>
      <x:c r="B8" s="295" t="str">
        <x:v>High-frequency needle purchasing</x:v>
      </x:c>
      <x:c r="C8" s="296"/>
      <x:c r="D8" s="296"/>
      <x:c r="E8" s="330"/>
      <x:c r="F8" s="295" t="str">
        <x:v>DCx27 #12, UOx113 #12/#14 and UYx128 #11/#12 recur frequently in 2025-2026.</x:v>
      </x:c>
      <x:c r="G8" s="295" t="str">
        <x:v>Consider framework pricing / quarterly quotation lock and min-max stock levels for high-frequency needles.</x:v>
      </x:c>
      <x:c r="H8" s="295" t="str">
        <x:v>Purchase Frequency</x:v>
      </x:c>
      <x:c r="I8" s="295" t="str">
        <x:v>Maintenance + Purchasing</x:v>
      </x:c>
      <x:c r="J8" s="297" t="str">
        <x:v>Plan</x:v>
      </x:c>
    </x:row>
    <x:row r="9">
      <x:c r="A9" s="314" t="str">
        <x:v>STABLE</x:v>
      </x:c>
      <x:c r="B9" s="295" t="str">
        <x:v>Recurring stable-price items</x:v>
      </x:c>
      <x:c r="C9" s="296"/>
      <x:c r="D9" s="296"/>
      <x:c r="E9" s="330"/>
      <x:c r="F9" s="295" t="str">
        <x:v>1790 IC board, ES-94(A), JJW-830, No.5 number paper, thread snips, 502 glue and several other items are stable in confirmed records.</x:v>
      </x:c>
      <x:c r="G9" s="295" t="str">
        <x:v>Keep historical benchmark; only re-negotiate when quote exceeds control threshold or specification changes.</x:v>
      </x:c>
      <x:c r="H9" s="295" t="str">
        <x:v>Cross-Year Benchmark</x:v>
      </x:c>
      <x:c r="I9" s="295" t="str">
        <x:v>Purchasing</x:v>
      </x:c>
      <x:c r="J9" s="297" t="str">
        <x:v>Maintain</x:v>
      </x:c>
    </x:row>
    <x:row r="10">
      <x:c r="A10" s="316" t="str">
        <x:v>CONTROL</x:v>
      </x:c>
      <x:c r="B10" s="299" t="str">
        <x:v>2024 source quality</x:v>
      </x:c>
      <x:c r="C10" s="300"/>
      <x:c r="D10" s="300"/>
      <x:c r="E10" s="349"/>
      <x:c r="F10" s="299" t="str">
        <x:v>Many 2024 Hong Ye invoices are handwritten; invoice totals are readable, but not every item description can be standardized reliably.</x:v>
      </x:c>
      <x:c r="G10" s="299" t="str">
        <x:v>Use 2024 handwritten line prices only as reference. Use printed YI rows and 2025-2026 standardized records for formal quote checks.</x:v>
      </x:c>
      <x:c r="H10" s="299" t="str">
        <x:v>2024 PDF pp1-24 handwritten; pp26-27 printed</x:v>
      </x:c>
      <x:c r="I10" s="299" t="str">
        <x:v>Purchasing</x:v>
      </x:c>
      <x:c r="J10" s="301" t="str">
        <x:v>Control</x:v>
      </x:c>
    </x:row>
  </x:sheetData>
  <x:mergeCells>
    <x:mergeCell ref="A1:J1"/>
  </x:mergeCells>
  <x:conditionalFormatting sqref="A3:A10">
    <x:cfRule type="expression" dxfId="17" priority="1">
      <x:formula>A3="REVIEW"</x:formula>
    </x:cfRule>
    <x:cfRule type="expression" dxfId="18" priority="2">
      <x:formula>A3="WATCH"</x:formula>
    </x:cfRule>
    <x:cfRule type="expression" dxfId="19" priority="3">
      <x:formula>A3="STABLE"</x:formula>
    </x:cfRule>
    <x:cfRule type="expression" dxfId="20" priority="4">
      <x:formula>A3="OPPORTUNITY"</x:formula>
    </x:cfRule>
  </x:conditionalFormatting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4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5" hidden="0" customWidth="1"/>
    <x:col min="11" max="11" width="15" hidden="0" customWidth="1"/>
    <x:col min="12" max="12" width="15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</x:cols>
  <x:sheetData>
    <x:row r="1" ht="20" customHeight="1">
      <x:c r="A1" s="407" t="str">
        <x:v>VRT Spare Parts Procurement &amp; Consumption Management Report | 2024–2026 H1</x:v>
      </x:c>
      <x:c r="B1" s="407"/>
      <x:c r="C1" s="407"/>
      <x:c r="D1" s="407"/>
      <x:c r="E1" s="407"/>
      <x:c r="F1" s="407"/>
      <x:c r="G1" s="407"/>
      <x:c r="H1" s="407"/>
      <x:c r="I1" s="407"/>
      <x:c r="J1" s="407"/>
      <x:c r="K1" s="407"/>
      <x:c r="L1" s="407"/>
      <x:c r="M1" s="407"/>
      <x:c r="N1" s="407"/>
      <x:c r="O1" s="407"/>
      <x:c r="P1" s="407"/>
      <x:c r="Q1" s="407"/>
      <x:c r="R1" s="407"/>
    </x:row>
    <x:row r="2" ht="20" customHeight="1">
      <x:c r="A2" s="407"/>
      <x:c r="B2" s="407"/>
      <x:c r="C2" s="407"/>
      <x:c r="D2" s="407"/>
      <x:c r="E2" s="407"/>
      <x:c r="F2" s="407"/>
      <x:c r="G2" s="407"/>
      <x:c r="H2" s="407"/>
      <x:c r="I2" s="407"/>
      <x:c r="J2" s="407"/>
      <x:c r="K2" s="407"/>
      <x:c r="L2" s="407"/>
      <x:c r="M2" s="407"/>
      <x:c r="N2" s="407"/>
      <x:c r="O2" s="407"/>
      <x:c r="P2" s="407"/>
      <x:c r="Q2" s="407"/>
      <x:c r="R2" s="407"/>
    </x:row>
    <x:row r="3" ht="20" customHeight="1">
      <x:c r="A3" s="408" t="str">
        <x:v>同月跨年 · 全年/H1 · 車針/機修分類 · 採購頻率 · 實際消耗 · 價格異常 · 生產/換款關聯</x:v>
      </x:c>
      <x:c r="B3" s="408"/>
      <x:c r="C3" s="408"/>
      <x:c r="D3" s="408"/>
      <x:c r="E3" s="408"/>
      <x:c r="F3" s="408"/>
      <x:c r="G3" s="408"/>
      <x:c r="H3" s="408"/>
      <x:c r="I3" s="408"/>
      <x:c r="J3" s="408"/>
      <x:c r="K3" s="408"/>
      <x:c r="L3" s="408"/>
      <x:c r="M3" s="408"/>
      <x:c r="N3" s="408"/>
      <x:c r="O3" s="408"/>
      <x:c r="P3" s="408"/>
      <x:c r="Q3" s="408"/>
      <x:c r="R3" s="408"/>
    </x:row>
    <x:row r="4" ht="20" customHeight="1"/>
    <x:row r="5" ht="20" customHeight="1">
      <x:c r="A5" s="412" t="str">
        <x:v>2024 Full-Year Spend</x:v>
      </x:c>
      <x:c r="B5" s="412"/>
      <x:c r="C5" s="412"/>
      <x:c r="D5" s="412" t="str">
        <x:v>2025 Full-Year Spend</x:v>
      </x:c>
      <x:c r="E5" s="412"/>
      <x:c r="F5" s="412"/>
      <x:c r="G5" s="412" t="str">
        <x:v>2026 H1 Spend</x:v>
      </x:c>
      <x:c r="H5" s="412"/>
      <x:c r="I5" s="412"/>
      <x:c r="J5" s="412" t="str">
        <x:v>2026 H1 vs 2025 H1</x:v>
      </x:c>
      <x:c r="K5" s="412"/>
      <x:c r="L5" s="412"/>
    </x:row>
    <x:row r="6" ht="20" customHeight="1">
      <x:c r="A6" s="416" t="n">
        <x:v>12441</x:v>
      </x:c>
      <x:c r="B6" s="416"/>
      <x:c r="C6" s="416"/>
      <x:c r="D6" s="416" t="n">
        <x:v>17759.29</x:v>
      </x:c>
      <x:c r="E6" s="416"/>
      <x:c r="F6" s="416"/>
      <x:c r="G6" s="416" t="n">
        <x:v>14563.15</x:v>
      </x:c>
      <x:c r="H6" s="416"/>
      <x:c r="I6" s="416"/>
      <x:c r="J6" s="417" t="n">
        <x:v>0.8944427822512455</x:v>
      </x:c>
      <x:c r="K6" s="417"/>
      <x:c r="L6" s="417"/>
    </x:row>
    <x:row r="7" ht="20" customHeight="1">
      <x:c r="A7" s="416"/>
      <x:c r="B7" s="416"/>
      <x:c r="C7" s="416"/>
      <x:c r="D7" s="416"/>
      <x:c r="E7" s="416"/>
      <x:c r="F7" s="416"/>
      <x:c r="G7" s="416"/>
      <x:c r="H7" s="416"/>
      <x:c r="I7" s="416"/>
      <x:c r="J7" s="417"/>
      <x:c r="K7" s="417"/>
      <x:c r="L7" s="417"/>
    </x:row>
    <x:row r="8" ht="20" customHeight="1"/>
    <x:row r="9" ht="20" customHeight="1">
      <x:c r="A9" s="412" t="str">
        <x:v>2026 H1 Needle Share</x:v>
      </x:c>
      <x:c r="B9" s="412"/>
      <x:c r="C9" s="412"/>
      <x:c r="D9" s="412" t="str">
        <x:v>2025 H1 Needle Share</x:v>
      </x:c>
      <x:c r="E9" s="412"/>
      <x:c r="F9" s="412"/>
      <x:c r="G9" s="412" t="str">
        <x:v>2026 H1 Non-Needle YoY</x:v>
      </x:c>
      <x:c r="H9" s="412"/>
      <x:c r="I9" s="412"/>
      <x:c r="J9" s="412" t="str">
        <x:v>Style-change Needle Issue</x:v>
      </x:c>
      <x:c r="K9" s="412"/>
      <x:c r="L9" s="412"/>
    </x:row>
    <x:row r="10" ht="20" customHeight="1">
      <x:c r="A10" s="417" t="n">
        <x:v>0.6140155117539818</x:v>
      </x:c>
      <x:c r="B10" s="417"/>
      <x:c r="C10" s="417"/>
      <x:c r="D10" s="417" t="n">
        <x:v>0.06244064886240943</x:v>
      </x:c>
      <x:c r="E10" s="417"/>
      <x:c r="F10" s="417"/>
      <x:c r="G10" s="417" t="n">
        <x:v>-0.22007547902820757</x:v>
      </x:c>
      <x:c r="H10" s="417"/>
      <x:c r="I10" s="417"/>
      <x:c r="J10" s="417" t="n">
        <x:v>0.2835820895522388</x:v>
      </x:c>
      <x:c r="K10" s="417"/>
      <x:c r="L10" s="417"/>
    </x:row>
    <x:row r="11" ht="20" customHeight="1">
      <x:c r="A11" s="417"/>
      <x:c r="B11" s="417"/>
      <x:c r="C11" s="417"/>
      <x:c r="D11" s="417"/>
      <x:c r="E11" s="417"/>
      <x:c r="F11" s="417"/>
      <x:c r="G11" s="417"/>
      <x:c r="H11" s="417"/>
      <x:c r="I11" s="417"/>
      <x:c r="J11" s="417"/>
      <x:c r="K11" s="417"/>
      <x:c r="L11" s="417"/>
    </x:row>
    <x:row r="12" ht="20" customHeight="1"/>
    <x:row r="13" ht="20" customHeight="1">
      <x:c r="A13" s="419" t="str">
        <x:v>Monthly Procurement Spend / 月採購金額（USD, pre-VAT）</x:v>
      </x:c>
    </x:row>
    <x:row r="14" ht="20" customHeight="1">
      <x:c r="A14" s="423" t="str">
        <x:v>Month</x:v>
      </x:c>
      <x:c r="B14" s="423" t="str">
        <x:v>FY2024</x:v>
      </x:c>
      <x:c r="C14" s="423" t="str">
        <x:v>FY2025</x:v>
      </x:c>
      <x:c r="D14" s="423" t="str">
        <x:v>2026 H1</x:v>
      </x:c>
      <x:c r="E14" s="423" t="str">
        <x:v>25 vs 24</x:v>
      </x:c>
      <x:c r="F14" s="423" t="str">
        <x:v>26 vs 25</x:v>
      </x:c>
      <x:c r="G14" s="423" t="str">
        <x:v>Inv.24</x:v>
      </x:c>
      <x:c r="H14" s="423" t="str">
        <x:v>Inv.25</x:v>
      </x:c>
    </x:row>
    <x:row r="15" ht="20" customHeight="1">
      <x:c r="A15" s="432" t="str">
        <x:v>Jan</x:v>
      </x:c>
      <x:c r="B15" s="441" t="n">
        <x:v>846</x:v>
      </x:c>
      <x:c r="C15" s="441" t="n">
        <x:v>1689.4</x:v>
      </x:c>
      <x:c r="D15" s="441" t="n">
        <x:v>2610</x:v>
      </x:c>
      <x:c r="E15" s="444" t="n">
        <x:v>0.9969267139479907</x:v>
      </x:c>
      <x:c r="F15" s="444" t="n">
        <x:v>0.5449271930863027</x:v>
      </x:c>
      <x:c r="G15" s="433" t="n">
        <x:v>3</x:v>
      </x:c>
      <x:c r="H15" s="434" t="n">
        <x:v>6</x:v>
      </x:c>
    </x:row>
    <x:row r="16" ht="20" customHeight="1">
      <x:c r="A16" s="435" t="str">
        <x:v>Feb</x:v>
      </x:c>
      <x:c r="B16" s="442" t="n">
        <x:v>106</x:v>
      </x:c>
      <x:c r="C16" s="442" t="n">
        <x:v>1452.3</x:v>
      </x:c>
      <x:c r="D16" s="442" t="n">
        <x:v>1850.9</x:v>
      </x:c>
      <x:c r="E16" s="445" t="n">
        <x:v>12.700943396226414</x:v>
      </x:c>
      <x:c r="F16" s="445" t="n">
        <x:v>0.27446119947669234</x:v>
      </x:c>
      <x:c r="G16" s="436" t="n">
        <x:v>1</x:v>
      </x:c>
      <x:c r="H16" s="437" t="n">
        <x:v>5</x:v>
      </x:c>
    </x:row>
    <x:row r="17" ht="20" customHeight="1">
      <x:c r="A17" s="435" t="str">
        <x:v>Mar</x:v>
      </x:c>
      <x:c r="B17" s="442" t="n">
        <x:v>0</x:v>
      </x:c>
      <x:c r="C17" s="442" t="n">
        <x:v>2169</x:v>
      </x:c>
      <x:c r="D17" s="442" t="n">
        <x:v>3032</x:v>
      </x:c>
      <x:c r="E17" s="445"/>
      <x:c r="F17" s="445" t="n">
        <x:v>0.39787920700783763</x:v>
      </x:c>
      <x:c r="G17" s="436" t="n">
        <x:v>0</x:v>
      </x:c>
      <x:c r="H17" s="437" t="n">
        <x:v>8</x:v>
      </x:c>
    </x:row>
    <x:row r="18" ht="20" customHeight="1">
      <x:c r="A18" s="435" t="str">
        <x:v>Apr</x:v>
      </x:c>
      <x:c r="B18" s="442" t="n">
        <x:v>1309</x:v>
      </x:c>
      <x:c r="C18" s="442" t="n">
        <x:v>298</x:v>
      </x:c>
      <x:c r="D18" s="442" t="n">
        <x:v>1736</x:v>
      </x:c>
      <x:c r="E18" s="445" t="n">
        <x:v>-0.7723453017570665</x:v>
      </x:c>
      <x:c r="F18" s="445" t="n">
        <x:v>4.825503355704698</x:v>
      </x:c>
      <x:c r="G18" s="436" t="n">
        <x:v>2</x:v>
      </x:c>
      <x:c r="H18" s="437" t="n">
        <x:v>1</x:v>
      </x:c>
    </x:row>
    <x:row r="19" ht="20" customHeight="1">
      <x:c r="A19" s="435" t="str">
        <x:v>May</x:v>
      </x:c>
      <x:c r="B19" s="442" t="n">
        <x:v>1941</x:v>
      </x:c>
      <x:c r="C19" s="442" t="n">
        <x:v>833.4</x:v>
      </x:c>
      <x:c r="D19" s="442" t="n">
        <x:v>2572.5</x:v>
      </x:c>
      <x:c r="E19" s="445" t="n">
        <x:v>-0.5706336939721792</x:v>
      </x:c>
      <x:c r="F19" s="445" t="n">
        <x:v>2.0867530597552197</x:v>
      </x:c>
      <x:c r="G19" s="436" t="n">
        <x:v>7</x:v>
      </x:c>
      <x:c r="H19" s="437" t="n">
        <x:v>2</x:v>
      </x:c>
    </x:row>
    <x:row r="20" ht="20" customHeight="1">
      <x:c r="A20" s="435" t="str">
        <x:v>Jun</x:v>
      </x:c>
      <x:c r="B20" s="442" t="n">
        <x:v>1528</x:v>
      </x:c>
      <x:c r="C20" s="442" t="n">
        <x:v>1245.2</x:v>
      </x:c>
      <x:c r="D20" s="442" t="n">
        <x:v>2761.75</x:v>
      </x:c>
      <x:c r="E20" s="445" t="n">
        <x:v>-0.1850785340314136</x:v>
      </x:c>
      <x:c r="F20" s="445" t="n">
        <x:v>1.2179168005139736</x:v>
      </x:c>
      <x:c r="G20" s="436" t="n">
        <x:v>4</x:v>
      </x:c>
      <x:c r="H20" s="437" t="n">
        <x:v>10</x:v>
      </x:c>
    </x:row>
    <x:row r="21" ht="20" customHeight="1">
      <x:c r="A21" s="435" t="str">
        <x:v>Jul</x:v>
      </x:c>
      <x:c r="B21" s="442" t="n">
        <x:v>1117.7</x:v>
      </x:c>
      <x:c r="C21" s="442" t="n">
        <x:v>774.6</x:v>
      </x:c>
      <x:c r="D21" s="442"/>
      <x:c r="E21" s="445" t="n">
        <x:v>-0.30696966985774354</x:v>
      </x:c>
      <x:c r="F21" s="445"/>
      <x:c r="G21" s="436" t="n">
        <x:v>4</x:v>
      </x:c>
      <x:c r="H21" s="437" t="n">
        <x:v>4</x:v>
      </x:c>
    </x:row>
    <x:row r="22" ht="20" customHeight="1">
      <x:c r="A22" s="435" t="str">
        <x:v>Aug</x:v>
      </x:c>
      <x:c r="B22" s="442" t="n">
        <x:v>1086</x:v>
      </x:c>
      <x:c r="C22" s="442" t="n">
        <x:v>2347.94</x:v>
      </x:c>
      <x:c r="D22" s="442"/>
      <x:c r="E22" s="445" t="n">
        <x:v>1.1620073664825048</x:v>
      </x:c>
      <x:c r="F22" s="445"/>
      <x:c r="G22" s="436" t="n">
        <x:v>6</x:v>
      </x:c>
      <x:c r="H22" s="437" t="n">
        <x:v>10</x:v>
      </x:c>
    </x:row>
    <x:row r="23" ht="20" customHeight="1">
      <x:c r="A23" s="435" t="str">
        <x:v>Sep</x:v>
      </x:c>
      <x:c r="B23" s="442" t="n">
        <x:v>460</x:v>
      </x:c>
      <x:c r="C23" s="442" t="n">
        <x:v>251</x:v>
      </x:c>
      <x:c r="D23" s="442"/>
      <x:c r="E23" s="445" t="n">
        <x:v>-0.45434782608695656</x:v>
      </x:c>
      <x:c r="F23" s="445"/>
      <x:c r="G23" s="436" t="n">
        <x:v>3</x:v>
      </x:c>
      <x:c r="H23" s="437" t="n">
        <x:v>2</x:v>
      </x:c>
    </x:row>
    <x:row r="24" ht="20" customHeight="1">
      <x:c r="A24" s="435" t="str">
        <x:v>Oct</x:v>
      </x:c>
      <x:c r="B24" s="442" t="n">
        <x:v>980</x:v>
      </x:c>
      <x:c r="C24" s="442" t="n">
        <x:v>2604.5</x:v>
      </x:c>
      <x:c r="D24" s="442"/>
      <x:c r="E24" s="445" t="n">
        <x:v>1.6576530612244897</x:v>
      </x:c>
      <x:c r="F24" s="445"/>
      <x:c r="G24" s="436" t="n">
        <x:v>8</x:v>
      </x:c>
      <x:c r="H24" s="437" t="n">
        <x:v>8</x:v>
      </x:c>
    </x:row>
    <x:row r="25" ht="20" customHeight="1">
      <x:c r="A25" s="435" t="str">
        <x:v>Nov</x:v>
      </x:c>
      <x:c r="B25" s="442" t="n">
        <x:v>1609</x:v>
      </x:c>
      <x:c r="C25" s="442" t="n">
        <x:v>1473.4</x:v>
      </x:c>
      <x:c r="D25" s="442"/>
      <x:c r="E25" s="445" t="n">
        <x:v>-0.08427594779366065</x:v>
      </x:c>
      <x:c r="F25" s="445"/>
      <x:c r="G25" s="436" t="n">
        <x:v>5</x:v>
      </x:c>
      <x:c r="H25" s="437" t="n">
        <x:v>7</x:v>
      </x:c>
    </x:row>
    <x:row r="26" ht="20" customHeight="1">
      <x:c r="A26" s="438" t="str">
        <x:v>Dec</x:v>
      </x:c>
      <x:c r="B26" s="443" t="n">
        <x:v>1458.3</x:v>
      </x:c>
      <x:c r="C26" s="443" t="n">
        <x:v>2620.55</x:v>
      </x:c>
      <x:c r="D26" s="443"/>
      <x:c r="E26" s="446" t="n">
        <x:v>0.7969896454776111</x:v>
      </x:c>
      <x:c r="F26" s="446"/>
      <x:c r="G26" s="439" t="n">
        <x:v>8</x:v>
      </x:c>
      <x:c r="H26" s="440" t="n">
        <x:v>9</x:v>
      </x:c>
    </x:row>
    <x:row r="27" ht="20" customHeight="1"/>
    <x:row r="28" ht="20" customHeight="1"/>
    <x:row r="29" ht="20" customHeight="1">
      <x:c r="A29" s="419" t="str">
        <x:v>Management Reading / 管理解讀</x:v>
      </x:c>
    </x:row>
    <x:row r="30" ht="20" customHeight="1">
      <x:c r="A30" s="447" t="str">
        <x:v>1</x:v>
      </x:c>
      <x:c r="B30" s="18" t="str">
        <x:v>2025全年採購 $17,759.29，較2024全年 $12,441 增加42.7%；2026上半年已達 $14,563.15，較2025上半年增加89.4%。</x:v>
      </x:c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  <x:c r="O30" s="18"/>
      <x:c r="P30" s="18"/>
      <x:c r="Q30" s="18"/>
      <x:c r="R30" s="18"/>
    </x:row>
    <x:row r="31" ht="20" customHeight="1">
      <x:c r="A31" s="447" t="str">
        <x:v>2</x:v>
      </x:c>
      <x:c r="B31" s="18" t="str">
        <x:v>2026上半年增加主因是車針：車針採購由2025 H1的 $480 升至2026 H1的 $8,942；非車針機修/耗材反而約下降22.0%。</x:v>
      </x:c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  <x:c r="O31" s="18"/>
      <x:c r="P31" s="18"/>
      <x:c r="Q31" s="18"/>
      <x:c r="R31" s="18"/>
    </x:row>
    <x:row r="32" ht="20" customHeight="1">
      <x:c r="A32" s="447" t="str">
        <x:v>3</x:v>
      </x:c>
      <x:c r="B32" s="18" t="str">
        <x:v>採購 ≠ 消耗。本報告另用9月領用表分析實際消耗，避免把備庫或一次性維修採購誤判為使用量。</x:v>
      </x:c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  <x:c r="O32" s="18"/>
      <x:c r="P32" s="18"/>
      <x:c r="Q32" s="18"/>
      <x:c r="R32" s="18"/>
    </x:row>
    <x:row r="33" ht="20" customHeight="1">
      <x:c r="A33" s="447" t="str">
        <x:v>4</x:v>
      </x:c>
      <x:c r="B33" s="18" t="str">
        <x:v>2024每月金額可完整比較，但早期Hong Ye多為手寫發票，品項/數量辨識不完整，因此2024分類與數量只使用高可信資料，不做假精準。</x:v>
      </x:c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  <x:c r="O33" s="18"/>
      <x:c r="P33" s="18"/>
      <x:c r="Q33" s="18"/>
      <x:c r="R33" s="18"/>
    </x:row>
    <x:row r="34" ht="20" customHeight="1">
      <x:c r="A34" s="447" t="str">
        <x:v>5</x:v>
      </x:c>
      <x:c r="B34" s="18" t="str">
        <x:v>生產連動目前用2026 Jan–May實際月產量；完整每月款式數歷史未取得，因此款式關聯只能用換款紀錄與車針領用原因做佐證。</x:v>
      </x:c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18"/>
      <x:c r="P34" s="18"/>
      <x:c r="Q34" s="18"/>
      <x:c r="R34" s="18"/>
    </x:row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/>
    <x:row r="57" ht="20" customHeight="1"/>
    <x:row r="58" ht="20" customHeight="1"/>
    <x:row r="59" ht="20" customHeight="1"/>
    <x:row r="60" ht="20" customHeight="1"/>
  </x:sheetData>
  <x:mergeCells>
    <x:mergeCell ref="A1:R2"/>
    <x:mergeCell ref="A3:R3"/>
    <x:mergeCell ref="A5:C5"/>
    <x:mergeCell ref="A6:C7"/>
    <x:mergeCell ref="D5:F5"/>
    <x:mergeCell ref="D6:F7"/>
    <x:mergeCell ref="G5:I5"/>
    <x:mergeCell ref="G6:I7"/>
    <x:mergeCell ref="J5:L5"/>
    <x:mergeCell ref="J6:L7"/>
    <x:mergeCell ref="A9:C9"/>
    <x:mergeCell ref="A10:C11"/>
    <x:mergeCell ref="D9:F9"/>
    <x:mergeCell ref="D10:F11"/>
    <x:mergeCell ref="G9:I9"/>
    <x:mergeCell ref="G10:I11"/>
    <x:mergeCell ref="J9:L9"/>
    <x:mergeCell ref="J10:L11"/>
    <x:mergeCell ref="B30:R30"/>
    <x:mergeCell ref="B31:R31"/>
    <x:mergeCell ref="B32:R32"/>
    <x:mergeCell ref="B33:R33"/>
    <x:mergeCell ref="B34:R34"/>
  </x:mergeCells>
  <x:conditionalFormatting sqref="E15:F26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drawing xmlns:r="http://schemas.openxmlformats.org/officeDocument/2006/relationships" r:id="R3822d2558ac04d6b"/>
</x:worksheet>
</file>

<file path=xl/worksheets/sheet20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3" hidden="0" customWidth="1"/>
    <x:col min="3" max="3" width="13" hidden="0" customWidth="1"/>
    <x:col min="4" max="4" width="13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3" hidden="0" customWidth="1"/>
    <x:col min="11" max="11" width="13" hidden="0" customWidth="1"/>
    <x:col min="12" max="12" width="16" hidden="0" customWidth="1"/>
    <x:col min="13" max="13" width="34" hidden="0" customWidth="1"/>
    <x:col min="14" max="14" width="34" hidden="0" customWidth="1"/>
  </x:cols>
  <x:sheetData>
    <x:row r="1" ht="20" customHeight="1">
      <x:c r="A1" s="407" t="str">
        <x:v>Same-Month Year-over-Year Procurement Comparison | 同月份跨年度比較</x:v>
      </x:c>
      <x:c r="B1" s="407"/>
      <x:c r="C1" s="407"/>
      <x:c r="D1" s="407"/>
      <x:c r="E1" s="407"/>
      <x:c r="F1" s="407"/>
      <x:c r="G1" s="407"/>
      <x:c r="H1" s="407"/>
      <x:c r="I1" s="407"/>
      <x:c r="J1" s="407"/>
      <x:c r="K1" s="407"/>
      <x:c r="L1" s="407"/>
      <x:c r="M1" s="407"/>
      <x:c r="N1" s="407"/>
    </x:row>
    <x:row r="2" ht="20" customHeight="1">
      <x:c r="A2" s="407"/>
      <x:c r="B2" s="407"/>
      <x:c r="C2" s="407"/>
      <x:c r="D2" s="407"/>
      <x:c r="E2" s="407"/>
      <x:c r="F2" s="407"/>
      <x:c r="G2" s="407"/>
      <x:c r="H2" s="407"/>
      <x:c r="I2" s="407"/>
      <x:c r="J2" s="407"/>
      <x:c r="K2" s="407"/>
      <x:c r="L2" s="407"/>
      <x:c r="M2" s="407"/>
      <x:c r="N2" s="407"/>
    </x:row>
    <x:row r="3" ht="20" customHeight="1"/>
    <x:row r="4" ht="20" customHeight="1">
      <x:c r="A4" s="423" t="str">
        <x:v>Month</x:v>
      </x:c>
      <x:c r="B4" s="423" t="str">
        <x:v>2024 Spend</x:v>
      </x:c>
      <x:c r="C4" s="423" t="str">
        <x:v>2025 Spend</x:v>
      </x:c>
      <x:c r="D4" s="423" t="str">
        <x:v>2026 H1 Spend</x:v>
      </x:c>
      <x:c r="E4" s="423" t="str">
        <x:v>25 vs 24</x:v>
      </x:c>
      <x:c r="F4" s="423" t="str">
        <x:v>26 vs 25</x:v>
      </x:c>
      <x:c r="G4" s="423" t="str">
        <x:v>2024 Inv.</x:v>
      </x:c>
      <x:c r="H4" s="423" t="str">
        <x:v>2025 Inv.</x:v>
      </x:c>
      <x:c r="I4" s="423" t="str">
        <x:v>2026 Inv.</x:v>
      </x:c>
      <x:c r="J4" s="423" t="str">
        <x:v>24→25 Δ$</x:v>
      </x:c>
      <x:c r="K4" s="423" t="str">
        <x:v>25→26 Δ$</x:v>
      </x:c>
      <x:c r="L4" s="423" t="str">
        <x:v>Assessment</x:v>
      </x:c>
      <x:c r="M4" s="423" t="str">
        <x:v>Qty Basis</x:v>
      </x:c>
      <x:c r="N4" s="423" t="str">
        <x:v>Coverage</x:v>
      </x:c>
    </x:row>
    <x:row r="5" ht="20" customHeight="1">
      <x:c r="A5" s="432" t="str">
        <x:v>Jan</x:v>
      </x:c>
      <x:c r="B5" s="441" t="n">
        <x:v>846</x:v>
      </x:c>
      <x:c r="C5" s="441" t="n">
        <x:v>1689.4</x:v>
      </x:c>
      <x:c r="D5" s="441" t="n">
        <x:v>2610</x:v>
      </x:c>
      <x:c r="E5" s="444" t="n">
        <x:v>0.9969267139479907</x:v>
      </x:c>
      <x:c r="F5" s="444" t="n">
        <x:v>0.5449271930863027</x:v>
      </x:c>
      <x:c r="G5" s="433" t="n">
        <x:v>3</x:v>
      </x:c>
      <x:c r="H5" s="433" t="n">
        <x:v>6</x:v>
      </x:c>
      <x:c r="I5" s="433" t="n">
        <x:v>9</x:v>
      </x:c>
      <x:c r="J5" s="441" t="n">
        <x:v>843.4000000000001</x:v>
      </x:c>
      <x:c r="K5" s="441" t="n">
        <x:v>920.5999999999999</x:v>
      </x:c>
      <x:c r="L5" s="448" t="str">
        <x:v>High increase</x:v>
      </x:c>
      <x:c r="M5" s="448" t="str">
        <x:v>Mixed units: compare qty by item/category</x:v>
      </x:c>
      <x:c r="N5" s="449" t="str">
        <x:v>2024 amount complete; item qty partial</x:v>
      </x:c>
    </x:row>
    <x:row r="6" ht="20" customHeight="1">
      <x:c r="A6" s="435" t="str">
        <x:v>Feb</x:v>
      </x:c>
      <x:c r="B6" s="442" t="n">
        <x:v>106</x:v>
      </x:c>
      <x:c r="C6" s="442" t="n">
        <x:v>1452.3</x:v>
      </x:c>
      <x:c r="D6" s="442" t="n">
        <x:v>1850.9</x:v>
      </x:c>
      <x:c r="E6" s="445" t="n">
        <x:v>12.700943396226414</x:v>
      </x:c>
      <x:c r="F6" s="445" t="n">
        <x:v>0.27446119947669234</x:v>
      </x:c>
      <x:c r="G6" s="436" t="n">
        <x:v>1</x:v>
      </x:c>
      <x:c r="H6" s="436" t="n">
        <x:v>5</x:v>
      </x:c>
      <x:c r="I6" s="436" t="n">
        <x:v>6</x:v>
      </x:c>
      <x:c r="J6" s="442" t="n">
        <x:v>1346.3</x:v>
      </x:c>
      <x:c r="K6" s="442" t="n">
        <x:v>398.60000000000014</x:v>
      </x:c>
      <x:c r="L6" s="450" t="str">
        <x:v>Increase</x:v>
      </x:c>
      <x:c r="M6" s="450" t="str">
        <x:v>Mixed units: compare qty by item/category</x:v>
      </x:c>
      <x:c r="N6" s="451" t="str">
        <x:v>2024 amount complete; item qty partial</x:v>
      </x:c>
    </x:row>
    <x:row r="7" ht="20" customHeight="1">
      <x:c r="A7" s="435" t="str">
        <x:v>Mar</x:v>
      </x:c>
      <x:c r="B7" s="442" t="n">
        <x:v>0</x:v>
      </x:c>
      <x:c r="C7" s="442" t="n">
        <x:v>2169</x:v>
      </x:c>
      <x:c r="D7" s="442" t="n">
        <x:v>3032</x:v>
      </x:c>
      <x:c r="E7" s="445"/>
      <x:c r="F7" s="445" t="n">
        <x:v>0.39787920700783763</x:v>
      </x:c>
      <x:c r="G7" s="436" t="n">
        <x:v>0</x:v>
      </x:c>
      <x:c r="H7" s="436" t="n">
        <x:v>8</x:v>
      </x:c>
      <x:c r="I7" s="436" t="n">
        <x:v>10</x:v>
      </x:c>
      <x:c r="J7" s="442" t="n">
        <x:v>2169</x:v>
      </x:c>
      <x:c r="K7" s="442" t="n">
        <x:v>863</x:v>
      </x:c>
      <x:c r="L7" s="450" t="str">
        <x:v>Increase</x:v>
      </x:c>
      <x:c r="M7" s="450" t="str">
        <x:v>Mixed units: compare qty by item/category</x:v>
      </x:c>
      <x:c r="N7" s="451" t="str">
        <x:v>2024 amount complete; item qty partial</x:v>
      </x:c>
    </x:row>
    <x:row r="8" ht="20" customHeight="1">
      <x:c r="A8" s="435" t="str">
        <x:v>Apr</x:v>
      </x:c>
      <x:c r="B8" s="442" t="n">
        <x:v>1309</x:v>
      </x:c>
      <x:c r="C8" s="442" t="n">
        <x:v>298</x:v>
      </x:c>
      <x:c r="D8" s="442" t="n">
        <x:v>1736</x:v>
      </x:c>
      <x:c r="E8" s="445" t="n">
        <x:v>-0.7723453017570665</x:v>
      </x:c>
      <x:c r="F8" s="445" t="n">
        <x:v>4.825503355704698</x:v>
      </x:c>
      <x:c r="G8" s="436" t="n">
        <x:v>2</x:v>
      </x:c>
      <x:c r="H8" s="436" t="n">
        <x:v>1</x:v>
      </x:c>
      <x:c r="I8" s="436" t="n">
        <x:v>5</x:v>
      </x:c>
      <x:c r="J8" s="442" t="n">
        <x:v>-1011</x:v>
      </x:c>
      <x:c r="K8" s="442" t="n">
        <x:v>1438</x:v>
      </x:c>
      <x:c r="L8" s="450" t="str">
        <x:v>High increase</x:v>
      </x:c>
      <x:c r="M8" s="450" t="str">
        <x:v>Mixed units: compare qty by item/category</x:v>
      </x:c>
      <x:c r="N8" s="451" t="str">
        <x:v>2024 amount complete; item qty partial</x:v>
      </x:c>
    </x:row>
    <x:row r="9" ht="20" customHeight="1">
      <x:c r="A9" s="435" t="str">
        <x:v>May</x:v>
      </x:c>
      <x:c r="B9" s="442" t="n">
        <x:v>1941</x:v>
      </x:c>
      <x:c r="C9" s="442" t="n">
        <x:v>833.4</x:v>
      </x:c>
      <x:c r="D9" s="442" t="n">
        <x:v>2572.5</x:v>
      </x:c>
      <x:c r="E9" s="445" t="n">
        <x:v>-0.5706336939721792</x:v>
      </x:c>
      <x:c r="F9" s="445" t="n">
        <x:v>2.0867530597552197</x:v>
      </x:c>
      <x:c r="G9" s="436" t="n">
        <x:v>7</x:v>
      </x:c>
      <x:c r="H9" s="436" t="n">
        <x:v>2</x:v>
      </x:c>
      <x:c r="I9" s="436" t="n">
        <x:v>6</x:v>
      </x:c>
      <x:c r="J9" s="442" t="n">
        <x:v>-1107.6</x:v>
      </x:c>
      <x:c r="K9" s="442" t="n">
        <x:v>1739.1</x:v>
      </x:c>
      <x:c r="L9" s="450" t="str">
        <x:v>High increase</x:v>
      </x:c>
      <x:c r="M9" s="450" t="str">
        <x:v>Mixed units: compare qty by item/category</x:v>
      </x:c>
      <x:c r="N9" s="451" t="str">
        <x:v>2024 amount complete; item qty partial</x:v>
      </x:c>
    </x:row>
    <x:row r="10" ht="20" customHeight="1">
      <x:c r="A10" s="435" t="str">
        <x:v>Jun</x:v>
      </x:c>
      <x:c r="B10" s="442" t="n">
        <x:v>1528</x:v>
      </x:c>
      <x:c r="C10" s="442" t="n">
        <x:v>1245.2</x:v>
      </x:c>
      <x:c r="D10" s="442" t="n">
        <x:v>2761.75</x:v>
      </x:c>
      <x:c r="E10" s="445" t="n">
        <x:v>-0.1850785340314136</x:v>
      </x:c>
      <x:c r="F10" s="445" t="n">
        <x:v>1.2179168005139736</x:v>
      </x:c>
      <x:c r="G10" s="436" t="n">
        <x:v>4</x:v>
      </x:c>
      <x:c r="H10" s="436" t="n">
        <x:v>10</x:v>
      </x:c>
      <x:c r="I10" s="436" t="n">
        <x:v>8</x:v>
      </x:c>
      <x:c r="J10" s="442" t="n">
        <x:v>-282.79999999999995</x:v>
      </x:c>
      <x:c r="K10" s="442" t="n">
        <x:v>1516.55</x:v>
      </x:c>
      <x:c r="L10" s="450" t="str">
        <x:v>High increase</x:v>
      </x:c>
      <x:c r="M10" s="450" t="str">
        <x:v>Mixed units: compare qty by item/category</x:v>
      </x:c>
      <x:c r="N10" s="451" t="str">
        <x:v>2024 amount complete; item qty partial</x:v>
      </x:c>
    </x:row>
    <x:row r="11" ht="20" customHeight="1">
      <x:c r="A11" s="435" t="str">
        <x:v>Jul</x:v>
      </x:c>
      <x:c r="B11" s="442" t="n">
        <x:v>1117.7</x:v>
      </x:c>
      <x:c r="C11" s="442" t="n">
        <x:v>774.6</x:v>
      </x:c>
      <x:c r="D11" s="442"/>
      <x:c r="E11" s="445" t="n">
        <x:v>-0.30696966985774354</x:v>
      </x:c>
      <x:c r="F11" s="445"/>
      <x:c r="G11" s="436" t="n">
        <x:v>4</x:v>
      </x:c>
      <x:c r="H11" s="436" t="n">
        <x:v>4</x:v>
      </x:c>
      <x:c r="I11" s="436"/>
      <x:c r="J11" s="442" t="n">
        <x:v>-343.1</x:v>
      </x:c>
      <x:c r="K11" s="442"/>
      <x:c r="L11" s="450" t="str">
        <x:v>2026 not available</x:v>
      </x:c>
      <x:c r="M11" s="450" t="str">
        <x:v>Mixed units: compare qty by item/category</x:v>
      </x:c>
      <x:c r="N11" s="451" t="str">
        <x:v>2024 amount complete; item qty partial</x:v>
      </x:c>
    </x:row>
    <x:row r="12" ht="20" customHeight="1">
      <x:c r="A12" s="435" t="str">
        <x:v>Aug</x:v>
      </x:c>
      <x:c r="B12" s="442" t="n">
        <x:v>1086</x:v>
      </x:c>
      <x:c r="C12" s="442" t="n">
        <x:v>2347.94</x:v>
      </x:c>
      <x:c r="D12" s="442"/>
      <x:c r="E12" s="445" t="n">
        <x:v>1.1620073664825048</x:v>
      </x:c>
      <x:c r="F12" s="445"/>
      <x:c r="G12" s="436" t="n">
        <x:v>6</x:v>
      </x:c>
      <x:c r="H12" s="436" t="n">
        <x:v>10</x:v>
      </x:c>
      <x:c r="I12" s="436"/>
      <x:c r="J12" s="442" t="n">
        <x:v>1261.94</x:v>
      </x:c>
      <x:c r="K12" s="442"/>
      <x:c r="L12" s="450" t="str">
        <x:v>2026 not available</x:v>
      </x:c>
      <x:c r="M12" s="450" t="str">
        <x:v>Mixed units: compare qty by item/category</x:v>
      </x:c>
      <x:c r="N12" s="451" t="str">
        <x:v>2024 amount complete; item qty partial</x:v>
      </x:c>
    </x:row>
    <x:row r="13" ht="20" customHeight="1">
      <x:c r="A13" s="435" t="str">
        <x:v>Sep</x:v>
      </x:c>
      <x:c r="B13" s="442" t="n">
        <x:v>460</x:v>
      </x:c>
      <x:c r="C13" s="442" t="n">
        <x:v>251</x:v>
      </x:c>
      <x:c r="D13" s="442"/>
      <x:c r="E13" s="445" t="n">
        <x:v>-0.45434782608695656</x:v>
      </x:c>
      <x:c r="F13" s="445"/>
      <x:c r="G13" s="436" t="n">
        <x:v>3</x:v>
      </x:c>
      <x:c r="H13" s="436" t="n">
        <x:v>2</x:v>
      </x:c>
      <x:c r="I13" s="436"/>
      <x:c r="J13" s="442" t="n">
        <x:v>-209</x:v>
      </x:c>
      <x:c r="K13" s="442"/>
      <x:c r="L13" s="450" t="str">
        <x:v>2026 not available</x:v>
      </x:c>
      <x:c r="M13" s="450" t="str">
        <x:v>Mixed units: compare qty by item/category</x:v>
      </x:c>
      <x:c r="N13" s="451" t="str">
        <x:v>2024 amount complete; item qty partial</x:v>
      </x:c>
    </x:row>
    <x:row r="14" ht="20" customHeight="1">
      <x:c r="A14" s="435" t="str">
        <x:v>Oct</x:v>
      </x:c>
      <x:c r="B14" s="442" t="n">
        <x:v>980</x:v>
      </x:c>
      <x:c r="C14" s="442" t="n">
        <x:v>2604.5</x:v>
      </x:c>
      <x:c r="D14" s="442"/>
      <x:c r="E14" s="445" t="n">
        <x:v>1.6576530612244897</x:v>
      </x:c>
      <x:c r="F14" s="445"/>
      <x:c r="G14" s="436" t="n">
        <x:v>8</x:v>
      </x:c>
      <x:c r="H14" s="436" t="n">
        <x:v>8</x:v>
      </x:c>
      <x:c r="I14" s="436"/>
      <x:c r="J14" s="442" t="n">
        <x:v>1624.5</x:v>
      </x:c>
      <x:c r="K14" s="442"/>
      <x:c r="L14" s="450" t="str">
        <x:v>2026 not available</x:v>
      </x:c>
      <x:c r="M14" s="450" t="str">
        <x:v>Mixed units: compare qty by item/category</x:v>
      </x:c>
      <x:c r="N14" s="451" t="str">
        <x:v>2024 amount complete; item qty partial</x:v>
      </x:c>
    </x:row>
    <x:row r="15" ht="20" customHeight="1">
      <x:c r="A15" s="435" t="str">
        <x:v>Nov</x:v>
      </x:c>
      <x:c r="B15" s="442" t="n">
        <x:v>1609</x:v>
      </x:c>
      <x:c r="C15" s="442" t="n">
        <x:v>1473.4</x:v>
      </x:c>
      <x:c r="D15" s="442"/>
      <x:c r="E15" s="445" t="n">
        <x:v>-0.08427594779366065</x:v>
      </x:c>
      <x:c r="F15" s="445"/>
      <x:c r="G15" s="436" t="n">
        <x:v>5</x:v>
      </x:c>
      <x:c r="H15" s="436" t="n">
        <x:v>7</x:v>
      </x:c>
      <x:c r="I15" s="436"/>
      <x:c r="J15" s="442" t="n">
        <x:v>-135.5999999999999</x:v>
      </x:c>
      <x:c r="K15" s="442"/>
      <x:c r="L15" s="450" t="str">
        <x:v>2026 not available</x:v>
      </x:c>
      <x:c r="M15" s="450" t="str">
        <x:v>Mixed units: compare qty by item/category</x:v>
      </x:c>
      <x:c r="N15" s="451" t="str">
        <x:v>2024 amount complete; item qty partial</x:v>
      </x:c>
    </x:row>
    <x:row r="16" ht="20" customHeight="1">
      <x:c r="A16" s="438" t="str">
        <x:v>Dec</x:v>
      </x:c>
      <x:c r="B16" s="443" t="n">
        <x:v>1458.3</x:v>
      </x:c>
      <x:c r="C16" s="443" t="n">
        <x:v>2620.55</x:v>
      </x:c>
      <x:c r="D16" s="443"/>
      <x:c r="E16" s="446" t="n">
        <x:v>0.7969896454776111</x:v>
      </x:c>
      <x:c r="F16" s="446"/>
      <x:c r="G16" s="439" t="n">
        <x:v>8</x:v>
      </x:c>
      <x:c r="H16" s="439" t="n">
        <x:v>9</x:v>
      </x:c>
      <x:c r="I16" s="439"/>
      <x:c r="J16" s="443" t="n">
        <x:v>1162.2500000000002</x:v>
      </x:c>
      <x:c r="K16" s="443"/>
      <x:c r="L16" s="452" t="str">
        <x:v>2026 not available</x:v>
      </x:c>
      <x:c r="M16" s="452" t="str">
        <x:v>Mixed units: compare qty by item/category</x:v>
      </x:c>
      <x:c r="N16" s="453" t="str">
        <x:v>2024 amount complete; item qty partial</x:v>
      </x:c>
    </x:row>
    <x:row r="17" ht="20" customHeight="1"/>
    <x:row r="18" ht="20" customHeight="1"/>
    <x:row r="19" ht="20" customHeight="1">
      <x:c r="A19" s="419" t="str">
        <x:v>Key YoY Differences / 同月重點差異</x:v>
      </x:c>
    </x:row>
    <x:row r="20" ht="20" customHeight="1">
      <x:c r="A20" s="447" t="str">
        <x:v>2024→25</x:v>
      </x:c>
      <x:c r="B20" s="18" t="str">
        <x:v>最大升幅：Feb +1,270.1%、Oct +165.8%、Aug +116.2%、Jan +99.7%；最大降幅：Apr -77.2%、May -57.1%、Sep -45.4%。</x:v>
      </x:c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</x:row>
    <x:row r="21" ht="20" customHeight="1">
      <x:c r="A21" s="447" t="str">
        <x:v>2025→26</x:v>
      </x:c>
      <x:c r="B21" s="18" t="str">
        <x:v>2026 H1中，Apr +482.6%、May +208.7%、Jun +121.8%最明顯；需回到車針補庫、設備/維修與品項結構拆解，而非只看總額。</x:v>
      </x:c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</x:row>
    <x:row r="22" ht="20" customHeight="1">
      <x:c r="A22" s="447" t="str">
        <x:v>Quantity</x:v>
      </x:c>
      <x:c r="B22" s="18" t="str">
        <x:v>機修零件單位包含 pcs/set/box/can 等，不能把不同單位直接加成一個『總件數』。因此數量比較在車針與同Part No./同單位層級進行。</x:v>
      </x:c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</x:row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/>
    <x:row r="57" ht="20" customHeight="1"/>
    <x:row r="58" ht="20" customHeight="1"/>
    <x:row r="59" ht="20" customHeight="1"/>
    <x:row r="60" ht="20" customHeight="1"/>
  </x:sheetData>
  <x:mergeCells>
    <x:mergeCell ref="A1:N2"/>
    <x:mergeCell ref="B20:N20"/>
    <x:mergeCell ref="B21:N21"/>
    <x:mergeCell ref="B22:N22"/>
  </x:mergeCells>
  <x:conditionalFormatting sqref="E5:F16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7" hidden="0" customWidth="1"/>
    <x:col min="5" max="5" width="17" hidden="0" customWidth="1"/>
    <x:col min="6" max="6" width="15" hidden="0" customWidth="1"/>
    <x:col min="7" max="7" width="15" hidden="0" customWidth="1"/>
    <x:col min="9" max="9" width="15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20" customHeight="1">
      <x:c r="A1" s="407" t="str">
        <x:v>Annual &amp; H1 Comparison | 全年與上半年可比基準</x:v>
      </x:c>
      <x:c r="B1" s="407"/>
      <x:c r="C1" s="407"/>
      <x:c r="D1" s="407"/>
      <x:c r="E1" s="407"/>
      <x:c r="F1" s="407"/>
      <x:c r="G1" s="407"/>
      <x:c r="H1" s="407"/>
      <x:c r="I1" s="407"/>
      <x:c r="J1" s="407"/>
      <x:c r="K1" s="407"/>
      <x:c r="L1" s="407"/>
    </x:row>
    <x:row r="2" ht="20" customHeight="1">
      <x:c r="A2" s="407"/>
      <x:c r="B2" s="407"/>
      <x:c r="C2" s="407"/>
      <x:c r="D2" s="407"/>
      <x:c r="E2" s="407"/>
      <x:c r="F2" s="407"/>
      <x:c r="G2" s="407"/>
      <x:c r="H2" s="407"/>
      <x:c r="I2" s="407"/>
      <x:c r="J2" s="407"/>
      <x:c r="K2" s="407"/>
      <x:c r="L2" s="407"/>
    </x:row>
    <x:row r="3" ht="20" customHeight="1"/>
    <x:row r="4" ht="20" customHeight="1">
      <x:c r="A4" s="419" t="str">
        <x:v>Full-Year / Available Period</x:v>
      </x:c>
    </x:row>
    <x:row r="5" ht="20" customHeight="1">
      <x:c r="A5" s="423" t="str">
        <x:v>Period</x:v>
      </x:c>
      <x:c r="B5" s="423" t="str">
        <x:v>Spend</x:v>
      </x:c>
      <x:c r="C5" s="423" t="str">
        <x:v>YoY</x:v>
      </x:c>
      <x:c r="D5" s="423" t="str">
        <x:v>Coverage</x:v>
      </x:c>
      <x:c r="E5" s="423" t="str">
        <x:v>Comment</x:v>
      </x:c>
      <x:c r="I5" t="str">
        <x:v>Period</x:v>
      </x:c>
      <x:c r="J5" t="str">
        <x:v>Total</x:v>
      </x:c>
      <x:c r="K5" t="str">
        <x:v>Needle</x:v>
      </x:c>
      <x:c r="L5" t="str">
        <x:v>Non-Needle</x:v>
      </x:c>
    </x:row>
    <x:row r="6" ht="20" customHeight="1">
      <x:c r="A6" s="432" t="str">
        <x:v>2024 Full</x:v>
      </x:c>
      <x:c r="B6" s="441" t="n">
        <x:v>12441</x:v>
      </x:c>
      <x:c r="C6" s="444"/>
      <x:c r="D6" s="433" t="str">
        <x:v>12 months</x:v>
      </x:c>
      <x:c r="E6" s="434" t="str">
        <x:v>Amount complete; detailed item qty partial</x:v>
      </x:c>
      <x:c r="I6" t="str">
        <x:v>2025 H1</x:v>
      </x:c>
      <x:c r="J6" t="n">
        <x:v>7687.3</x:v>
      </x:c>
      <x:c r="K6" t="n">
        <x:v>480</x:v>
      </x:c>
      <x:c r="L6" t="n">
        <x:v>7207.3</x:v>
      </x:c>
    </x:row>
    <x:row r="7" ht="20" customHeight="1">
      <x:c r="A7" s="435" t="str">
        <x:v>2025 Full</x:v>
      </x:c>
      <x:c r="B7" s="442" t="n">
        <x:v>17759.29</x:v>
      </x:c>
      <x:c r="C7" s="445" t="n">
        <x:v>0.427480909894703</x:v>
      </x:c>
      <x:c r="D7" s="436" t="str">
        <x:v>12 months</x:v>
      </x:c>
      <x:c r="E7" s="437" t="str">
        <x:v>Standardized detail available</x:v>
      </x:c>
      <x:c r="I7" t="str">
        <x:v>2026 H1</x:v>
      </x:c>
      <x:c r="J7" t="n">
        <x:v>14563.15</x:v>
      </x:c>
      <x:c r="K7" t="n">
        <x:v>8942</x:v>
      </x:c>
      <x:c r="L7" t="n">
        <x:v>5621.15</x:v>
      </x:c>
    </x:row>
    <x:row r="8" ht="20" customHeight="1">
      <x:c r="A8" s="438" t="str">
        <x:v>2026 H1</x:v>
      </x:c>
      <x:c r="B8" s="443" t="n">
        <x:v>14563.15</x:v>
      </x:c>
      <x:c r="C8" s="446"/>
      <x:c r="D8" s="439" t="str">
        <x:v>Jan–Jun</x:v>
      </x:c>
      <x:c r="E8" s="440" t="str">
        <x:v>H1 only; not full-year comparable</x:v>
      </x:c>
    </x:row>
    <x:row r="9" ht="20" customHeight="1"/>
    <x:row r="10" ht="20" customHeight="1">
      <x:c r="A10" s="419" t="str">
        <x:v>H1 Apples-to-Apples</x:v>
      </x:c>
    </x:row>
    <x:row r="11" ht="20" customHeight="1">
      <x:c r="A11" s="423" t="str">
        <x:v>Period</x:v>
      </x:c>
      <x:c r="B11" s="423" t="str">
        <x:v>Total</x:v>
      </x:c>
      <x:c r="C11" s="423" t="str">
        <x:v>Needle</x:v>
      </x:c>
      <x:c r="D11" s="423" t="str">
        <x:v>Non-Needle</x:v>
      </x:c>
      <x:c r="E11" s="423" t="str">
        <x:v>Needle Share</x:v>
      </x:c>
      <x:c r="F11" s="423" t="str">
        <x:v>YoY Total</x:v>
      </x:c>
      <x:c r="G11" s="423" t="str">
        <x:v>YoY Needle</x:v>
      </x:c>
    </x:row>
    <x:row r="12" ht="20" customHeight="1">
      <x:c r="A12" s="432" t="str">
        <x:v>2024 H1</x:v>
      </x:c>
      <x:c r="B12" s="441" t="n">
        <x:v>5730</x:v>
      </x:c>
      <x:c r="C12" s="441"/>
      <x:c r="D12" s="441"/>
      <x:c r="E12" s="444"/>
      <x:c r="F12" s="444"/>
      <x:c r="G12" s="454"/>
    </x:row>
    <x:row r="13" ht="20" customHeight="1">
      <x:c r="A13" s="435" t="str">
        <x:v>2025 H1</x:v>
      </x:c>
      <x:c r="B13" s="442" t="n">
        <x:v>7687.3</x:v>
      </x:c>
      <x:c r="C13" s="442" t="n">
        <x:v>480</x:v>
      </x:c>
      <x:c r="D13" s="442" t="n">
        <x:v>7207.3</x:v>
      </x:c>
      <x:c r="E13" s="445" t="n">
        <x:v>0.06244064886240943</x:v>
      </x:c>
      <x:c r="F13" s="445" t="n">
        <x:v>0.341588132635253</x:v>
      </x:c>
      <x:c r="G13" s="455"/>
    </x:row>
    <x:row r="14" ht="20" customHeight="1">
      <x:c r="A14" s="438" t="str">
        <x:v>2026 H1</x:v>
      </x:c>
      <x:c r="B14" s="443" t="n">
        <x:v>14563.15</x:v>
      </x:c>
      <x:c r="C14" s="443" t="n">
        <x:v>8942</x:v>
      </x:c>
      <x:c r="D14" s="443" t="n">
        <x:v>5621.15</x:v>
      </x:c>
      <x:c r="E14" s="446" t="n">
        <x:v>0.6140155117539818</x:v>
      </x:c>
      <x:c r="F14" s="446" t="n">
        <x:v>0.8944427822512455</x:v>
      </x:c>
      <x:c r="G14" s="456" t="n">
        <x:v>17.629166666666666</x:v>
      </x:c>
    </x:row>
    <x:row r="15" ht="20" customHeight="1"/>
    <x:row r="16" ht="20" customHeight="1"/>
    <x:row r="17" ht="20" customHeight="1">
      <x:c r="A17" s="419" t="str">
        <x:v>Management Conclusion</x:v>
      </x:c>
    </x:row>
    <x:row r="18" ht="20" customHeight="1">
      <x:c r="A18" s="447" t="str">
        <x:v>1</x:v>
      </x:c>
      <x:c r="B18" s="18" t="str">
        <x:v>2026 H1總採購較2025 H1增加89.4%，但結構完全不同：車針由6.2%提升到61.4%的採購占比。</x:v>
      </x:c>
      <x:c r="C18" s="18"/>
      <x:c r="D18" s="18"/>
      <x:c r="E18" s="18"/>
      <x:c r="F18" s="18"/>
      <x:c r="G18" s="18"/>
    </x:row>
    <x:row r="19" ht="20" customHeight="1">
      <x:c r="A19" s="447" t="str">
        <x:v>2</x:v>
      </x:c>
      <x:c r="B19" s="18" t="str">
        <x:v>非車針H1由 $7,207.30 降到 $5,621.15（-22.0%），表示總額增加並不是所有機修零件全面上升。</x:v>
      </x:c>
      <x:c r="C19" s="18"/>
      <x:c r="D19" s="18"/>
      <x:c r="E19" s="18"/>
      <x:c r="F19" s="18"/>
      <x:c r="G19" s="18"/>
    </x:row>
    <x:row r="20" ht="20" customHeight="1">
      <x:c r="A20" s="447" t="str">
        <x:v>3</x:v>
      </x:c>
      <x:c r="B20" s="18" t="str">
        <x:v>因此未來預算與異常警示應把車針獨立成Consumable，不宜與馬達、控制板、刀具、壓腳等機修零件混看。</x:v>
      </x:c>
      <x:c r="C20" s="18"/>
      <x:c r="D20" s="18"/>
      <x:c r="E20" s="18"/>
      <x:c r="F20" s="18"/>
      <x:c r="G20" s="18"/>
    </x:row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/>
    <x:row r="57" ht="20" customHeight="1"/>
    <x:row r="58" ht="20" customHeight="1"/>
    <x:row r="59" ht="20" customHeight="1"/>
    <x:row r="60" ht="20" customHeight="1"/>
  </x:sheetData>
  <x:mergeCells>
    <x:mergeCell ref="A1:L2"/>
    <x:mergeCell ref="B18:G18"/>
    <x:mergeCell ref="B19:G19"/>
    <x:mergeCell ref="B20:G20"/>
  </x:mergeCells>
  <x:pageMargins left="0.7" right="0.7" top="0.75" bottom="0.75" header="0.3" footer="0.3"/>
  <x:drawing xmlns:r="http://schemas.openxmlformats.org/officeDocument/2006/relationships" r:id="R5c685a121b6d4ce4"/>
</x:worksheet>
</file>

<file path=xl/worksheets/sheet2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3" hidden="0" customWidth="1"/>
    <x:col min="3" max="3" width="13" hidden="0" customWidth="1"/>
    <x:col min="4" max="4" width="13" hidden="0" customWidth="1"/>
    <x:col min="5" max="5" width="11" hidden="0" customWidth="1"/>
    <x:col min="6" max="6" width="11" hidden="0" customWidth="1"/>
    <x:col min="7" max="7" width="13" hidden="0" customWidth="1"/>
    <x:col min="8" max="8" width="13" hidden="0" customWidth="1"/>
    <x:col min="9" max="9" width="13" hidden="0" customWidth="1"/>
    <x:col min="10" max="10" width="11" hidden="0" customWidth="1"/>
    <x:col min="11" max="11" width="12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</x:cols>
  <x:sheetData>
    <x:row r="1" ht="20" customHeight="1">
      <x:c r="A1" s="407" t="str">
        <x:v>Sewing Needle Purchase, Frequency &amp; Consumption | 車針採購/頻率/消耗</x:v>
      </x:c>
      <x:c r="B1" s="407"/>
      <x:c r="C1" s="407"/>
      <x:c r="D1" s="407"/>
      <x:c r="E1" s="407"/>
      <x:c r="F1" s="407"/>
      <x:c r="G1" s="407"/>
      <x:c r="H1" s="407"/>
      <x:c r="I1" s="407"/>
      <x:c r="J1" s="407"/>
      <x:c r="K1" s="407"/>
      <x:c r="L1" s="407"/>
      <x:c r="M1" s="407"/>
      <x:c r="N1" s="407"/>
      <x:c r="O1" s="407"/>
      <x:c r="P1" s="407"/>
      <x:c r="Q1" s="407"/>
      <x:c r="R1" s="407"/>
      <x:c r="S1" s="407"/>
      <x:c r="T1" s="407"/>
    </x:row>
    <x:row r="2" ht="20" customHeight="1">
      <x:c r="A2" s="407"/>
      <x:c r="B2" s="407"/>
      <x:c r="C2" s="407"/>
      <x:c r="D2" s="407"/>
      <x:c r="E2" s="407"/>
      <x:c r="F2" s="407"/>
      <x:c r="G2" s="407"/>
      <x:c r="H2" s="407"/>
      <x:c r="I2" s="407"/>
      <x:c r="J2" s="407"/>
      <x:c r="K2" s="407"/>
      <x:c r="L2" s="407"/>
      <x:c r="M2" s="407"/>
      <x:c r="N2" s="407"/>
      <x:c r="O2" s="407"/>
      <x:c r="P2" s="407"/>
      <x:c r="Q2" s="407"/>
      <x:c r="R2" s="407"/>
      <x:c r="S2" s="407"/>
      <x:c r="T2" s="407"/>
    </x:row>
    <x:row r="3" ht="20" customHeight="1"/>
    <x:row r="4" ht="20" customHeight="1">
      <x:c r="A4" s="423" t="str">
        <x:v>Month</x:v>
      </x:c>
      <x:c r="B4" s="423" t="str">
        <x:v>2025 Total</x:v>
      </x:c>
      <x:c r="C4" s="423" t="str">
        <x:v>2025 Needle</x:v>
      </x:c>
      <x:c r="D4" s="423" t="str">
        <x:v>2025 Qty pack</x:v>
      </x:c>
      <x:c r="E4" s="423" t="str">
        <x:v>2025 Lines</x:v>
      </x:c>
      <x:c r="F4" s="423" t="str">
        <x:v>2025 Share</x:v>
      </x:c>
      <x:c r="G4" s="423" t="str">
        <x:v>2026 Total</x:v>
      </x:c>
      <x:c r="H4" s="423" t="str">
        <x:v>2026 Needle</x:v>
      </x:c>
      <x:c r="I4" s="423" t="str">
        <x:v>2026 Qty pack</x:v>
      </x:c>
      <x:c r="J4" s="423" t="str">
        <x:v>2026 Lines</x:v>
      </x:c>
      <x:c r="K4" s="423" t="str">
        <x:v>2026 Share</x:v>
      </x:c>
    </x:row>
    <x:row r="5" ht="20" customHeight="1">
      <x:c r="A5" s="432" t="str">
        <x:v>Jan</x:v>
      </x:c>
      <x:c r="B5" s="441" t="n">
        <x:v>1689.4</x:v>
      </x:c>
      <x:c r="C5" s="441" t="n">
        <x:v>0</x:v>
      </x:c>
      <x:c r="D5" s="433" t="n">
        <x:v>0</x:v>
      </x:c>
      <x:c r="E5" s="433" t="n">
        <x:v>0</x:v>
      </x:c>
      <x:c r="F5" s="444" t="n">
        <x:v>0</x:v>
      </x:c>
      <x:c r="G5" s="441" t="n">
        <x:v>2610</x:v>
      </x:c>
      <x:c r="H5" s="441" t="n">
        <x:v>1702</x:v>
      </x:c>
      <x:c r="I5" s="433" t="n">
        <x:v>900</x:v>
      </x:c>
      <x:c r="J5" s="433" t="n">
        <x:v>9</x:v>
      </x:c>
      <x:c r="K5" s="454" t="n">
        <x:v>0.6521072796934866</x:v>
      </x:c>
    </x:row>
    <x:row r="6" ht="20" customHeight="1">
      <x:c r="A6" s="435" t="str">
        <x:v>Feb</x:v>
      </x:c>
      <x:c r="B6" s="442" t="n">
        <x:v>1452.3</x:v>
      </x:c>
      <x:c r="C6" s="442" t="n">
        <x:v>0</x:v>
      </x:c>
      <x:c r="D6" s="436" t="n">
        <x:v>0</x:v>
      </x:c>
      <x:c r="E6" s="436" t="n">
        <x:v>0</x:v>
      </x:c>
      <x:c r="F6" s="445" t="n">
        <x:v>0</x:v>
      </x:c>
      <x:c r="G6" s="442" t="n">
        <x:v>1850.9</x:v>
      </x:c>
      <x:c r="H6" s="442" t="n">
        <x:v>1172</x:v>
      </x:c>
      <x:c r="I6" s="436" t="n">
        <x:v>800</x:v>
      </x:c>
      <x:c r="J6" s="436" t="n">
        <x:v>8</x:v>
      </x:c>
      <x:c r="K6" s="455" t="n">
        <x:v>0.6332054676103517</x:v>
      </x:c>
    </x:row>
    <x:row r="7" ht="20" customHeight="1">
      <x:c r="A7" s="435" t="str">
        <x:v>Mar</x:v>
      </x:c>
      <x:c r="B7" s="442" t="n">
        <x:v>2169</x:v>
      </x:c>
      <x:c r="C7" s="442" t="n">
        <x:v>480</x:v>
      </x:c>
      <x:c r="D7" s="436" t="n">
        <x:v>350</x:v>
      </x:c>
      <x:c r="E7" s="436" t="n">
        <x:v>4</x:v>
      </x:c>
      <x:c r="F7" s="445" t="n">
        <x:v>0.22130013831258644</x:v>
      </x:c>
      <x:c r="G7" s="442" t="n">
        <x:v>3032</x:v>
      </x:c>
      <x:c r="H7" s="442" t="n">
        <x:v>1296</x:v>
      </x:c>
      <x:c r="I7" s="436" t="n">
        <x:v>750</x:v>
      </x:c>
      <x:c r="J7" s="436" t="n">
        <x:v>9</x:v>
      </x:c>
      <x:c r="K7" s="455" t="n">
        <x:v>0.42744063324538256</x:v>
      </x:c>
    </x:row>
    <x:row r="8" ht="20" customHeight="1">
      <x:c r="A8" s="435" t="str">
        <x:v>Apr</x:v>
      </x:c>
      <x:c r="B8" s="442" t="n">
        <x:v>298</x:v>
      </x:c>
      <x:c r="C8" s="442" t="n">
        <x:v>0</x:v>
      </x:c>
      <x:c r="D8" s="436" t="n">
        <x:v>0</x:v>
      </x:c>
      <x:c r="E8" s="436" t="n">
        <x:v>0</x:v>
      </x:c>
      <x:c r="F8" s="445" t="n">
        <x:v>0</x:v>
      </x:c>
      <x:c r="G8" s="442" t="n">
        <x:v>1736</x:v>
      </x:c>
      <x:c r="H8" s="442" t="n">
        <x:v>1541</x:v>
      </x:c>
      <x:c r="I8" s="436" t="n">
        <x:v>1030</x:v>
      </x:c>
      <x:c r="J8" s="436" t="n">
        <x:v>13</x:v>
      </x:c>
      <x:c r="K8" s="455" t="n">
        <x:v>0.8876728110599078</x:v>
      </x:c>
    </x:row>
    <x:row r="9" ht="20" customHeight="1">
      <x:c r="A9" s="435" t="str">
        <x:v>May</x:v>
      </x:c>
      <x:c r="B9" s="442" t="n">
        <x:v>833.4</x:v>
      </x:c>
      <x:c r="C9" s="442" t="n">
        <x:v>0</x:v>
      </x:c>
      <x:c r="D9" s="436" t="n">
        <x:v>0</x:v>
      </x:c>
      <x:c r="E9" s="436" t="n">
        <x:v>0</x:v>
      </x:c>
      <x:c r="F9" s="445" t="n">
        <x:v>0</x:v>
      </x:c>
      <x:c r="G9" s="442" t="n">
        <x:v>2572.5</x:v>
      </x:c>
      <x:c r="H9" s="442" t="n">
        <x:v>997</x:v>
      </x:c>
      <x:c r="I9" s="436" t="n">
        <x:v>450</x:v>
      </x:c>
      <x:c r="J9" s="436" t="n">
        <x:v>6</x:v>
      </x:c>
      <x:c r="K9" s="455" t="n">
        <x:v>0.38756073858114676</x:v>
      </x:c>
    </x:row>
    <x:row r="10" ht="20" customHeight="1">
      <x:c r="A10" s="435" t="str">
        <x:v>Jun</x:v>
      </x:c>
      <x:c r="B10" s="442" t="n">
        <x:v>1245.2</x:v>
      </x:c>
      <x:c r="C10" s="442" t="n">
        <x:v>0</x:v>
      </x:c>
      <x:c r="D10" s="436" t="n">
        <x:v>0</x:v>
      </x:c>
      <x:c r="E10" s="436" t="n">
        <x:v>0</x:v>
      </x:c>
      <x:c r="F10" s="445" t="n">
        <x:v>0</x:v>
      </x:c>
      <x:c r="G10" s="442" t="n">
        <x:v>2761.75</x:v>
      </x:c>
      <x:c r="H10" s="442" t="n">
        <x:v>2234</x:v>
      </x:c>
      <x:c r="I10" s="436" t="n">
        <x:v>1250</x:v>
      </x:c>
      <x:c r="J10" s="436" t="n">
        <x:v>18</x:v>
      </x:c>
      <x:c r="K10" s="455" t="n">
        <x:v>0.8089073956730334</x:v>
      </x:c>
    </x:row>
    <x:row r="11" ht="20" customHeight="1">
      <x:c r="A11" s="435" t="str">
        <x:v>Jul</x:v>
      </x:c>
      <x:c r="B11" s="442" t="n">
        <x:v>774.6</x:v>
      </x:c>
      <x:c r="C11" s="442" t="n">
        <x:v>0</x:v>
      </x:c>
      <x:c r="D11" s="436" t="n">
        <x:v>0</x:v>
      </x:c>
      <x:c r="E11" s="436" t="n">
        <x:v>0</x:v>
      </x:c>
      <x:c r="F11" s="445" t="n">
        <x:v>0</x:v>
      </x:c>
      <x:c r="G11" s="442"/>
      <x:c r="H11" s="442"/>
      <x:c r="I11" s="436"/>
      <x:c r="J11" s="436"/>
      <x:c r="K11" s="455"/>
    </x:row>
    <x:row r="12" ht="20" customHeight="1">
      <x:c r="A12" s="435" t="str">
        <x:v>Aug</x:v>
      </x:c>
      <x:c r="B12" s="442" t="n">
        <x:v>2347.94</x:v>
      </x:c>
      <x:c r="C12" s="442" t="n">
        <x:v>119</x:v>
      </x:c>
      <x:c r="D12" s="436" t="n">
        <x:v>150</x:v>
      </x:c>
      <x:c r="E12" s="436" t="n">
        <x:v>2</x:v>
      </x:c>
      <x:c r="F12" s="445" t="n">
        <x:v>0.05068272613439866</x:v>
      </x:c>
      <x:c r="G12" s="442"/>
      <x:c r="H12" s="442"/>
      <x:c r="I12" s="436"/>
      <x:c r="J12" s="436"/>
      <x:c r="K12" s="455"/>
    </x:row>
    <x:row r="13" ht="20" customHeight="1">
      <x:c r="A13" s="435" t="str">
        <x:v>Sep</x:v>
      </x:c>
      <x:c r="B13" s="442" t="n">
        <x:v>251</x:v>
      </x:c>
      <x:c r="C13" s="442" t="n">
        <x:v>0</x:v>
      </x:c>
      <x:c r="D13" s="436" t="n">
        <x:v>0</x:v>
      </x:c>
      <x:c r="E13" s="436" t="n">
        <x:v>0</x:v>
      </x:c>
      <x:c r="F13" s="445" t="n">
        <x:v>0</x:v>
      </x:c>
      <x:c r="G13" s="442"/>
      <x:c r="H13" s="442"/>
      <x:c r="I13" s="436"/>
      <x:c r="J13" s="436"/>
      <x:c r="K13" s="455"/>
    </x:row>
    <x:row r="14" ht="20" customHeight="1">
      <x:c r="A14" s="435" t="str">
        <x:v>Oct</x:v>
      </x:c>
      <x:c r="B14" s="442" t="n">
        <x:v>2604.5</x:v>
      </x:c>
      <x:c r="C14" s="442" t="n">
        <x:v>1596</x:v>
      </x:c>
      <x:c r="D14" s="436" t="n">
        <x:v>800</x:v>
      </x:c>
      <x:c r="E14" s="436" t="n">
        <x:v>6</x:v>
      </x:c>
      <x:c r="F14" s="445" t="n">
        <x:v>0.6127855634478787</x:v>
      </x:c>
      <x:c r="G14" s="442"/>
      <x:c r="H14" s="442"/>
      <x:c r="I14" s="436"/>
      <x:c r="J14" s="436"/>
      <x:c r="K14" s="455"/>
    </x:row>
    <x:row r="15" ht="20" customHeight="1">
      <x:c r="A15" s="435" t="str">
        <x:v>Nov</x:v>
      </x:c>
      <x:c r="B15" s="442" t="n">
        <x:v>1473.4</x:v>
      </x:c>
      <x:c r="C15" s="442" t="n">
        <x:v>885</x:v>
      </x:c>
      <x:c r="D15" s="436" t="n">
        <x:v>600</x:v>
      </x:c>
      <x:c r="E15" s="436" t="n">
        <x:v>7</x:v>
      </x:c>
      <x:c r="F15" s="445" t="n">
        <x:v>0.6006515542283154</x:v>
      </x:c>
      <x:c r="G15" s="442"/>
      <x:c r="H15" s="442"/>
      <x:c r="I15" s="436"/>
      <x:c r="J15" s="436"/>
      <x:c r="K15" s="455"/>
    </x:row>
    <x:row r="16" ht="20" customHeight="1">
      <x:c r="A16" s="438" t="str">
        <x:v>Dec</x:v>
      </x:c>
      <x:c r="B16" s="443" t="n">
        <x:v>2620.55</x:v>
      </x:c>
      <x:c r="C16" s="443" t="n">
        <x:v>1420</x:v>
      </x:c>
      <x:c r="D16" s="439" t="n">
        <x:v>750</x:v>
      </x:c>
      <x:c r="E16" s="439" t="n">
        <x:v>9</x:v>
      </x:c>
      <x:c r="F16" s="446" t="n">
        <x:v>0.5418709812825552</x:v>
      </x:c>
      <x:c r="G16" s="443"/>
      <x:c r="H16" s="443"/>
      <x:c r="I16" s="439"/>
      <x:c r="J16" s="439"/>
      <x:c r="K16" s="456"/>
    </x:row>
    <x:row r="17" ht="20" customHeight="1"/>
    <x:row r="18" ht="20" customHeight="1"/>
    <x:row r="19" ht="20" customHeight="1">
      <x:c r="A19" s="419" t="str">
        <x:v>Top Needle Purchase Frequency (2025 + 2026 H1)</x:v>
      </x:c>
    </x:row>
    <x:row r="20" ht="20" customHeight="1">
      <x:c r="A20" s="423" t="str">
        <x:v>Part No.</x:v>
      </x:c>
      <x:c r="B20" s="423" t="str">
        <x:v>Spec</x:v>
      </x:c>
      <x:c r="C20" s="423" t="str">
        <x:v>Brand</x:v>
      </x:c>
      <x:c r="D20" s="423" t="str">
        <x:v>Unit</x:v>
      </x:c>
      <x:c r="E20" s="423" t="str">
        <x:v>Txn Lines</x:v>
      </x:c>
      <x:c r="F20" s="423" t="str">
        <x:v>Months</x:v>
      </x:c>
      <x:c r="G20" s="423" t="str">
        <x:v>Qty</x:v>
      </x:c>
      <x:c r="H20" s="423" t="str">
        <x:v>Spend</x:v>
      </x:c>
      <x:c r="I20" s="423" t="str">
        <x:v>Min Price</x:v>
      </x:c>
      <x:c r="J20" s="423" t="str">
        <x:v>Max Price</x:v>
      </x:c>
      <x:c r="K20" s="423" t="str">
        <x:v>Spend Share</x:v>
      </x:c>
    </x:row>
    <x:row r="21" ht="20" customHeight="1">
      <x:c r="A21" s="432" t="str">
        <x:v>ND-DCX27-12</x:v>
      </x:c>
      <x:c r="B21" s="433" t="str">
        <x:v>ORGAN DCx27 #12</x:v>
      </x:c>
      <x:c r="C21" s="433" t="str">
        <x:v>ORGAN/風琴</x:v>
      </x:c>
      <x:c r="D21" s="433" t="str">
        <x:v>pack/包</x:v>
      </x:c>
      <x:c r="E21" s="433" t="n">
        <x:v>16</x:v>
      </x:c>
      <x:c r="F21" s="433" t="n">
        <x:v>6</x:v>
      </x:c>
      <x:c r="G21" s="433" t="n">
        <x:v>1550</x:v>
      </x:c>
      <x:c r="H21" s="441" t="n">
        <x:v>2015</x:v>
      </x:c>
      <x:c r="I21" s="441" t="n">
        <x:v>1.3</x:v>
      </x:c>
      <x:c r="J21" s="441" t="n">
        <x:v>1.3</x:v>
      </x:c>
      <x:c r="K21" s="454" t="n">
        <x:v>0.14990328820116053</x:v>
      </x:c>
    </x:row>
    <x:row r="22" ht="20" customHeight="1">
      <x:c r="A22" s="435" t="str">
        <x:v>ND-UOX113-14</x:v>
      </x:c>
      <x:c r="B22" s="436" t="str">
        <x:v>ORGAN UOx113 #14</x:v>
      </x:c>
      <x:c r="C22" s="436" t="str">
        <x:v>ORGAN/風琴</x:v>
      </x:c>
      <x:c r="D22" s="436" t="str">
        <x:v>pack/包</x:v>
      </x:c>
      <x:c r="E22" s="436" t="n">
        <x:v>12</x:v>
      </x:c>
      <x:c r="F22" s="436" t="n">
        <x:v>7</x:v>
      </x:c>
      <x:c r="G22" s="436" t="n">
        <x:v>950</x:v>
      </x:c>
      <x:c r="H22" s="442" t="n">
        <x:v>2850</x:v>
      </x:c>
      <x:c r="I22" s="442" t="n">
        <x:v>3</x:v>
      </x:c>
      <x:c r="J22" s="442" t="n">
        <x:v>3</x:v>
      </x:c>
      <x:c r="K22" s="455" t="n">
        <x:v>0.21202202053265884</x:v>
      </x:c>
    </x:row>
    <x:row r="23" ht="20" customHeight="1">
      <x:c r="A23" s="435" t="str">
        <x:v>ND-UOX113-12</x:v>
      </x:c>
      <x:c r="B23" s="436" t="str">
        <x:v>ORGAN UOx113 #12</x:v>
      </x:c>
      <x:c r="C23" s="436" t="str">
        <x:v>ORGAN/風琴</x:v>
      </x:c>
      <x:c r="D23" s="436" t="str">
        <x:v>pack/包</x:v>
      </x:c>
      <x:c r="E23" s="436" t="n">
        <x:v>8</x:v>
      </x:c>
      <x:c r="F23" s="436" t="n">
        <x:v>4</x:v>
      </x:c>
      <x:c r="G23" s="436" t="n">
        <x:v>630</x:v>
      </x:c>
      <x:c r="H23" s="442" t="n">
        <x:v>1890</x:v>
      </x:c>
      <x:c r="I23" s="442" t="n">
        <x:v>3</x:v>
      </x:c>
      <x:c r="J23" s="442" t="n">
        <x:v>3</x:v>
      </x:c>
      <x:c r="K23" s="455" t="n">
        <x:v>0.14060407677428954</x:v>
      </x:c>
    </x:row>
    <x:row r="24" ht="20" customHeight="1">
      <x:c r="A24" s="435" t="str">
        <x:v>ND-UYX128-12</x:v>
      </x:c>
      <x:c r="B24" s="436" t="str">
        <x:v>ORGAN UYx128 #12</x:v>
      </x:c>
      <x:c r="C24" s="436" t="str">
        <x:v>ORGAN/風琴</x:v>
      </x:c>
      <x:c r="D24" s="436" t="str">
        <x:v>pack/包</x:v>
      </x:c>
      <x:c r="E24" s="436" t="n">
        <x:v>8</x:v>
      </x:c>
      <x:c r="F24" s="436" t="n">
        <x:v>5</x:v>
      </x:c>
      <x:c r="G24" s="436" t="n">
        <x:v>900</x:v>
      </x:c>
      <x:c r="H24" s="442" t="n">
        <x:v>1602</x:v>
      </x:c>
      <x:c r="I24" s="442" t="n">
        <x:v>1.78</x:v>
      </x:c>
      <x:c r="J24" s="442" t="n">
        <x:v>1.78</x:v>
      </x:c>
      <x:c r="K24" s="455" t="n">
        <x:v>0.11917869364677876</x:v>
      </x:c>
    </x:row>
    <x:row r="25" ht="20" customHeight="1">
      <x:c r="A25" s="435" t="str">
        <x:v>ND-UYX128-11</x:v>
      </x:c>
      <x:c r="B25" s="436" t="str">
        <x:v>ORGAN UYx128 #11</x:v>
      </x:c>
      <x:c r="C25" s="436" t="str">
        <x:v>ORGAN/風琴</x:v>
      </x:c>
      <x:c r="D25" s="436" t="str">
        <x:v>pack/包</x:v>
      </x:c>
      <x:c r="E25" s="436" t="n">
        <x:v>8</x:v>
      </x:c>
      <x:c r="F25" s="436" t="n">
        <x:v>4</x:v>
      </x:c>
      <x:c r="G25" s="436" t="n">
        <x:v>850</x:v>
      </x:c>
      <x:c r="H25" s="442" t="n">
        <x:v>1513</x:v>
      </x:c>
      <x:c r="I25" s="442" t="n">
        <x:v>1.78</x:v>
      </x:c>
      <x:c r="J25" s="442" t="n">
        <x:v>1.78</x:v>
      </x:c>
      <x:c r="K25" s="455" t="n">
        <x:v>0.1125576551108466</x:v>
      </x:c>
    </x:row>
    <x:row r="26" ht="20" customHeight="1">
      <x:c r="A26" s="435" t="str">
        <x:v>ND-DCX27-16</x:v>
      </x:c>
      <x:c r="B26" s="436" t="str">
        <x:v>ORGAN DCx27 #16</x:v>
      </x:c>
      <x:c r="C26" s="436" t="str">
        <x:v>ORGAN/風琴</x:v>
      </x:c>
      <x:c r="D26" s="436" t="str">
        <x:v>pack/包</x:v>
      </x:c>
      <x:c r="E26" s="436" t="n">
        <x:v>4</x:v>
      </x:c>
      <x:c r="F26" s="436" t="n">
        <x:v>4</x:v>
      </x:c>
      <x:c r="G26" s="436" t="n">
        <x:v>250</x:v>
      </x:c>
      <x:c r="H26" s="442" t="n">
        <x:v>325</x:v>
      </x:c>
      <x:c r="I26" s="442" t="n">
        <x:v>1.3</x:v>
      </x:c>
      <x:c r="J26" s="442" t="n">
        <x:v>1.3</x:v>
      </x:c>
      <x:c r="K26" s="455" t="n">
        <x:v>0.024177949709864602</x:v>
      </x:c>
    </x:row>
    <x:row r="27" ht="20" customHeight="1">
      <x:c r="A27" s="435" t="str">
        <x:v>ND-DBX1-16</x:v>
      </x:c>
      <x:c r="B27" s="436" t="str">
        <x:v>ORGAN DBx1 #16</x:v>
      </x:c>
      <x:c r="C27" s="436" t="str">
        <x:v>ORGAN/風琴</x:v>
      </x:c>
      <x:c r="D27" s="436" t="str">
        <x:v>pack/包</x:v>
      </x:c>
      <x:c r="E27" s="436" t="n">
        <x:v>4</x:v>
      </x:c>
      <x:c r="F27" s="436" t="n">
        <x:v>2</x:v>
      </x:c>
      <x:c r="G27" s="436" t="n">
        <x:v>400</x:v>
      </x:c>
      <x:c r="H27" s="442" t="n">
        <x:v>308</x:v>
      </x:c>
      <x:c r="I27" s="442" t="n">
        <x:v>0.76</x:v>
      </x:c>
      <x:c r="J27" s="442" t="n">
        <x:v>0.78</x:v>
      </x:c>
      <x:c r="K27" s="455" t="n">
        <x:v>0.022913256955810146</x:v>
      </x:c>
    </x:row>
    <x:row r="28" ht="20" customHeight="1">
      <x:c r="A28" s="435" t="str">
        <x:v>ND-DBX1-14</x:v>
      </x:c>
      <x:c r="B28" s="436" t="str">
        <x:v>ORGAN DBx1 #14</x:v>
      </x:c>
      <x:c r="C28" s="436" t="str">
        <x:v>ORGAN/風琴</x:v>
      </x:c>
      <x:c r="D28" s="436" t="str">
        <x:v>pack/包</x:v>
      </x:c>
      <x:c r="E28" s="436" t="n">
        <x:v>4</x:v>
      </x:c>
      <x:c r="F28" s="436" t="n">
        <x:v>2</x:v>
      </x:c>
      <x:c r="G28" s="436" t="n">
        <x:v>250</x:v>
      </x:c>
      <x:c r="H28" s="442" t="n">
        <x:v>194</x:v>
      </x:c>
      <x:c r="I28" s="442" t="n">
        <x:v>0.76</x:v>
      </x:c>
      <x:c r="J28" s="442" t="n">
        <x:v>0.78</x:v>
      </x:c>
      <x:c r="K28" s="455" t="n">
        <x:v>0.014432376134503794</x:v>
      </x:c>
    </x:row>
    <x:row r="29" ht="20" customHeight="1">
      <x:c r="A29" s="435" t="str">
        <x:v>ND-UYX128-14</x:v>
      </x:c>
      <x:c r="B29" s="436" t="str">
        <x:v>ORGAN UYx128 #14</x:v>
      </x:c>
      <x:c r="C29" s="436" t="str">
        <x:v>ORGAN/風琴</x:v>
      </x:c>
      <x:c r="D29" s="436" t="str">
        <x:v>pack/包</x:v>
      </x:c>
      <x:c r="E29" s="436" t="n">
        <x:v>3</x:v>
      </x:c>
      <x:c r="F29" s="436" t="n">
        <x:v>3</x:v>
      </x:c>
      <x:c r="G29" s="436" t="n">
        <x:v>300</x:v>
      </x:c>
      <x:c r="H29" s="442" t="n">
        <x:v>534</x:v>
      </x:c>
      <x:c r="I29" s="442" t="n">
        <x:v>1.78</x:v>
      </x:c>
      <x:c r="J29" s="442" t="n">
        <x:v>1.78</x:v>
      </x:c>
      <x:c r="K29" s="455" t="n">
        <x:v>0.03972623121559292</x:v>
      </x:c>
    </x:row>
    <x:row r="30" ht="20" customHeight="1">
      <x:c r="A30" s="435" t="str">
        <x:v>ND-UOX113-16</x:v>
      </x:c>
      <x:c r="B30" s="436" t="str">
        <x:v>ORGAN UOx113 #16</x:v>
      </x:c>
      <x:c r="C30" s="436" t="str">
        <x:v>ORGAN/風琴</x:v>
      </x:c>
      <x:c r="D30" s="436" t="str">
        <x:v>pack/包</x:v>
      </x:c>
      <x:c r="E30" s="436" t="n">
        <x:v>3</x:v>
      </x:c>
      <x:c r="F30" s="436" t="n">
        <x:v>2</x:v>
      </x:c>
      <x:c r="G30" s="436" t="n">
        <x:v>150</x:v>
      </x:c>
      <x:c r="H30" s="442" t="n">
        <x:v>445</x:v>
      </x:c>
      <x:c r="I30" s="442" t="n">
        <x:v>2.9</x:v>
      </x:c>
      <x:c r="J30" s="442" t="n">
        <x:v>3</x:v>
      </x:c>
      <x:c r="K30" s="455" t="n">
        <x:v>0.033105192679660764</x:v>
      </x:c>
    </x:row>
    <x:row r="31" ht="20" customHeight="1">
      <x:c r="A31" s="438" t="str">
        <x:v>ND-DCX27-14</x:v>
      </x:c>
      <x:c r="B31" s="439" t="str">
        <x:v>ORGAN DCx27 #14</x:v>
      </x:c>
      <x:c r="C31" s="439" t="str">
        <x:v>ORGAN/風琴</x:v>
      </x:c>
      <x:c r="D31" s="439" t="str">
        <x:v>pack/包</x:v>
      </x:c>
      <x:c r="E31" s="439" t="n">
        <x:v>3</x:v>
      </x:c>
      <x:c r="F31" s="439" t="n">
        <x:v>2</x:v>
      </x:c>
      <x:c r="G31" s="439" t="n">
        <x:v>250</x:v>
      </x:c>
      <x:c r="H31" s="443" t="n">
        <x:v>325</x:v>
      </x:c>
      <x:c r="I31" s="443" t="n">
        <x:v>1.3</x:v>
      </x:c>
      <x:c r="J31" s="443" t="n">
        <x:v>1.3</x:v>
      </x:c>
      <x:c r="K31" s="456" t="n">
        <x:v>0.024177949709864602</x:v>
      </x:c>
    </x:row>
    <x:row r="32" ht="20" customHeight="1"/>
    <x:row r="33" ht="20" customHeight="1"/>
    <x:row r="34" ht="20" customHeight="1">
      <x:c r="A34" s="419" t="str">
        <x:v>Observed Needle Consumption Snapshot (Sep 1–22, 2026)</x:v>
      </x:c>
    </x:row>
    <x:row r="35" ht="20" customHeight="1">
      <x:c r="A35" s="423" t="str">
        <x:v>Needle Spec</x:v>
      </x:c>
      <x:c r="B35" s="423" t="str">
        <x:v>Issued Qty</x:v>
      </x:c>
      <x:c r="C35" s="423" t="str">
        <x:v>Issue Days</x:v>
      </x:c>
      <x:c r="D35" s="423" t="str">
        <x:v>Share</x:v>
      </x:c>
      <x:c r="F35" s="423" t="str">
        <x:v>Reason</x:v>
      </x:c>
      <x:c r="G35" s="423" t="str">
        <x:v>Issued Qty</x:v>
      </x:c>
      <x:c r="H35" s="423" t="str">
        <x:v>Share</x:v>
      </x:c>
    </x:row>
    <x:row r="36" ht="20" customHeight="1">
      <x:c r="A36" s="432" t="str">
        <x:v>DBX1 100/16</x:v>
      </x:c>
      <x:c r="B36" s="433" t="n">
        <x:v>200</x:v>
      </x:c>
      <x:c r="C36" s="433" t="n">
        <x:v>14</x:v>
      </x:c>
      <x:c r="D36" s="454" t="n">
        <x:v>0.29850746268656714</x:v>
      </x:c>
      <x:c r="F36" s="432" t="str">
        <x:v>Damage</x:v>
      </x:c>
      <x:c r="G36" s="433" t="n">
        <x:v>320</x:v>
      </x:c>
      <x:c r="H36" s="454" t="n">
        <x:v>0.47761194029850745</x:v>
      </x:c>
    </x:row>
    <x:row r="37" ht="20" customHeight="1">
      <x:c r="A37" s="435" t="str">
        <x:v>DPX5 100/16</x:v>
      </x:c>
      <x:c r="B37" s="436" t="n">
        <x:v>150</x:v>
      </x:c>
      <x:c r="C37" s="436" t="n">
        <x:v>12</x:v>
      </x:c>
      <x:c r="D37" s="455" t="n">
        <x:v>0.22388059701492538</x:v>
      </x:c>
      <x:c r="F37" s="435" t="str">
        <x:v>Change Style</x:v>
      </x:c>
      <x:c r="G37" s="436" t="n">
        <x:v>190</x:v>
      </x:c>
      <x:c r="H37" s="455" t="n">
        <x:v>0.2835820895522388</x:v>
      </x:c>
    </x:row>
    <x:row r="38" ht="20" customHeight="1">
      <x:c r="A38" s="435" t="str">
        <x:v>DBX1 90/14</x:v>
      </x:c>
      <x:c r="B38" s="436" t="n">
        <x:v>120</x:v>
      </x:c>
      <x:c r="C38" s="436" t="n">
        <x:v>9</x:v>
      </x:c>
      <x:c r="D38" s="455" t="n">
        <x:v>0.1791044776119403</x:v>
      </x:c>
      <x:c r="F38" s="435" t="str">
        <x:v>Broken</x:v>
      </x:c>
      <x:c r="G38" s="436" t="n">
        <x:v>130</x:v>
      </x:c>
      <x:c r="H38" s="455" t="n">
        <x:v>0.19402985074626866</x:v>
      </x:c>
    </x:row>
    <x:row r="39" ht="20" customHeight="1">
      <x:c r="A39" s="435" t="str">
        <x:v>DCX27 100/16</x:v>
      </x:c>
      <x:c r="B39" s="436" t="n">
        <x:v>80</x:v>
      </x:c>
      <x:c r="C39" s="436" t="n">
        <x:v>8</x:v>
      </x:c>
      <x:c r="D39" s="455" t="n">
        <x:v>0.11940298507462686</x:v>
      </x:c>
      <x:c r="F39" s="438" t="str">
        <x:v>Not recorded</x:v>
      </x:c>
      <x:c r="G39" s="439" t="n">
        <x:v>30</x:v>
      </x:c>
      <x:c r="H39" s="456" t="n">
        <x:v>0.04477611940298507</x:v>
      </x:c>
    </x:row>
    <x:row r="40" ht="20" customHeight="1">
      <x:c r="A40" s="435" t="str">
        <x:v>DCX27 90/14</x:v>
      </x:c>
      <x:c r="B40" s="436" t="n">
        <x:v>70</x:v>
      </x:c>
      <x:c r="C40" s="436" t="n">
        <x:v>6</x:v>
      </x:c>
      <x:c r="D40" s="455" t="n">
        <x:v>0.1044776119402985</x:v>
      </x:c>
    </x:row>
    <x:row r="41" ht="20" customHeight="1">
      <x:c r="A41" s="435" t="str">
        <x:v>DBX1 80/12</x:v>
      </x:c>
      <x:c r="B41" s="436" t="n">
        <x:v>20</x:v>
      </x:c>
      <x:c r="C41" s="436" t="n">
        <x:v>2</x:v>
      </x:c>
      <x:c r="D41" s="455" t="n">
        <x:v>0.029850746268656716</x:v>
      </x:c>
    </x:row>
    <x:row r="42" ht="20" customHeight="1">
      <x:c r="A42" s="457" t="str">
        <x:v>Key</x:v>
      </x:c>
      <x:c r="B42" s="452" t="str">
        <x:v>換款(Change Style)占觀察期車針領用190/670 = 28.4%。這是款式切換與車針消耗存在直接操作關聯的證據，但樣本僅為9月，不應外推成全年固定比例。</x:v>
      </x:c>
      <x:c r="C42" s="452" t="n">
        <x:v>3</x:v>
      </x:c>
      <x:c r="D42" s="458" t="n">
        <x:v>0.04477611940298507</x:v>
      </x:c>
      <x:c r="E42" s="18"/>
      <x:c r="F42" s="18"/>
      <x:c r="G42" s="18"/>
      <x:c r="H42" s="18"/>
      <x:c r="I42" s="18"/>
      <x:c r="J42" s="18"/>
      <x:c r="K42" s="18"/>
    </x:row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/>
    <x:row r="57" ht="20" customHeight="1"/>
    <x:row r="58" ht="20" customHeight="1"/>
    <x:row r="59" ht="20" customHeight="1"/>
    <x:row r="60" ht="20" customHeight="1"/>
  </x:sheetData>
  <x:mergeCells>
    <x:mergeCell ref="A1:T2"/>
    <x:mergeCell ref="B42:K42"/>
  </x:mergeCells>
  <x:pageMargins left="0.7" right="0.7" top="0.75" bottom="0.75" header="0.3" footer="0.3"/>
  <x:drawing xmlns:r="http://schemas.openxmlformats.org/officeDocument/2006/relationships" r:id="R7d41d29948a24568"/>
</x:worksheet>
</file>

<file path=xl/worksheets/sheet2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1" hidden="0" customWidth="1"/>
    <x:col min="7" max="7" width="12" hidden="0" customWidth="1"/>
    <x:col min="8" max="8" width="34" hidden="0" customWidth="1"/>
    <x:col min="10" max="10" width="24" hidden="0" customWidth="1"/>
    <x:col min="11" max="11" width="13" hidden="0" customWidth="1"/>
    <x:col min="12" max="12" width="13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</x:cols>
  <x:sheetData>
    <x:row r="1" ht="20" customHeight="1">
      <x:c r="A1" s="407" t="str">
        <x:v>Machine Spare-Part Category Analysis | 機修零件細分類</x:v>
      </x:c>
      <x:c r="B1" s="407"/>
      <x:c r="C1" s="407"/>
      <x:c r="D1" s="407"/>
      <x:c r="E1" s="407"/>
      <x:c r="F1" s="407"/>
      <x:c r="G1" s="407"/>
      <x:c r="H1" s="407"/>
      <x:c r="I1" s="407"/>
      <x:c r="J1" s="407"/>
      <x:c r="K1" s="407"/>
      <x:c r="L1" s="407"/>
      <x:c r="M1" s="407"/>
      <x:c r="N1" s="407"/>
      <x:c r="O1" s="407"/>
      <x:c r="P1" s="407"/>
      <x:c r="Q1" s="407"/>
      <x:c r="R1" s="407"/>
    </x:row>
    <x:row r="2" ht="20" customHeight="1">
      <x:c r="A2" s="407"/>
      <x:c r="B2" s="407"/>
      <x:c r="C2" s="407"/>
      <x:c r="D2" s="407"/>
      <x:c r="E2" s="407"/>
      <x:c r="F2" s="407"/>
      <x:c r="G2" s="407"/>
      <x:c r="H2" s="407"/>
      <x:c r="I2" s="407"/>
      <x:c r="J2" s="407"/>
      <x:c r="K2" s="407"/>
      <x:c r="L2" s="407"/>
      <x:c r="M2" s="407"/>
      <x:c r="N2" s="407"/>
      <x:c r="O2" s="407"/>
      <x:c r="P2" s="407"/>
      <x:c r="Q2" s="407"/>
      <x:c r="R2" s="407"/>
    </x:row>
    <x:row r="3" ht="20" customHeight="1"/>
    <x:row r="4" ht="20" customHeight="1">
      <x:c r="A4" s="423" t="str">
        <x:v>Category</x:v>
      </x:c>
      <x:c r="B4" s="423" t="str">
        <x:v>2025 Full</x:v>
      </x:c>
      <x:c r="C4" s="423" t="str">
        <x:v>2025 H1</x:v>
      </x:c>
      <x:c r="D4" s="423" t="str">
        <x:v>2026 H1</x:v>
      </x:c>
      <x:c r="E4" s="423" t="str">
        <x:v>H1 Δ$</x:v>
      </x:c>
      <x:c r="F4" s="423" t="str">
        <x:v>H1 Δ%</x:v>
      </x:c>
      <x:c r="G4" s="423" t="str">
        <x:v>2026 H1 Share</x:v>
      </x:c>
      <x:c r="H4" s="423" t="str">
        <x:v>Interpretation</x:v>
      </x:c>
      <x:c r="J4" s="423" t="str">
        <x:v>Category</x:v>
      </x:c>
      <x:c r="K4" s="423" t="str">
        <x:v>2025 H1</x:v>
      </x:c>
      <x:c r="L4" s="423" t="str">
        <x:v>2026 H1</x:v>
      </x:c>
    </x:row>
    <x:row r="5" ht="20" customHeight="1">
      <x:c r="A5" s="432" t="str">
        <x:v>Needle</x:v>
      </x:c>
      <x:c r="B5" s="441" t="n">
        <x:v>4500</x:v>
      </x:c>
      <x:c r="C5" s="441" t="n">
        <x:v>480</x:v>
      </x:c>
      <x:c r="D5" s="441" t="n">
        <x:v>8942</x:v>
      </x:c>
      <x:c r="E5" s="441" t="n">
        <x:v>8462</x:v>
      </x:c>
      <x:c r="F5" s="444" t="n">
        <x:v>17.629166666666666</x:v>
      </x:c>
      <x:c r="G5" s="444" t="n">
        <x:v>0.6140155117539818</x:v>
      </x:c>
      <x:c r="H5" s="449" t="str">
        <x:v>車針應獨立分析。</x:v>
      </x:c>
      <x:c r="J5" t="str">
        <x:v>Electrical/Control</x:v>
      </x:c>
      <x:c r="K5" s="289" t="n">
        <x:v>643</x:v>
      </x:c>
      <x:c r="L5" s="289" t="n">
        <x:v>1175</x:v>
      </x:c>
    </x:row>
    <x:row r="6" ht="20" customHeight="1">
      <x:c r="A6" s="435" t="str">
        <x:v>Electrical/Control</x:v>
      </x:c>
      <x:c r="B6" s="442" t="n">
        <x:v>1568.5</x:v>
      </x:c>
      <x:c r="C6" s="442" t="n">
        <x:v>643</x:v>
      </x:c>
      <x:c r="D6" s="442" t="n">
        <x:v>1175</x:v>
      </x:c>
      <x:c r="E6" s="442" t="n">
        <x:v>532</x:v>
      </x:c>
      <x:c r="F6" s="445" t="n">
        <x:v>0.8273716951788492</x:v>
      </x:c>
      <x:c r="G6" s="445" t="n">
        <x:v>0.08068309397348788</x:v>
      </x:c>
      <x:c r="H6" s="451" t="str">
        <x:v>顯著增加，需拆品項/一次性採購。</x:v>
      </x:c>
      <x:c r="J6" t="str">
        <x:v>Consumable/Chemical</x:v>
      </x:c>
      <x:c r="K6" s="289" t="n">
        <x:v>1045.8</x:v>
      </x:c>
      <x:c r="L6" s="289" t="n">
        <x:v>951.9</x:v>
      </x:c>
    </x:row>
    <x:row r="7" ht="20" customHeight="1">
      <x:c r="A7" s="435" t="str">
        <x:v>Consumable/Chemical</x:v>
      </x:c>
      <x:c r="B7" s="442" t="n">
        <x:v>1991.39</x:v>
      </x:c>
      <x:c r="C7" s="442" t="n">
        <x:v>1045.8</x:v>
      </x:c>
      <x:c r="D7" s="442" t="n">
        <x:v>951.9</x:v>
      </x:c>
      <x:c r="E7" s="442" t="n">
        <x:v>-93.89999999999998</x:v>
      </x:c>
      <x:c r="F7" s="445" t="n">
        <x:v>-0.08978772231784282</x:v>
      </x:c>
      <x:c r="G7" s="445" t="n">
        <x:v>0.06536360608796861</x:v>
      </x:c>
      <x:c r="H7" s="451" t="str">
        <x:v>中度變化或相對穩定。</x:v>
      </x:c>
      <x:c r="J7" t="str">
        <x:v>Motor/Drive</x:v>
      </x:c>
      <x:c r="K7" s="289" t="n">
        <x:v>0</x:v>
      </x:c>
      <x:c r="L7" s="289" t="n">
        <x:v>630</x:v>
      </x:c>
    </x:row>
    <x:row r="8" ht="20" customHeight="1">
      <x:c r="A8" s="435" t="str">
        <x:v>Other</x:v>
      </x:c>
      <x:c r="B8" s="442" t="n">
        <x:v>3016.5</x:v>
      </x:c>
      <x:c r="C8" s="442" t="n">
        <x:v>2895.4</x:v>
      </x:c>
      <x:c r="D8" s="442" t="n">
        <x:v>10</x:v>
      </x:c>
      <x:c r="E8" s="442" t="n">
        <x:v>-2885.4</x:v>
      </x:c>
      <x:c r="F8" s="445" t="n">
        <x:v>-0.9965462457691511</x:v>
      </x:c>
      <x:c r="G8" s="445" t="n">
        <x:v>0.000686664629561599</x:v>
      </x:c>
      <x:c r="H8" s="451" t="str">
        <x:v>分類品質改善造成明顯下降，不宜解讀為真實需求崩跌。</x:v>
      </x:c>
      <x:c r="J8" t="str">
        <x:v>Cutting</x:v>
      </x:c>
      <x:c r="K8" s="289" t="n">
        <x:v>26</x:v>
      </x:c>
      <x:c r="L8" s="289" t="n">
        <x:v>621</x:v>
      </x:c>
    </x:row>
    <x:row r="9" ht="20" customHeight="1">
      <x:c r="A9" s="435" t="str">
        <x:v>Tools</x:v>
      </x:c>
      <x:c r="B9" s="442" t="n">
        <x:v>1419.5</x:v>
      </x:c>
      <x:c r="C9" s="442" t="n">
        <x:v>430.7</x:v>
      </x:c>
      <x:c r="D9" s="442" t="n">
        <x:v>249.5</x:v>
      </x:c>
      <x:c r="E9" s="442" t="n">
        <x:v>-181.2</x:v>
      </x:c>
      <x:c r="F9" s="445" t="n">
        <x:v>-0.4207104713257488</x:v>
      </x:c>
      <x:c r="G9" s="445" t="n">
        <x:v>0.017132282507561894</x:v>
      </x:c>
      <x:c r="H9" s="451" t="str">
        <x:v>上半年採購明顯下降。</x:v>
      </x:c>
      <x:c r="J9" t="str">
        <x:v>Equipment</x:v>
      </x:c>
      <x:c r="K9" s="289" t="n">
        <x:v>385</x:v>
      </x:c>
      <x:c r="L9" s="289" t="n">
        <x:v>525</x:v>
      </x:c>
    </x:row>
    <x:row r="10" ht="20" customHeight="1">
      <x:c r="A10" s="435" t="str">
        <x:v>Ironing/Heat Transfer</x:v>
      </x:c>
      <x:c r="B10" s="442" t="n">
        <x:v>1158.4</x:v>
      </x:c>
      <x:c r="C10" s="442" t="n">
        <x:v>682.4</x:v>
      </x:c>
      <x:c r="D10" s="442" t="n">
        <x:v>503</x:v>
      </x:c>
      <x:c r="E10" s="442" t="n">
        <x:v>-179.39999999999998</x:v>
      </x:c>
      <x:c r="F10" s="445" t="n">
        <x:v>-0.26289566236811257</x:v>
      </x:c>
      <x:c r="G10" s="445" t="n">
        <x:v>0.03453923086694843</x:v>
      </x:c>
      <x:c r="H10" s="451" t="str">
        <x:v>中度變化或相對穩定。</x:v>
      </x:c>
      <x:c r="J10" t="str">
        <x:v>Ironing/Heat Transfer</x:v>
      </x:c>
      <x:c r="K10" s="289" t="n">
        <x:v>682.4</x:v>
      </x:c>
      <x:c r="L10" s="289" t="n">
        <x:v>503</x:v>
      </x:c>
    </x:row>
    <x:row r="11" ht="20" customHeight="1">
      <x:c r="A11" s="435" t="str">
        <x:v>Equipment</x:v>
      </x:c>
      <x:c r="B11" s="442" t="n">
        <x:v>1110</x:v>
      </x:c>
      <x:c r="C11" s="442" t="n">
        <x:v>385</x:v>
      </x:c>
      <x:c r="D11" s="442" t="n">
        <x:v>525</x:v>
      </x:c>
      <x:c r="E11" s="442" t="n">
        <x:v>140</x:v>
      </x:c>
      <x:c r="F11" s="445" t="n">
        <x:v>0.36363636363636354</x:v>
      </x:c>
      <x:c r="G11" s="445" t="n">
        <x:v>0.036049893051983944</x:v>
      </x:c>
      <x:c r="H11" s="451" t="str">
        <x:v>中度變化或相對穩定。</x:v>
      </x:c>
      <x:c r="J11" t="str">
        <x:v>Repair Service</x:v>
      </x:c>
      <x:c r="K11" s="289" t="n">
        <x:v>0</x:v>
      </x:c>
      <x:c r="L11" s="289" t="n">
        <x:v>360</x:v>
      </x:c>
    </x:row>
    <x:row r="12" ht="20" customHeight="1">
      <x:c r="A12" s="435" t="str">
        <x:v>Bobbin/Shuttle</x:v>
      </x:c>
      <x:c r="B12" s="442" t="n">
        <x:v>888</x:v>
      </x:c>
      <x:c r="C12" s="442" t="n">
        <x:v>663</x:v>
      </x:c>
      <x:c r="D12" s="442" t="n">
        <x:v>95</x:v>
      </x:c>
      <x:c r="E12" s="442" t="n">
        <x:v>-568</x:v>
      </x:c>
      <x:c r="F12" s="445" t="n">
        <x:v>-0.856711915535445</x:v>
      </x:c>
      <x:c r="G12" s="445" t="n">
        <x:v>0.00652331398083519</x:v>
      </x:c>
      <x:c r="H12" s="451" t="str">
        <x:v>上半年採購明顯下降。</x:v>
      </x:c>
      <x:c r="J12" t="str">
        <x:v>Needle Plate/Feed Dog</x:v>
      </x:c>
      <x:c r="K12" s="289" t="n">
        <x:v>157</x:v>
      </x:c>
      <x:c r="L12" s="289" t="n">
        <x:v>284.25</x:v>
      </x:c>
    </x:row>
    <x:row r="13" ht="20" customHeight="1">
      <x:c r="A13" s="435" t="str">
        <x:v>Motor/Drive</x:v>
      </x:c>
      <x:c r="B13" s="442" t="n">
        <x:v>580</x:v>
      </x:c>
      <x:c r="C13" s="442" t="n">
        <x:v>0</x:v>
      </x:c>
      <x:c r="D13" s="442" t="n">
        <x:v>630</x:v>
      </x:c>
      <x:c r="E13" s="442" t="n">
        <x:v>630</x:v>
      </x:c>
      <x:c r="F13" s="445"/>
      <x:c r="G13" s="445" t="n">
        <x:v>0.04325987166238074</x:v>
      </x:c>
      <x:c r="H13" s="451" t="str">
        <x:v>中度變化或相對穩定。</x:v>
      </x:c>
    </x:row>
    <x:row r="14" ht="20" customHeight="1">
      <x:c r="A14" s="435" t="str">
        <x:v>Presser Foot</x:v>
      </x:c>
      <x:c r="B14" s="442" t="n">
        <x:v>472.5</x:v>
      </x:c>
      <x:c r="C14" s="442" t="n">
        <x:v>259</x:v>
      </x:c>
      <x:c r="D14" s="442" t="n">
        <x:v>72</x:v>
      </x:c>
      <x:c r="E14" s="442" t="n">
        <x:v>-187</x:v>
      </x:c>
      <x:c r="F14" s="445" t="n">
        <x:v>-0.722007722007722</x:v>
      </x:c>
      <x:c r="G14" s="445" t="n">
        <x:v>0.004943985332843513</x:v>
      </x:c>
      <x:c r="H14" s="451" t="str">
        <x:v>上半年採購明顯下降。</x:v>
      </x:c>
    </x:row>
    <x:row r="15" ht="20" customHeight="1">
      <x:c r="A15" s="435" t="str">
        <x:v>Repair Service</x:v>
      </x:c>
      <x:c r="B15" s="442" t="n">
        <x:v>435</x:v>
      </x:c>
      <x:c r="C15" s="442" t="n">
        <x:v>0</x:v>
      </x:c>
      <x:c r="D15" s="442" t="n">
        <x:v>360</x:v>
      </x:c>
      <x:c r="E15" s="442" t="n">
        <x:v>360</x:v>
      </x:c>
      <x:c r="F15" s="445"/>
      <x:c r="G15" s="445" t="n">
        <x:v>0.024719926664217563</x:v>
      </x:c>
      <x:c r="H15" s="451" t="str">
        <x:v>中度變化或相對穩定。</x:v>
      </x:c>
    </x:row>
    <x:row r="16" ht="20" customHeight="1">
      <x:c r="A16" s="435" t="str">
        <x:v>Needle Plate/Feed Dog</x:v>
      </x:c>
      <x:c r="B16" s="442" t="n">
        <x:v>293.5</x:v>
      </x:c>
      <x:c r="C16" s="442" t="n">
        <x:v>157</x:v>
      </x:c>
      <x:c r="D16" s="442" t="n">
        <x:v>284.25</x:v>
      </x:c>
      <x:c r="E16" s="442" t="n">
        <x:v>127.25</x:v>
      </x:c>
      <x:c r="F16" s="445" t="n">
        <x:v>0.8105095541401275</x:v>
      </x:c>
      <x:c r="G16" s="445" t="n">
        <x:v>0.01951844209528845</x:v>
      </x:c>
      <x:c r="H16" s="451" t="str">
        <x:v>顯著增加，需拆品項/一次性採購。</x:v>
      </x:c>
    </x:row>
    <x:row r="17" ht="20" customHeight="1">
      <x:c r="A17" s="435" t="str">
        <x:v>Cutting</x:v>
      </x:c>
      <x:c r="B17" s="442" t="n">
        <x:v>46</x:v>
      </x:c>
      <x:c r="C17" s="442" t="n">
        <x:v>26</x:v>
      </x:c>
      <x:c r="D17" s="442" t="n">
        <x:v>621</x:v>
      </x:c>
      <x:c r="E17" s="442" t="n">
        <x:v>595</x:v>
      </x:c>
      <x:c r="F17" s="445" t="n">
        <x:v>22.884615384615383</x:v>
      </x:c>
      <x:c r="G17" s="445" t="n">
        <x:v>0.0426418734957753</x:v>
      </x:c>
      <x:c r="H17" s="451" t="str">
        <x:v>顯著增加，需拆品項/一次性採購。</x:v>
      </x:c>
    </x:row>
    <x:row r="18" ht="20" customHeight="1">
      <x:c r="A18" s="435" t="str">
        <x:v>Knife/Looper</x:v>
      </x:c>
      <x:c r="B18" s="442" t="n">
        <x:v>7.5</x:v>
      </x:c>
      <x:c r="C18" s="442" t="n">
        <x:v>0</x:v>
      </x:c>
      <x:c r="D18" s="442" t="n">
        <x:v>144.5</x:v>
      </x:c>
      <x:c r="E18" s="442" t="n">
        <x:v>144.5</x:v>
      </x:c>
      <x:c r="F18" s="445"/>
      <x:c r="G18" s="445" t="n">
        <x:v>0.009922303897165105</x:v>
      </x:c>
      <x:c r="H18" s="451" t="str">
        <x:v>中度變化或相對穩定。</x:v>
      </x:c>
    </x:row>
    <x:row r="19" ht="20" customHeight="1">
      <x:c r="A19" s="435" t="str">
        <x:v>Bearing</x:v>
      </x:c>
      <x:c r="B19" s="442" t="n">
        <x:v>20</x:v>
      </x:c>
      <x:c r="C19" s="442" t="n">
        <x:v>20</x:v>
      </x:c>
      <x:c r="D19" s="442" t="n">
        <x:v>0</x:v>
      </x:c>
      <x:c r="E19" s="442" t="n">
        <x:v>-20</x:v>
      </x:c>
      <x:c r="F19" s="445" t="n">
        <x:v>-1</x:v>
      </x:c>
      <x:c r="G19" s="445" t="n">
        <x:v>0</x:v>
      </x:c>
      <x:c r="H19" s="451" t="str">
        <x:v>上半年採購明顯下降。</x:v>
      </x:c>
    </x:row>
    <x:row r="20" ht="20" customHeight="1">
      <x:c r="A20" s="435" t="str">
        <x:v>Material</x:v>
      </x:c>
      <x:c r="B20" s="442" t="n">
        <x:v>128</x:v>
      </x:c>
      <x:c r="C20" s="442" t="n">
        <x:v>0</x:v>
      </x:c>
      <x:c r="D20" s="442" t="n">
        <x:v>0</x:v>
      </x:c>
      <x:c r="E20" s="442" t="n">
        <x:v>0</x:v>
      </x:c>
      <x:c r="F20" s="445"/>
      <x:c r="G20" s="445" t="n">
        <x:v>0</x:v>
      </x:c>
      <x:c r="H20" s="451" t="str">
        <x:v>中度變化或相對穩定。</x:v>
      </x:c>
    </x:row>
    <x:row r="21" ht="20" customHeight="1">
      <x:c r="A21" s="435" t="str">
        <x:v>Air/Pneumatic</x:v>
      </x:c>
      <x:c r="B21" s="442" t="n">
        <x:v>65</x:v>
      </x:c>
      <x:c r="C21" s="442" t="n">
        <x:v>0</x:v>
      </x:c>
      <x:c r="D21" s="442" t="n">
        <x:v>0</x:v>
      </x:c>
      <x:c r="E21" s="442" t="n">
        <x:v>0</x:v>
      </x:c>
      <x:c r="F21" s="445"/>
      <x:c r="G21" s="445" t="n">
        <x:v>0</x:v>
      </x:c>
      <x:c r="H21" s="451" t="str">
        <x:v>中度變化或相對穩定。</x:v>
      </x:c>
    </x:row>
    <x:row r="22" ht="20" customHeight="1">
      <x:c r="A22" s="435" t="str">
        <x:v>Belt</x:v>
      </x:c>
      <x:c r="B22" s="442" t="n">
        <x:v>47.5</x:v>
      </x:c>
      <x:c r="C22" s="442" t="n">
        <x:v>0</x:v>
      </x:c>
      <x:c r="D22" s="442" t="n">
        <x:v>0</x:v>
      </x:c>
      <x:c r="E22" s="442" t="n">
        <x:v>0</x:v>
      </x:c>
      <x:c r="F22" s="445"/>
      <x:c r="G22" s="445" t="n">
        <x:v>0</x:v>
      </x:c>
      <x:c r="H22" s="451" t="str">
        <x:v>中度變化或相對穩定。</x:v>
      </x:c>
    </x:row>
    <x:row r="23" ht="20" customHeight="1">
      <x:c r="A23" s="438" t="str">
        <x:v>Safety</x:v>
      </x:c>
      <x:c r="B23" s="443" t="n">
        <x:v>12</x:v>
      </x:c>
      <x:c r="C23" s="443" t="n">
        <x:v>0</x:v>
      </x:c>
      <x:c r="D23" s="443" t="n">
        <x:v>0</x:v>
      </x:c>
      <x:c r="E23" s="443" t="n">
        <x:v>0</x:v>
      </x:c>
      <x:c r="F23" s="446"/>
      <x:c r="G23" s="446" t="n">
        <x:v>0</x:v>
      </x:c>
      <x:c r="H23" s="453" t="str">
        <x:v>中度變化或相對穩定。</x:v>
      </x:c>
    </x:row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>
      <x:c r="J31" s="419" t="str">
        <x:v>Coverage Note</x:v>
      </x:c>
    </x:row>
    <x:row r="32" ht="20" customHeight="1">
      <x:c r="A32" s="447" t="str">
        <x:v>2024</x:v>
      </x:c>
      <x:c r="B32" s="18" t="str">
        <x:v>2024早期Hong Ye多為手寫發票，品項/規格不夠穩定，因此本頁不把2024細分類納入排行，避免錯誤分類。</x:v>
      </x:c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  <x:c r="O32" s="18"/>
      <x:c r="P32" s="18"/>
      <x:c r="Q32" s="18"/>
      <x:c r="R32" s="18"/>
    </x:row>
    <x:row r="33" ht="20" customHeight="1">
      <x:c r="A33" s="447" t="str">
        <x:v>2025 Other</x:v>
      </x:c>
      <x:c r="B33" s="18" t="str">
        <x:v>2025「Other」較高主要受掃描/品名辨識限制影響，跨年分類比較需搭配Part No.與原始憑證核對。</x:v>
      </x:c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  <x:c r="O33" s="18"/>
      <x:c r="P33" s="18"/>
      <x:c r="Q33" s="18"/>
      <x:c r="R33" s="18"/>
    </x:row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/>
    <x:row r="57" ht="20" customHeight="1"/>
    <x:row r="58" ht="20" customHeight="1"/>
    <x:row r="59" ht="20" customHeight="1"/>
    <x:row r="60" ht="20" customHeight="1"/>
  </x:sheetData>
  <x:mergeCells>
    <x:mergeCell ref="A1:R2"/>
    <x:mergeCell ref="B32:R32"/>
    <x:mergeCell ref="B33:R33"/>
  </x:mergeCells>
  <x:conditionalFormatting sqref="F5:F23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drawing xmlns:r="http://schemas.openxmlformats.org/officeDocument/2006/relationships" r:id="R7f5650c134324dd5"/>
</x:worksheet>
</file>

<file path=xl/worksheets/sheet2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22" hidden="0" customWidth="1"/>
    <x:col min="4" max="4" width="13" hidden="0" customWidth="1"/>
    <x:col min="5" max="5" width="10" hidden="0" customWidth="1"/>
    <x:col min="6" max="6" width="10" hidden="0" customWidth="1"/>
    <x:col min="7" max="7" width="13" hidden="0" customWidth="1"/>
    <x:col min="8" max="8" width="13" hidden="0" customWidth="1"/>
    <x:col min="9" max="9" width="11" hidden="0" customWidth="1"/>
    <x:col min="10" max="10" width="11" hidden="0" customWidth="1"/>
    <x:col min="11" max="11" width="14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0" customHeight="1">
      <x:c r="A1" s="407" t="str">
        <x:v>Purchase Frequency vs Actual Consumption | 採購頻率與實際消耗</x:v>
      </x:c>
      <x:c r="B1" s="407"/>
      <x:c r="C1" s="407"/>
      <x:c r="D1" s="407"/>
      <x:c r="E1" s="407"/>
      <x:c r="F1" s="407"/>
      <x:c r="G1" s="407"/>
      <x:c r="H1" s="407"/>
      <x:c r="I1" s="407"/>
      <x:c r="J1" s="407"/>
      <x:c r="K1" s="407"/>
      <x:c r="L1" s="407"/>
      <x:c r="M1" s="407"/>
      <x:c r="N1" s="407"/>
    </x:row>
    <x:row r="2" ht="20" customHeight="1">
      <x:c r="A2" s="407"/>
      <x:c r="B2" s="407"/>
      <x:c r="C2" s="407"/>
      <x:c r="D2" s="407"/>
      <x:c r="E2" s="407"/>
      <x:c r="F2" s="407"/>
      <x:c r="G2" s="407"/>
      <x:c r="H2" s="407"/>
      <x:c r="I2" s="407"/>
      <x:c r="J2" s="407"/>
      <x:c r="K2" s="407"/>
      <x:c r="L2" s="407"/>
      <x:c r="M2" s="407"/>
      <x:c r="N2" s="407"/>
    </x:row>
    <x:row r="3" ht="20" customHeight="1"/>
    <x:row r="4" ht="20" customHeight="1">
      <x:c r="A4" s="419" t="str">
        <x:v>A. High-Frequency Needle Purchases</x:v>
      </x:c>
    </x:row>
    <x:row r="5" ht="20" customHeight="1">
      <x:c r="A5" s="423" t="str">
        <x:v>Part No.</x:v>
      </x:c>
      <x:c r="B5" s="423" t="str">
        <x:v>Item</x:v>
      </x:c>
      <x:c r="C5" s="423" t="str">
        <x:v>Brand</x:v>
      </x:c>
      <x:c r="D5" s="423" t="str">
        <x:v>Unit</x:v>
      </x:c>
      <x:c r="E5" s="423" t="str">
        <x:v>Txn Lines</x:v>
      </x:c>
      <x:c r="F5" s="423" t="str">
        <x:v>Months</x:v>
      </x:c>
      <x:c r="G5" s="423" t="str">
        <x:v>Purchased Qty</x:v>
      </x:c>
      <x:c r="H5" s="423" t="str">
        <x:v>Spend</x:v>
      </x:c>
      <x:c r="I5" s="423" t="str">
        <x:v>Min Price</x:v>
      </x:c>
      <x:c r="J5" s="423" t="str">
        <x:v>Max Price</x:v>
      </x:c>
      <x:c r="K5" s="423" t="str">
        <x:v>Needle Spend Share</x:v>
      </x:c>
    </x:row>
    <x:row r="6" ht="20" customHeight="1">
      <x:c r="A6" s="432" t="str">
        <x:v>ND-DCX27-12</x:v>
      </x:c>
      <x:c r="B6" s="433" t="str">
        <x:v>ORGAN DCx27 #12</x:v>
      </x:c>
      <x:c r="C6" s="433" t="str">
        <x:v>ORGAN/風琴</x:v>
      </x:c>
      <x:c r="D6" s="433" t="str">
        <x:v>pack/包</x:v>
      </x:c>
      <x:c r="E6" s="433" t="n">
        <x:v>16</x:v>
      </x:c>
      <x:c r="F6" s="433" t="n">
        <x:v>6</x:v>
      </x:c>
      <x:c r="G6" s="433" t="n">
        <x:v>1550</x:v>
      </x:c>
      <x:c r="H6" s="441" t="n">
        <x:v>2015</x:v>
      </x:c>
      <x:c r="I6" s="441" t="n">
        <x:v>1.3</x:v>
      </x:c>
      <x:c r="J6" s="441" t="n">
        <x:v>1.3</x:v>
      </x:c>
      <x:c r="K6" s="454" t="n">
        <x:v>0.14990328820116053</x:v>
      </x:c>
    </x:row>
    <x:row r="7" ht="20" customHeight="1">
      <x:c r="A7" s="435" t="str">
        <x:v>ND-UOX113-14</x:v>
      </x:c>
      <x:c r="B7" s="436" t="str">
        <x:v>ORGAN UOx113 #14</x:v>
      </x:c>
      <x:c r="C7" s="436" t="str">
        <x:v>ORGAN/風琴</x:v>
      </x:c>
      <x:c r="D7" s="436" t="str">
        <x:v>pack/包</x:v>
      </x:c>
      <x:c r="E7" s="436" t="n">
        <x:v>12</x:v>
      </x:c>
      <x:c r="F7" s="436" t="n">
        <x:v>7</x:v>
      </x:c>
      <x:c r="G7" s="436" t="n">
        <x:v>950</x:v>
      </x:c>
      <x:c r="H7" s="442" t="n">
        <x:v>2850</x:v>
      </x:c>
      <x:c r="I7" s="442" t="n">
        <x:v>3</x:v>
      </x:c>
      <x:c r="J7" s="442" t="n">
        <x:v>3</x:v>
      </x:c>
      <x:c r="K7" s="455" t="n">
        <x:v>0.21202202053265884</x:v>
      </x:c>
    </x:row>
    <x:row r="8" ht="20" customHeight="1">
      <x:c r="A8" s="435" t="str">
        <x:v>ND-UOX113-12</x:v>
      </x:c>
      <x:c r="B8" s="436" t="str">
        <x:v>ORGAN UOx113 #12</x:v>
      </x:c>
      <x:c r="C8" s="436" t="str">
        <x:v>ORGAN/風琴</x:v>
      </x:c>
      <x:c r="D8" s="436" t="str">
        <x:v>pack/包</x:v>
      </x:c>
      <x:c r="E8" s="436" t="n">
        <x:v>8</x:v>
      </x:c>
      <x:c r="F8" s="436" t="n">
        <x:v>4</x:v>
      </x:c>
      <x:c r="G8" s="436" t="n">
        <x:v>630</x:v>
      </x:c>
      <x:c r="H8" s="442" t="n">
        <x:v>1890</x:v>
      </x:c>
      <x:c r="I8" s="442" t="n">
        <x:v>3</x:v>
      </x:c>
      <x:c r="J8" s="442" t="n">
        <x:v>3</x:v>
      </x:c>
      <x:c r="K8" s="455" t="n">
        <x:v>0.14060407677428954</x:v>
      </x:c>
    </x:row>
    <x:row r="9" ht="20" customHeight="1">
      <x:c r="A9" s="435" t="str">
        <x:v>ND-UYX128-12</x:v>
      </x:c>
      <x:c r="B9" s="436" t="str">
        <x:v>ORGAN UYx128 #12</x:v>
      </x:c>
      <x:c r="C9" s="436" t="str">
        <x:v>ORGAN/風琴</x:v>
      </x:c>
      <x:c r="D9" s="436" t="str">
        <x:v>pack/包</x:v>
      </x:c>
      <x:c r="E9" s="436" t="n">
        <x:v>8</x:v>
      </x:c>
      <x:c r="F9" s="436" t="n">
        <x:v>5</x:v>
      </x:c>
      <x:c r="G9" s="436" t="n">
        <x:v>900</x:v>
      </x:c>
      <x:c r="H9" s="442" t="n">
        <x:v>1602</x:v>
      </x:c>
      <x:c r="I9" s="442" t="n">
        <x:v>1.78</x:v>
      </x:c>
      <x:c r="J9" s="442" t="n">
        <x:v>1.78</x:v>
      </x:c>
      <x:c r="K9" s="455" t="n">
        <x:v>0.11917869364677876</x:v>
      </x:c>
    </x:row>
    <x:row r="10" ht="20" customHeight="1">
      <x:c r="A10" s="435" t="str">
        <x:v>ND-UYX128-11</x:v>
      </x:c>
      <x:c r="B10" s="436" t="str">
        <x:v>ORGAN UYx128 #11</x:v>
      </x:c>
      <x:c r="C10" s="436" t="str">
        <x:v>ORGAN/風琴</x:v>
      </x:c>
      <x:c r="D10" s="436" t="str">
        <x:v>pack/包</x:v>
      </x:c>
      <x:c r="E10" s="436" t="n">
        <x:v>8</x:v>
      </x:c>
      <x:c r="F10" s="436" t="n">
        <x:v>4</x:v>
      </x:c>
      <x:c r="G10" s="436" t="n">
        <x:v>850</x:v>
      </x:c>
      <x:c r="H10" s="442" t="n">
        <x:v>1513</x:v>
      </x:c>
      <x:c r="I10" s="442" t="n">
        <x:v>1.78</x:v>
      </x:c>
      <x:c r="J10" s="442" t="n">
        <x:v>1.78</x:v>
      </x:c>
      <x:c r="K10" s="455" t="n">
        <x:v>0.1125576551108466</x:v>
      </x:c>
    </x:row>
    <x:row r="11" ht="20" customHeight="1">
      <x:c r="A11" s="435" t="str">
        <x:v>ND-DCX27-16</x:v>
      </x:c>
      <x:c r="B11" s="436" t="str">
        <x:v>ORGAN DCx27 #16</x:v>
      </x:c>
      <x:c r="C11" s="436" t="str">
        <x:v>ORGAN/風琴</x:v>
      </x:c>
      <x:c r="D11" s="436" t="str">
        <x:v>pack/包</x:v>
      </x:c>
      <x:c r="E11" s="436" t="n">
        <x:v>4</x:v>
      </x:c>
      <x:c r="F11" s="436" t="n">
        <x:v>4</x:v>
      </x:c>
      <x:c r="G11" s="436" t="n">
        <x:v>250</x:v>
      </x:c>
      <x:c r="H11" s="442" t="n">
        <x:v>325</x:v>
      </x:c>
      <x:c r="I11" s="442" t="n">
        <x:v>1.3</x:v>
      </x:c>
      <x:c r="J11" s="442" t="n">
        <x:v>1.3</x:v>
      </x:c>
      <x:c r="K11" s="455" t="n">
        <x:v>0.024177949709864602</x:v>
      </x:c>
    </x:row>
    <x:row r="12" ht="20" customHeight="1">
      <x:c r="A12" s="435" t="str">
        <x:v>ND-DBX1-16</x:v>
      </x:c>
      <x:c r="B12" s="436" t="str">
        <x:v>ORGAN DBx1 #16</x:v>
      </x:c>
      <x:c r="C12" s="436" t="str">
        <x:v>ORGAN/風琴</x:v>
      </x:c>
      <x:c r="D12" s="436" t="str">
        <x:v>pack/包</x:v>
      </x:c>
      <x:c r="E12" s="436" t="n">
        <x:v>4</x:v>
      </x:c>
      <x:c r="F12" s="436" t="n">
        <x:v>2</x:v>
      </x:c>
      <x:c r="G12" s="436" t="n">
        <x:v>400</x:v>
      </x:c>
      <x:c r="H12" s="442" t="n">
        <x:v>308</x:v>
      </x:c>
      <x:c r="I12" s="442" t="n">
        <x:v>0.76</x:v>
      </x:c>
      <x:c r="J12" s="442" t="n">
        <x:v>0.78</x:v>
      </x:c>
      <x:c r="K12" s="455" t="n">
        <x:v>0.022913256955810146</x:v>
      </x:c>
    </x:row>
    <x:row r="13" ht="20" customHeight="1">
      <x:c r="A13" s="435" t="str">
        <x:v>ND-DBX1-14</x:v>
      </x:c>
      <x:c r="B13" s="436" t="str">
        <x:v>ORGAN DBx1 #14</x:v>
      </x:c>
      <x:c r="C13" s="436" t="str">
        <x:v>ORGAN/風琴</x:v>
      </x:c>
      <x:c r="D13" s="436" t="str">
        <x:v>pack/包</x:v>
      </x:c>
      <x:c r="E13" s="436" t="n">
        <x:v>4</x:v>
      </x:c>
      <x:c r="F13" s="436" t="n">
        <x:v>2</x:v>
      </x:c>
      <x:c r="G13" s="436" t="n">
        <x:v>250</x:v>
      </x:c>
      <x:c r="H13" s="442" t="n">
        <x:v>194</x:v>
      </x:c>
      <x:c r="I13" s="442" t="n">
        <x:v>0.76</x:v>
      </x:c>
      <x:c r="J13" s="442" t="n">
        <x:v>0.78</x:v>
      </x:c>
      <x:c r="K13" s="455" t="n">
        <x:v>0.014432376134503794</x:v>
      </x:c>
    </x:row>
    <x:row r="14" ht="20" customHeight="1">
      <x:c r="A14" s="435" t="str">
        <x:v>ND-UYX128-14</x:v>
      </x:c>
      <x:c r="B14" s="436" t="str">
        <x:v>ORGAN UYx128 #14</x:v>
      </x:c>
      <x:c r="C14" s="436" t="str">
        <x:v>ORGAN/風琴</x:v>
      </x:c>
      <x:c r="D14" s="436" t="str">
        <x:v>pack/包</x:v>
      </x:c>
      <x:c r="E14" s="436" t="n">
        <x:v>3</x:v>
      </x:c>
      <x:c r="F14" s="436" t="n">
        <x:v>3</x:v>
      </x:c>
      <x:c r="G14" s="436" t="n">
        <x:v>300</x:v>
      </x:c>
      <x:c r="H14" s="442" t="n">
        <x:v>534</x:v>
      </x:c>
      <x:c r="I14" s="442" t="n">
        <x:v>1.78</x:v>
      </x:c>
      <x:c r="J14" s="442" t="n">
        <x:v>1.78</x:v>
      </x:c>
      <x:c r="K14" s="455" t="n">
        <x:v>0.03972623121559292</x:v>
      </x:c>
    </x:row>
    <x:row r="15" ht="20" customHeight="1">
      <x:c r="A15" s="435" t="str">
        <x:v>ND-UOX113-16</x:v>
      </x:c>
      <x:c r="B15" s="436" t="str">
        <x:v>ORGAN UOx113 #16</x:v>
      </x:c>
      <x:c r="C15" s="436" t="str">
        <x:v>ORGAN/風琴</x:v>
      </x:c>
      <x:c r="D15" s="436" t="str">
        <x:v>pack/包</x:v>
      </x:c>
      <x:c r="E15" s="436" t="n">
        <x:v>3</x:v>
      </x:c>
      <x:c r="F15" s="436" t="n">
        <x:v>2</x:v>
      </x:c>
      <x:c r="G15" s="436" t="n">
        <x:v>150</x:v>
      </x:c>
      <x:c r="H15" s="442" t="n">
        <x:v>445</x:v>
      </x:c>
      <x:c r="I15" s="442" t="n">
        <x:v>2.9</x:v>
      </x:c>
      <x:c r="J15" s="442" t="n">
        <x:v>3</x:v>
      </x:c>
      <x:c r="K15" s="455" t="n">
        <x:v>0.033105192679660764</x:v>
      </x:c>
    </x:row>
    <x:row r="16" ht="20" customHeight="1">
      <x:c r="A16" s="438" t="str">
        <x:v>ND-DCX27-14</x:v>
      </x:c>
      <x:c r="B16" s="439" t="str">
        <x:v>ORGAN DCx27 #14</x:v>
      </x:c>
      <x:c r="C16" s="439" t="str">
        <x:v>ORGAN/風琴</x:v>
      </x:c>
      <x:c r="D16" s="439" t="str">
        <x:v>pack/包</x:v>
      </x:c>
      <x:c r="E16" s="439" t="n">
        <x:v>3</x:v>
      </x:c>
      <x:c r="F16" s="439" t="n">
        <x:v>2</x:v>
      </x:c>
      <x:c r="G16" s="439" t="n">
        <x:v>250</x:v>
      </x:c>
      <x:c r="H16" s="443" t="n">
        <x:v>325</x:v>
      </x:c>
      <x:c r="I16" s="443" t="n">
        <x:v>1.3</x:v>
      </x:c>
      <x:c r="J16" s="443" t="n">
        <x:v>1.3</x:v>
      </x:c>
      <x:c r="K16" s="456" t="n">
        <x:v>0.024177949709864602</x:v>
      </x:c>
    </x:row>
    <x:row r="17" ht="20" customHeight="1"/>
    <x:row r="18" ht="20" customHeight="1"/>
    <x:row r="19" ht="20" customHeight="1">
      <x:c r="A19" s="419" t="str">
        <x:v>B. High-Frequency Machine / Maintenance Purchases</x:v>
      </x:c>
    </x:row>
    <x:row r="20" ht="20" customHeight="1">
      <x:c r="A20" s="423" t="str">
        <x:v>Part No.</x:v>
      </x:c>
      <x:c r="B20" s="423" t="str">
        <x:v>Item</x:v>
      </x:c>
      <x:c r="C20" s="423" t="str">
        <x:v>Category</x:v>
      </x:c>
      <x:c r="D20" s="423" t="str">
        <x:v>Unit</x:v>
      </x:c>
      <x:c r="E20" s="423" t="str">
        <x:v>Txn Lines</x:v>
      </x:c>
      <x:c r="F20" s="423" t="str">
        <x:v>Months</x:v>
      </x:c>
      <x:c r="G20" s="423" t="str">
        <x:v>Purchased Qty</x:v>
      </x:c>
      <x:c r="H20" s="423" t="str">
        <x:v>Spend</x:v>
      </x:c>
      <x:c r="I20" s="423" t="str">
        <x:v>Min Price</x:v>
      </x:c>
      <x:c r="J20" s="423" t="str">
        <x:v>Max Price</x:v>
      </x:c>
      <x:c r="K20" s="423" t="str">
        <x:v>Non-Needle Spend Share</x:v>
      </x:c>
    </x:row>
    <x:row r="21" ht="20" customHeight="1">
      <x:c r="A21" s="432" t="str">
        <x:v>TL-THREAD-SNIP-GLOBE</x:v>
      </x:c>
      <x:c r="B21" s="433" t="str">
        <x:v>環球沙剪</x:v>
      </x:c>
      <x:c r="C21" s="433" t="str">
        <x:v>Tools</x:v>
      </x:c>
      <x:c r="D21" s="433" t="str">
        <x:v>dozen/打</x:v>
      </x:c>
      <x:c r="E21" s="433" t="n">
        <x:v>9</x:v>
      </x:c>
      <x:c r="F21" s="433" t="n">
        <x:v>8</x:v>
      </x:c>
      <x:c r="G21" s="433" t="n">
        <x:v>93</x:v>
      </x:c>
      <x:c r="H21" s="441" t="n">
        <x:v>213.9</x:v>
      </x:c>
      <x:c r="I21" s="441" t="n">
        <x:v>2.3</x:v>
      </x:c>
      <x:c r="J21" s="441" t="n">
        <x:v>2.3</x:v>
      </x:c>
      <x:c r="K21" s="454" t="n">
        <x:v>0.011329185124922935</x:v>
      </x:c>
    </x:row>
    <x:row r="22" ht="20" customHeight="1">
      <x:c r="A22" s="435" t="str">
        <x:v>IR-ES94A-SHOE</x:v>
      </x:c>
      <x:c r="B22" s="436" t="str">
        <x:v>熨斗鞋 ES-94(A)</x:v>
      </x:c>
      <x:c r="C22" s="436" t="str">
        <x:v>Ironing/Heat Transfer</x:v>
      </x:c>
      <x:c r="D22" s="436" t="str">
        <x:v>pcs</x:v>
      </x:c>
      <x:c r="E22" s="436" t="n">
        <x:v>5</x:v>
      </x:c>
      <x:c r="F22" s="436" t="n">
        <x:v>5</x:v>
      </x:c>
      <x:c r="G22" s="436" t="n">
        <x:v>218</x:v>
      </x:c>
      <x:c r="H22" s="442" t="n">
        <x:v>392.4</x:v>
      </x:c>
      <x:c r="I22" s="442" t="n">
        <x:v>1.8</x:v>
      </x:c>
      <x:c r="J22" s="442" t="n">
        <x:v>1.8</x:v>
      </x:c>
      <x:c r="K22" s="455" t="n">
        <x:v>0.020783413945861428</x:v>
      </x:c>
    </x:row>
    <x:row r="23" ht="20" customHeight="1">
      <x:c r="A23" s="435" t="str">
        <x:v>CN-TAILOR-CHALK-PANDA-KR</x:v>
      </x:c>
      <x:c r="B23" s="436" t="str">
        <x:v>韓國熊貓圓形畫粉</x:v>
      </x:c>
      <x:c r="C23" s="436" t="str">
        <x:v>Consumable/Chemical</x:v>
      </x:c>
      <x:c r="D23" s="436" t="str">
        <x:v>box/盒</x:v>
      </x:c>
      <x:c r="E23" s="436" t="n">
        <x:v>5</x:v>
      </x:c>
      <x:c r="F23" s="436" t="n">
        <x:v>5</x:v>
      </x:c>
      <x:c r="G23" s="436" t="n">
        <x:v>64</x:v>
      </x:c>
      <x:c r="H23" s="442" t="n">
        <x:v>115.2</x:v>
      </x:c>
      <x:c r="I23" s="442" t="n">
        <x:v>1.8</x:v>
      </x:c>
      <x:c r="J23" s="442" t="n">
        <x:v>1.8</x:v>
      </x:c>
      <x:c r="K23" s="455" t="n">
        <x:v>0.006101552718051062</x:v>
      </x:c>
    </x:row>
    <x:row r="24" ht="20" customHeight="1">
      <x:c r="A24" s="435" t="str">
        <x:v>CH-502-GLUE-LARGE</x:v>
      </x:c>
      <x:c r="B24" s="436" t="str">
        <x:v>502膠水（大瓶）</x:v>
      </x:c>
      <x:c r="C24" s="436" t="str">
        <x:v>Consumable/Chemical</x:v>
      </x:c>
      <x:c r="D24" s="436" t="str">
        <x:v>bottle/瓶</x:v>
      </x:c>
      <x:c r="E24" s="436" t="n">
        <x:v>5</x:v>
      </x:c>
      <x:c r="F24" s="436" t="n">
        <x:v>5</x:v>
      </x:c>
      <x:c r="G24" s="436" t="n">
        <x:v>65</x:v>
      </x:c>
      <x:c r="H24" s="442" t="n">
        <x:v>42.25</x:v>
      </x:c>
      <x:c r="I24" s="442" t="n">
        <x:v>0.65</x:v>
      </x:c>
      <x:c r="J24" s="442" t="n">
        <x:v>0.65</x:v>
      </x:c>
      <x:c r="K24" s="455" t="n">
        <x:v>0.0022377656452921644</x:v>
      </x:c>
    </x:row>
    <x:row r="25" ht="20" customHeight="1">
      <x:c r="A25" s="435" t="str">
        <x:v>CN-NUMBER-PAPER-5</x:v>
      </x:c>
      <x:c r="B25" s="436" t="str">
        <x:v>編號紙 #5</x:v>
      </x:c>
      <x:c r="C25" s="436" t="str">
        <x:v>Consumable/Chemical</x:v>
      </x:c>
      <x:c r="D25" s="436" t="str">
        <x:v>box/箱</x:v>
      </x:c>
      <x:c r="E25" s="436" t="n">
        <x:v>4</x:v>
      </x:c>
      <x:c r="F25" s="436" t="n">
        <x:v>4</x:v>
      </x:c>
      <x:c r="G25" s="436" t="n">
        <x:v>12</x:v>
      </x:c>
      <x:c r="H25" s="442" t="n">
        <x:v>1320</x:v>
      </x:c>
      <x:c r="I25" s="442" t="n">
        <x:v>110</x:v>
      </x:c>
      <x:c r="J25" s="442" t="n">
        <x:v>110</x:v>
      </x:c>
      <x:c r="K25" s="455" t="n">
        <x:v>0.06991362489433509</x:v>
      </x:c>
    </x:row>
    <x:row r="26" ht="20" customHeight="1">
      <x:c r="A26" s="435" t="str">
        <x:v>IR-HANGING-BOTTLE-SET-KR</x:v>
      </x:c>
      <x:c r="B26" s="436" t="str">
        <x:v>韓國吊瓶熨斗組</x:v>
      </x:c>
      <x:c r="C26" s="436" t="str">
        <x:v>Ironing/Heat Transfer</x:v>
      </x:c>
      <x:c r="D26" s="436" t="str">
        <x:v>set/把</x:v>
      </x:c>
      <x:c r="E26" s="436" t="n">
        <x:v>4</x:v>
      </x:c>
      <x:c r="F26" s="436" t="n">
        <x:v>4</x:v>
      </x:c>
      <x:c r="G26" s="436" t="n">
        <x:v>23</x:v>
      </x:c>
      <x:c r="H26" s="442" t="n">
        <x:v>667</x:v>
      </x:c>
      <x:c r="I26" s="442" t="n">
        <x:v>29</x:v>
      </x:c>
      <x:c r="J26" s="442" t="n">
        <x:v>29</x:v>
      </x:c>
      <x:c r="K26" s="455" t="n">
        <x:v>0.035327566518576894</x:v>
      </x:c>
    </x:row>
    <x:row r="27" ht="20" customHeight="1">
      <x:c r="A27" s="435" t="str">
        <x:v>EL-JUKI1790-IC-BOARD</x:v>
      </x:c>
      <x:c r="B27" s="436" t="str">
        <x:v>JUKI 1790 IC 主板</x:v>
      </x:c>
      <x:c r="C27" s="436" t="str">
        <x:v>Electrical/Control</x:v>
      </x:c>
      <x:c r="D27" s="436" t="str">
        <x:v>board/板</x:v>
      </x:c>
      <x:c r="E27" s="436" t="n">
        <x:v>4</x:v>
      </x:c>
      <x:c r="F27" s="436" t="n">
        <x:v>3</x:v>
      </x:c>
      <x:c r="G27" s="436" t="n">
        <x:v>5</x:v>
      </x:c>
      <x:c r="H27" s="442" t="n">
        <x:v>600</x:v>
      </x:c>
      <x:c r="I27" s="442" t="n">
        <x:v>120</x:v>
      </x:c>
      <x:c r="J27" s="442" t="n">
        <x:v>120</x:v>
      </x:c>
      <x:c r="K27" s="455" t="n">
        <x:v>0.03177892040651595</x:v>
      </x:c>
    </x:row>
    <x:row r="28" ht="20" customHeight="1">
      <x:c r="A28" s="435" t="str">
        <x:v>CH-JJW830</x:v>
      </x:c>
      <x:c r="B28" s="436" t="str">
        <x:v>JJW-830</x:v>
      </x:c>
      <x:c r="C28" s="436" t="str">
        <x:v>Consumable/Chemical</x:v>
      </x:c>
      <x:c r="D28" s="436" t="str">
        <x:v>bottle/瓶</x:v>
      </x:c>
      <x:c r="E28" s="436" t="n">
        <x:v>4</x:v>
      </x:c>
      <x:c r="F28" s="436" t="n">
        <x:v>4</x:v>
      </x:c>
      <x:c r="G28" s="436" t="n">
        <x:v>188</x:v>
      </x:c>
      <x:c r="H28" s="442" t="n">
        <x:v>526.4</x:v>
      </x:c>
      <x:c r="I28" s="442" t="n">
        <x:v>2.8</x:v>
      </x:c>
      <x:c r="J28" s="442" t="n">
        <x:v>2.8</x:v>
      </x:c>
      <x:c r="K28" s="455" t="n">
        <x:v>0.02788070616998332</x:v>
      </x:c>
    </x:row>
    <x:row r="29" ht="20" customHeight="1">
      <x:c r="A29" s="435" t="str">
        <x:v>CN-SEWING-OIL-30L</x:v>
      </x:c>
      <x:c r="B29" s="436" t="str">
        <x:v>針車油 30L</x:v>
      </x:c>
      <x:c r="C29" s="436" t="str">
        <x:v>Consumable/Chemical</x:v>
      </x:c>
      <x:c r="D29" s="436" t="str">
        <x:v>tub/桶</x:v>
      </x:c>
      <x:c r="E29" s="436" t="n">
        <x:v>4</x:v>
      </x:c>
      <x:c r="F29" s="436" t="n">
        <x:v>3</x:v>
      </x:c>
      <x:c r="G29" s="436" t="n">
        <x:v>8</x:v>
      </x:c>
      <x:c r="H29" s="442" t="n">
        <x:v>400</x:v>
      </x:c>
      <x:c r="I29" s="442" t="n">
        <x:v>45</x:v>
      </x:c>
      <x:c r="J29" s="442" t="n">
        <x:v>65</x:v>
      </x:c>
      <x:c r="K29" s="455" t="n">
        <x:v>0.021185946937677298</x:v>
      </x:c>
    </x:row>
    <x:row r="30" ht="20" customHeight="1">
      <x:c r="A30" s="435" t="str">
        <x:v>TL-SCISSOR-ZHANGXIAO-10IN</x:v>
      </x:c>
      <x:c r="B30" s="436" t="str">
        <x:v>張小牌 10吋大剪刀</x:v>
      </x:c>
      <x:c r="C30" s="436" t="str">
        <x:v>Tools</x:v>
      </x:c>
      <x:c r="D30" s="436" t="str">
        <x:v>pcs</x:v>
      </x:c>
      <x:c r="E30" s="436" t="n">
        <x:v>4</x:v>
      </x:c>
      <x:c r="F30" s="436" t="n">
        <x:v>3</x:v>
      </x:c>
      <x:c r="G30" s="436" t="n">
        <x:v>41</x:v>
      </x:c>
      <x:c r="H30" s="442" t="n">
        <x:v>287</x:v>
      </x:c>
      <x:c r="I30" s="442" t="n">
        <x:v>7</x:v>
      </x:c>
      <x:c r="J30" s="442" t="n">
        <x:v>7</x:v>
      </x:c>
      <x:c r="K30" s="455" t="n">
        <x:v>0.015200916927783461</x:v>
      </x:c>
    </x:row>
    <x:row r="31" ht="20" customHeight="1">
      <x:c r="A31" s="435" t="str">
        <x:v>CN-TEFLON-STRIP-1MM</x:v>
      </x:c>
      <x:c r="B31" s="436" t="str">
        <x:v>鐵氟龍條 1mm</x:v>
      </x:c>
      <x:c r="C31" s="436" t="str">
        <x:v>Consumable/Chemical</x:v>
      </x:c>
      <x:c r="D31" s="436" t="str">
        <x:v>pcs/條</x:v>
      </x:c>
      <x:c r="E31" s="436" t="n">
        <x:v>4</x:v>
      </x:c>
      <x:c r="F31" s="436" t="n">
        <x:v>3</x:v>
      </x:c>
      <x:c r="G31" s="436" t="n">
        <x:v>110</x:v>
      </x:c>
      <x:c r="H31" s="442" t="n">
        <x:v>198</x:v>
      </x:c>
      <x:c r="I31" s="442" t="n">
        <x:v>1.8</x:v>
      </x:c>
      <x:c r="J31" s="442" t="n">
        <x:v>1.8</x:v>
      </x:c>
      <x:c r="K31" s="455" t="n">
        <x:v>0.010487043734150263</x:v>
      </x:c>
    </x:row>
    <x:row r="32" ht="20" customHeight="1">
      <x:c r="A32" s="435" t="str">
        <x:v>TL-HEX-WRENCH-JINGMU</x:v>
      </x:c>
      <x:c r="B32" s="436" t="str">
        <x:v>京木六角扳手</x:v>
      </x:c>
      <x:c r="C32" s="436" t="str">
        <x:v>Tools</x:v>
      </x:c>
      <x:c r="D32" s="436" t="str">
        <x:v>set/套</x:v>
      </x:c>
      <x:c r="E32" s="436" t="n">
        <x:v>4</x:v>
      </x:c>
      <x:c r="F32" s="436" t="n">
        <x:v>3</x:v>
      </x:c>
      <x:c r="G32" s="436" t="n">
        <x:v>7</x:v>
      </x:c>
      <x:c r="H32" s="442" t="n">
        <x:v>140</x:v>
      </x:c>
      <x:c r="I32" s="442" t="n">
        <x:v>20</x:v>
      </x:c>
      <x:c r="J32" s="442" t="n">
        <x:v>20</x:v>
      </x:c>
      <x:c r="K32" s="455" t="n">
        <x:v>0.007415081428187054</x:v>
      </x:c>
    </x:row>
    <x:row r="33" ht="20" customHeight="1">
      <x:c r="A33" s="435" t="str">
        <x:v>PF-CL1-16N</x:v>
      </x:c>
      <x:c r="B33" s="436" t="str">
        <x:v>CL1/16N 壓腳</x:v>
      </x:c>
      <x:c r="C33" s="436" t="str">
        <x:v>Presser Foot</x:v>
      </x:c>
      <x:c r="D33" s="436" t="str">
        <x:v>pcs</x:v>
      </x:c>
      <x:c r="E33" s="436" t="n">
        <x:v>4</x:v>
      </x:c>
      <x:c r="F33" s="436" t="n">
        <x:v>3</x:v>
      </x:c>
      <x:c r="G33" s="436" t="n">
        <x:v>110</x:v>
      </x:c>
      <x:c r="H33" s="442" t="n">
        <x:v>66</x:v>
      </x:c>
      <x:c r="I33" s="442" t="n">
        <x:v>0.6</x:v>
      </x:c>
      <x:c r="J33" s="442" t="n">
        <x:v>0.6</x:v>
      </x:c>
      <x:c r="K33" s="455" t="n">
        <x:v>0.003495681244716754</x:v>
      </x:c>
    </x:row>
    <x:row r="34" ht="20" customHeight="1">
      <x:c r="A34" s="438" t="str">
        <x:v>MT-SIRUBA747KD-COUPLER</x:v>
      </x:c>
      <x:c r="B34" s="439" t="str">
        <x:v>SIRUBA-747KD 馬達聯軸器</x:v>
      </x:c>
      <x:c r="C34" s="439" t="str">
        <x:v>Motor/Drive</x:v>
      </x:c>
      <x:c r="D34" s="439" t="str">
        <x:v>pcs</x:v>
      </x:c>
      <x:c r="E34" s="439" t="n">
        <x:v>3</x:v>
      </x:c>
      <x:c r="F34" s="439" t="n">
        <x:v>2</x:v>
      </x:c>
      <x:c r="G34" s="439" t="n">
        <x:v>50</x:v>
      </x:c>
      <x:c r="H34" s="443" t="n">
        <x:v>465</x:v>
      </x:c>
      <x:c r="I34" s="443" t="n">
        <x:v>8.5</x:v>
      </x:c>
      <x:c r="J34" s="443" t="n">
        <x:v>9.5</x:v>
      </x:c>
      <x:c r="K34" s="456" t="n">
        <x:v>0.02462866331504986</x:v>
      </x:c>
    </x:row>
    <x:row r="35" ht="20" customHeight="1"/>
    <x:row r="36" ht="20" customHeight="1"/>
    <x:row r="37" ht="20" customHeight="1">
      <x:c r="A37" s="419" t="str">
        <x:v>C. Observed Spare-Part Consumption (Sep 10–18, 2026)</x:v>
      </x:c>
    </x:row>
    <x:row r="38" ht="20" customHeight="1">
      <x:c r="A38" s="423" t="str">
        <x:v>Item</x:v>
      </x:c>
      <x:c r="B38" s="423" t="str">
        <x:v>Issued Qty</x:v>
      </x:c>
      <x:c r="C38" s="423" t="str">
        <x:v>Issue Days</x:v>
      </x:c>
      <x:c r="D38" s="423" t="str">
        <x:v>Share</x:v>
      </x:c>
      <x:c r="F38" s="423" t="str">
        <x:v>Control Finding</x:v>
      </x:c>
      <x:c r="G38" s="423" t="str">
        <x:v>Qty</x:v>
      </x:c>
      <x:c r="H38" s="423" t="str">
        <x:v>Share/Result</x:v>
      </x:c>
      <x:c r="I38" s="423" t="str">
        <x:v>Risk</x:v>
      </x:c>
      <x:c r="J38" s="423" t="str">
        <x:v>Action</x:v>
      </x:c>
    </x:row>
    <x:row r="39" ht="20" customHeight="1">
      <x:c r="A39" s="432" t="str">
        <x:v>Rotary Hook</x:v>
      </x:c>
      <x:c r="B39" s="433" t="n">
        <x:v>7</x:v>
      </x:c>
      <x:c r="C39" s="433" t="n">
        <x:v>5</x:v>
      </x:c>
      <x:c r="D39" s="454" t="n">
        <x:v>0.19444444444444445</x:v>
      </x:c>
      <x:c r="F39" s="432" t="str">
        <x:v>Spare issues with blank reason</x:v>
      </x:c>
      <x:c r="G39" s="433" t="n">
        <x:v>26</x:v>
      </x:c>
      <x:c r="H39" s="444" t="n">
        <x:v>0.7222222222222222</x:v>
      </x:c>
      <x:c r="I39" s="433" t="str">
        <x:v>High</x:v>
      </x:c>
      <x:c r="J39" s="434" t="str">
        <x:v>Make issue reason mandatory</x:v>
      </x:c>
    </x:row>
    <x:row r="40" ht="20" customHeight="1">
      <x:c r="A40" s="435" t="str">
        <x:v>Fixed Knife for JUKI</x:v>
      </x:c>
      <x:c r="B40" s="436" t="n">
        <x:v>6</x:v>
      </x:c>
      <x:c r="C40" s="436" t="n">
        <x:v>4</x:v>
      </x:c>
      <x:c r="D40" s="455" t="n">
        <x:v>0.16666666666666666</x:v>
      </x:c>
      <x:c r="F40" s="435" t="str">
        <x:v>Spare issues recorded as Damage</x:v>
      </x:c>
      <x:c r="G40" s="436" t="n">
        <x:v>7</x:v>
      </x:c>
      <x:c r="H40" s="445" t="n">
        <x:v>0.19444444444444445</x:v>
      </x:c>
      <x:c r="I40" s="436" t="str">
        <x:v>Medium</x:v>
      </x:c>
      <x:c r="J40" s="437" t="str">
        <x:v>Track machine/style root cause</x:v>
      </x:c>
    </x:row>
    <x:row r="41" ht="20" customHeight="1">
      <x:c r="A41" s="435" t="str">
        <x:v>Feed Dog</x:v>
      </x:c>
      <x:c r="B41" s="436" t="n">
        <x:v>6</x:v>
      </x:c>
      <x:c r="C41" s="436" t="n">
        <x:v>3</x:v>
      </x:c>
      <x:c r="D41" s="455" t="n">
        <x:v>0.16666666666666666</x:v>
      </x:c>
      <x:c r="F41" s="435" t="str">
        <x:v>Needle issues: Change Style</x:v>
      </x:c>
      <x:c r="G41" s="436" t="n">
        <x:v>190</x:v>
      </x:c>
      <x:c r="H41" s="445" t="n">
        <x:v>0.2835820895522388</x:v>
      </x:c>
      <x:c r="I41" s="436" t="str">
        <x:v>High</x:v>
      </x:c>
      <x:c r="J41" s="437" t="str">
        <x:v>Link style/line to needle issue</x:v>
      </x:c>
    </x:row>
    <x:row r="42" ht="20" customHeight="1">
      <x:c r="A42" s="435" t="str">
        <x:v>Thread Tension Spring</x:v>
      </x:c>
      <x:c r="B42" s="436" t="n">
        <x:v>3</x:v>
      </x:c>
      <x:c r="C42" s="436" t="n">
        <x:v>2</x:v>
      </x:c>
      <x:c r="D42" s="455" t="n">
        <x:v>0.08333333333333333</x:v>
      </x:c>
      <x:c r="F42" s="438" t="str">
        <x:v>Needle issues: Damage + Broken</x:v>
      </x:c>
      <x:c r="G42" s="439" t="n">
        <x:v>450</x:v>
      </x:c>
      <x:c r="H42" s="446" t="n">
        <x:v>0.6716417910447762</x:v>
      </x:c>
      <x:c r="I42" s="439" t="str">
        <x:v>High</x:v>
      </x:c>
      <x:c r="J42" s="440" t="str">
        <x:v>Analyze machine setup/operator/needle suitability</x:v>
      </x:c>
    </x:row>
    <x:row r="43" ht="20" customHeight="1">
      <x:c r="A43" s="435" t="str">
        <x:v>Needle Plate</x:v>
      </x:c>
      <x:c r="B43" s="436" t="n">
        <x:v>2</x:v>
      </x:c>
      <x:c r="C43" s="436" t="n">
        <x:v>2</x:v>
      </x:c>
      <x:c r="D43" s="455" t="n">
        <x:v>0.05555555555555555</x:v>
      </x:c>
    </x:row>
    <x:row r="44" ht="20" customHeight="1">
      <x:c r="A44" s="435" t="str">
        <x:v>Thread Cutter Blade for Siruba</x:v>
      </x:c>
      <x:c r="B44" s="436" t="n">
        <x:v>2</x:v>
      </x:c>
      <x:c r="C44" s="436" t="n">
        <x:v>1</x:v>
      </x:c>
      <x:c r="D44" s="455" t="n">
        <x:v>0.05555555555555555</x:v>
      </x:c>
    </x:row>
    <x:row r="45" ht="20" customHeight="1">
      <x:c r="A45" s="435" t="str">
        <x:v>Overlock Presser Foot</x:v>
      </x:c>
      <x:c r="B45" s="436" t="n">
        <x:v>2</x:v>
      </x:c>
      <x:c r="C45" s="436" t="n">
        <x:v>1</x:v>
      </x:c>
      <x:c r="D45" s="455" t="n">
        <x:v>0.05555555555555555</x:v>
      </x:c>
    </x:row>
    <x:row r="46" ht="20" customHeight="1">
      <x:c r="A46" s="438" t="str">
        <x:v>Other</x:v>
      </x:c>
      <x:c r="B46" s="439" t="n">
        <x:v>8</x:v>
      </x:c>
      <x:c r="C46" s="439" t="n">
        <x:v>8</x:v>
      </x:c>
      <x:c r="D46" s="456" t="n">
        <x:v>0.2222222222222222</x:v>
      </x:c>
    </x:row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/>
    <x:row r="57" ht="20" customHeight="1"/>
    <x:row r="58" ht="20" customHeight="1"/>
    <x:row r="59" ht="20" customHeight="1"/>
    <x:row r="60" ht="20" customHeight="1"/>
  </x:sheetData>
  <x:mergeCells>
    <x:mergeCell ref="A1:N2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14" hidden="0" customWidth="1"/>
    <x:col min="4" max="4" width="14" hidden="0" customWidth="1"/>
    <x:col min="5" max="5" width="18" hidden="0" customWidth="1"/>
    <x:col min="6" max="6" width="11" hidden="0" customWidth="1"/>
    <x:col min="7" max="7" width="15" hidden="0" customWidth="1"/>
    <x:col min="8" max="8" width="46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20" customHeight="1">
      <x:c r="A1" s="407" t="str">
        <x:v>Price Stability &amp; Quotation Exception Review | 單價穩定與報價異常</x:v>
      </x:c>
      <x:c r="B1" s="407"/>
      <x:c r="C1" s="407"/>
      <x:c r="D1" s="407"/>
      <x:c r="E1" s="407"/>
      <x:c r="F1" s="407"/>
      <x:c r="G1" s="407"/>
      <x:c r="H1" s="407"/>
      <x:c r="I1" s="407"/>
      <x:c r="J1" s="407"/>
      <x:c r="K1" s="407"/>
      <x:c r="L1" s="407"/>
    </x:row>
    <x:row r="2" ht="20" customHeight="1">
      <x:c r="A2" s="407"/>
      <x:c r="B2" s="407"/>
      <x:c r="C2" s="407"/>
      <x:c r="D2" s="407"/>
      <x:c r="E2" s="407"/>
      <x:c r="F2" s="407"/>
      <x:c r="G2" s="407"/>
      <x:c r="H2" s="407"/>
      <x:c r="I2" s="407"/>
      <x:c r="J2" s="407"/>
      <x:c r="K2" s="407"/>
      <x:c r="L2" s="407"/>
    </x:row>
    <x:row r="3" ht="20" customHeight="1"/>
    <x:row r="4" ht="20" customHeight="1">
      <x:c r="A4" s="423" t="str">
        <x:v>Item</x:v>
      </x:c>
      <x:c r="B4" s="423" t="str">
        <x:v>2024 Confirmed</x:v>
      </x:c>
      <x:c r="C4" s="423" t="str">
        <x:v>2025</x:v>
      </x:c>
      <x:c r="D4" s="423" t="str">
        <x:v>2026 H1</x:v>
      </x:c>
      <x:c r="E4" s="423" t="str">
        <x:v>Earliest→Latest</x:v>
      </x:c>
      <x:c r="F4" s="423" t="str">
        <x:v>Change %</x:v>
      </x:c>
      <x:c r="G4" s="423" t="str">
        <x:v>Status</x:v>
      </x:c>
      <x:c r="H4" s="423" t="str">
        <x:v>Management Note</x:v>
      </x:c>
    </x:row>
    <x:row r="5" ht="20" customHeight="1">
      <x:c r="A5" s="432" t="str">
        <x:v>JJW-830</x:v>
      </x:c>
      <x:c r="B5" s="459" t="n">
        <x:v>2.8</x:v>
      </x:c>
      <x:c r="C5" s="459" t="n">
        <x:v>2.8</x:v>
      </x:c>
      <x:c r="D5" s="459" t="n">
        <x:v>2.8</x:v>
      </x:c>
      <x:c r="E5" s="433" t="str">
        <x:v>2.80 → 2.80</x:v>
      </x:c>
      <x:c r="F5" s="444" t="n">
        <x:v>0</x:v>
      </x:c>
      <x:c r="G5" s="433" t="str">
        <x:v>Stable</x:v>
      </x:c>
      <x:c r="H5" s="449" t="str">
        <x:v>Stable in available comparable records.</x:v>
      </x:c>
    </x:row>
    <x:row r="6" ht="20" customHeight="1">
      <x:c r="A6" s="435" t="str">
        <x:v>編號紙 #5 / Number Paper #5</x:v>
      </x:c>
      <x:c r="B6" s="460" t="n">
        <x:v>110</x:v>
      </x:c>
      <x:c r="C6" s="460" t="n">
        <x:v>110</x:v>
      </x:c>
      <x:c r="D6" s="460" t="n">
        <x:v>110</x:v>
      </x:c>
      <x:c r="E6" s="436" t="str">
        <x:v>110.00 → 110.00</x:v>
      </x:c>
      <x:c r="F6" s="445" t="n">
        <x:v>0</x:v>
      </x:c>
      <x:c r="G6" s="436" t="str">
        <x:v>Stable</x:v>
      </x:c>
      <x:c r="H6" s="451" t="str">
        <x:v>Stable in available comparable records.</x:v>
      </x:c>
    </x:row>
    <x:row r="7" ht="20" customHeight="1">
      <x:c r="A7" s="435" t="str">
        <x:v>針車油 30L / Sewing Oil</x:v>
      </x:c>
      <x:c r="B7" s="460" t="n">
        <x:v>45</x:v>
      </x:c>
      <x:c r="C7" s="460" t="n">
        <x:v>45</x:v>
      </x:c>
      <x:c r="D7" s="460" t="n">
        <x:v>65</x:v>
      </x:c>
      <x:c r="E7" s="436" t="str">
        <x:v>45.00 → 65.00</x:v>
      </x:c>
      <x:c r="F7" s="445" t="n">
        <x:v>0.4444444444444444</x:v>
      </x:c>
      <x:c r="G7" s="436" t="str">
        <x:v>Review</x:v>
      </x:c>
      <x:c r="H7" s="451" t="str">
        <x:v>45→65 (+44.4%): confirm same grade/packaging, then review supplier quotation.</x:v>
      </x:c>
    </x:row>
    <x:row r="8" ht="20" customHeight="1">
      <x:c r="A8" s="435" t="str">
        <x:v>韓國熊貓畫粉 / Panda Chalk</x:v>
      </x:c>
      <x:c r="B8" s="460" t="n">
        <x:v>1.8</x:v>
      </x:c>
      <x:c r="C8" s="460" t="n">
        <x:v>1.8</x:v>
      </x:c>
      <x:c r="D8" s="460" t="n">
        <x:v>1.8</x:v>
      </x:c>
      <x:c r="E8" s="436" t="str">
        <x:v>1.80 → 1.80</x:v>
      </x:c>
      <x:c r="F8" s="445" t="n">
        <x:v>0</x:v>
      </x:c>
      <x:c r="G8" s="436" t="str">
        <x:v>Stable</x:v>
      </x:c>
      <x:c r="H8" s="451" t="str">
        <x:v>Stable in available comparable records.</x:v>
      </x:c>
    </x:row>
    <x:row r="9" ht="20" customHeight="1">
      <x:c r="A9" s="435" t="str">
        <x:v>JUKI 1790 IC Board</x:v>
      </x:c>
      <x:c r="B9" s="460" t="n">
        <x:v>120</x:v>
      </x:c>
      <x:c r="C9" s="460" t="n">
        <x:v>120</x:v>
      </x:c>
      <x:c r="D9" s="460" t="n">
        <x:v>120</x:v>
      </x:c>
      <x:c r="E9" s="436" t="str">
        <x:v>120.00 → 120.00</x:v>
      </x:c>
      <x:c r="F9" s="445" t="n">
        <x:v>0</x:v>
      </x:c>
      <x:c r="G9" s="436" t="str">
        <x:v>Stable</x:v>
      </x:c>
      <x:c r="H9" s="451" t="str">
        <x:v>Stable in available comparable records.</x:v>
      </x:c>
    </x:row>
    <x:row r="10" ht="20" customHeight="1">
      <x:c r="A10" s="435" t="str">
        <x:v>熨斗鞋 ES-94(A)</x:v>
      </x:c>
      <x:c r="B10" s="460" t="n">
        <x:v>1.8</x:v>
      </x:c>
      <x:c r="C10" s="460" t="n">
        <x:v>1.8</x:v>
      </x:c>
      <x:c r="D10" s="460" t="n">
        <x:v>1.8</x:v>
      </x:c>
      <x:c r="E10" s="436" t="str">
        <x:v>1.80 → 1.80</x:v>
      </x:c>
      <x:c r="F10" s="445" t="n">
        <x:v>0</x:v>
      </x:c>
      <x:c r="G10" s="436" t="str">
        <x:v>Stable</x:v>
      </x:c>
      <x:c r="H10" s="451" t="str">
        <x:v>Stable in available comparable records.</x:v>
      </x:c>
    </x:row>
    <x:row r="11" ht="20" customHeight="1">
      <x:c r="A11" s="435" t="str">
        <x:v>韓國吊瓶熨斗組</x:v>
      </x:c>
      <x:c r="B11" s="460" t="n">
        <x:v>29</x:v>
      </x:c>
      <x:c r="C11" s="460" t="n">
        <x:v>29</x:v>
      </x:c>
      <x:c r="D11" s="460" t="n">
        <x:v>29</x:v>
      </x:c>
      <x:c r="E11" s="436" t="str">
        <x:v>29.00 → 29.00</x:v>
      </x:c>
      <x:c r="F11" s="445" t="n">
        <x:v>0</x:v>
      </x:c>
      <x:c r="G11" s="436" t="str">
        <x:v>Stable</x:v>
      </x:c>
      <x:c r="H11" s="451" t="str">
        <x:v>Stable in available comparable records.</x:v>
      </x:c>
    </x:row>
    <x:row r="12" ht="20" customHeight="1">
      <x:c r="A12" s="435" t="str">
        <x:v>ORGAN DBx1 #16</x:v>
      </x:c>
      <x:c r="B12" s="460" t="n">
        <x:v>0.76</x:v>
      </x:c>
      <x:c r="C12" s="460" t="n">
        <x:v>0.76</x:v>
      </x:c>
      <x:c r="D12" s="460" t="n">
        <x:v>0.78</x:v>
      </x:c>
      <x:c r="E12" s="436" t="str">
        <x:v>0.76 → 0.78</x:v>
      </x:c>
      <x:c r="F12" s="445" t="n">
        <x:v>0.026315789473684292</x:v>
      </x:c>
      <x:c r="G12" s="436" t="str">
        <x:v>Stable</x:v>
      </x:c>
      <x:c r="H12" s="451" t="str">
        <x:v>Small movement (~+2.6%).</x:v>
      </x:c>
    </x:row>
    <x:row r="13" ht="20" customHeight="1">
      <x:c r="A13" s="435" t="str">
        <x:v>環球沙剪 / Thread Snip</x:v>
      </x:c>
      <x:c r="B13" s="460" t="n">
        <x:v>2.3</x:v>
      </x:c>
      <x:c r="C13" s="460" t="n">
        <x:v>2.3</x:v>
      </x:c>
      <x:c r="D13" s="460" t="n">
        <x:v>2.3</x:v>
      </x:c>
      <x:c r="E13" s="436" t="str">
        <x:v>2.30 → 2.30</x:v>
      </x:c>
      <x:c r="F13" s="445" t="n">
        <x:v>0</x:v>
      </x:c>
      <x:c r="G13" s="436" t="str">
        <x:v>Stable</x:v>
      </x:c>
      <x:c r="H13" s="451" t="str">
        <x:v>Stable in available comparable records.</x:v>
      </x:c>
    </x:row>
    <x:row r="14" ht="20" customHeight="1">
      <x:c r="A14" s="435" t="str">
        <x:v>SIRUBA-747KD Coupler</x:v>
      </x:c>
      <x:c r="B14" s="460"/>
      <x:c r="C14" s="460" t="n">
        <x:v>8.5</x:v>
      </x:c>
      <x:c r="D14" s="460" t="n">
        <x:v>9.5</x:v>
      </x:c>
      <x:c r="E14" s="436" t="str">
        <x:v>8.50 → 9.50</x:v>
      </x:c>
      <x:c r="F14" s="445" t="n">
        <x:v>0.11764705882352944</x:v>
      </x:c>
      <x:c r="G14" s="436" t="str">
        <x:v>Review</x:v>
      </x:c>
      <x:c r="H14" s="451" t="str">
        <x:v>8.5→9.5 (+11.8%): quotation history / alternate supplier check.</x:v>
      </x:c>
    </x:row>
    <x:row r="15" ht="20" customHeight="1">
      <x:c r="A15" s="435" t="str">
        <x:v>ORGAN UOx113 #16</x:v>
      </x:c>
      <x:c r="B15" s="460"/>
      <x:c r="C15" s="460" t="n">
        <x:v>2.9</x:v>
      </x:c>
      <x:c r="D15" s="460" t="n">
        <x:v>3</x:v>
      </x:c>
      <x:c r="E15" s="436" t="str">
        <x:v>2.90 → 3.00</x:v>
      </x:c>
      <x:c r="F15" s="445" t="n">
        <x:v>0.034482758620689724</x:v>
      </x:c>
      <x:c r="G15" s="436" t="str">
        <x:v>Stable</x:v>
      </x:c>
      <x:c r="H15" s="451" t="str">
        <x:v>Small movement (~+3.4%).</x:v>
      </x:c>
    </x:row>
    <x:row r="16" ht="20" customHeight="1">
      <x:c r="A16" s="435" t="str">
        <x:v>ORGAN DCx27 #12</x:v>
      </x:c>
      <x:c r="B16" s="460"/>
      <x:c r="C16" s="460" t="n">
        <x:v>1.3</x:v>
      </x:c>
      <x:c r="D16" s="460" t="n">
        <x:v>1.3</x:v>
      </x:c>
      <x:c r="E16" s="436" t="str">
        <x:v>1.30 → 1.30</x:v>
      </x:c>
      <x:c r="F16" s="445" t="n">
        <x:v>0</x:v>
      </x:c>
      <x:c r="G16" s="436" t="str">
        <x:v>Stable</x:v>
      </x:c>
      <x:c r="H16" s="451" t="str">
        <x:v>Stable in available comparable records.</x:v>
      </x:c>
    </x:row>
    <x:row r="17" ht="20" customHeight="1">
      <x:c r="A17" s="435" t="str">
        <x:v>ORGAN UOx113 #14</x:v>
      </x:c>
      <x:c r="B17" s="460"/>
      <x:c r="C17" s="460" t="n">
        <x:v>3</x:v>
      </x:c>
      <x:c r="D17" s="460" t="n">
        <x:v>3</x:v>
      </x:c>
      <x:c r="E17" s="436" t="str">
        <x:v>3.00 → 3.00</x:v>
      </x:c>
      <x:c r="F17" s="445" t="n">
        <x:v>0</x:v>
      </x:c>
      <x:c r="G17" s="436" t="str">
        <x:v>Stable</x:v>
      </x:c>
      <x:c r="H17" s="451" t="str">
        <x:v>Stable in available comparable records.</x:v>
      </x:c>
    </x:row>
    <x:row r="18" ht="20" customHeight="1">
      <x:c r="A18" s="438" t="str">
        <x:v>ORGAN UYx128 #11</x:v>
      </x:c>
      <x:c r="B18" s="461"/>
      <x:c r="C18" s="461" t="n">
        <x:v>1.78</x:v>
      </x:c>
      <x:c r="D18" s="461" t="n">
        <x:v>1.78</x:v>
      </x:c>
      <x:c r="E18" s="439" t="str">
        <x:v>1.78 → 1.78</x:v>
      </x:c>
      <x:c r="F18" s="446" t="n">
        <x:v>0</x:v>
      </x:c>
      <x:c r="G18" s="439" t="str">
        <x:v>Stable</x:v>
      </x:c>
      <x:c r="H18" s="453" t="str">
        <x:v>Stable in available comparable records.</x:v>
      </x:c>
    </x:row>
    <x:row r="19" ht="20" customHeight="1"/>
    <x:row r="20" ht="20" customHeight="1"/>
    <x:row r="21" ht="20" customHeight="1"/>
    <x:row r="22" ht="20" customHeight="1">
      <x:c r="A22" s="419" t="str">
        <x:v>Price Control Rule</x:v>
      </x:c>
    </x:row>
    <x:row r="23" ht="20" customHeight="1">
      <x:c r="A23" s="447" t="str">
        <x:v>1</x:v>
      </x:c>
      <x:c r="B23" s="18" t="str">
        <x:v>只比較同 Part No. + Spec + Brand + Unit；不同品牌/規格不得直接判斷漲價。</x:v>
      </x:c>
      <x:c r="C23" s="18"/>
      <x:c r="D23" s="18"/>
      <x:c r="E23" s="18"/>
      <x:c r="F23" s="18"/>
      <x:c r="G23" s="18"/>
      <x:c r="H23" s="18"/>
    </x:row>
    <x:row r="24" ht="20" customHeight="1">
      <x:c r="A24" s="447" t="str">
        <x:v>2</x:v>
      </x:c>
      <x:c r="B24" s="18" t="str">
        <x:v>單價變動 &gt;10%列Review；5–10%列Watch；並先確認包裝、數量單位、品質/品牌是否一致。</x:v>
      </x:c>
      <x:c r="C24" s="18"/>
      <x:c r="D24" s="18"/>
      <x:c r="E24" s="18"/>
      <x:c r="F24" s="18"/>
      <x:c r="G24" s="18"/>
      <x:c r="H24" s="18"/>
    </x:row>
    <x:row r="25" ht="20" customHeight="1">
      <x:c r="A25" s="447" t="str">
        <x:v>3</x:v>
      </x:c>
      <x:c r="B25" s="18" t="str">
        <x:v>總採購金額增加要拆成 Quantity/Mix Effect 與 Unit Price Effect，不能只看總價。</x:v>
      </x:c>
      <x:c r="C25" s="18"/>
      <x:c r="D25" s="18"/>
      <x:c r="E25" s="18"/>
      <x:c r="F25" s="18"/>
      <x:c r="G25" s="18"/>
      <x:c r="H25" s="18"/>
    </x:row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/>
    <x:row r="57" ht="20" customHeight="1"/>
    <x:row r="58" ht="20" customHeight="1"/>
    <x:row r="59" ht="20" customHeight="1"/>
    <x:row r="60" ht="20" customHeight="1"/>
  </x:sheetData>
  <x:mergeCells>
    <x:mergeCell ref="A1:L2"/>
    <x:mergeCell ref="B23:H23"/>
    <x:mergeCell ref="B24:H24"/>
    <x:mergeCell ref="B25:H25"/>
  </x:mergeCells>
  <x:conditionalFormatting sqref="G5:G18">
    <x:cfRule type="expression" dxfId="21" priority="1">
      <x:formula>G5="Review"</x:formula>
    </x:cfRule>
    <x:cfRule type="expression" dxfId="22" priority="2">
      <x:formula>G5="Stable"</x:formula>
    </x:cfRule>
  </x:conditionalFormatting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30" hidden="0" customWidth="1"/>
    <x:col min="7" max="7" width="28" hidden="0" customWidth="1"/>
    <x:col min="8" max="8" width="13" hidden="0" customWidth="1"/>
    <x:col min="9" max="9" width="22" hidden="0" customWidth="1"/>
    <x:col min="10" max="10" width="48" hidden="0" customWidth="1"/>
    <x:col min="11" max="11" width="11" hidden="0" customWidth="1"/>
    <x:col min="12" max="12" width="12" hidden="0" customWidth="1"/>
    <x:col min="13" max="13" width="40" hidden="0" customWidth="1"/>
    <x:col min="14" max="14" width="14" hidden="0" customWidth="1"/>
  </x:cols>
  <x:sheetData>
    <x:row r="1" ht="20" customHeight="1">
      <x:c r="A1" s="407" t="str">
        <x:v>Procurement vs Sewing Production &amp; Style-Change Linkage | 採購與產量/換款關聯</x:v>
      </x:c>
      <x:c r="B1" s="407"/>
      <x:c r="C1" s="407"/>
      <x:c r="D1" s="407"/>
      <x:c r="E1" s="407"/>
      <x:c r="F1" s="407"/>
      <x:c r="G1" s="407"/>
      <x:c r="H1" s="407"/>
      <x:c r="I1" s="407"/>
      <x:c r="J1" s="407"/>
      <x:c r="K1" s="407"/>
      <x:c r="L1" s="407"/>
      <x:c r="M1" s="407"/>
      <x:c r="N1" s="407"/>
    </x:row>
    <x:row r="2" ht="20" customHeight="1">
      <x:c r="A2" s="407"/>
      <x:c r="B2" s="407"/>
      <x:c r="C2" s="407"/>
      <x:c r="D2" s="407"/>
      <x:c r="E2" s="407"/>
      <x:c r="F2" s="407"/>
      <x:c r="G2" s="407"/>
      <x:c r="H2" s="407"/>
      <x:c r="I2" s="407"/>
      <x:c r="J2" s="407"/>
      <x:c r="K2" s="407"/>
      <x:c r="L2" s="407"/>
      <x:c r="M2" s="407"/>
      <x:c r="N2" s="407"/>
    </x:row>
    <x:row r="3" ht="20" customHeight="1"/>
    <x:row r="4" ht="20" customHeight="1">
      <x:c r="A4" s="423" t="str">
        <x:v>Month</x:v>
      </x:c>
      <x:c r="B4" s="423" t="str">
        <x:v>Actual Output</x:v>
      </x:c>
      <x:c r="C4" s="423" t="str">
        <x:v>Forecast Low</x:v>
      </x:c>
      <x:c r="D4" s="423" t="str">
        <x:v>Forecast High</x:v>
      </x:c>
      <x:c r="E4" s="423" t="str">
        <x:v>Total Procurement</x:v>
      </x:c>
      <x:c r="F4" s="423" t="str">
        <x:v>Needle Spend</x:v>
      </x:c>
      <x:c r="G4" s="423" t="str">
        <x:v>Non-Needle Spend</x:v>
      </x:c>
      <x:c r="H4" s="423" t="str">
        <x:v>Total $/1k pcs</x:v>
      </x:c>
      <x:c r="I4" s="423" t="str">
        <x:v>Needle $/1k pcs</x:v>
      </x:c>
      <x:c r="J4" s="423" t="str">
        <x:v>Spare $/1k pcs</x:v>
      </x:c>
      <x:c r="K4" s="423" t="str">
        <x:v>Needle Share</x:v>
      </x:c>
      <x:c r="L4" s="423" t="str">
        <x:v>Used in Corr.</x:v>
      </x:c>
      <x:c r="M4" s="423" t="str">
        <x:v>Comment</x:v>
      </x:c>
    </x:row>
    <x:row r="5" ht="20" customHeight="1">
      <x:c r="A5" s="432" t="str">
        <x:v>Jan</x:v>
      </x:c>
      <x:c r="B5" s="462" t="n">
        <x:v>186300</x:v>
      </x:c>
      <x:c r="C5" s="462"/>
      <x:c r="D5" s="462"/>
      <x:c r="E5" s="441" t="n">
        <x:v>2610</x:v>
      </x:c>
      <x:c r="F5" s="441" t="n">
        <x:v>1702</x:v>
      </x:c>
      <x:c r="G5" s="441" t="n">
        <x:v>908</x:v>
      </x:c>
      <x:c r="H5" s="459" t="n">
        <x:v>14.009661835748792</x:v>
      </x:c>
      <x:c r="I5" s="459" t="n">
        <x:v>9.135802469135804</x:v>
      </x:c>
      <x:c r="J5" s="459" t="n">
        <x:v>4.873859366612989</x:v>
      </x:c>
      <x:c r="K5" s="444" t="n">
        <x:v>0.6521072796934866</x:v>
      </x:c>
      <x:c r="L5" s="433" t="str">
        <x:v>Yes</x:v>
      </x:c>
      <x:c r="M5" s="449" t="str">
        <x:v>Actual monthly output</x:v>
      </x:c>
    </x:row>
    <x:row r="6" ht="20" customHeight="1">
      <x:c r="A6" s="435" t="str">
        <x:v>Feb</x:v>
      </x:c>
      <x:c r="B6" s="463" t="n">
        <x:v>171488</x:v>
      </x:c>
      <x:c r="C6" s="463"/>
      <x:c r="D6" s="463"/>
      <x:c r="E6" s="442" t="n">
        <x:v>1850.9</x:v>
      </x:c>
      <x:c r="F6" s="442" t="n">
        <x:v>1172</x:v>
      </x:c>
      <x:c r="G6" s="442" t="n">
        <x:v>678.9000000000001</x:v>
      </x:c>
      <x:c r="H6" s="460" t="n">
        <x:v>10.793175032655348</x:v>
      </x:c>
      <x:c r="I6" s="460" t="n">
        <x:v>6.834297443552901</x:v>
      </x:c>
      <x:c r="J6" s="460" t="n">
        <x:v>3.9588775891024452</x:v>
      </x:c>
      <x:c r="K6" s="445" t="n">
        <x:v>0.6332054676103517</x:v>
      </x:c>
      <x:c r="L6" s="436" t="str">
        <x:v>Yes</x:v>
      </x:c>
      <x:c r="M6" s="451" t="str">
        <x:v>Actual monthly output</x:v>
      </x:c>
    </x:row>
    <x:row r="7" ht="20" customHeight="1">
      <x:c r="A7" s="435" t="str">
        <x:v>Mar</x:v>
      </x:c>
      <x:c r="B7" s="463" t="n">
        <x:v>301730</x:v>
      </x:c>
      <x:c r="C7" s="463"/>
      <x:c r="D7" s="463"/>
      <x:c r="E7" s="442" t="n">
        <x:v>3032</x:v>
      </x:c>
      <x:c r="F7" s="442" t="n">
        <x:v>1296</x:v>
      </x:c>
      <x:c r="G7" s="442" t="n">
        <x:v>1736</x:v>
      </x:c>
      <x:c r="H7" s="460" t="n">
        <x:v>10.04871905345839</x:v>
      </x:c>
      <x:c r="I7" s="460" t="n">
        <x:v>4.295230835515196</x:v>
      </x:c>
      <x:c r="J7" s="460" t="n">
        <x:v>5.753488217943194</x:v>
      </x:c>
      <x:c r="K7" s="445" t="n">
        <x:v>0.42744063324538256</x:v>
      </x:c>
      <x:c r="L7" s="436" t="str">
        <x:v>Yes</x:v>
      </x:c>
      <x:c r="M7" s="451" t="str">
        <x:v>Actual monthly output</x:v>
      </x:c>
    </x:row>
    <x:row r="8" ht="20" customHeight="1">
      <x:c r="A8" s="435" t="str">
        <x:v>Apr</x:v>
      </x:c>
      <x:c r="B8" s="463" t="n">
        <x:v>138131</x:v>
      </x:c>
      <x:c r="C8" s="463"/>
      <x:c r="D8" s="463"/>
      <x:c r="E8" s="442" t="n">
        <x:v>1736</x:v>
      </x:c>
      <x:c r="F8" s="442" t="n">
        <x:v>1541</x:v>
      </x:c>
      <x:c r="G8" s="442" t="n">
        <x:v>195</x:v>
      </x:c>
      <x:c r="H8" s="460" t="n">
        <x:v>12.567779861146303</x:v>
      </x:c>
      <x:c r="I8" s="460" t="n">
        <x:v>11.156076478125836</x:v>
      </x:c>
      <x:c r="J8" s="460" t="n">
        <x:v>1.4117033830204662</x:v>
      </x:c>
      <x:c r="K8" s="445" t="n">
        <x:v>0.8876728110599078</x:v>
      </x:c>
      <x:c r="L8" s="436" t="str">
        <x:v>Yes</x:v>
      </x:c>
      <x:c r="M8" s="451" t="str">
        <x:v>Actual monthly output</x:v>
      </x:c>
    </x:row>
    <x:row r="9" ht="20" customHeight="1">
      <x:c r="A9" s="435" t="str">
        <x:v>May</x:v>
      </x:c>
      <x:c r="B9" s="463" t="n">
        <x:v>179310</x:v>
      </x:c>
      <x:c r="C9" s="463"/>
      <x:c r="D9" s="463"/>
      <x:c r="E9" s="442" t="n">
        <x:v>2572.5</x:v>
      </x:c>
      <x:c r="F9" s="442" t="n">
        <x:v>997</x:v>
      </x:c>
      <x:c r="G9" s="442" t="n">
        <x:v>1575.5</x:v>
      </x:c>
      <x:c r="H9" s="460" t="n">
        <x:v>14.346662205119626</x:v>
      </x:c>
      <x:c r="I9" s="460" t="n">
        <x:v>5.560203000390385</x:v>
      </x:c>
      <x:c r="J9" s="460" t="n">
        <x:v>8.78645920472924</x:v>
      </x:c>
      <x:c r="K9" s="445" t="n">
        <x:v>0.38756073858114676</x:v>
      </x:c>
      <x:c r="L9" s="436" t="str">
        <x:v>Yes</x:v>
      </x:c>
      <x:c r="M9" s="451" t="str">
        <x:v>Actual monthly output</x:v>
      </x:c>
    </x:row>
    <x:row r="10" ht="20" customHeight="1">
      <x:c r="A10" s="438" t="str">
        <x:v>Jun</x:v>
      </x:c>
      <x:c r="B10" s="464"/>
      <x:c r="C10" s="464" t="n">
        <x:v>155000</x:v>
      </x:c>
      <x:c r="D10" s="464" t="n">
        <x:v>165000</x:v>
      </x:c>
      <x:c r="E10" s="443" t="n">
        <x:v>2761.75</x:v>
      </x:c>
      <x:c r="F10" s="443" t="n">
        <x:v>2234</x:v>
      </x:c>
      <x:c r="G10" s="443" t="n">
        <x:v>527.75</x:v>
      </x:c>
      <x:c r="H10" s="461"/>
      <x:c r="I10" s="461"/>
      <x:c r="J10" s="461"/>
      <x:c r="K10" s="446" t="n">
        <x:v>0.8089073956730334</x:v>
      </x:c>
      <x:c r="L10" s="439" t="str">
        <x:v>No</x:v>
      </x:c>
      <x:c r="M10" s="453" t="str">
        <x:v>Revised forecast range; excluded from correlation.</x:v>
      </x:c>
    </x:row>
    <x:row r="11" ht="20" customHeight="1"/>
    <x:row r="12" ht="20" customHeight="1">
      <x:c r="A12" s="419" t="str">
        <x:v>Exploratory Correlation (Jan–May actual only; n=5)</x:v>
      </x:c>
      <x:c r="F12" s="419" t="str">
        <x:v>Style / Changeover Evidence</x:v>
      </x:c>
    </x:row>
    <x:row r="13" ht="20" customHeight="1">
      <x:c r="A13" s="423" t="str">
        <x:v>Metric</x:v>
      </x:c>
      <x:c r="B13" s="423" t="str">
        <x:v>Correlation r</x:v>
      </x:c>
      <x:c r="C13" s="423" t="str">
        <x:v>Direction</x:v>
      </x:c>
      <x:c r="D13" s="423" t="str">
        <x:v>Interpretation</x:v>
      </x:c>
      <x:c r="F13" s="423" t="str">
        <x:v>Evidence</x:v>
      </x:c>
      <x:c r="G13" s="423" t="str">
        <x:v>Qty / Observation</x:v>
      </x:c>
      <x:c r="H13" s="423" t="str">
        <x:v>Share</x:v>
      </x:c>
      <x:c r="I13" s="423" t="str">
        <x:v>Strength</x:v>
      </x:c>
      <x:c r="J13" s="423" t="str">
        <x:v>Conclusion</x:v>
      </x:c>
    </x:row>
    <x:row r="14" ht="52" customHeight="1">
      <x:c r="A14" s="468" t="str">
        <x:v>Total procurement spend vs output</x:v>
      </x:c>
      <x:c r="B14" s="486" t="n">
        <x:v>0.830786192</x:v>
      </x:c>
      <x:c r="C14" s="448" t="str">
        <x:v>Positive</x:v>
      </x:c>
      <x:c r="D14" s="449" t="str">
        <x:v>Higher-output months often coincide with higher procurement, but n=5 is too small for causal conclusion.</x:v>
      </x:c>
      <x:c r="F14" s="468" t="str">
        <x:v>Sep needle issues - Change Style</x:v>
      </x:c>
      <x:c r="G14" s="448" t="n">
        <x:v>190</x:v>
      </x:c>
      <x:c r="H14" s="490" t="n">
        <x:v>0.2835820895522388</x:v>
      </x:c>
      <x:c r="I14" s="448" t="str">
        <x:v>Direct issue record</x:v>
      </x:c>
      <x:c r="J14" s="449" t="str">
        <x:v>Style change is a material driver of observed needle usage.</x:v>
      </x:c>
    </x:row>
    <x:row r="15" ht="52" customHeight="1">
      <x:c r="A15" s="469" t="str">
        <x:v>Needle spend vs output</x:v>
      </x:c>
      <x:c r="B15" s="487" t="n">
        <x:v>-0.1414179685</x:v>
      </x:c>
      <x:c r="C15" s="450" t="str">
        <x:v>Weak/negative</x:v>
      </x:c>
      <x:c r="D15" s="451" t="str">
        <x:v>Needle purchases do not track output directly; stocking/replenishment timing dominates.</x:v>
      </x:c>
      <x:c r="F15" s="469" t="str">
        <x:v>Sep needle issues - Damage + Broken</x:v>
      </x:c>
      <x:c r="G15" s="450" t="n">
        <x:v>450</x:v>
      </x:c>
      <x:c r="H15" s="491" t="n">
        <x:v>0.6716417910447762</x:v>
      </x:c>
      <x:c r="I15" s="450" t="str">
        <x:v>Direct issue record</x:v>
      </x:c>
      <x:c r="J15" s="451" t="str">
        <x:v>Machine/needle suitability and damage remain larger drivers.</x:v>
      </x:c>
    </x:row>
    <x:row r="16" ht="52" customHeight="1">
      <x:c r="A16" s="470" t="str">
        <x:v>Non-needle spend vs output</x:v>
      </x:c>
      <x:c r="B16" s="488" t="n">
        <x:v>0.7775499016</x:v>
      </x:c>
      <x:c r="C16" s="452" t="str">
        <x:v>Positive</x:v>
      </x:c>
      <x:c r="D16" s="453" t="str">
        <x:v>Possible workload/repair relationship; one-off maintenance purchases can distort it.</x:v>
      </x:c>
      <x:c r="F16" s="469" t="str">
        <x:v>June production reports</x:v>
      </x:c>
      <x:c r="G16" s="450" t="str">
        <x:v>New-style learning + frequent changeovers</x:v>
      </x:c>
      <x:c r="H16" s="450"/>
      <x:c r="I16" s="450" t="str">
        <x:v>Operational evidence</x:v>
      </x:c>
      <x:c r="J16" s="451" t="str">
        <x:v>Style changes affected efficiency/changeover time.</x:v>
      </x:c>
    </x:row>
    <x:row r="17" ht="52" customHeight="1">
      <x:c r="F17" s="470" t="str">
        <x:v>Monthly style-count history</x:v>
      </x:c>
      <x:c r="G17" s="452" t="str">
        <x:v>Not available</x:v>
      </x:c>
      <x:c r="H17" s="452"/>
      <x:c r="I17" s="452" t="str">
        <x:v>Data gap</x:v>
      </x:c>
      <x:c r="J17" s="453" t="str">
        <x:v>Cannot calculate valid month-level style-count correlation yet.</x:v>
      </x:c>
    </x:row>
    <x:row r="18" ht="20" customHeight="1"/>
    <x:row r="19" ht="20" customHeight="1"/>
    <x:row r="20" ht="20" customHeight="1">
      <x:c r="A20" s="16" t="str">
        <x:v>Month</x:v>
      </x:c>
      <x:c r="B20" s="16" t="str">
        <x:v>Total $/1k</x:v>
      </x:c>
      <x:c r="C20" s="16" t="str">
        <x:v>Needle $/1k</x:v>
      </x:c>
      <x:c r="D20" s="16" t="str">
        <x:v>Spare $/1k</x:v>
      </x:c>
    </x:row>
    <x:row r="21" ht="20" customHeight="1">
      <x:c r="A21" s="16" t="str">
        <x:v>Jan</x:v>
      </x:c>
      <x:c r="B21" s="16" t="n">
        <x:v>14.009661835748792</x:v>
      </x:c>
      <x:c r="C21" s="16" t="n">
        <x:v>9.135802469135804</x:v>
      </x:c>
      <x:c r="D21" s="16" t="n">
        <x:v>4.873859366612989</x:v>
      </x:c>
    </x:row>
    <x:row r="22" ht="20" customHeight="1">
      <x:c r="A22" s="16" t="str">
        <x:v>Feb</x:v>
      </x:c>
      <x:c r="B22" s="16" t="n">
        <x:v>10.793175032655348</x:v>
      </x:c>
      <x:c r="C22" s="16" t="n">
        <x:v>6.834297443552901</x:v>
      </x:c>
      <x:c r="D22" s="16" t="n">
        <x:v>3.9588775891024452</x:v>
      </x:c>
    </x:row>
    <x:row r="23" ht="20" customHeight="1">
      <x:c r="A23" s="16" t="str">
        <x:v>Mar</x:v>
      </x:c>
      <x:c r="B23" s="16" t="n">
        <x:v>10.04871905345839</x:v>
      </x:c>
      <x:c r="C23" s="16" t="n">
        <x:v>4.295230835515196</x:v>
      </x:c>
      <x:c r="D23" s="16" t="n">
        <x:v>5.753488217943194</x:v>
      </x:c>
    </x:row>
    <x:row r="24" ht="20" customHeight="1">
      <x:c r="A24" s="16" t="str">
        <x:v>Apr</x:v>
      </x:c>
      <x:c r="B24" s="16" t="n">
        <x:v>12.567779861146303</x:v>
      </x:c>
      <x:c r="C24" s="16" t="n">
        <x:v>11.156076478125836</x:v>
      </x:c>
      <x:c r="D24" s="16" t="n">
        <x:v>1.4117033830204662</x:v>
      </x:c>
    </x:row>
    <x:row r="25" ht="20" customHeight="1">
      <x:c r="A25" s="16" t="str">
        <x:v>May</x:v>
      </x:c>
      <x:c r="B25" s="16" t="n">
        <x:v>14.346662205119626</x:v>
      </x:c>
      <x:c r="C25" s="16" t="n">
        <x:v>5.560203000390385</x:v>
      </x:c>
      <x:c r="D25" s="16" t="n">
        <x:v>8.78645920472924</x:v>
      </x:c>
    </x:row>
    <x:row r="26" ht="20" customHeight="1"/>
    <x:row r="27" ht="20" customHeight="1"/>
    <x:row r="28" ht="20" customHeight="1">
      <x:c r="A28" s="419" t="str">
        <x:v>Management Conclusion</x:v>
      </x:c>
    </x:row>
    <x:row r="29" ht="44" customHeight="1">
      <x:c r="A29" s="492" t="str">
        <x:v>1</x:v>
      </x:c>
      <x:c r="B29" s="18" t="str">
        <x:v>採購金額不能直接當作當月消耗；備庫、補庫與一次性維修會把採購月份和實際使用月份錯開。</x:v>
      </x:c>
      <x:c r="C29" s="18"/>
      <x:c r="D29" s="18"/>
      <x:c r="E29" s="18"/>
    </x:row>
    <x:row r="30" ht="44" customHeight="1">
      <x:c r="A30" s="492" t="str">
        <x:v>2</x:v>
      </x:c>
      <x:c r="B30" s="18" t="str">
        <x:v>車針真正有意義的是領用原因：9月樣本中Change Style占28.4%，可支持『換款會增加車針領用』，但尚不能推算全年比例。</x:v>
      </x:c>
      <x:c r="C30" s="18"/>
      <x:c r="D30" s="18"/>
      <x:c r="E30" s="18"/>
    </x:row>
    <x:row r="31" ht="44" customHeight="1">
      <x:c r="A31" s="492" t="str">
        <x:v>3</x:v>
      </x:c>
      <x:c r="B31" s="18" t="str">
        <x:v>要驗證款式關聯，未來HTML每筆領用至少要記 Style / Line / Machine / Reason；累積6–12個月後再算每千件產量及每次換款的消耗率。</x:v>
      </x:c>
      <x:c r="C31" s="18"/>
      <x:c r="D31" s="18"/>
      <x:c r="E31" s="18"/>
    </x:row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/>
    <x:row r="57" ht="20" customHeight="1"/>
    <x:row r="58" ht="20" customHeight="1"/>
    <x:row r="59" ht="20" customHeight="1"/>
    <x:row r="60" ht="20" customHeight="1"/>
  </x:sheetData>
  <x:mergeCells>
    <x:mergeCell ref="A1:N2"/>
    <x:mergeCell ref="B29:E29"/>
    <x:mergeCell ref="B30:E30"/>
    <x:mergeCell ref="B31:E31"/>
  </x:mergeCells>
  <x:pageMargins left="0.7" right="0.7" top="0.75" bottom="0.75" header="0.3" footer="0.3"/>
  <x:drawing xmlns:r="http://schemas.openxmlformats.org/officeDocument/2006/relationships" r:id="R9055c2f89e8349f5"/>
</x:worksheet>
</file>

<file path=xl/worksheets/sheet2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34" hidden="0" customWidth="1"/>
    <x:col min="4" max="4" width="24" hidden="0" customWidth="1"/>
    <x:col min="5" max="5" width="42" hidden="0" customWidth="1"/>
    <x:col min="6" max="6" width="34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20" customHeight="1">
      <x:c r="A1" s="407" t="str">
        <x:v>Data Coverage, Definitions &amp; Limitations | 資料涵蓋與判讀原則</x:v>
      </x:c>
      <x:c r="B1" s="407"/>
      <x:c r="C1" s="407"/>
      <x:c r="D1" s="407"/>
      <x:c r="E1" s="407"/>
      <x:c r="F1" s="407"/>
      <x:c r="G1" s="407"/>
      <x:c r="H1" s="407"/>
      <x:c r="I1" s="407"/>
      <x:c r="J1" s="407"/>
      <x:c r="K1" s="407"/>
      <x:c r="L1" s="407"/>
    </x:row>
    <x:row r="2" ht="20" customHeight="1">
      <x:c r="A2" s="407"/>
      <x:c r="B2" s="407"/>
      <x:c r="C2" s="407"/>
      <x:c r="D2" s="407"/>
      <x:c r="E2" s="407"/>
      <x:c r="F2" s="407"/>
      <x:c r="G2" s="407"/>
      <x:c r="H2" s="407"/>
      <x:c r="I2" s="407"/>
      <x:c r="J2" s="407"/>
      <x:c r="K2" s="407"/>
      <x:c r="L2" s="407"/>
    </x:row>
    <x:row r="3" ht="20" customHeight="1"/>
    <x:row r="4" ht="20" customHeight="1">
      <x:c r="A4" s="423" t="str">
        <x:v>Source</x:v>
      </x:c>
      <x:c r="B4" s="423" t="str">
        <x:v>Period</x:v>
      </x:c>
      <x:c r="C4" s="423" t="str">
        <x:v>Used Data</x:v>
      </x:c>
      <x:c r="D4" s="423" t="str">
        <x:v>Coverage</x:v>
      </x:c>
      <x:c r="E4" s="423" t="str">
        <x:v>Limitation</x:v>
      </x:c>
      <x:c r="F4" s="423" t="str">
        <x:v>Management Use</x:v>
      </x:c>
    </x:row>
    <x:row r="5" ht="20" customHeight="1">
      <x:c r="A5" s="468" t="str">
        <x:v>2024 Monthly Statement PDF</x:v>
      </x:c>
      <x:c r="B5" s="448" t="str">
        <x:v>2024</x:v>
      </x:c>
      <x:c r="C5" s="448" t="str">
        <x:v>Monthly invoice amount; selected printed YI item prices</x:v>
      </x:c>
      <x:c r="D5" s="448" t="str">
        <x:v>Monthly spend complete</x:v>
      </x:c>
      <x:c r="E5" s="448" t="str">
        <x:v>Most Hong Ye invoices handwritten; item/category qty partial</x:v>
      </x:c>
      <x:c r="F5" s="449" t="str">
        <x:v>YoY spend + price history</x:v>
      </x:c>
    </x:row>
    <x:row r="6" ht="20" customHeight="1">
      <x:c r="A6" s="469" t="str">
        <x:v>2025 Monthly Statement PDF</x:v>
      </x:c>
      <x:c r="B6" s="450" t="str">
        <x:v>2025</x:v>
      </x:c>
      <x:c r="C6" s="450" t="str">
        <x:v>Transaction detail, qty, unit, price, category</x:v>
      </x:c>
      <x:c r="D6" s="450" t="str">
        <x:v>Strong after standardization</x:v>
      </x:c>
      <x:c r="E6" s="450" t="str">
        <x:v>Some scanned names remain low-confidence / Other</x:v>
      </x:c>
      <x:c r="F6" s="451" t="str">
        <x:v>Monthly/category/frequency</x:v>
      </x:c>
    </x:row>
    <x:row r="7" ht="20" customHeight="1">
      <x:c r="A7" s="469" t="str">
        <x:v>2026 Benchmark Excel</x:v>
      </x:c>
      <x:c r="B7" s="450" t="str">
        <x:v>2026 Jan–Jun</x:v>
      </x:c>
      <x:c r="C7" s="450" t="str">
        <x:v>Transaction detail, price benchmark, normalized Part No.</x:v>
      </x:c>
      <x:c r="D7" s="450" t="str">
        <x:v>Strong</x:v>
      </x:c>
      <x:c r="E7" s="450" t="str">
        <x:v>H1 only</x:v>
      </x:c>
      <x:c r="F7" s="451" t="str">
        <x:v>H1 trend, price, frequency</x:v>
      </x:c>
    </x:row>
    <x:row r="8" ht="20" customHeight="1">
      <x:c r="A8" s="469" t="str">
        <x:v>Daily Needles Change Report</x:v>
      </x:c>
      <x:c r="B8" s="450" t="str">
        <x:v>2026 Sep 1–22</x:v>
      </x:c>
      <x:c r="C8" s="450" t="str">
        <x:v>Actual issued qty/spec/reason</x:v>
      </x:c>
      <x:c r="D8" s="450" t="str">
        <x:v>19-day sample</x:v>
      </x:c>
      <x:c r="E8" s="450" t="str">
        <x:v>Not full-year; daily mismatches identified separately</x:v>
      </x:c>
      <x:c r="F8" s="451" t="str">
        <x:v>Consumption / style evidence</x:v>
      </x:c>
    </x:row>
    <x:row r="9" ht="20" customHeight="1">
      <x:c r="A9" s="469" t="str">
        <x:v>Daily Spare Part Change Report</x:v>
      </x:c>
      <x:c r="B9" s="450" t="str">
        <x:v>2026 Sep 10–18</x:v>
      </x:c>
      <x:c r="C9" s="450" t="str">
        <x:v>Actual issued spare parts</x:v>
      </x:c>
      <x:c r="D9" s="450" t="str">
        <x:v>8-day sample</x:v>
      </x:c>
      <x:c r="E9" s="450" t="str">
        <x:v>26/36 issued qty had blank reason</x:v>
      </x:c>
      <x:c r="F9" s="451" t="str">
        <x:v>Consumption ranking / control gap</x:v>
      </x:c>
    </x:row>
    <x:row r="10" ht="20" customHeight="1">
      <x:c r="A10" s="470" t="str">
        <x:v>Factory Director production reports</x:v>
      </x:c>
      <x:c r="B10" s="452" t="str">
        <x:v>2026 Jan–Jun</x:v>
      </x:c>
      <x:c r="C10" s="452" t="str">
        <x:v>Jan–May actual output; June forecast; changeover observations</x:v>
      </x:c>
      <x:c r="D10" s="452" t="str">
        <x:v>Production side only</x:v>
      </x:c>
      <x:c r="E10" s="452" t="str">
        <x:v>Complete monthly style-count history unavailable</x:v>
      </x:c>
      <x:c r="F10" s="453" t="str">
        <x:v>Exploratory linkage</x:v>
      </x:c>
    </x:row>
    <x:row r="11" ht="20" customHeight="1"/>
    <x:row r="12" ht="20" customHeight="1"/>
    <x:row r="13" ht="20" customHeight="1">
      <x:c r="A13" s="423" t="str">
        <x:v>Definition</x:v>
      </x:c>
      <x:c r="B13" s="423" t="str">
        <x:v>Rule</x:v>
      </x:c>
      <x:c r="C13" s="423" t="str">
        <x:v>Why</x:v>
      </x:c>
      <x:c r="D13" s="423" t="str">
        <x:v>Use</x:v>
      </x:c>
      <x:c r="E13" s="423" t="str">
        <x:v>Do Not</x:v>
      </x:c>
      <x:c r="F13" s="423" t="str">
        <x:v>Future HTML Field</x:v>
      </x:c>
    </x:row>
    <x:row r="14" ht="20" customHeight="1">
      <x:c r="A14" s="468" t="str">
        <x:v>Purchase Frequency</x:v>
      </x:c>
      <x:c r="B14" s="448" t="str">
        <x:v>Transaction lines + months purchased</x:v>
      </x:c>
      <x:c r="C14" s="448" t="str">
        <x:v>Reorder cadence</x:v>
      </x:c>
      <x:c r="D14" s="448" t="str">
        <x:v>Rank recurring items</x:v>
      </x:c>
      <x:c r="E14" s="448" t="str">
        <x:v>Do not equal to consumption</x:v>
      </x:c>
      <x:c r="F14" s="449" t="str">
        <x:v>Purchase Date / Part ID / Qty / Price</x:v>
      </x:c>
    </x:row>
    <x:row r="15" ht="20" customHeight="1">
      <x:c r="A15" s="469" t="str">
        <x:v>Consumption Frequency</x:v>
      </x:c>
      <x:c r="B15" s="450" t="str">
        <x:v>Issue days + issued qty</x:v>
      </x:c>
      <x:c r="C15" s="450" t="str">
        <x:v>Actual shop-floor use</x:v>
      </x:c>
      <x:c r="D15" s="450" t="str">
        <x:v>Rank high-use items</x:v>
      </x:c>
      <x:c r="E15" s="450" t="str">
        <x:v>Do not infer from purchase value</x:v>
      </x:c>
      <x:c r="F15" s="451" t="str">
        <x:v>Issue Date / Line / Style / Machine / Reason</x:v>
      </x:c>
    </x:row>
    <x:row r="16" ht="20" customHeight="1">
      <x:c r="A16" s="469" t="str">
        <x:v>Price Exception</x:v>
      </x:c>
      <x:c r="B16" s="450" t="str">
        <x:v>Same Part/Spec/Brand/Unit; &gt;10%=Review</x:v>
      </x:c>
      <x:c r="C16" s="450" t="str">
        <x:v>Avoid false comparison</x:v>
      </x:c>
      <x:c r="D16" s="450" t="str">
        <x:v>Quote review</x:v>
      </x:c>
      <x:c r="E16" s="450" t="str">
        <x:v>Do not compare different specs</x:v>
      </x:c>
      <x:c r="F16" s="451" t="str">
        <x:v>Vendor / Part ID / Unit / Price</x:v>
      </x:c>
    </x:row>
    <x:row r="17" ht="20" customHeight="1">
      <x:c r="A17" s="469" t="str">
        <x:v>Production Intensity</x:v>
      </x:c>
      <x:c r="B17" s="450" t="str">
        <x:v>Spend or issue / 1,000 sewing pcs</x:v>
      </x:c>
      <x:c r="C17" s="450" t="str">
        <x:v>Normalize by output</x:v>
      </x:c>
      <x:c r="D17" s="450" t="str">
        <x:v>Trend after enough months</x:v>
      </x:c>
      <x:c r="E17" s="450" t="str">
        <x:v>Do not claim causality with n=5</x:v>
      </x:c>
      <x:c r="F17" s="451" t="str">
        <x:v>Monthly output</x:v>
      </x:c>
    </x:row>
    <x:row r="18" ht="20" customHeight="1">
      <x:c r="A18" s="470" t="str">
        <x:v>Style Linkage</x:v>
      </x:c>
      <x:c r="B18" s="452" t="str">
        <x:v>Issue qty tagged to style/changeover</x:v>
      </x:c>
      <x:c r="C18" s="452" t="str">
        <x:v>Tests changeover effect</x:v>
      </x:c>
      <x:c r="D18" s="452" t="str">
        <x:v>Collect 6–12 months</x:v>
      </x:c>
      <x:c r="E18" s="452" t="str">
        <x:v>Do not rely on purchase month</x:v>
      </x:c>
      <x:c r="F18" s="453" t="str">
        <x:v>Style / Line / Changeover flag</x:v>
      </x:c>
    </x:row>
    <x:row r="19" ht="20" customHeight="1"/>
    <x:row r="20" ht="20" customHeight="1"/>
    <x:row r="21" ht="20" customHeight="1">
      <x:c r="A21" s="419" t="str">
        <x:v>Recommended Future KPIs</x:v>
      </x:c>
    </x:row>
    <x:row r="22" ht="20" customHeight="1">
      <x:c r="A22" s="447" t="str">
        <x:v>1</x:v>
      </x:c>
      <x:c r="B22" s="18" t="str">
        <x:v>Needle issued / 1,000 sewing pcs — monthly + rolling 3 months</x:v>
      </x:c>
      <x:c r="C22" s="18"/>
      <x:c r="D22" s="18"/>
      <x:c r="E22" s="18"/>
      <x:c r="F22" s="18"/>
    </x:row>
    <x:row r="23" ht="20" customHeight="1">
      <x:c r="A23" s="447" t="str">
        <x:v>2</x:v>
      </x:c>
      <x:c r="B23" s="18" t="str">
        <x:v>Spare parts issued / 1,000 sewing pcs — by category and machine type</x:v>
      </x:c>
      <x:c r="C23" s="18"/>
      <x:c r="D23" s="18"/>
      <x:c r="E23" s="18"/>
      <x:c r="F23" s="18"/>
    </x:row>
    <x:row r="24" ht="20" customHeight="1">
      <x:c r="A24" s="447" t="str">
        <x:v>3</x:v>
      </x:c>
      <x:c r="B24" s="18" t="str">
        <x:v>Style-change needle issue % — Change Style qty / total needle issued</x:v>
      </x:c>
      <x:c r="C24" s="18"/>
      <x:c r="D24" s="18"/>
      <x:c r="E24" s="18"/>
      <x:c r="F24" s="18"/>
    </x:row>
    <x:row r="25" ht="20" customHeight="1">
      <x:c r="A25" s="447" t="str">
        <x:v>4</x:v>
      </x:c>
      <x:c r="B25" s="18" t="str">
        <x:v>Top 20 recurring purchased items — months + transaction lines + spend share</x:v>
      </x:c>
      <x:c r="C25" s="18"/>
      <x:c r="D25" s="18"/>
      <x:c r="E25" s="18"/>
      <x:c r="F25" s="18"/>
    </x:row>
    <x:row r="26" ht="20" customHeight="1">
      <x:c r="A26" s="447" t="str">
        <x:v>5</x:v>
      </x:c>
      <x:c r="B26" s="18" t="str">
        <x:v>Quote variance alert — latest price vs last / 3M / 12M benchmark</x:v>
      </x:c>
      <x:c r="C26" s="18"/>
      <x:c r="D26" s="18"/>
      <x:c r="E26" s="18"/>
      <x:c r="F26" s="18"/>
    </x:row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/>
    <x:row r="57" ht="20" customHeight="1"/>
    <x:row r="58" ht="20" customHeight="1"/>
    <x:row r="59" ht="20" customHeight="1"/>
    <x:row r="60" ht="20" customHeight="1"/>
  </x:sheetData>
  <x:mergeCells>
    <x:mergeCell ref="A1:L2"/>
    <x:mergeCell ref="B22:F22"/>
    <x:mergeCell ref="B23:F23"/>
    <x:mergeCell ref="B24:F24"/>
    <x:mergeCell ref="B25:F25"/>
    <x:mergeCell ref="B26:F26"/>
  </x:mergeCells>
  <x:pageMargins left="0.7" right="0.7" top="0.75" bottom="0.75" header="0.3" footer="0.3"/>
</x:worksheet>
</file>