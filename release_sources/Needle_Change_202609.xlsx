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7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drawings/drawing8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0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drawings/drawing1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drawings/drawing13.xml" ContentType="application/vnd.openxmlformats-officedocument.drawing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drawings/drawing14.xml" ContentType="application/vnd.openxmlformats-officedocument.drawing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drawings/drawing15.xml" ContentType="application/vnd.openxmlformats-officedocument.drawing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drawings/drawing16.xml" ContentType="application/vnd.openxmlformats-officedocument.drawing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drawings/drawing17.xml" ContentType="application/vnd.openxmlformats-officedocument.drawing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drawings/drawing18.xml" ContentType="application/vnd.openxmlformats-officedocument.drawing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9.xml" ContentType="application/vnd.openxmlformats-officedocument.drawing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Paul Report\Machine Speartart &amp; Needle Report\Needle\"/>
    </mc:Choice>
  </mc:AlternateContent>
  <bookViews>
    <workbookView xWindow="0" yWindow="0" windowWidth="20490" windowHeight="7620" firstSheet="5" activeTab="14"/>
  </bookViews>
  <sheets>
    <sheet name="9-1" sheetId="1" r:id="rId1"/>
    <sheet name="9-2" sheetId="2" r:id="rId2"/>
    <sheet name="9-3" sheetId="4" r:id="rId3"/>
    <sheet name="9-4" sheetId="5" r:id="rId4"/>
    <sheet name="9-5" sheetId="6" r:id="rId5"/>
    <sheet name="9-7" sheetId="7" r:id="rId6"/>
    <sheet name="9-8" sheetId="8" r:id="rId7"/>
    <sheet name="9-9" sheetId="9" r:id="rId8"/>
    <sheet name="9-10" sheetId="10" r:id="rId9"/>
    <sheet name="9-11" sheetId="11" r:id="rId10"/>
    <sheet name="9-12" sheetId="13" r:id="rId11"/>
    <sheet name="9-14 " sheetId="14" r:id="rId12"/>
    <sheet name="9-15" sheetId="15" r:id="rId13"/>
    <sheet name="9-16" sheetId="16" r:id="rId14"/>
    <sheet name="9-17" sheetId="17" r:id="rId15"/>
    <sheet name="9-18" sheetId="18" state="hidden" r:id="rId16"/>
    <sheet name="9-19" sheetId="19" state="hidden" r:id="rId17"/>
    <sheet name="9-21" sheetId="20" state="hidden" r:id="rId18"/>
    <sheet name="9-22" sheetId="21" state="hidden" r:id="rId19"/>
  </sheets>
  <definedNames>
    <definedName name="_xlnm.Print_Area" localSheetId="0">'9-1'!$A$1:$G$19</definedName>
    <definedName name="_xlnm.Print_Area" localSheetId="8">'9-10'!$A$1:$G$19</definedName>
    <definedName name="_xlnm.Print_Area" localSheetId="9">'9-11'!$A$1:$G$19</definedName>
    <definedName name="_xlnm.Print_Area" localSheetId="10">'9-12'!$A$1:$G$19</definedName>
    <definedName name="_xlnm.Print_Area" localSheetId="11">'9-14 '!$A$1:$G$19</definedName>
    <definedName name="_xlnm.Print_Area" localSheetId="12">'9-15'!$A$1:$G$19</definedName>
    <definedName name="_xlnm.Print_Area" localSheetId="13">'9-16'!$A$1:$G$19</definedName>
    <definedName name="_xlnm.Print_Area" localSheetId="14">'9-17'!$A$1:$G$19</definedName>
    <definedName name="_xlnm.Print_Area" localSheetId="15">'9-18'!$A$1:$G$19</definedName>
    <definedName name="_xlnm.Print_Area" localSheetId="16">'9-19'!$A$1:$G$19</definedName>
    <definedName name="_xlnm.Print_Area" localSheetId="1">'9-2'!$A$1:$G$19</definedName>
    <definedName name="_xlnm.Print_Area" localSheetId="17">'9-21'!$A$1:$G$19</definedName>
    <definedName name="_xlnm.Print_Area" localSheetId="18">'9-22'!$A$1:$G$19</definedName>
    <definedName name="_xlnm.Print_Area" localSheetId="2">'9-3'!$A$1:$G$19</definedName>
    <definedName name="_xlnm.Print_Area" localSheetId="3">'9-4'!$A$1:$G$19</definedName>
    <definedName name="_xlnm.Print_Area" localSheetId="4">'9-5'!$A$1:$G$19</definedName>
    <definedName name="_xlnm.Print_Area" localSheetId="5">'9-7'!$A$1:$G$19</definedName>
    <definedName name="_xlnm.Print_Area" localSheetId="6">'9-8'!$A$1:$G$19</definedName>
    <definedName name="_xlnm.Print_Area" localSheetId="7">'9-9'!$A$1:$G$19</definedName>
  </definedNames>
  <calcPr calcId="162913" calcMode="autoNoTable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0" l="1"/>
  <c r="D21" i="21" l="1"/>
  <c r="D20" i="21"/>
  <c r="E19" i="21"/>
  <c r="F19" i="21" s="1"/>
  <c r="E18" i="21"/>
  <c r="F18" i="21" s="1"/>
  <c r="E17" i="21"/>
  <c r="F17" i="21" s="1"/>
  <c r="E16" i="21"/>
  <c r="F16" i="21" s="1"/>
  <c r="E15" i="21"/>
  <c r="F15" i="21" s="1"/>
  <c r="E14" i="21"/>
  <c r="F14" i="21" s="1"/>
  <c r="E13" i="21"/>
  <c r="F13" i="21" s="1"/>
  <c r="E12" i="21"/>
  <c r="F12" i="21" s="1"/>
  <c r="E11" i="21"/>
  <c r="F11" i="21" s="1"/>
  <c r="E10" i="21"/>
  <c r="F10" i="21" s="1"/>
  <c r="E9" i="21"/>
  <c r="F9" i="21" s="1"/>
  <c r="E8" i="21"/>
  <c r="F8" i="21" s="1"/>
  <c r="E7" i="21"/>
  <c r="F7" i="21" s="1"/>
  <c r="E6" i="21"/>
  <c r="F6" i="21" s="1"/>
  <c r="E5" i="21"/>
  <c r="F5" i="21" s="1"/>
  <c r="E4" i="21"/>
  <c r="F4" i="21" s="1"/>
  <c r="E3" i="21"/>
  <c r="F3" i="21" s="1"/>
  <c r="D21" i="20"/>
  <c r="D20" i="20"/>
  <c r="E19" i="20"/>
  <c r="F19" i="20" s="1"/>
  <c r="E18" i="20"/>
  <c r="F18" i="20" s="1"/>
  <c r="E17" i="20"/>
  <c r="F17" i="20" s="1"/>
  <c r="E16" i="20"/>
  <c r="F16" i="20" s="1"/>
  <c r="E15" i="20"/>
  <c r="F15" i="20" s="1"/>
  <c r="E14" i="20"/>
  <c r="F14" i="20" s="1"/>
  <c r="E13" i="20"/>
  <c r="F13" i="20" s="1"/>
  <c r="E12" i="20"/>
  <c r="F12" i="20" s="1"/>
  <c r="E11" i="20"/>
  <c r="F11" i="20" s="1"/>
  <c r="E10" i="20"/>
  <c r="F10" i="20" s="1"/>
  <c r="E9" i="20"/>
  <c r="F9" i="20" s="1"/>
  <c r="E8" i="20"/>
  <c r="F8" i="20" s="1"/>
  <c r="E7" i="20"/>
  <c r="F7" i="20" s="1"/>
  <c r="E6" i="20"/>
  <c r="F6" i="20" s="1"/>
  <c r="E5" i="20"/>
  <c r="F5" i="20" s="1"/>
  <c r="E4" i="20"/>
  <c r="F4" i="20" s="1"/>
  <c r="F3" i="20"/>
  <c r="F22" i="21" l="1"/>
  <c r="E22" i="21"/>
  <c r="F22" i="20"/>
  <c r="E22" i="20"/>
  <c r="D21" i="19"/>
  <c r="D20" i="19"/>
  <c r="E19" i="19"/>
  <c r="F19" i="19" s="1"/>
  <c r="E18" i="19"/>
  <c r="F18" i="19" s="1"/>
  <c r="E17" i="19"/>
  <c r="F17" i="19" s="1"/>
  <c r="E16" i="19"/>
  <c r="F16" i="19" s="1"/>
  <c r="E15" i="19"/>
  <c r="F15" i="19" s="1"/>
  <c r="E14" i="19"/>
  <c r="F14" i="19" s="1"/>
  <c r="E13" i="19"/>
  <c r="F13" i="19" s="1"/>
  <c r="E12" i="19"/>
  <c r="F12" i="19" s="1"/>
  <c r="E11" i="19"/>
  <c r="F11" i="19" s="1"/>
  <c r="E10" i="19"/>
  <c r="F10" i="19" s="1"/>
  <c r="E9" i="19"/>
  <c r="F9" i="19" s="1"/>
  <c r="E8" i="19"/>
  <c r="F8" i="19" s="1"/>
  <c r="E7" i="19"/>
  <c r="F7" i="19" s="1"/>
  <c r="E6" i="19"/>
  <c r="F6" i="19" s="1"/>
  <c r="E5" i="19"/>
  <c r="F5" i="19" s="1"/>
  <c r="E4" i="19"/>
  <c r="F4" i="19" s="1"/>
  <c r="E3" i="19"/>
  <c r="F3" i="19" s="1"/>
  <c r="D21" i="18"/>
  <c r="D20" i="18"/>
  <c r="E19" i="18"/>
  <c r="F19" i="18" s="1"/>
  <c r="E18" i="18"/>
  <c r="F18" i="18" s="1"/>
  <c r="E17" i="18"/>
  <c r="F17" i="18" s="1"/>
  <c r="E16" i="18"/>
  <c r="F16" i="18" s="1"/>
  <c r="E15" i="18"/>
  <c r="F15" i="18" s="1"/>
  <c r="E14" i="18"/>
  <c r="F14" i="18" s="1"/>
  <c r="E13" i="18"/>
  <c r="F13" i="18" s="1"/>
  <c r="E12" i="18"/>
  <c r="F12" i="18" s="1"/>
  <c r="E11" i="18"/>
  <c r="F11" i="18" s="1"/>
  <c r="E10" i="18"/>
  <c r="F10" i="18" s="1"/>
  <c r="E9" i="18"/>
  <c r="F9" i="18" s="1"/>
  <c r="E8" i="18"/>
  <c r="F8" i="18" s="1"/>
  <c r="E7" i="18"/>
  <c r="F7" i="18" s="1"/>
  <c r="E6" i="18"/>
  <c r="F6" i="18" s="1"/>
  <c r="E5" i="18"/>
  <c r="F5" i="18" s="1"/>
  <c r="E4" i="18"/>
  <c r="F4" i="18" s="1"/>
  <c r="E3" i="18"/>
  <c r="F3" i="18" s="1"/>
  <c r="D21" i="17"/>
  <c r="D20" i="17"/>
  <c r="F19" i="17"/>
  <c r="E19" i="17"/>
  <c r="E18" i="17"/>
  <c r="F18" i="17" s="1"/>
  <c r="F17" i="17"/>
  <c r="E17" i="17"/>
  <c r="E16" i="17"/>
  <c r="F16" i="17" s="1"/>
  <c r="E15" i="17"/>
  <c r="F15" i="17" s="1"/>
  <c r="E14" i="17"/>
  <c r="F14" i="17" s="1"/>
  <c r="E13" i="17"/>
  <c r="F13" i="17" s="1"/>
  <c r="E12" i="17"/>
  <c r="F12" i="17" s="1"/>
  <c r="F11" i="17"/>
  <c r="E11" i="17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E3" i="17"/>
  <c r="F3" i="17" s="1"/>
  <c r="D21" i="16"/>
  <c r="D20" i="16"/>
  <c r="E19" i="16"/>
  <c r="F19" i="16" s="1"/>
  <c r="E18" i="16"/>
  <c r="F18" i="16" s="1"/>
  <c r="E17" i="16"/>
  <c r="F17" i="16" s="1"/>
  <c r="E16" i="16"/>
  <c r="F16" i="16" s="1"/>
  <c r="E15" i="16"/>
  <c r="F15" i="16" s="1"/>
  <c r="E14" i="16"/>
  <c r="F14" i="16" s="1"/>
  <c r="F13" i="16"/>
  <c r="E12" i="16"/>
  <c r="F12" i="16" s="1"/>
  <c r="E11" i="16"/>
  <c r="F11" i="16" s="1"/>
  <c r="E10" i="16"/>
  <c r="F10" i="16" s="1"/>
  <c r="E9" i="16"/>
  <c r="F9" i="16" s="1"/>
  <c r="E8" i="16"/>
  <c r="F8" i="16" s="1"/>
  <c r="E7" i="16"/>
  <c r="F7" i="16" s="1"/>
  <c r="E6" i="16"/>
  <c r="F6" i="16" s="1"/>
  <c r="E5" i="16"/>
  <c r="F5" i="16" s="1"/>
  <c r="F4" i="16"/>
  <c r="F3" i="16"/>
  <c r="D21" i="15"/>
  <c r="D20" i="15"/>
  <c r="E19" i="15"/>
  <c r="F19" i="15" s="1"/>
  <c r="E18" i="15"/>
  <c r="F18" i="15" s="1"/>
  <c r="E17" i="15"/>
  <c r="F17" i="15" s="1"/>
  <c r="E16" i="15"/>
  <c r="F16" i="15" s="1"/>
  <c r="E15" i="15"/>
  <c r="F15" i="15" s="1"/>
  <c r="E14" i="15"/>
  <c r="F14" i="15" s="1"/>
  <c r="F13" i="15"/>
  <c r="E12" i="15"/>
  <c r="F12" i="15" s="1"/>
  <c r="E11" i="15"/>
  <c r="F11" i="15" s="1"/>
  <c r="E10" i="15"/>
  <c r="F10" i="15" s="1"/>
  <c r="E9" i="15"/>
  <c r="F9" i="15" s="1"/>
  <c r="F8" i="15"/>
  <c r="E7" i="15"/>
  <c r="F7" i="15" s="1"/>
  <c r="E6" i="15"/>
  <c r="F6" i="15" s="1"/>
  <c r="E5" i="15"/>
  <c r="F5" i="15" s="1"/>
  <c r="F4" i="15"/>
  <c r="F3" i="15"/>
  <c r="D21" i="14"/>
  <c r="D20" i="14"/>
  <c r="E19" i="14"/>
  <c r="F19" i="14" s="1"/>
  <c r="E18" i="14"/>
  <c r="F18" i="14" s="1"/>
  <c r="E17" i="14"/>
  <c r="F17" i="14" s="1"/>
  <c r="E16" i="14"/>
  <c r="F16" i="14" s="1"/>
  <c r="E15" i="14"/>
  <c r="F15" i="14" s="1"/>
  <c r="E14" i="14"/>
  <c r="F14" i="14" s="1"/>
  <c r="F13" i="14"/>
  <c r="E12" i="14"/>
  <c r="F12" i="14" s="1"/>
  <c r="E11" i="14"/>
  <c r="F11" i="14" s="1"/>
  <c r="E10" i="14"/>
  <c r="F10" i="14" s="1"/>
  <c r="F9" i="14"/>
  <c r="E8" i="14"/>
  <c r="F8" i="14" s="1"/>
  <c r="E7" i="14"/>
  <c r="F7" i="14" s="1"/>
  <c r="E6" i="14"/>
  <c r="F6" i="14" s="1"/>
  <c r="E5" i="14"/>
  <c r="F5" i="14" s="1"/>
  <c r="F4" i="14"/>
  <c r="F3" i="14"/>
  <c r="E22" i="13"/>
  <c r="D21" i="13"/>
  <c r="D20" i="13"/>
  <c r="E19" i="13"/>
  <c r="F19" i="13" s="1"/>
  <c r="F18" i="13"/>
  <c r="E18" i="13"/>
  <c r="E17" i="13"/>
  <c r="F17" i="13" s="1"/>
  <c r="E16" i="13"/>
  <c r="F16" i="13" s="1"/>
  <c r="E15" i="13"/>
  <c r="F15" i="13" s="1"/>
  <c r="E14" i="13"/>
  <c r="F14" i="13" s="1"/>
  <c r="F13" i="13"/>
  <c r="E12" i="13"/>
  <c r="F12" i="13" s="1"/>
  <c r="E11" i="13"/>
  <c r="F11" i="13" s="1"/>
  <c r="F10" i="13"/>
  <c r="E10" i="13"/>
  <c r="E9" i="13"/>
  <c r="F9" i="13" s="1"/>
  <c r="E8" i="13"/>
  <c r="F8" i="13" s="1"/>
  <c r="E7" i="13"/>
  <c r="F7" i="13" s="1"/>
  <c r="E6" i="13"/>
  <c r="F6" i="13" s="1"/>
  <c r="E5" i="13"/>
  <c r="F5" i="13" s="1"/>
  <c r="F4" i="13"/>
  <c r="F3" i="13"/>
  <c r="F22" i="15" l="1"/>
  <c r="F22" i="19"/>
  <c r="E22" i="19"/>
  <c r="F22" i="18"/>
  <c r="E22" i="18"/>
  <c r="F22" i="17"/>
  <c r="E22" i="17"/>
  <c r="F22" i="16"/>
  <c r="E22" i="16"/>
  <c r="E22" i="15"/>
  <c r="F22" i="14"/>
  <c r="E22" i="14"/>
  <c r="F22" i="13"/>
  <c r="F3" i="2"/>
  <c r="F13" i="2"/>
  <c r="D21" i="11" l="1"/>
  <c r="D20" i="11"/>
  <c r="E19" i="11"/>
  <c r="F19" i="11" s="1"/>
  <c r="E18" i="11"/>
  <c r="F18" i="11" s="1"/>
  <c r="E17" i="11"/>
  <c r="F17" i="11" s="1"/>
  <c r="E16" i="11"/>
  <c r="F16" i="11" s="1"/>
  <c r="E15" i="11"/>
  <c r="F15" i="11" s="1"/>
  <c r="E14" i="11"/>
  <c r="F14" i="11" s="1"/>
  <c r="F13" i="11"/>
  <c r="E12" i="11"/>
  <c r="F12" i="11" s="1"/>
  <c r="E11" i="11"/>
  <c r="F11" i="11" s="1"/>
  <c r="E10" i="11"/>
  <c r="F10" i="11" s="1"/>
  <c r="E9" i="11"/>
  <c r="F9" i="11" s="1"/>
  <c r="F8" i="11"/>
  <c r="E7" i="11"/>
  <c r="F7" i="11" s="1"/>
  <c r="E6" i="11"/>
  <c r="F6" i="11" s="1"/>
  <c r="E5" i="11"/>
  <c r="F5" i="11" s="1"/>
  <c r="F4" i="11"/>
  <c r="E22" i="10"/>
  <c r="D21" i="10"/>
  <c r="D20" i="10"/>
  <c r="E19" i="10"/>
  <c r="F19" i="10" s="1"/>
  <c r="E18" i="10"/>
  <c r="F18" i="10" s="1"/>
  <c r="E17" i="10"/>
  <c r="F17" i="10" s="1"/>
  <c r="E16" i="10"/>
  <c r="F16" i="10" s="1"/>
  <c r="F15" i="10"/>
  <c r="E14" i="10"/>
  <c r="F14" i="10" s="1"/>
  <c r="F13" i="10"/>
  <c r="E12" i="10"/>
  <c r="F12" i="10" s="1"/>
  <c r="F11" i="10"/>
  <c r="E10" i="10"/>
  <c r="F10" i="10" s="1"/>
  <c r="F9" i="10"/>
  <c r="F8" i="10"/>
  <c r="E7" i="10"/>
  <c r="F7" i="10" s="1"/>
  <c r="E6" i="10"/>
  <c r="F6" i="10" s="1"/>
  <c r="E5" i="10"/>
  <c r="F5" i="10" s="1"/>
  <c r="F4" i="10"/>
  <c r="F3" i="10"/>
  <c r="D21" i="9"/>
  <c r="D20" i="9"/>
  <c r="E19" i="9"/>
  <c r="F19" i="9" s="1"/>
  <c r="E18" i="9"/>
  <c r="F18" i="9" s="1"/>
  <c r="E17" i="9"/>
  <c r="F17" i="9" s="1"/>
  <c r="E16" i="9"/>
  <c r="F16" i="9" s="1"/>
  <c r="E15" i="9"/>
  <c r="F15" i="9" s="1"/>
  <c r="E14" i="9"/>
  <c r="F14" i="9" s="1"/>
  <c r="E13" i="9"/>
  <c r="F13" i="9" s="1"/>
  <c r="E12" i="9"/>
  <c r="F12" i="9" s="1"/>
  <c r="E11" i="9"/>
  <c r="F11" i="9" s="1"/>
  <c r="E10" i="9"/>
  <c r="F10" i="9" s="1"/>
  <c r="F9" i="9"/>
  <c r="F8" i="9"/>
  <c r="E7" i="9"/>
  <c r="F7" i="9" s="1"/>
  <c r="E6" i="9"/>
  <c r="F6" i="9" s="1"/>
  <c r="E5" i="9"/>
  <c r="F5" i="9" s="1"/>
  <c r="F4" i="9"/>
  <c r="F3" i="9"/>
  <c r="D21" i="8"/>
  <c r="D20" i="8"/>
  <c r="E19" i="8"/>
  <c r="F19" i="8" s="1"/>
  <c r="E18" i="8"/>
  <c r="F18" i="8" s="1"/>
  <c r="F17" i="8"/>
  <c r="E17" i="8"/>
  <c r="E16" i="8"/>
  <c r="F16" i="8" s="1"/>
  <c r="E15" i="8"/>
  <c r="F15" i="8" s="1"/>
  <c r="E14" i="8"/>
  <c r="F14" i="8" s="1"/>
  <c r="F13" i="8"/>
  <c r="E12" i="8"/>
  <c r="F12" i="8" s="1"/>
  <c r="F11" i="8"/>
  <c r="E11" i="8"/>
  <c r="E10" i="8"/>
  <c r="F10" i="8" s="1"/>
  <c r="E9" i="8"/>
  <c r="F9" i="8" s="1"/>
  <c r="F8" i="8"/>
  <c r="E7" i="8"/>
  <c r="F7" i="8" s="1"/>
  <c r="E6" i="8"/>
  <c r="F6" i="8" s="1"/>
  <c r="E5" i="8"/>
  <c r="F5" i="8" s="1"/>
  <c r="F4" i="8"/>
  <c r="F3" i="8"/>
  <c r="D21" i="7"/>
  <c r="D20" i="7"/>
  <c r="E19" i="7"/>
  <c r="F19" i="7" s="1"/>
  <c r="E18" i="7"/>
  <c r="F18" i="7" s="1"/>
  <c r="E17" i="7"/>
  <c r="F17" i="7" s="1"/>
  <c r="E16" i="7"/>
  <c r="F16" i="7" s="1"/>
  <c r="E15" i="7"/>
  <c r="F15" i="7" s="1"/>
  <c r="E14" i="7"/>
  <c r="F14" i="7" s="1"/>
  <c r="F13" i="7"/>
  <c r="E12" i="7"/>
  <c r="F12" i="7" s="1"/>
  <c r="E11" i="7"/>
  <c r="F11" i="7" s="1"/>
  <c r="E10" i="7"/>
  <c r="F10" i="7" s="1"/>
  <c r="F9" i="7"/>
  <c r="E8" i="7"/>
  <c r="F8" i="7" s="1"/>
  <c r="E7" i="7"/>
  <c r="F7" i="7" s="1"/>
  <c r="E6" i="7"/>
  <c r="F6" i="7" s="1"/>
  <c r="E5" i="7"/>
  <c r="F5" i="7" s="1"/>
  <c r="E4" i="7"/>
  <c r="F4" i="7" s="1"/>
  <c r="F3" i="7"/>
  <c r="D21" i="6"/>
  <c r="D20" i="6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F13" i="6"/>
  <c r="E12" i="6"/>
  <c r="F12" i="6" s="1"/>
  <c r="E11" i="6"/>
  <c r="F11" i="6" s="1"/>
  <c r="E10" i="6"/>
  <c r="F10" i="6" s="1"/>
  <c r="E9" i="6"/>
  <c r="F9" i="6" s="1"/>
  <c r="F8" i="6"/>
  <c r="E7" i="6"/>
  <c r="F7" i="6" s="1"/>
  <c r="E6" i="6"/>
  <c r="F6" i="6" s="1"/>
  <c r="E5" i="6"/>
  <c r="F5" i="6" s="1"/>
  <c r="E4" i="6"/>
  <c r="F4" i="6" s="1"/>
  <c r="E22" i="6"/>
  <c r="D21" i="5"/>
  <c r="D20" i="5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F13" i="5"/>
  <c r="E12" i="5"/>
  <c r="F12" i="5" s="1"/>
  <c r="E11" i="5"/>
  <c r="F11" i="5" s="1"/>
  <c r="E10" i="5"/>
  <c r="F10" i="5" s="1"/>
  <c r="F9" i="5"/>
  <c r="E8" i="5"/>
  <c r="F8" i="5" s="1"/>
  <c r="E7" i="5"/>
  <c r="F7" i="5" s="1"/>
  <c r="E6" i="5"/>
  <c r="F6" i="5" s="1"/>
  <c r="F5" i="5"/>
  <c r="F4" i="5"/>
  <c r="D21" i="4"/>
  <c r="D20" i="4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F8" i="4"/>
  <c r="E7" i="4"/>
  <c r="F7" i="4" s="1"/>
  <c r="E6" i="4"/>
  <c r="F6" i="4" s="1"/>
  <c r="E5" i="4"/>
  <c r="F5" i="4" s="1"/>
  <c r="E4" i="4"/>
  <c r="F4" i="4" s="1"/>
  <c r="E4" i="2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D20" i="2"/>
  <c r="D21" i="2"/>
  <c r="F3" i="1"/>
  <c r="E4" i="1"/>
  <c r="F4" i="1" s="1"/>
  <c r="F5" i="1"/>
  <c r="E6" i="1"/>
  <c r="F6" i="1"/>
  <c r="F7" i="1"/>
  <c r="F8" i="1"/>
  <c r="F9" i="1"/>
  <c r="E10" i="1"/>
  <c r="F10" i="1" s="1"/>
  <c r="E11" i="1"/>
  <c r="F11" i="1" s="1"/>
  <c r="E12" i="1"/>
  <c r="F12" i="1" s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D20" i="1"/>
  <c r="D21" i="1"/>
  <c r="E22" i="2" l="1"/>
  <c r="F4" i="2"/>
  <c r="F22" i="2" s="1"/>
  <c r="E22" i="5"/>
  <c r="E22" i="11"/>
  <c r="E22" i="4"/>
  <c r="E22" i="7"/>
  <c r="E22" i="8"/>
  <c r="F22" i="1"/>
  <c r="E22" i="1"/>
  <c r="F3" i="11"/>
  <c r="F22" i="11" s="1"/>
  <c r="F22" i="10"/>
  <c r="F22" i="9"/>
  <c r="E22" i="9"/>
  <c r="F22" i="8"/>
  <c r="F22" i="7"/>
  <c r="F3" i="6"/>
  <c r="F22" i="6" s="1"/>
  <c r="F3" i="5"/>
  <c r="F22" i="5" s="1"/>
  <c r="F3" i="4"/>
  <c r="F22" i="4" s="1"/>
</calcChain>
</file>

<file path=xl/sharedStrings.xml><?xml version="1.0" encoding="utf-8"?>
<sst xmlns="http://schemas.openxmlformats.org/spreadsheetml/2006/main" count="1202" uniqueCount="49">
  <si>
    <t>90/14</t>
  </si>
  <si>
    <t>UYx128</t>
  </si>
  <si>
    <t>100/16</t>
  </si>
  <si>
    <t>UOX113</t>
  </si>
  <si>
    <t>75/11</t>
  </si>
  <si>
    <t>DBX1</t>
  </si>
  <si>
    <t>DPX17</t>
  </si>
  <si>
    <t>DPX5</t>
  </si>
  <si>
    <t>120/19</t>
  </si>
  <si>
    <t>80/12</t>
  </si>
  <si>
    <t>DCX27</t>
  </si>
  <si>
    <t>110/16</t>
  </si>
  <si>
    <t>ផ្សេងៗ​ Other 其他</t>
  </si>
  <si>
    <t>110/18</t>
  </si>
  <si>
    <t>បាត់​ Lost 迷失</t>
  </si>
  <si>
    <t>65/9</t>
  </si>
  <si>
    <t>ប្តូរម៉ូដ Change Style, 更改样式</t>
  </si>
  <si>
    <t>បាក់​ Broken 破碎的</t>
  </si>
  <si>
    <t>ខូច​ Damage 损害</t>
  </si>
  <si>
    <t>Line# 12</t>
  </si>
  <si>
    <t>Line# 11</t>
  </si>
  <si>
    <t>Line# 10</t>
  </si>
  <si>
    <t>Line# 9</t>
  </si>
  <si>
    <t>Line# 8</t>
  </si>
  <si>
    <t>Line# 7</t>
  </si>
  <si>
    <t>Line# 6</t>
  </si>
  <si>
    <t>Line# 5</t>
  </si>
  <si>
    <t>Line# 4</t>
  </si>
  <si>
    <t>Line# 3</t>
  </si>
  <si>
    <t>Line# 2</t>
  </si>
  <si>
    <t>Line# 1</t>
  </si>
  <si>
    <t>សំគាល់ Remark 评论</t>
  </si>
  <si>
    <t>តុល្យភាព Balance 平衡</t>
  </si>
  <si>
    <t>ម្ជុលដែលបានផ្តល់ជូន, Issued  Needle, 已发放的针头</t>
  </si>
  <si>
    <t>ចំនួននៅសល់ Stock Left 剩余库存</t>
  </si>
  <si>
    <t>ទំហំ​ SIZE 尺寸</t>
  </si>
  <si>
    <t>ប្រភេទម្ជុល Needle Type 针型</t>
  </si>
  <si>
    <t>លរ No. 数字</t>
  </si>
  <si>
    <t>ខ្សែដេរម្ជុលដែលបានផ្តល់ជូន, Issued Needle Sewing Line,  缝纫线</t>
  </si>
  <si>
    <t>របាយការណ៏ដូរម្ជុលដេរ​ប្រចាំថ្ងៃ Daily Needles Change Report 每日针头更换报告</t>
  </si>
  <si>
    <t>12.9/26</t>
  </si>
  <si>
    <t>14.9/26</t>
  </si>
  <si>
    <t>15.9/26</t>
  </si>
  <si>
    <t>16.9/26</t>
  </si>
  <si>
    <t>18.9/26</t>
  </si>
  <si>
    <t>19.9/26</t>
  </si>
  <si>
    <t>21.9/26</t>
  </si>
  <si>
    <t>22.9/26</t>
  </si>
  <si>
    <t>17/9/26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</si>
</sst>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\ \ &quot;Pcs&quot;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64" fontId="0" fillId="0" borderId="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4" fontId="2" fillId="3" borderId="0" xfId="0" applyNumberFormat="1" applyFont="1" applyFill="1" applyBorder="1" applyAlignment="1">
      <alignment vertical="center" wrapText="1"/>
    </xf>
    <xf numFmtId="14" fontId="2" fillId="3" borderId="18" xfId="0" applyNumberFormat="1" applyFont="1" applyFill="1" applyBorder="1" applyAlignment="1">
      <alignment vertical="center" wrapText="1"/>
    </xf>
    <xf numFmtId="0" fontId="2" fillId="3" borderId="19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0" fillId="0" borderId="7" xfId="0" applyBorder="1"/>
    <xf numFmtId="0" fontId="0" fillId="0" borderId="0" xfId="0" applyBorder="1"/>
    <xf numFmtId="0" fontId="0" fillId="0" borderId="8" xfId="0" applyBorder="1"/>
  </cellXfs>
  <cellStyles count="1">
    <cellStyle name="Normal" xfId="0" builtinId="0"/>
  </cellStyles>
  <dxfs count="418"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  <dxf>
      <alignment horizontal="center" vertical="center" textRotation="0" wrapText="1" indent="0" justifyLastLine="0" shrinkToFit="0" readingOrder="0"/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0\ \ &quot;Pcs&quot;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 style="thin">
          <color auto="1"/>
        </horizontal>
      </border>
    </dxf>
    <dxf>
      <border outline="0"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auto="1"/>
        </horizontal>
      </border>
    </dxf>
    <dxf>
      <font>
        <b/>
        <i/>
        <color rgb="FF00206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33525" cy="600075"/>
    <xdr:pic>
      <xdr:nvPicPr>
        <xdr:cNvPr id="2" name="Picture 1" descr="D:\VRT Docs\Company Profile\VRT Logo\Vantage Logo Big1.jpg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33525" cy="60007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ables/table1.xml><?xml version="1.0" encoding="utf-8"?>
<table xmlns="http://schemas.openxmlformats.org/spreadsheetml/2006/main" id="1" name="Table13810" displayName="Table13810" ref="A2:G22" totalsRowCount="1" headerRowDxfId="416" dataDxfId="414" totalsRowDxfId="412" headerRowBorderDxfId="415" tableBorderDxfId="413" totalsRowBorderDxfId="411">
  <autoFilter ref="A2:G21"/>
  <tableColumns count="7">
    <tableColumn id="1" name="លរ No. 数字" dataDxfId="410" totalsRowDxfId="409"/>
    <tableColumn id="2" name="ប្រភេទម្ជុល Needle Type 针型" dataDxfId="408" totalsRowDxfId="407"/>
    <tableColumn id="3" name="ទំហំ​ SIZE 尺寸" dataDxfId="406" totalsRowDxfId="405"/>
    <tableColumn id="4" name="ចំនួននៅសល់ Stock Left 剩余库存" dataDxfId="404" totalsRowDxfId="403">
      <calculatedColumnFormula>AP3+E3-C3</calculatedColumnFormula>
    </tableColumn>
    <tableColumn id="5" name="ម្ជុលដែលបានផ្តល់ជូន, Issued  Needle, 已发放的针头" totalsRowFunction="custom" dataDxfId="402" totalsRowDxfId="401">
      <calculatedColumnFormula>SUM(#REF!)</calculatedColumnFormula>
      <totalsRowFormula>SUBTOTAL(9,E3:E21)</totalsRowFormula>
    </tableColumn>
    <tableColumn id="8" name="តុល្យភាព Balance 平衡" totalsRowFunction="custom" dataDxfId="400" totalsRowDxfId="399">
      <calculatedColumnFormula>#REF!-E3+660</calculatedColumnFormula>
      <totalsRowFormula>SUBTOTAL(9,F3:F21)</totalsRowFormula>
    </tableColumn>
    <tableColumn id="9" name="សំគាល់ Remark 评论" dataDxfId="398" totalsRowDxfId="3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6911" displayName="Table6911" ref="J2:U21" totalsRowShown="0" headerRowDxfId="396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id="3" name="Table13" displayName="Table13" ref="A2:G22" totalsRowCount="1" headerRowDxfId="394" dataDxfId="392" totalsRowDxfId="390" headerRowBorderDxfId="393" tableBorderDxfId="391" totalsRowBorderDxfId="389">
  <autoFilter ref="A2:G21"/>
  <tableColumns count="7">
    <tableColumn id="1" name="លរ No. 数字" dataDxfId="388" totalsRowDxfId="387"/>
    <tableColumn id="2" name="ប្រភេទម្ជុល Needle Type 针型" dataDxfId="386" totalsRowDxfId="385"/>
    <tableColumn id="3" name="ទំហំ​ SIZE 尺寸" dataDxfId="384" totalsRowDxfId="383"/>
    <tableColumn id="4" name="ចំនួននៅសល់ Stock Left 剩余库存" dataDxfId="382" totalsRowDxfId="381">
      <calculatedColumnFormula>AP3+E3-C3</calculatedColumnFormula>
    </tableColumn>
    <tableColumn id="5" name="ម្ជុលដែលបានផ្តល់ជូន, Issued  Needle, 已发放的针头" totalsRowFunction="custom" dataDxfId="380" totalsRowDxfId="379">
      <calculatedColumnFormula>SUM(#REF!)</calculatedColumnFormula>
      <totalsRowFormula>SUBTOTAL(9,E3:E21)</totalsRowFormula>
    </tableColumn>
    <tableColumn id="8" name="តុល្យភាព Balance 平衡" totalsRowFunction="custom" dataDxfId="378" totalsRowDxfId="377">
      <calculatedColumnFormula>#REF!-E3+660</calculatedColumnFormula>
      <totalsRowFormula>SUBTOTAL(9,F3:F21)</totalsRowFormula>
    </tableColumn>
    <tableColumn id="9" name="សំគាល់ Remark 评论" dataDxfId="376" totalsRowDxfId="37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6" displayName="Table6" ref="J2:U21" totalsRowShown="0" headerRowDxfId="374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id="7" name="Table1388" displayName="Table1388" ref="A2:G22" totalsRowCount="1" headerRowDxfId="372" dataDxfId="370" totalsRowDxfId="368" headerRowBorderDxfId="371" tableBorderDxfId="369" totalsRowBorderDxfId="367">
  <autoFilter ref="A2:G21"/>
  <tableColumns count="7">
    <tableColumn id="1" name="លរ No. 数字" dataDxfId="366" totalsRowDxfId="365"/>
    <tableColumn id="2" name="ប្រភេទម្ជុល Needle Type 针型" dataDxfId="364" totalsRowDxfId="363"/>
    <tableColumn id="3" name="ទំហំ​ SIZE 尺寸" dataDxfId="362" totalsRowDxfId="361"/>
    <tableColumn id="4" name="ចំនួននៅសល់ Stock Left 剩余库存" dataDxfId="360" totalsRowDxfId="359">
      <calculatedColumnFormula>AP3+E3-C3</calculatedColumnFormula>
    </tableColumn>
    <tableColumn id="5" name="ម្ជុលដែលបានផ្តល់ជូន, Issued  Needle, 已发放的针头" totalsRowFunction="custom" dataDxfId="358" totalsRowDxfId="357">
      <calculatedColumnFormula>SUM(#REF!)</calculatedColumnFormula>
      <totalsRowFormula>SUBTOTAL(9,E3:E21)</totalsRowFormula>
    </tableColumn>
    <tableColumn id="8" name="តុល្យភាព Balance 平衡" totalsRowFunction="custom" dataDxfId="356" totalsRowDxfId="355">
      <calculatedColumnFormula>#REF!-E3+660</calculatedColumnFormula>
      <totalsRowFormula>SUBTOTAL(9,F3:F21)</totalsRowFormula>
    </tableColumn>
    <tableColumn id="9" name="សំគាល់ Remark 评论" dataDxfId="354" totalsRowDxfId="3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8" name="Table699" displayName="Table699" ref="J2:U21" totalsRowShown="0" headerRowDxfId="352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id="9" name="Table13811" displayName="Table13811" ref="A2:G22" totalsRowCount="1" headerRowDxfId="350" dataDxfId="348" totalsRowDxfId="346" headerRowBorderDxfId="349" tableBorderDxfId="347" totalsRowBorderDxfId="345">
  <autoFilter ref="A2:G21"/>
  <tableColumns count="7">
    <tableColumn id="1" name="លរ No. 数字" dataDxfId="344" totalsRowDxfId="343"/>
    <tableColumn id="2" name="ប្រភេទម្ជុល Needle Type 针型" dataDxfId="342" totalsRowDxfId="341"/>
    <tableColumn id="3" name="ទំហំ​ SIZE 尺寸" dataDxfId="340" totalsRowDxfId="339"/>
    <tableColumn id="4" name="ចំនួននៅសល់ Stock Left 剩余库存" dataDxfId="338" totalsRowDxfId="337">
      <calculatedColumnFormula>AP3+E3-C3</calculatedColumnFormula>
    </tableColumn>
    <tableColumn id="5" name="ម្ជុលដែលបានផ្តល់ជូន, Issued  Needle, 已发放的针头" totalsRowFunction="custom" dataDxfId="336" totalsRowDxfId="335">
      <calculatedColumnFormula>SUM(#REF!)</calculatedColumnFormula>
      <totalsRowFormula>SUBTOTAL(9,E3:E21)</totalsRowFormula>
    </tableColumn>
    <tableColumn id="8" name="តុល្យភាព Balance 平衡" totalsRowFunction="custom" dataDxfId="334" totalsRowDxfId="333">
      <calculatedColumnFormula>#REF!-E3+660</calculatedColumnFormula>
      <totalsRowFormula>SUBTOTAL(9,F3:F21)</totalsRowFormula>
    </tableColumn>
    <tableColumn id="9" name="សំគាល់ Remark 评论" dataDxfId="332" totalsRowDxfId="3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0" name="Table6912" displayName="Table6912" ref="J2:U21" totalsRowShown="0" headerRowDxfId="330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id="11" name="Table13812" displayName="Table13812" ref="A2:G22" totalsRowCount="1" headerRowDxfId="328" dataDxfId="326" totalsRowDxfId="324" headerRowBorderDxfId="327" tableBorderDxfId="325" totalsRowBorderDxfId="323">
  <autoFilter ref="A2:G21"/>
  <tableColumns count="7">
    <tableColumn id="1" name="លរ No. 数字" dataDxfId="322" totalsRowDxfId="321"/>
    <tableColumn id="2" name="ប្រភេទម្ជុល Needle Type 针型" dataDxfId="320" totalsRowDxfId="319"/>
    <tableColumn id="3" name="ទំហំ​ SIZE 尺寸" dataDxfId="318" totalsRowDxfId="317"/>
    <tableColumn id="4" name="ចំនួននៅសល់ Stock Left 剩余库存" dataDxfId="316" totalsRowDxfId="315">
      <calculatedColumnFormula>AP3+E3-C3</calculatedColumnFormula>
    </tableColumn>
    <tableColumn id="5" name="ម្ជុលដែលបានផ្តល់ជូន, Issued  Needle, 已发放的针头" totalsRowFunction="custom" dataDxfId="314" totalsRowDxfId="313">
      <calculatedColumnFormula>SUM(#REF!)</calculatedColumnFormula>
      <totalsRowFormula>SUBTOTAL(9,E3:E21)</totalsRowFormula>
    </tableColumn>
    <tableColumn id="8" name="តុល្យភាព Balance 平衡" totalsRowFunction="custom" dataDxfId="312" totalsRowDxfId="311">
      <calculatedColumnFormula>#REF!-E3+660</calculatedColumnFormula>
      <totalsRowFormula>SUBTOTAL(9,F3:F21)</totalsRowFormula>
    </tableColumn>
    <tableColumn id="9" name="សំគាល់ Remark 评论" dataDxfId="310" totalsRowDxfId="30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2" name="Table6913" displayName="Table6913" ref="J2:U21" totalsRowShown="0" headerRowDxfId="308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id="13" name="Table13814" displayName="Table13814" ref="A2:G22" totalsRowCount="1" headerRowDxfId="306" dataDxfId="304" totalsRowDxfId="302" headerRowBorderDxfId="305" tableBorderDxfId="303" totalsRowBorderDxfId="301">
  <autoFilter ref="A2:G21"/>
  <tableColumns count="7">
    <tableColumn id="1" name="លរ No. 数字" dataDxfId="300" totalsRowDxfId="299"/>
    <tableColumn id="2" name="ប្រភេទម្ជុល Needle Type 针型" dataDxfId="298" totalsRowDxfId="297"/>
    <tableColumn id="3" name="ទំហំ​ SIZE 尺寸" dataDxfId="296" totalsRowDxfId="295"/>
    <tableColumn id="4" name="ចំនួននៅសល់ Stock Left 剩余库存" dataDxfId="294" totalsRowDxfId="293">
      <calculatedColumnFormula>AP3+E3-C3</calculatedColumnFormula>
    </tableColumn>
    <tableColumn id="5" name="ម្ជុលដែលបានផ្តល់ជូន, Issued  Needle, 已发放的针头" totalsRowFunction="custom" dataDxfId="292" totalsRowDxfId="291">
      <calculatedColumnFormula>SUM(#REF!)</calculatedColumnFormula>
      <totalsRowFormula>SUBTOTAL(9,E3:E21)</totalsRowFormula>
    </tableColumn>
    <tableColumn id="8" name="តុល្យភាព Balance 平衡" totalsRowFunction="custom" dataDxfId="290" totalsRowDxfId="289">
      <calculatedColumnFormula>#REF!-E3+660</calculatedColumnFormula>
      <totalsRowFormula>SUBTOTAL(9,F3:F21)</totalsRowFormula>
    </tableColumn>
    <tableColumn id="9" name="សំគាល់ Remark 评论" dataDxfId="288" totalsRowDxfId="28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4" name="Table6915" displayName="Table6915" ref="J2:U21" totalsRowShown="0" headerRowDxfId="286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id="15" name="Table13816" displayName="Table13816" ref="A2:G22" totalsRowCount="1" headerRowDxfId="284" dataDxfId="282" totalsRowDxfId="280" headerRowBorderDxfId="283" tableBorderDxfId="281" totalsRowBorderDxfId="279">
  <autoFilter ref="A2:G21"/>
  <tableColumns count="7">
    <tableColumn id="1" name="លរ No. 数字" dataDxfId="278" totalsRowDxfId="277"/>
    <tableColumn id="2" name="ប្រភេទម្ជុល Needle Type 针型" dataDxfId="276" totalsRowDxfId="275"/>
    <tableColumn id="3" name="ទំហំ​ SIZE 尺寸" dataDxfId="274" totalsRowDxfId="273"/>
    <tableColumn id="4" name="ចំនួននៅសល់ Stock Left 剩余库存" dataDxfId="272" totalsRowDxfId="271">
      <calculatedColumnFormula>AP3+E3-C3</calculatedColumnFormula>
    </tableColumn>
    <tableColumn id="5" name="ម្ជុលដែលបានផ្តល់ជូន, Issued  Needle, 已发放的针头" totalsRowFunction="custom" dataDxfId="270" totalsRowDxfId="269">
      <calculatedColumnFormula>SUM(#REF!)</calculatedColumnFormula>
      <totalsRowFormula>SUBTOTAL(9,E3:E21)</totalsRowFormula>
    </tableColumn>
    <tableColumn id="8" name="តុល្យភាព Balance 平衡" totalsRowFunction="custom" dataDxfId="268" totalsRowDxfId="267">
      <calculatedColumnFormula>#REF!-E3+660</calculatedColumnFormula>
      <totalsRowFormula>SUBTOTAL(9,F3:F21)</totalsRowFormula>
    </tableColumn>
    <tableColumn id="9" name="សំគាល់ Remark 评论" dataDxfId="266" totalsRowDxfId="26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6" name="Table6917" displayName="Table6917" ref="J2:U21" totalsRowShown="0" headerRowDxfId="264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id="17" name="Table13818" displayName="Table13818" ref="A2:G22" totalsRowCount="1" headerRowDxfId="262" dataDxfId="260" totalsRowDxfId="258" headerRowBorderDxfId="261" tableBorderDxfId="259" totalsRowBorderDxfId="257">
  <autoFilter ref="A2:G21"/>
  <tableColumns count="7">
    <tableColumn id="1" name="លរ No. 数字" dataDxfId="256" totalsRowDxfId="255"/>
    <tableColumn id="2" name="ប្រភេទម្ជុល Needle Type 针型" dataDxfId="254" totalsRowDxfId="253"/>
    <tableColumn id="3" name="ទំហំ​ SIZE 尺寸" dataDxfId="252" totalsRowDxfId="251"/>
    <tableColumn id="4" name="ចំនួននៅសល់ Stock Left 剩余库存" dataDxfId="250" totalsRowDxfId="249">
      <calculatedColumnFormula>AP3+E3-C3</calculatedColumnFormula>
    </tableColumn>
    <tableColumn id="5" name="ម្ជុលដែលបានផ្តល់ជូន, Issued  Needle, 已发放的针头" totalsRowFunction="custom" dataDxfId="248" totalsRowDxfId="247">
      <calculatedColumnFormula>SUM(#REF!)</calculatedColumnFormula>
      <totalsRowFormula>SUBTOTAL(9,E3:E21)</totalsRowFormula>
    </tableColumn>
    <tableColumn id="8" name="តុល្យភាព Balance 平衡" totalsRowFunction="custom" dataDxfId="246" totalsRowDxfId="245">
      <calculatedColumnFormula>#REF!-E3+660</calculatedColumnFormula>
      <totalsRowFormula>SUBTOTAL(9,F3:F21)</totalsRowFormula>
    </tableColumn>
    <tableColumn id="9" name="សំគាល់ Remark 评论" dataDxfId="244" totalsRowDxfId="24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8" name="Table6919" displayName="Table6919" ref="J2:U21" totalsRowShown="0" headerRowDxfId="242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17.xml><?xml version="1.0" encoding="utf-8"?>
<table xmlns="http://schemas.openxmlformats.org/spreadsheetml/2006/main" id="19" name="Table13820" displayName="Table13820" ref="A2:G22" totalsRowCount="1" headerRowDxfId="240" dataDxfId="238" totalsRowDxfId="236" headerRowBorderDxfId="239" tableBorderDxfId="237" totalsRowBorderDxfId="235">
  <autoFilter ref="A2:G21"/>
  <tableColumns count="7">
    <tableColumn id="1" name="លរ No. 数字" dataDxfId="234" totalsRowDxfId="233"/>
    <tableColumn id="2" name="ប្រភេទម្ជុល Needle Type 针型" dataDxfId="232" totalsRowDxfId="231"/>
    <tableColumn id="3" name="ទំហំ​ SIZE 尺寸" dataDxfId="230" totalsRowDxfId="229"/>
    <tableColumn id="4" name="ចំនួននៅសល់ Stock Left 剩余库存" dataDxfId="228" totalsRowDxfId="227">
      <calculatedColumnFormula>AP3+E3-C3</calculatedColumnFormula>
    </tableColumn>
    <tableColumn id="5" name="ម្ជុលដែលបានផ្តល់ជូន, Issued  Needle, 已发放的针头" totalsRowFunction="custom" dataDxfId="226" totalsRowDxfId="225">
      <calculatedColumnFormula>SUM(#REF!)</calculatedColumnFormula>
      <totalsRowFormula>SUBTOTAL(9,E3:E21)</totalsRowFormula>
    </tableColumn>
    <tableColumn id="8" name="តុល្យភាព Balance 平衡" totalsRowFunction="custom" dataDxfId="224" totalsRowDxfId="223">
      <calculatedColumnFormula>#REF!-E3+660</calculatedColumnFormula>
      <totalsRowFormula>SUBTOTAL(9,F3:F21)</totalsRowFormula>
    </tableColumn>
    <tableColumn id="9" name="សំគាល់ Remark 评论" dataDxfId="222" totalsRowDxfId="22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0" name="Table6921" displayName="Table6921" ref="J2:U21" totalsRowShown="0" headerRowDxfId="220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19.xml><?xml version="1.0" encoding="utf-8"?>
<table xmlns="http://schemas.openxmlformats.org/spreadsheetml/2006/main" id="21" name="Table13822" displayName="Table13822" ref="A2:G22" totalsRowCount="1" headerRowDxfId="218" dataDxfId="216" totalsRowDxfId="214" headerRowBorderDxfId="217" tableBorderDxfId="215" totalsRowBorderDxfId="213">
  <autoFilter ref="A2:G21"/>
  <tableColumns count="7">
    <tableColumn id="1" name="លរ No. 数字" dataDxfId="212" totalsRowDxfId="211"/>
    <tableColumn id="2" name="ប្រភេទម្ជុល Needle Type 针型" dataDxfId="210" totalsRowDxfId="209"/>
    <tableColumn id="3" name="ទំហំ​ SIZE 尺寸" dataDxfId="208" totalsRowDxfId="207"/>
    <tableColumn id="4" name="ចំនួននៅសល់ Stock Left 剩余库存" dataDxfId="206" totalsRowDxfId="205">
      <calculatedColumnFormula>AP3+E3-C3</calculatedColumnFormula>
    </tableColumn>
    <tableColumn id="5" name="ម្ជុលដែលបានផ្តល់ជូន, Issued  Needle, 已发放的针头" totalsRowFunction="custom" dataDxfId="204" totalsRowDxfId="203">
      <calculatedColumnFormula>SUM(#REF!)</calculatedColumnFormula>
      <totalsRowFormula>SUBTOTAL(9,E3:E21)</totalsRowFormula>
    </tableColumn>
    <tableColumn id="8" name="តុល្យភាព Balance 平衡" totalsRowFunction="custom" dataDxfId="202" totalsRowDxfId="201">
      <calculatedColumnFormula>#REF!-E3+660</calculatedColumnFormula>
      <totalsRowFormula>SUBTOTAL(9,F3:F21)</totalsRowFormula>
    </tableColumn>
    <tableColumn id="9" name="សំគាល់ Remark 评论" dataDxfId="200" totalsRowDxfId="19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2" name="Table6923" displayName="Table6923" ref="J2:U21" totalsRowShown="0" headerRowDxfId="198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21.xml><?xml version="1.0" encoding="utf-8"?>
<table xmlns="http://schemas.openxmlformats.org/spreadsheetml/2006/main" id="23" name="Table13824" displayName="Table13824" ref="A2:G22" totalsRowCount="1" headerRowDxfId="196" dataDxfId="194" totalsRowDxfId="192" headerRowBorderDxfId="195" tableBorderDxfId="193" totalsRowBorderDxfId="191">
  <autoFilter ref="A2:G21"/>
  <tableColumns count="7">
    <tableColumn id="1" name="លរ No. 数字" dataDxfId="190" totalsRowDxfId="189"/>
    <tableColumn id="2" name="ប្រភេទម្ជុល Needle Type 针型" dataDxfId="188" totalsRowDxfId="187"/>
    <tableColumn id="3" name="ទំហំ​ SIZE 尺寸" dataDxfId="186" totalsRowDxfId="185"/>
    <tableColumn id="4" name="ចំនួននៅសល់ Stock Left 剩余库存" dataDxfId="184" totalsRowDxfId="183">
      <calculatedColumnFormula>AP3+E3-C3</calculatedColumnFormula>
    </tableColumn>
    <tableColumn id="5" name="ម្ជុលដែលបានផ្តល់ជូន, Issued  Needle, 已发放的针头" totalsRowFunction="custom" dataDxfId="182" totalsRowDxfId="181">
      <calculatedColumnFormula>SUM(#REF!)</calculatedColumnFormula>
      <totalsRowFormula>SUBTOTAL(9,E3:E21)</totalsRowFormula>
    </tableColumn>
    <tableColumn id="8" name="តុល្យភាព Balance 平衡" totalsRowFunction="custom" dataDxfId="180" totalsRowDxfId="179">
      <calculatedColumnFormula>#REF!-E3+660</calculatedColumnFormula>
      <totalsRowFormula>SUBTOTAL(9,F3:F21)</totalsRowFormula>
    </tableColumn>
    <tableColumn id="9" name="សំគាល់ Remark 评论" dataDxfId="178" totalsRowDxfId="17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4" name="Table6925" displayName="Table6925" ref="J2:U21" totalsRowShown="0" headerRowDxfId="176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23.xml><?xml version="1.0" encoding="utf-8"?>
<table xmlns="http://schemas.openxmlformats.org/spreadsheetml/2006/main" id="25" name="Table13826" displayName="Table13826" ref="A2:G22" totalsRowCount="1" headerRowDxfId="174" dataDxfId="172" totalsRowDxfId="170" headerRowBorderDxfId="173" tableBorderDxfId="171" totalsRowBorderDxfId="169">
  <autoFilter ref="A2:G21"/>
  <tableColumns count="7">
    <tableColumn id="1" name="លរ No. 数字" dataDxfId="168" totalsRowDxfId="167"/>
    <tableColumn id="2" name="ប្រភេទម្ជុល Needle Type 针型" dataDxfId="166" totalsRowDxfId="165"/>
    <tableColumn id="3" name="ទំហំ​ SIZE 尺寸" dataDxfId="164" totalsRowDxfId="163"/>
    <tableColumn id="4" name="ចំនួននៅសល់ Stock Left 剩余库存" dataDxfId="162" totalsRowDxfId="161">
      <calculatedColumnFormula>AP3+E3-C3</calculatedColumnFormula>
    </tableColumn>
    <tableColumn id="5" name="ម្ជុលដែលបានផ្តល់ជូន, Issued  Needle, 已发放的针头" totalsRowFunction="custom" dataDxfId="160" totalsRowDxfId="159">
      <calculatedColumnFormula>SUM(#REF!)</calculatedColumnFormula>
      <totalsRowFormula>SUBTOTAL(9,E3:E21)</totalsRowFormula>
    </tableColumn>
    <tableColumn id="8" name="តុល្យភាព Balance 平衡" totalsRowFunction="custom" dataDxfId="158" totalsRowDxfId="157">
      <calculatedColumnFormula>#REF!-E3+660</calculatedColumnFormula>
      <totalsRowFormula>SUBTOTAL(9,F3:F21)</totalsRowFormula>
    </tableColumn>
    <tableColumn id="9" name="សំគាល់ Remark 评论" dataDxfId="156" totalsRowDxfId="15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6" name="Table6927" displayName="Table6927" ref="J2:U21" totalsRowShown="0" headerRowDxfId="154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25.xml><?xml version="1.0" encoding="utf-8"?>
<table xmlns="http://schemas.openxmlformats.org/spreadsheetml/2006/main" id="27" name="Table1382628" displayName="Table1382628" ref="A2:G22" totalsRowCount="1" headerRowDxfId="152" dataDxfId="150" totalsRowDxfId="148" headerRowBorderDxfId="151" tableBorderDxfId="149" totalsRowBorderDxfId="147">
  <autoFilter ref="A2:G21"/>
  <tableColumns count="7">
    <tableColumn id="1" name="លរ No. 数字" dataDxfId="146" totalsRowDxfId="145"/>
    <tableColumn id="2" name="ប្រភេទម្ជុល Needle Type 针型" dataDxfId="144" totalsRowDxfId="143"/>
    <tableColumn id="3" name="ទំហំ​ SIZE 尺寸" dataDxfId="142" totalsRowDxfId="141"/>
    <tableColumn id="4" name="ចំនួននៅសល់ Stock Left 剩余库存" dataDxfId="140" totalsRowDxfId="139">
      <calculatedColumnFormula>AP3+E3-C3</calculatedColumnFormula>
    </tableColumn>
    <tableColumn id="5" name="ម្ជុលដែលបានផ្តល់ជូន, Issued  Needle, 已发放的针头" totalsRowFunction="custom" dataDxfId="138" totalsRowDxfId="137">
      <calculatedColumnFormula>SUM(#REF!)</calculatedColumnFormula>
      <totalsRowFormula>SUBTOTAL(9,E3:E21)</totalsRowFormula>
    </tableColumn>
    <tableColumn id="8" name="តុល្យភាព Balance 平衡" totalsRowFunction="custom" dataDxfId="136" totalsRowDxfId="135">
      <calculatedColumnFormula>#REF!-E3+660</calculatedColumnFormula>
      <totalsRowFormula>SUBTOTAL(9,F3:F21)</totalsRowFormula>
    </tableColumn>
    <tableColumn id="9" name="សំគាល់ Remark 评论" dataDxfId="134" totalsRowDxfId="13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8" name="Table692729" displayName="Table692729" ref="J2:U21" totalsRowShown="0" headerRowDxfId="132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27.xml><?xml version="1.0" encoding="utf-8"?>
<table xmlns="http://schemas.openxmlformats.org/spreadsheetml/2006/main" id="29" name="Table138262830" displayName="Table138262830" ref="A2:G22" totalsRowCount="1" headerRowDxfId="130" dataDxfId="128" totalsRowDxfId="126" headerRowBorderDxfId="129" tableBorderDxfId="127" totalsRowBorderDxfId="125">
  <autoFilter ref="A2:G21"/>
  <tableColumns count="7">
    <tableColumn id="1" name="លរ No. 数字" dataDxfId="124" totalsRowDxfId="123"/>
    <tableColumn id="2" name="ប្រភេទម្ជុល Needle Type 针型" dataDxfId="122" totalsRowDxfId="121"/>
    <tableColumn id="3" name="ទំហំ​ SIZE 尺寸" dataDxfId="120" totalsRowDxfId="119"/>
    <tableColumn id="4" name="ចំនួននៅសល់ Stock Left 剩余库存" dataDxfId="118" totalsRowDxfId="117">
      <calculatedColumnFormula>AP3+E3-C3</calculatedColumnFormula>
    </tableColumn>
    <tableColumn id="5" name="ម្ជុលដែលបានផ្តល់ជូន, Issued  Needle, 已发放的针头" totalsRowFunction="custom" dataDxfId="116" totalsRowDxfId="115">
      <calculatedColumnFormula>SUM(#REF!)</calculatedColumnFormula>
      <totalsRowFormula>SUBTOTAL(9,E3:E21)</totalsRowFormula>
    </tableColumn>
    <tableColumn id="8" name="តុល្យភាព Balance 平衡" totalsRowFunction="custom" dataDxfId="114" totalsRowDxfId="113">
      <calculatedColumnFormula>#REF!-E3+660</calculatedColumnFormula>
      <totalsRowFormula>SUBTOTAL(9,F3:F21)</totalsRowFormula>
    </tableColumn>
    <tableColumn id="9" name="សំគាល់ Remark 评论" dataDxfId="112" totalsRowDxfId="11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30" name="Table69272931" displayName="Table69272931" ref="J2:U21" totalsRowShown="0" headerRowDxfId="110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29.xml><?xml version="1.0" encoding="utf-8"?>
<table xmlns="http://schemas.openxmlformats.org/spreadsheetml/2006/main" id="31" name="Table13826283032" displayName="Table13826283032" ref="A2:G22" totalsRowCount="1" headerRowDxfId="108" dataDxfId="106" totalsRowDxfId="104" headerRowBorderDxfId="107" tableBorderDxfId="105" totalsRowBorderDxfId="103">
  <autoFilter ref="A2:G21"/>
  <tableColumns count="7">
    <tableColumn id="1" name="លរ No. 数字" dataDxfId="102" totalsRowDxfId="101"/>
    <tableColumn id="2" name="ប្រភេទម្ជុល Needle Type 针型" dataDxfId="100" totalsRowDxfId="99"/>
    <tableColumn id="3" name="ទំហំ​ SIZE 尺寸" dataDxfId="98" totalsRowDxfId="97"/>
    <tableColumn id="4" name="ចំនួននៅសល់ Stock Left 剩余库存" dataDxfId="96" totalsRowDxfId="95">
      <calculatedColumnFormula>AP3+E3-C3</calculatedColumnFormula>
    </tableColumn>
    <tableColumn id="5" name="ម្ជុលដែលបានផ្តល់ជូន, Issued  Needle, 已发放的针头" totalsRowFunction="custom" dataDxfId="94" totalsRowDxfId="93">
      <calculatedColumnFormula>SUM(#REF!)</calculatedColumnFormula>
      <totalsRowFormula>SUBTOTAL(9,E3:E21)</totalsRowFormula>
    </tableColumn>
    <tableColumn id="8" name="តុល្យភាព Balance 平衡" totalsRowFunction="custom" dataDxfId="92" totalsRowDxfId="91">
      <calculatedColumnFormula>#REF!-E3+660</calculatedColumnFormula>
      <totalsRowFormula>SUBTOTAL(9,F3:F21)</totalsRowFormula>
    </tableColumn>
    <tableColumn id="9" name="សំគាល់ Remark 评论" dataDxfId="90" totalsRowDxfId="8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2" name="Table6927293133" displayName="Table6927293133" ref="J2:U21" totalsRowShown="0" headerRowDxfId="88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31.xml><?xml version="1.0" encoding="utf-8"?>
<table xmlns="http://schemas.openxmlformats.org/spreadsheetml/2006/main" id="33" name="Table1382628303234" displayName="Table1382628303234" ref="A2:G22" totalsRowCount="1" headerRowDxfId="86" dataDxfId="84" totalsRowDxfId="82" headerRowBorderDxfId="85" tableBorderDxfId="83" totalsRowBorderDxfId="81">
  <autoFilter ref="A2:G21"/>
  <tableColumns count="7">
    <tableColumn id="1" name="លរ No. 数字" dataDxfId="80" totalsRowDxfId="79"/>
    <tableColumn id="2" name="ប្រភេទម្ជុល Needle Type 针型" dataDxfId="78" totalsRowDxfId="77"/>
    <tableColumn id="3" name="ទំហំ​ SIZE 尺寸" dataDxfId="76" totalsRowDxfId="75"/>
    <tableColumn id="4" name="ចំនួននៅសល់ Stock Left 剩余库存" dataDxfId="74" totalsRowDxfId="73">
      <calculatedColumnFormula>AP3+E3-C3</calculatedColumnFormula>
    </tableColumn>
    <tableColumn id="5" name="ម្ជុលដែលបានផ្តល់ជូន, Issued  Needle, 已发放的针头" totalsRowFunction="custom" dataDxfId="72" totalsRowDxfId="71">
      <calculatedColumnFormula>SUM(#REF!)</calculatedColumnFormula>
      <totalsRowFormula>SUBTOTAL(9,E3:E21)</totalsRowFormula>
    </tableColumn>
    <tableColumn id="8" name="តុល្យភាព Balance 平衡" totalsRowFunction="custom" dataDxfId="70" totalsRowDxfId="69">
      <calculatedColumnFormula>#REF!-E3+660</calculatedColumnFormula>
      <totalsRowFormula>SUBTOTAL(9,F3:F21)</totalsRowFormula>
    </tableColumn>
    <tableColumn id="9" name="សំគាល់ Remark 评论" dataDxfId="68" totalsRowDxfId="6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4" name="Table692729313335" displayName="Table692729313335" ref="J2:U21" totalsRowShown="0" headerRowDxfId="66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33.xml><?xml version="1.0" encoding="utf-8"?>
<table xmlns="http://schemas.openxmlformats.org/spreadsheetml/2006/main" id="35" name="Table138262830323436" displayName="Table138262830323436" ref="A2:G22" totalsRowCount="1" headerRowDxfId="64" dataDxfId="62" totalsRowDxfId="60" headerRowBorderDxfId="63" tableBorderDxfId="61" totalsRowBorderDxfId="59">
  <autoFilter ref="A2:G21"/>
  <tableColumns count="7">
    <tableColumn id="1" name="លរ No. 数字" dataDxfId="58" totalsRowDxfId="57"/>
    <tableColumn id="2" name="ប្រភេទម្ជុល Needle Type 针型" dataDxfId="56" totalsRowDxfId="55"/>
    <tableColumn id="3" name="ទំហំ​ SIZE 尺寸" dataDxfId="54" totalsRowDxfId="53"/>
    <tableColumn id="4" name="ចំនួននៅសល់ Stock Left 剩余库存" dataDxfId="52" totalsRowDxfId="51">
      <calculatedColumnFormula>AP3+E3-C3</calculatedColumnFormula>
    </tableColumn>
    <tableColumn id="5" name="ម្ជុលដែលបានផ្តល់ជូន, Issued  Needle, 已发放的针头" totalsRowFunction="custom" dataDxfId="50" totalsRowDxfId="49">
      <calculatedColumnFormula>SUM(#REF!)</calculatedColumnFormula>
      <totalsRowFormula>SUBTOTAL(9,E3:E21)</totalsRowFormula>
    </tableColumn>
    <tableColumn id="8" name="តុល្យភាព Balance 平衡" totalsRowFunction="custom" dataDxfId="48" totalsRowDxfId="47">
      <calculatedColumnFormula>#REF!-E3+660</calculatedColumnFormula>
      <totalsRowFormula>SUBTOTAL(9,F3:F21)</totalsRowFormula>
    </tableColumn>
    <tableColumn id="9" name="សំគាល់ Remark 评论" dataDxfId="46" totalsRowDxfId="45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6" name="Table69272931333537" displayName="Table69272931333537" ref="J2:U21" totalsRowShown="0" headerRowDxfId="44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35.xml><?xml version="1.0" encoding="utf-8"?>
<table xmlns="http://schemas.openxmlformats.org/spreadsheetml/2006/main" id="5" name="Table1382628303234366" displayName="Table1382628303234366" ref="A2:G22" totalsRowCount="1" headerRowDxfId="42" dataDxfId="40" totalsRowDxfId="38" headerRowBorderDxfId="41" tableBorderDxfId="39" totalsRowBorderDxfId="37">
  <autoFilter ref="A2:G21"/>
  <tableColumns count="7">
    <tableColumn id="1" name="លរ No. 数字" dataDxfId="36" totalsRowDxfId="6"/>
    <tableColumn id="2" name="ប្រភេទម្ជុល Needle Type 针型" dataDxfId="35" totalsRowDxfId="5"/>
    <tableColumn id="3" name="ទំហំ​ SIZE 尺寸" dataDxfId="34" totalsRowDxfId="4"/>
    <tableColumn id="4" name="ចំនួននៅសល់ Stock Left 剩余库存" dataDxfId="33" totalsRowDxfId="3">
      <calculatedColumnFormula>AP3+E3-C3</calculatedColumnFormula>
    </tableColumn>
    <tableColumn id="5" name="ម្ជុលដែលបានផ្តល់ជូន, Issued  Needle, 已发放的针头" totalsRowFunction="custom" dataDxfId="32" totalsRowDxfId="2">
      <calculatedColumnFormula>SUM(#REF!)</calculatedColumnFormula>
      <totalsRowFormula>SUBTOTAL(9,E3:E21)</totalsRowFormula>
    </tableColumn>
    <tableColumn id="8" name="តុល្យភាព Balance 平衡" totalsRowFunction="custom" dataDxfId="31" totalsRowDxfId="1">
      <calculatedColumnFormula>#REF!-E3+660</calculatedColumnFormula>
      <totalsRowFormula>SUBTOTAL(9,F3:F21)</totalsRowFormula>
    </tableColumn>
    <tableColumn id="9" name="សំគាល់ Remark 评论" dataDxfId="30" totalsRowDxfId="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6" name="Table692729313335377" displayName="Table692729313335377" ref="J2:U21" totalsRowShown="0" headerRowDxfId="29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ables/table37.xml><?xml version="1.0" encoding="utf-8"?>
<table xmlns="http://schemas.openxmlformats.org/spreadsheetml/2006/main" id="37" name="Table138262830323436638" displayName="Table138262830323436638" ref="A2:G22" totalsRowCount="1" headerRowDxfId="27" dataDxfId="25" totalsRowDxfId="23" headerRowBorderDxfId="26" tableBorderDxfId="24" totalsRowBorderDxfId="22">
  <autoFilter ref="A2:G21"/>
  <tableColumns count="7">
    <tableColumn id="1" name="លរ No. 数字" dataDxfId="21" totalsRowDxfId="20"/>
    <tableColumn id="2" name="ប្រភេទម្ជុល Needle Type 针型" dataDxfId="19" totalsRowDxfId="18"/>
    <tableColumn id="3" name="ទំហំ​ SIZE 尺寸" dataDxfId="17" totalsRowDxfId="16"/>
    <tableColumn id="4" name="ចំនួននៅសល់ Stock Left 剩余库存" dataDxfId="15" totalsRowDxfId="14">
      <calculatedColumnFormula>AP3+E3-C3</calculatedColumnFormula>
    </tableColumn>
    <tableColumn id="5" name="ម្ជុលដែលបានផ្តល់ជូន, Issued  Needle, 已发放的针头" totalsRowFunction="custom" dataDxfId="13" totalsRowDxfId="12">
      <calculatedColumnFormula>SUM(#REF!)</calculatedColumnFormula>
      <totalsRowFormula>SUBTOTAL(9,E3:E21)</totalsRowFormula>
    </tableColumn>
    <tableColumn id="8" name="តុល្យភាព Balance 平衡" totalsRowFunction="custom" dataDxfId="11" totalsRowDxfId="10">
      <calculatedColumnFormula>#REF!-E3+660</calculatedColumnFormula>
      <totalsRowFormula>SUBTOTAL(9,F3:F21)</totalsRowFormula>
    </tableColumn>
    <tableColumn id="9" name="សំគាល់ Remark 评论" dataDxfId="9" totalsRowDxfId="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able69272931333537739" displayName="Table69272931333537739" ref="J2:U21" totalsRowShown="0" headerRowDxfId="7">
  <autoFilter ref="J2:U21"/>
  <tableColumns count="12">
    <tableColumn id="1" name="Line# 1"/>
    <tableColumn id="2" name="Line# 2"/>
    <tableColumn id="3" name="Line# 3"/>
    <tableColumn id="4" name="Line# 4"/>
    <tableColumn id="5" name="Line# 5"/>
    <tableColumn id="6" name="Line# 6"/>
    <tableColumn id="7" name="Line# 7"/>
    <tableColumn id="8" name="Line# 8"/>
    <tableColumn id="9" name="Line# 9"/>
    <tableColumn id="10" name="Line# 10"/>
    <tableColumn id="11" name="Line# 11"/>
    <tableColumn id="12" name="Line# 1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table" Target="../tables/table1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1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2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table" Target="../tables/table2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4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4" Type="http://schemas.openxmlformats.org/officeDocument/2006/relationships/table" Target="../tables/table2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4" Type="http://schemas.openxmlformats.org/officeDocument/2006/relationships/table" Target="../tables/table2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Relationship Id="rId4" Type="http://schemas.openxmlformats.org/officeDocument/2006/relationships/table" Target="../tables/table3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4" Type="http://schemas.openxmlformats.org/officeDocument/2006/relationships/table" Target="../tables/table3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4" Type="http://schemas.openxmlformats.org/officeDocument/2006/relationships/table" Target="../tables/table3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Relationship Id="rId4" Type="http://schemas.openxmlformats.org/officeDocument/2006/relationships/table" Target="../tables/table3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X22"/>
  <sheetViews>
    <sheetView workbookViewId="0">
      <pane xSplit="8" ySplit="2" topLeftCell="P3" activePane="bottomRight" state="frozen"/>
      <selection pane="topRight" activeCell="I1" sqref="I1"/>
      <selection pane="bottomLeft" activeCell="A3" sqref="A3"/>
      <selection pane="bottomRight" activeCell="B15" sqref="B15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46031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330</v>
      </c>
      <c r="E3" s="15">
        <v>10</v>
      </c>
      <c r="F3" s="15">
        <f t="shared" ref="F3:F19" si="0">D3-E3</f>
        <v>320</v>
      </c>
      <c r="G3" s="14" t="s">
        <v>16</v>
      </c>
      <c r="H3" s="12"/>
      <c r="J3" s="11">
        <v>1</v>
      </c>
      <c r="K3" s="10"/>
      <c r="L3" s="10">
        <v>7</v>
      </c>
      <c r="M3" s="10"/>
      <c r="N3" s="10"/>
      <c r="O3" s="10">
        <v>1</v>
      </c>
      <c r="P3" s="10">
        <v>1</v>
      </c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970</v>
      </c>
      <c r="E4" s="15">
        <f t="shared" ref="E4:E19" si="1">SUM(J4:U4)</f>
        <v>0</v>
      </c>
      <c r="F4" s="15">
        <f t="shared" si="0"/>
        <v>970</v>
      </c>
      <c r="G4" s="14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310</v>
      </c>
      <c r="E5" s="15">
        <v>10</v>
      </c>
      <c r="F5" s="15">
        <f t="shared" si="0"/>
        <v>300</v>
      </c>
      <c r="G5" s="14" t="s">
        <v>16</v>
      </c>
      <c r="H5" s="12"/>
      <c r="J5" s="11">
        <v>1</v>
      </c>
      <c r="K5" s="10">
        <v>9</v>
      </c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/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960</v>
      </c>
      <c r="E8" s="15">
        <v>10</v>
      </c>
      <c r="F8" s="15">
        <f t="shared" si="0"/>
        <v>950</v>
      </c>
      <c r="G8" s="14" t="s">
        <v>18</v>
      </c>
      <c r="H8" s="12"/>
      <c r="J8" s="11">
        <v>2</v>
      </c>
      <c r="K8" s="10"/>
      <c r="L8" s="10"/>
      <c r="M8" s="10"/>
      <c r="N8" s="10">
        <v>1</v>
      </c>
      <c r="O8" s="10">
        <v>2</v>
      </c>
      <c r="P8" s="10"/>
      <c r="Q8" s="10">
        <v>3</v>
      </c>
      <c r="R8" s="10"/>
      <c r="S8" s="10">
        <v>2</v>
      </c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960</v>
      </c>
      <c r="E9" s="15">
        <v>10</v>
      </c>
      <c r="F9" s="15">
        <f t="shared" si="0"/>
        <v>950</v>
      </c>
      <c r="G9" s="14" t="s">
        <v>18</v>
      </c>
      <c r="H9" s="12"/>
      <c r="J9" s="11"/>
      <c r="K9" s="10">
        <v>1</v>
      </c>
      <c r="L9" s="10">
        <v>4</v>
      </c>
      <c r="M9" s="10"/>
      <c r="N9" s="10"/>
      <c r="O9" s="10">
        <v>2</v>
      </c>
      <c r="P9" s="10">
        <v>2</v>
      </c>
      <c r="Q9" s="10">
        <v>1</v>
      </c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170</v>
      </c>
      <c r="E13" s="15">
        <v>10</v>
      </c>
      <c r="F13" s="15">
        <f t="shared" si="0"/>
        <v>160</v>
      </c>
      <c r="G13" s="14" t="s">
        <v>16</v>
      </c>
      <c r="H13" s="12"/>
      <c r="J13" s="11"/>
      <c r="K13" s="10">
        <v>4</v>
      </c>
      <c r="L13" s="10">
        <v>3</v>
      </c>
      <c r="M13" s="10"/>
      <c r="N13" s="10"/>
      <c r="O13" s="10"/>
      <c r="P13" s="10">
        <v>1</v>
      </c>
      <c r="Q13" s="10">
        <v>2</v>
      </c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50</v>
      </c>
      <c r="F22" s="6">
        <f>SUBTOTAL(9,F3:F21)</f>
        <v>6010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417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X22"/>
  <sheetViews>
    <sheetView workbookViewId="0">
      <pane xSplit="8" ySplit="2" topLeftCell="N3" activePane="bottomRight" state="frozen"/>
      <selection pane="topRight" activeCell="I1" sqref="I1"/>
      <selection pane="bottomLeft" activeCell="A3" sqref="A3"/>
      <selection pane="bottomRight" activeCell="D5" sqref="D5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46062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320</v>
      </c>
      <c r="E3" s="15">
        <v>20</v>
      </c>
      <c r="F3" s="15">
        <f t="shared" ref="F3:F19" si="0">D3-E3</f>
        <v>300</v>
      </c>
      <c r="G3" s="14" t="s">
        <v>16</v>
      </c>
      <c r="H3" s="12"/>
      <c r="J3" s="11">
        <v>5</v>
      </c>
      <c r="K3" s="10"/>
      <c r="L3" s="10">
        <v>3</v>
      </c>
      <c r="M3" s="10"/>
      <c r="N3" s="10">
        <v>2</v>
      </c>
      <c r="O3" s="10">
        <v>4</v>
      </c>
      <c r="P3" s="10">
        <v>1</v>
      </c>
      <c r="Q3" s="10"/>
      <c r="R3" s="10">
        <v>2</v>
      </c>
      <c r="S3" s="10">
        <v>2</v>
      </c>
      <c r="T3" s="10"/>
      <c r="U3" s="9">
        <v>1</v>
      </c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970</v>
      </c>
      <c r="E4" s="15">
        <f t="shared" ref="E4:E19" si="1">SUM(J4:U4)</f>
        <v>0</v>
      </c>
      <c r="F4" s="15">
        <f t="shared" si="0"/>
        <v>970</v>
      </c>
      <c r="G4" s="14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300</v>
      </c>
      <c r="E5" s="15">
        <f t="shared" si="1"/>
        <v>0</v>
      </c>
      <c r="F5" s="15">
        <f t="shared" si="0"/>
        <v>300</v>
      </c>
      <c r="G5" s="14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950</v>
      </c>
      <c r="E8" s="15">
        <f t="shared" si="1"/>
        <v>0</v>
      </c>
      <c r="F8" s="15">
        <f t="shared" si="0"/>
        <v>950</v>
      </c>
      <c r="G8" s="14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950</v>
      </c>
      <c r="E9" s="15">
        <f t="shared" si="1"/>
        <v>0</v>
      </c>
      <c r="F9" s="15">
        <f t="shared" si="0"/>
        <v>950</v>
      </c>
      <c r="G9" s="14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160</v>
      </c>
      <c r="E13" s="15">
        <v>10</v>
      </c>
      <c r="F13" s="15">
        <f t="shared" si="0"/>
        <v>150</v>
      </c>
      <c r="G13" s="14" t="s">
        <v>16</v>
      </c>
      <c r="H13" s="12"/>
      <c r="J13" s="11">
        <v>5</v>
      </c>
      <c r="K13" s="10"/>
      <c r="L13" s="10">
        <v>4</v>
      </c>
      <c r="M13" s="10"/>
      <c r="N13" s="10"/>
      <c r="O13" s="10"/>
      <c r="P13" s="10">
        <v>1</v>
      </c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30</v>
      </c>
      <c r="F22" s="6">
        <f>SUBTOTAL(9,F3:F21)</f>
        <v>5980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J1:U1"/>
    <mergeCell ref="C1:F1"/>
  </mergeCells>
  <conditionalFormatting sqref="D3:D19">
    <cfRule type="cellIs" dxfId="395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X22"/>
  <sheetViews>
    <sheetView workbookViewId="0">
      <pane xSplit="8" ySplit="2" topLeftCell="S9" activePane="bottomRight" state="frozen"/>
      <selection pane="topRight" activeCell="I1" sqref="I1"/>
      <selection pane="bottomLeft" activeCell="A3" sqref="A3"/>
      <selection pane="bottomRight" activeCell="D15" sqref="D15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46090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300</v>
      </c>
      <c r="E3" s="15">
        <v>0</v>
      </c>
      <c r="F3" s="15">
        <f t="shared" ref="F3:F19" si="0">D3-E3</f>
        <v>300</v>
      </c>
      <c r="G3" s="14"/>
      <c r="H3" s="12"/>
      <c r="J3" s="11"/>
      <c r="K3" s="10"/>
      <c r="L3" s="10"/>
      <c r="M3" s="10"/>
      <c r="N3" s="10"/>
      <c r="O3" s="10"/>
      <c r="P3" s="10"/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970</v>
      </c>
      <c r="E4" s="15">
        <f t="shared" ref="E4:E19" si="1">SUM(J4:U4)</f>
        <v>0</v>
      </c>
      <c r="F4" s="15">
        <f t="shared" si="0"/>
        <v>970</v>
      </c>
      <c r="G4" s="14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300</v>
      </c>
      <c r="E5" s="15">
        <f t="shared" si="1"/>
        <v>0</v>
      </c>
      <c r="F5" s="15">
        <f t="shared" si="0"/>
        <v>300</v>
      </c>
      <c r="G5" s="14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950</v>
      </c>
      <c r="E8" s="15">
        <v>10</v>
      </c>
      <c r="F8" s="15">
        <f t="shared" si="0"/>
        <v>940</v>
      </c>
      <c r="G8" s="14" t="s">
        <v>16</v>
      </c>
      <c r="H8" s="12"/>
      <c r="J8" s="11">
        <v>2</v>
      </c>
      <c r="K8" s="10"/>
      <c r="L8" s="10"/>
      <c r="M8" s="10"/>
      <c r="N8" s="10"/>
      <c r="O8" s="10">
        <v>2</v>
      </c>
      <c r="P8" s="10">
        <v>2</v>
      </c>
      <c r="Q8" s="10"/>
      <c r="R8" s="10">
        <v>1</v>
      </c>
      <c r="S8" s="10">
        <v>3</v>
      </c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950</v>
      </c>
      <c r="E9" s="15">
        <f t="shared" si="1"/>
        <v>0</v>
      </c>
      <c r="F9" s="15">
        <f t="shared" si="0"/>
        <v>950</v>
      </c>
      <c r="G9" s="14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150</v>
      </c>
      <c r="E13" s="15">
        <f t="shared" si="1"/>
        <v>0</v>
      </c>
      <c r="F13" s="15">
        <f t="shared" si="0"/>
        <v>150</v>
      </c>
      <c r="G13" s="14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10</v>
      </c>
      <c r="F22" s="6">
        <f>SUBTOTAL(9,F3:F21)</f>
        <v>5970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373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X22"/>
  <sheetViews>
    <sheetView workbookViewId="0">
      <pane xSplit="8" ySplit="2" topLeftCell="K3" activePane="bottomRight" state="frozen"/>
      <selection pane="topRight" activeCell="I1" sqref="I1"/>
      <selection pane="bottomLeft" activeCell="A3" sqref="A3"/>
      <selection pane="bottomRight" activeCell="D15" sqref="D15"/>
    </sheetView>
  </sheetViews>
  <sheetFormatPr defaultRowHeight="15" x14ac:dyDescent="0.25"/>
  <cols>
    <col min="1" max="1" width="12" bestFit="1" customWidth="1"/>
    <col min="2" max="2" width="17.28515625" bestFit="1" customWidth="1"/>
    <col min="3" max="3" width="18.85546875" bestFit="1" customWidth="1"/>
    <col min="4" max="4" width="18.5703125" bestFit="1" customWidth="1"/>
    <col min="5" max="5" width="19.8554687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46121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300</v>
      </c>
      <c r="E3" s="15">
        <v>10</v>
      </c>
      <c r="F3" s="15">
        <f t="shared" ref="F3:F19" si="0">D3-E3</f>
        <v>290</v>
      </c>
      <c r="G3" s="14" t="s">
        <v>16</v>
      </c>
      <c r="H3" s="12"/>
      <c r="J3" s="11">
        <v>3</v>
      </c>
      <c r="K3" s="10">
        <v>1</v>
      </c>
      <c r="L3" s="10"/>
      <c r="M3" s="10"/>
      <c r="N3" s="10">
        <v>1</v>
      </c>
      <c r="O3" s="10">
        <v>2</v>
      </c>
      <c r="P3" s="10">
        <v>1</v>
      </c>
      <c r="Q3" s="10"/>
      <c r="R3" s="10">
        <v>1</v>
      </c>
      <c r="S3" s="10"/>
      <c r="T3" s="10">
        <v>1</v>
      </c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970</v>
      </c>
      <c r="E4" s="15">
        <v>10</v>
      </c>
      <c r="F4" s="15">
        <f t="shared" si="0"/>
        <v>960</v>
      </c>
      <c r="G4" s="14" t="s">
        <v>17</v>
      </c>
      <c r="H4" s="12"/>
      <c r="J4" s="11">
        <v>3</v>
      </c>
      <c r="K4" s="10">
        <v>3</v>
      </c>
      <c r="L4" s="10"/>
      <c r="M4" s="10"/>
      <c r="N4" s="10">
        <v>1</v>
      </c>
      <c r="O4" s="10"/>
      <c r="P4" s="10">
        <v>1</v>
      </c>
      <c r="Q4" s="10">
        <v>1</v>
      </c>
      <c r="R4" s="10"/>
      <c r="S4" s="10"/>
      <c r="T4" s="10">
        <v>1</v>
      </c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300</v>
      </c>
      <c r="E5" s="15">
        <v>10</v>
      </c>
      <c r="F5" s="15">
        <f t="shared" si="0"/>
        <v>290</v>
      </c>
      <c r="G5" s="14" t="s">
        <v>17</v>
      </c>
      <c r="H5" s="12"/>
      <c r="J5" s="11">
        <v>1</v>
      </c>
      <c r="K5" s="10">
        <v>1</v>
      </c>
      <c r="L5" s="10">
        <v>1</v>
      </c>
      <c r="M5" s="10">
        <v>1</v>
      </c>
      <c r="N5" s="10">
        <v>1</v>
      </c>
      <c r="O5" s="10">
        <v>1</v>
      </c>
      <c r="P5" s="10">
        <v>1</v>
      </c>
      <c r="Q5" s="10">
        <v>1</v>
      </c>
      <c r="R5" s="10">
        <v>1</v>
      </c>
      <c r="S5" s="10">
        <v>1</v>
      </c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ref="E6:E19" si="1">SUM(J6:U6)</f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940</v>
      </c>
      <c r="E8" s="15">
        <f t="shared" si="1"/>
        <v>0</v>
      </c>
      <c r="F8" s="15">
        <f t="shared" si="0"/>
        <v>940</v>
      </c>
      <c r="G8" s="14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950</v>
      </c>
      <c r="E9" s="15">
        <v>20</v>
      </c>
      <c r="F9" s="15">
        <f t="shared" si="0"/>
        <v>930</v>
      </c>
      <c r="G9" s="14" t="s">
        <v>16</v>
      </c>
      <c r="H9" s="12"/>
      <c r="J9" s="11">
        <v>16</v>
      </c>
      <c r="K9" s="10">
        <v>1</v>
      </c>
      <c r="L9" s="10"/>
      <c r="M9" s="10"/>
      <c r="N9" s="10"/>
      <c r="O9" s="10"/>
      <c r="P9" s="10">
        <v>1</v>
      </c>
      <c r="Q9" s="10">
        <v>2</v>
      </c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150</v>
      </c>
      <c r="E13" s="15">
        <v>10</v>
      </c>
      <c r="F13" s="15">
        <f t="shared" si="0"/>
        <v>140</v>
      </c>
      <c r="G13" s="14" t="s">
        <v>16</v>
      </c>
      <c r="H13" s="12"/>
      <c r="J13" s="11"/>
      <c r="K13" s="10">
        <v>9</v>
      </c>
      <c r="L13" s="10"/>
      <c r="M13" s="10">
        <v>1</v>
      </c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60</v>
      </c>
      <c r="F22" s="6">
        <f>SUBTOTAL(9,F3:F21)</f>
        <v>5910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351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X22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D15" sqref="D15"/>
    </sheetView>
  </sheetViews>
  <sheetFormatPr defaultRowHeight="15" x14ac:dyDescent="0.25"/>
  <cols>
    <col min="1" max="1" width="12" bestFit="1" customWidth="1"/>
    <col min="2" max="2" width="17.28515625" bestFit="1" customWidth="1"/>
    <col min="3" max="3" width="18.85546875" bestFit="1" customWidth="1"/>
    <col min="4" max="4" width="18.5703125" bestFit="1" customWidth="1"/>
    <col min="5" max="5" width="19.8554687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46151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290</v>
      </c>
      <c r="E3" s="15">
        <v>20</v>
      </c>
      <c r="F3" s="15">
        <f t="shared" ref="F3:F19" si="0">D3-E3</f>
        <v>270</v>
      </c>
      <c r="G3" s="14" t="s">
        <v>16</v>
      </c>
      <c r="H3" s="12"/>
      <c r="J3" s="11">
        <v>3</v>
      </c>
      <c r="K3" s="10"/>
      <c r="L3" s="10">
        <v>4</v>
      </c>
      <c r="M3" s="10"/>
      <c r="N3" s="10"/>
      <c r="O3" s="10"/>
      <c r="P3" s="10">
        <v>1</v>
      </c>
      <c r="Q3" s="10">
        <v>10</v>
      </c>
      <c r="R3" s="10"/>
      <c r="S3" s="10">
        <v>1</v>
      </c>
      <c r="T3" s="10">
        <v>1</v>
      </c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960</v>
      </c>
      <c r="E4" s="15">
        <f t="shared" ref="E4:E19" si="1">SUM(J4:U4)</f>
        <v>0</v>
      </c>
      <c r="F4" s="15">
        <f t="shared" si="0"/>
        <v>960</v>
      </c>
      <c r="G4" s="14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1"/>
        <v>0</v>
      </c>
      <c r="F5" s="15">
        <f t="shared" si="0"/>
        <v>290</v>
      </c>
      <c r="G5" s="14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940</v>
      </c>
      <c r="E8" s="15">
        <v>10</v>
      </c>
      <c r="F8" s="15">
        <f t="shared" si="0"/>
        <v>930</v>
      </c>
      <c r="G8" s="14" t="s">
        <v>18</v>
      </c>
      <c r="H8" s="12"/>
      <c r="J8" s="11"/>
      <c r="K8" s="10">
        <v>2</v>
      </c>
      <c r="L8" s="10"/>
      <c r="M8" s="10"/>
      <c r="N8" s="10"/>
      <c r="O8" s="10"/>
      <c r="P8" s="10">
        <v>2</v>
      </c>
      <c r="Q8" s="10">
        <v>2</v>
      </c>
      <c r="R8" s="10">
        <v>2</v>
      </c>
      <c r="S8" s="10">
        <v>2</v>
      </c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930</v>
      </c>
      <c r="E9" s="15">
        <f t="shared" si="1"/>
        <v>0</v>
      </c>
      <c r="F9" s="15">
        <f t="shared" si="0"/>
        <v>930</v>
      </c>
      <c r="G9" s="14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140</v>
      </c>
      <c r="E13" s="15">
        <v>10</v>
      </c>
      <c r="F13" s="15">
        <f t="shared" si="0"/>
        <v>130</v>
      </c>
      <c r="G13" s="14" t="s">
        <v>16</v>
      </c>
      <c r="H13" s="12"/>
      <c r="J13" s="11">
        <v>6</v>
      </c>
      <c r="K13" s="10">
        <v>1</v>
      </c>
      <c r="L13" s="10">
        <v>2</v>
      </c>
      <c r="M13" s="10"/>
      <c r="N13" s="10"/>
      <c r="O13" s="10">
        <v>1</v>
      </c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40</v>
      </c>
      <c r="F22" s="6">
        <f>SUBTOTAL(9,F3:F21)</f>
        <v>5870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329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X22"/>
  <sheetViews>
    <sheetView workbookViewId="0">
      <pane xSplit="8" ySplit="2" topLeftCell="J3" activePane="bottomRight" state="frozen"/>
      <selection pane="topRight" activeCell="I1" sqref="I1"/>
      <selection pane="bottomLeft" activeCell="A3" sqref="A3"/>
      <selection pane="bottomRight" activeCell="J6" sqref="J6"/>
    </sheetView>
  </sheetViews>
  <sheetFormatPr defaultRowHeight="15" x14ac:dyDescent="0.25"/>
  <cols>
    <col min="1" max="1" width="12.42578125" bestFit="1" customWidth="1"/>
    <col min="2" max="2" width="21.85546875" bestFit="1" customWidth="1"/>
    <col min="3" max="3" width="18.85546875" bestFit="1" customWidth="1"/>
    <col min="4" max="4" width="18.5703125" bestFit="1" customWidth="1"/>
    <col min="5" max="5" width="23.8554687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21" width="5.140625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46212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270</v>
      </c>
      <c r="E3" s="15">
        <v>10</v>
      </c>
      <c r="F3" s="15">
        <f t="shared" ref="F3:F19" si="0">D3-E3</f>
        <v>260</v>
      </c>
      <c r="G3" s="14" t="s">
        <v>18</v>
      </c>
      <c r="H3" s="12"/>
      <c r="J3" s="11">
        <v>1</v>
      </c>
      <c r="K3" s="10"/>
      <c r="L3" s="10">
        <v>4</v>
      </c>
      <c r="M3" s="10"/>
      <c r="N3" s="10"/>
      <c r="O3" s="10">
        <v>1</v>
      </c>
      <c r="P3" s="10">
        <v>1</v>
      </c>
      <c r="Q3" s="10">
        <v>2</v>
      </c>
      <c r="R3" s="10">
        <v>1</v>
      </c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960</v>
      </c>
      <c r="E4" s="15">
        <f t="shared" ref="E4:E19" si="1">SUM(J4:U4)</f>
        <v>0</v>
      </c>
      <c r="F4" s="15">
        <f t="shared" si="0"/>
        <v>960</v>
      </c>
      <c r="G4" s="14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1"/>
        <v>0</v>
      </c>
      <c r="F5" s="15">
        <f t="shared" si="0"/>
        <v>290</v>
      </c>
      <c r="G5" s="14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930</v>
      </c>
      <c r="E8" s="15">
        <f t="shared" si="1"/>
        <v>0</v>
      </c>
      <c r="F8" s="15">
        <f t="shared" si="0"/>
        <v>930</v>
      </c>
      <c r="G8" s="14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930</v>
      </c>
      <c r="E9" s="15">
        <v>10</v>
      </c>
      <c r="F9" s="15">
        <f t="shared" si="0"/>
        <v>920</v>
      </c>
      <c r="G9" s="14" t="s">
        <v>16</v>
      </c>
      <c r="H9" s="12"/>
      <c r="J9" s="11">
        <v>7</v>
      </c>
      <c r="K9" s="10"/>
      <c r="L9" s="10"/>
      <c r="M9" s="10"/>
      <c r="N9" s="10"/>
      <c r="O9" s="10"/>
      <c r="P9" s="10"/>
      <c r="Q9" s="10">
        <v>3</v>
      </c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130</v>
      </c>
      <c r="E13" s="15">
        <v>10</v>
      </c>
      <c r="F13" s="15">
        <f t="shared" si="0"/>
        <v>120</v>
      </c>
      <c r="G13" s="14" t="s">
        <v>16</v>
      </c>
      <c r="H13" s="12"/>
      <c r="J13" s="11">
        <v>3</v>
      </c>
      <c r="K13" s="10"/>
      <c r="L13" s="10">
        <v>2</v>
      </c>
      <c r="M13" s="10">
        <v>1</v>
      </c>
      <c r="N13" s="10"/>
      <c r="O13" s="10"/>
      <c r="P13" s="10">
        <v>1</v>
      </c>
      <c r="Q13" s="10">
        <v>2</v>
      </c>
      <c r="R13" s="10"/>
      <c r="S13" s="10">
        <v>1</v>
      </c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30</v>
      </c>
      <c r="F22" s="6">
        <f>SUBTOTAL(9,F3:F21)</f>
        <v>5840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307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X22"/>
  <sheetViews>
    <sheetView workbookViewId="0">
      <pane xSplit="8" ySplit="2" topLeftCell="P3" activePane="bottomRight" state="frozen"/>
      <selection pane="topRight" activeCell="I1" sqref="I1"/>
      <selection pane="bottomLeft" activeCell="A3" sqref="A3"/>
      <selection pane="bottomRight" activeCell="T6" sqref="T6"/>
    </sheetView>
  </sheetViews>
  <sheetFormatPr defaultRowHeight="15" x14ac:dyDescent="0.25"/>
  <cols>
    <col min="1" max="1" width="8.42578125" customWidth="1"/>
    <col min="2" max="2" width="15.42578125" customWidth="1"/>
    <col min="3" max="4" width="16.28515625" customWidth="1"/>
    <col min="5" max="5" width="15.85546875" customWidth="1"/>
    <col min="6" max="6" width="14.28515625" customWidth="1"/>
    <col min="7" max="7" width="28.28515625" customWidth="1"/>
    <col min="8" max="8" width="4.5703125" customWidth="1"/>
    <col min="9" max="9" width="6" customWidth="1"/>
    <col min="10" max="21" width="5.42578125" customWidth="1"/>
    <col min="24" max="24" width="0" hidden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46243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260</v>
      </c>
      <c r="E3" s="15">
        <v>20</v>
      </c>
      <c r="F3" s="15">
        <f t="shared" ref="F3:F19" si="0">D3-E3</f>
        <v>240</v>
      </c>
      <c r="G3" s="14" t="s">
        <v>16</v>
      </c>
      <c r="H3" s="12"/>
      <c r="J3" s="11">
        <v>4</v>
      </c>
      <c r="K3" s="10">
        <v>1</v>
      </c>
      <c r="L3" s="10">
        <v>1</v>
      </c>
      <c r="M3" s="10"/>
      <c r="N3" s="10"/>
      <c r="O3" s="10">
        <v>3</v>
      </c>
      <c r="P3" s="10">
        <v>3</v>
      </c>
      <c r="Q3" s="10">
        <v>1</v>
      </c>
      <c r="R3" s="10">
        <v>3</v>
      </c>
      <c r="S3" s="10">
        <v>1</v>
      </c>
      <c r="T3" s="10">
        <v>3</v>
      </c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960</v>
      </c>
      <c r="E4" s="15">
        <v>20</v>
      </c>
      <c r="F4" s="15">
        <f t="shared" si="0"/>
        <v>940</v>
      </c>
      <c r="G4" s="14" t="s">
        <v>17</v>
      </c>
      <c r="H4" s="12"/>
      <c r="J4" s="11">
        <v>3</v>
      </c>
      <c r="K4" s="10">
        <v>5</v>
      </c>
      <c r="L4" s="10">
        <v>2</v>
      </c>
      <c r="M4" s="10">
        <v>3</v>
      </c>
      <c r="N4" s="10"/>
      <c r="O4" s="10"/>
      <c r="P4" s="10">
        <v>3</v>
      </c>
      <c r="Q4" s="10"/>
      <c r="R4" s="10">
        <v>3</v>
      </c>
      <c r="S4" s="10"/>
      <c r="T4" s="10">
        <v>1</v>
      </c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14" t="s">
        <v>18</v>
      </c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930</v>
      </c>
      <c r="E8" s="15">
        <v>10</v>
      </c>
      <c r="F8" s="15">
        <f t="shared" si="0"/>
        <v>920</v>
      </c>
      <c r="G8" s="14" t="s">
        <v>16</v>
      </c>
      <c r="H8" s="12"/>
      <c r="J8" s="11">
        <v>3</v>
      </c>
      <c r="K8" s="10"/>
      <c r="L8" s="10"/>
      <c r="M8" s="10"/>
      <c r="N8" s="10">
        <v>2</v>
      </c>
      <c r="O8" s="10">
        <v>2</v>
      </c>
      <c r="P8" s="10">
        <v>2</v>
      </c>
      <c r="Q8" s="10"/>
      <c r="R8" s="10"/>
      <c r="S8" s="10">
        <v>1</v>
      </c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1"/>
        <v>0</v>
      </c>
      <c r="F9" s="15">
        <f t="shared" si="0"/>
        <v>920</v>
      </c>
      <c r="G9" s="14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120</v>
      </c>
      <c r="E13" s="15">
        <v>20</v>
      </c>
      <c r="F13" s="15">
        <f t="shared" si="0"/>
        <v>100</v>
      </c>
      <c r="G13" s="14" t="s">
        <v>18</v>
      </c>
      <c r="H13" s="12"/>
      <c r="J13" s="11">
        <v>10</v>
      </c>
      <c r="K13" s="10"/>
      <c r="L13" s="10">
        <v>2</v>
      </c>
      <c r="M13" s="10"/>
      <c r="N13" s="10"/>
      <c r="O13" s="10"/>
      <c r="P13" s="10">
        <v>4</v>
      </c>
      <c r="Q13" s="10">
        <v>2</v>
      </c>
      <c r="R13" s="10"/>
      <c r="S13" s="10">
        <v>2</v>
      </c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70</v>
      </c>
      <c r="F22" s="6">
        <f>SUBTOTAL(9,F3:F21)</f>
        <v>5770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285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X22"/>
  <sheetViews>
    <sheetView workbookViewId="0">
      <pane xSplit="8" ySplit="2" topLeftCell="J3" activePane="bottomRight" state="frozen"/>
      <selection pane="topRight" activeCell="I1" sqref="I1"/>
      <selection pane="bottomLeft" activeCell="A3" sqref="A3"/>
      <selection pane="bottomRight" activeCell="M5" sqref="M5"/>
    </sheetView>
  </sheetViews>
  <sheetFormatPr defaultRowHeight="15" x14ac:dyDescent="0.25"/>
  <cols>
    <col min="1" max="1" width="12" bestFit="1" customWidth="1"/>
    <col min="2" max="2" width="15.42578125" customWidth="1"/>
    <col min="3" max="3" width="18.85546875" bestFit="1" customWidth="1"/>
    <col min="4" max="4" width="18.5703125" bestFit="1" customWidth="1"/>
    <col min="5" max="5" width="19.140625" customWidth="1"/>
    <col min="6" max="6" width="13.28515625" customWidth="1"/>
    <col min="7" max="7" width="24.28515625" bestFit="1" customWidth="1"/>
    <col min="8" max="8" width="4.5703125" customWidth="1"/>
    <col min="9" max="9" width="6" customWidth="1"/>
    <col min="10" max="21" width="5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46274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240</v>
      </c>
      <c r="E3" s="15">
        <v>10</v>
      </c>
      <c r="F3" s="15">
        <f t="shared" ref="F3:F19" si="0">D3-E3</f>
        <v>230</v>
      </c>
      <c r="G3" s="14" t="s">
        <v>18</v>
      </c>
      <c r="H3" s="12"/>
      <c r="J3" s="11"/>
      <c r="K3" s="10"/>
      <c r="L3" s="10">
        <v>1</v>
      </c>
      <c r="M3" s="10">
        <v>3</v>
      </c>
      <c r="N3" s="10"/>
      <c r="O3" s="10">
        <v>1</v>
      </c>
      <c r="P3" s="10">
        <v>2</v>
      </c>
      <c r="Q3" s="10">
        <v>1</v>
      </c>
      <c r="R3" s="10">
        <v>1</v>
      </c>
      <c r="S3" s="10">
        <v>1</v>
      </c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940</v>
      </c>
      <c r="E4" s="15">
        <v>10</v>
      </c>
      <c r="F4" s="15">
        <f t="shared" si="0"/>
        <v>930</v>
      </c>
      <c r="G4" s="14" t="s">
        <v>17</v>
      </c>
      <c r="H4" s="12"/>
      <c r="J4" s="11"/>
      <c r="K4" s="10"/>
      <c r="L4" s="10"/>
      <c r="M4" s="10"/>
      <c r="N4" s="10"/>
      <c r="O4" s="10">
        <v>2</v>
      </c>
      <c r="P4" s="10">
        <v>6</v>
      </c>
      <c r="Q4" s="10">
        <v>2</v>
      </c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14" t="s">
        <v>17</v>
      </c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920</v>
      </c>
      <c r="E8" s="15">
        <v>10</v>
      </c>
      <c r="F8" s="15">
        <f t="shared" si="0"/>
        <v>910</v>
      </c>
      <c r="G8" s="14" t="s">
        <v>18</v>
      </c>
      <c r="H8" s="12"/>
      <c r="J8" s="11"/>
      <c r="K8" s="10">
        <v>3</v>
      </c>
      <c r="L8" s="10"/>
      <c r="M8" s="10"/>
      <c r="N8" s="10"/>
      <c r="O8" s="10">
        <v>4</v>
      </c>
      <c r="P8" s="10"/>
      <c r="Q8" s="10"/>
      <c r="R8" s="10">
        <v>3</v>
      </c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v>10</v>
      </c>
      <c r="F9" s="15">
        <f t="shared" si="0"/>
        <v>910</v>
      </c>
      <c r="G9" s="14" t="s">
        <v>18</v>
      </c>
      <c r="H9" s="12"/>
      <c r="J9" s="11">
        <v>2</v>
      </c>
      <c r="K9" s="10"/>
      <c r="L9" s="10">
        <v>2</v>
      </c>
      <c r="M9" s="10">
        <v>1</v>
      </c>
      <c r="N9" s="10">
        <v>2</v>
      </c>
      <c r="O9" s="10"/>
      <c r="P9" s="10">
        <v>3</v>
      </c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100</v>
      </c>
      <c r="E13" s="15">
        <f t="shared" si="1"/>
        <v>0</v>
      </c>
      <c r="F13" s="15">
        <f t="shared" si="0"/>
        <v>100</v>
      </c>
      <c r="G13" s="14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40</v>
      </c>
      <c r="F22" s="6">
        <f>SUBTOTAL(9,F3:F21)</f>
        <v>5730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263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X22"/>
  <sheetViews>
    <sheetView workbookViewId="0">
      <pane xSplit="7" ySplit="2" topLeftCell="L3" activePane="bottomRight" state="frozen"/>
      <selection pane="topRight" activeCell="H1" sqref="H1"/>
      <selection pane="bottomLeft" activeCell="A3" sqref="A3"/>
      <selection pane="bottomRight" activeCell="U2" sqref="J1:U1048576"/>
    </sheetView>
  </sheetViews>
  <sheetFormatPr defaultRowHeight="15" x14ac:dyDescent="0.25"/>
  <cols>
    <col min="1" max="1" width="12.42578125" bestFit="1" customWidth="1"/>
    <col min="2" max="2" width="21" customWidth="1"/>
    <col min="3" max="3" width="18.85546875" bestFit="1" customWidth="1"/>
    <col min="4" max="4" width="18.5703125" bestFit="1" customWidth="1"/>
    <col min="5" max="5" width="22.140625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21" width="4.42578125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46304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230</v>
      </c>
      <c r="E3" s="15">
        <v>20</v>
      </c>
      <c r="F3" s="15">
        <f t="shared" ref="F3:F19" si="0">D3-E3</f>
        <v>210</v>
      </c>
      <c r="G3" s="14" t="s">
        <v>17</v>
      </c>
      <c r="H3" s="12"/>
      <c r="J3" s="11"/>
      <c r="K3" s="10">
        <v>3</v>
      </c>
      <c r="L3" s="10">
        <v>2</v>
      </c>
      <c r="M3" s="10">
        <v>8</v>
      </c>
      <c r="N3" s="10"/>
      <c r="O3" s="10">
        <v>2</v>
      </c>
      <c r="P3" s="10">
        <v>1</v>
      </c>
      <c r="Q3" s="10"/>
      <c r="R3" s="10">
        <v>2</v>
      </c>
      <c r="S3" s="10"/>
      <c r="T3" s="10"/>
      <c r="U3" s="9">
        <v>1</v>
      </c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930</v>
      </c>
      <c r="E4" s="15">
        <v>20</v>
      </c>
      <c r="F4" s="15">
        <f t="shared" si="0"/>
        <v>910</v>
      </c>
      <c r="G4" s="14" t="s">
        <v>18</v>
      </c>
      <c r="H4" s="12"/>
      <c r="J4" s="11">
        <v>1</v>
      </c>
      <c r="K4" s="10">
        <v>2</v>
      </c>
      <c r="L4" s="10"/>
      <c r="M4" s="10"/>
      <c r="N4" s="10"/>
      <c r="O4" s="10">
        <v>1</v>
      </c>
      <c r="P4" s="10">
        <v>4</v>
      </c>
      <c r="Q4" s="10">
        <v>1</v>
      </c>
      <c r="R4" s="10">
        <v>5</v>
      </c>
      <c r="S4" s="10">
        <v>3</v>
      </c>
      <c r="T4" s="10">
        <v>3</v>
      </c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14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910</v>
      </c>
      <c r="E8" s="15">
        <v>10</v>
      </c>
      <c r="F8" s="15">
        <f t="shared" si="0"/>
        <v>900</v>
      </c>
      <c r="G8" s="14" t="s">
        <v>18</v>
      </c>
      <c r="H8" s="12"/>
      <c r="J8" s="11"/>
      <c r="K8" s="10">
        <v>2</v>
      </c>
      <c r="L8" s="10"/>
      <c r="M8" s="10"/>
      <c r="N8" s="10"/>
      <c r="O8" s="10">
        <v>2</v>
      </c>
      <c r="P8" s="10">
        <v>2</v>
      </c>
      <c r="Q8" s="10">
        <v>3</v>
      </c>
      <c r="R8" s="10"/>
      <c r="S8" s="10">
        <v>1</v>
      </c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910</v>
      </c>
      <c r="E9" s="15">
        <v>10</v>
      </c>
      <c r="F9" s="15">
        <f t="shared" si="0"/>
        <v>900</v>
      </c>
      <c r="G9" s="14" t="s">
        <v>18</v>
      </c>
      <c r="H9" s="12"/>
      <c r="J9" s="11">
        <v>1</v>
      </c>
      <c r="K9" s="10">
        <v>2</v>
      </c>
      <c r="L9" s="10">
        <v>2</v>
      </c>
      <c r="M9" s="10">
        <v>4</v>
      </c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v>10</v>
      </c>
      <c r="F11" s="15">
        <f t="shared" si="0"/>
        <v>340</v>
      </c>
      <c r="G11" s="14" t="s">
        <v>18</v>
      </c>
      <c r="H11" s="12"/>
      <c r="J11" s="11">
        <v>3</v>
      </c>
      <c r="K11" s="10"/>
      <c r="L11" s="10">
        <v>1</v>
      </c>
      <c r="M11" s="10"/>
      <c r="N11" s="10">
        <v>1</v>
      </c>
      <c r="O11" s="10">
        <v>1</v>
      </c>
      <c r="P11" s="10"/>
      <c r="Q11" s="10">
        <v>3</v>
      </c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100</v>
      </c>
      <c r="E13" s="15">
        <v>10</v>
      </c>
      <c r="F13" s="15">
        <f t="shared" si="0"/>
        <v>90</v>
      </c>
      <c r="G13" s="14" t="s">
        <v>18</v>
      </c>
      <c r="H13" s="12"/>
      <c r="J13" s="11">
        <v>2</v>
      </c>
      <c r="K13" s="10"/>
      <c r="L13" s="10">
        <v>6</v>
      </c>
      <c r="M13" s="10"/>
      <c r="N13" s="10"/>
      <c r="O13" s="10">
        <v>1</v>
      </c>
      <c r="P13" s="10">
        <v>1</v>
      </c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v>10</v>
      </c>
      <c r="F15" s="15">
        <f t="shared" si="0"/>
        <v>610</v>
      </c>
      <c r="G15" s="14"/>
      <c r="H15" s="12"/>
      <c r="J15" s="11"/>
      <c r="K15" s="10"/>
      <c r="L15" s="10"/>
      <c r="M15" s="10"/>
      <c r="N15" s="10"/>
      <c r="O15" s="10">
        <v>3</v>
      </c>
      <c r="P15" s="10">
        <v>4</v>
      </c>
      <c r="Q15" s="10"/>
      <c r="R15" s="10"/>
      <c r="S15" s="10">
        <v>3</v>
      </c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90</v>
      </c>
      <c r="F22" s="6">
        <f>SUBTOTAL(9,F3:F21)</f>
        <v>5640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241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X22"/>
  <sheetViews>
    <sheetView workbookViewId="0">
      <pane xSplit="8" ySplit="2" topLeftCell="I6" activePane="bottomRight" state="frozen"/>
      <selection pane="topRight" activeCell="I1" sqref="I1"/>
      <selection pane="bottomLeft" activeCell="A3" sqref="A3"/>
      <selection pane="bottomRight" activeCell="I7" sqref="I7"/>
    </sheetView>
  </sheetViews>
  <sheetFormatPr defaultRowHeight="15" x14ac:dyDescent="0.25"/>
  <cols>
    <col min="1" max="1" width="12.42578125" bestFit="1" customWidth="1"/>
    <col min="2" max="2" width="20.7109375" customWidth="1"/>
    <col min="3" max="3" width="16" customWidth="1"/>
    <col min="4" max="4" width="16.140625" customWidth="1"/>
    <col min="5" max="5" width="15" customWidth="1"/>
    <col min="6" max="6" width="17.85546875" bestFit="1" customWidth="1"/>
    <col min="7" max="7" width="24.28515625" bestFit="1" customWidth="1"/>
    <col min="8" max="8" width="4.5703125" customWidth="1"/>
    <col min="9" max="9" width="5.42578125" customWidth="1"/>
    <col min="10" max="21" width="4.42578125" customWidth="1"/>
    <col min="24" max="24" width="29.7109375" hidden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>
        <v>46335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210</v>
      </c>
      <c r="E3" s="15">
        <v>20</v>
      </c>
      <c r="F3" s="15">
        <f t="shared" ref="F3:F19" si="0">D3-E3</f>
        <v>190</v>
      </c>
      <c r="G3" s="14" t="s">
        <v>17</v>
      </c>
      <c r="H3" s="12"/>
      <c r="J3" s="11"/>
      <c r="K3" s="10">
        <v>5</v>
      </c>
      <c r="L3" s="10">
        <v>1</v>
      </c>
      <c r="M3" s="10">
        <v>2</v>
      </c>
      <c r="N3" s="10">
        <v>2</v>
      </c>
      <c r="O3" s="10">
        <v>2</v>
      </c>
      <c r="P3" s="10"/>
      <c r="Q3" s="10"/>
      <c r="R3" s="10">
        <v>4</v>
      </c>
      <c r="S3" s="10">
        <v>4</v>
      </c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910</v>
      </c>
      <c r="E4" s="15">
        <v>10</v>
      </c>
      <c r="F4" s="15">
        <f t="shared" si="0"/>
        <v>900</v>
      </c>
      <c r="G4" s="14" t="s">
        <v>18</v>
      </c>
      <c r="H4" s="12"/>
      <c r="J4" s="11"/>
      <c r="K4" s="10"/>
      <c r="L4" s="10">
        <v>2</v>
      </c>
      <c r="M4" s="10"/>
      <c r="N4" s="10">
        <v>4</v>
      </c>
      <c r="O4" s="10"/>
      <c r="P4" s="10">
        <v>1</v>
      </c>
      <c r="Q4" s="10">
        <v>3</v>
      </c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310</v>
      </c>
      <c r="E5" s="15">
        <f t="shared" ref="E5:E19" si="1">SUM(J5:U5)</f>
        <v>0</v>
      </c>
      <c r="F5" s="15">
        <f t="shared" si="0"/>
        <v>310</v>
      </c>
      <c r="G5" s="14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14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14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900</v>
      </c>
      <c r="E8" s="15">
        <v>10</v>
      </c>
      <c r="F8" s="15">
        <f t="shared" si="0"/>
        <v>890</v>
      </c>
      <c r="G8" s="14" t="s">
        <v>18</v>
      </c>
      <c r="H8" s="12"/>
      <c r="J8" s="11"/>
      <c r="K8" s="10"/>
      <c r="L8" s="10">
        <v>1</v>
      </c>
      <c r="M8" s="10"/>
      <c r="N8" s="10">
        <v>2</v>
      </c>
      <c r="O8" s="10">
        <v>1</v>
      </c>
      <c r="P8" s="10"/>
      <c r="Q8" s="10"/>
      <c r="R8" s="10">
        <v>2</v>
      </c>
      <c r="S8" s="10">
        <v>2</v>
      </c>
      <c r="T8" s="10">
        <v>2</v>
      </c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900</v>
      </c>
      <c r="E9" s="15">
        <f t="shared" si="1"/>
        <v>0</v>
      </c>
      <c r="F9" s="15">
        <f t="shared" si="0"/>
        <v>900</v>
      </c>
      <c r="G9" s="14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14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14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14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90</v>
      </c>
      <c r="E13" s="15">
        <v>10</v>
      </c>
      <c r="F13" s="15">
        <f t="shared" si="0"/>
        <v>80</v>
      </c>
      <c r="G13" s="14" t="s">
        <v>18</v>
      </c>
      <c r="H13" s="12"/>
      <c r="J13" s="11">
        <v>8</v>
      </c>
      <c r="K13" s="10">
        <v>1</v>
      </c>
      <c r="L13" s="10"/>
      <c r="M13" s="10"/>
      <c r="N13" s="10"/>
      <c r="O13" s="10">
        <v>1</v>
      </c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14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14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14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14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14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14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14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13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50</v>
      </c>
      <c r="F22" s="6">
        <f>SUBTOTAL(9,F3:F21)</f>
        <v>5630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219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S3" activePane="bottomRight" state="frozen"/>
      <selection pane="topRight" activeCell="I1" sqref="I1"/>
      <selection pane="bottomLeft" activeCell="A3" sqref="A3"/>
      <selection pane="bottomRight" activeCell="X1" sqref="X1:X1048576"/>
    </sheetView>
  </sheetViews>
  <sheetFormatPr defaultRowHeight="15" x14ac:dyDescent="0.25"/>
  <cols>
    <col min="1" max="1" width="12.42578125" bestFit="1" customWidth="1"/>
    <col min="2" max="2" width="19.28515625" customWidth="1"/>
    <col min="3" max="3" width="18.85546875" bestFit="1" customWidth="1"/>
    <col min="4" max="4" width="18.5703125" bestFit="1" customWidth="1"/>
    <col min="5" max="5" width="19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21" width="4.5703125" customWidth="1"/>
    <col min="24" max="24" width="29.7109375" hidden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40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190</v>
      </c>
      <c r="E3" s="15">
        <v>10</v>
      </c>
      <c r="F3" s="15">
        <f t="shared" ref="F3:F19" si="0">D3-E3</f>
        <v>180</v>
      </c>
      <c r="G3" s="29" t="s">
        <v>18</v>
      </c>
      <c r="H3" s="12"/>
      <c r="J3" s="11">
        <v>2</v>
      </c>
      <c r="K3" s="10"/>
      <c r="L3" s="10">
        <v>2</v>
      </c>
      <c r="M3" s="10"/>
      <c r="N3" s="10">
        <v>1</v>
      </c>
      <c r="O3" s="10"/>
      <c r="P3" s="10">
        <v>3</v>
      </c>
      <c r="Q3" s="10">
        <v>2</v>
      </c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900</v>
      </c>
      <c r="E4" s="15">
        <v>20</v>
      </c>
      <c r="F4" s="15">
        <f t="shared" si="0"/>
        <v>880</v>
      </c>
      <c r="G4" s="29" t="s">
        <v>18</v>
      </c>
      <c r="H4" s="12"/>
      <c r="J4" s="11">
        <v>2</v>
      </c>
      <c r="K4" s="10">
        <v>5</v>
      </c>
      <c r="L4" s="10">
        <v>1</v>
      </c>
      <c r="M4" s="10"/>
      <c r="N4" s="10">
        <v>2</v>
      </c>
      <c r="O4" s="10"/>
      <c r="P4" s="10">
        <v>2</v>
      </c>
      <c r="Q4" s="10"/>
      <c r="R4" s="10">
        <v>1</v>
      </c>
      <c r="S4" s="10"/>
      <c r="T4" s="10">
        <v>5</v>
      </c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890</v>
      </c>
      <c r="E8" s="15">
        <f t="shared" si="1"/>
        <v>0</v>
      </c>
      <c r="F8" s="15">
        <f t="shared" si="0"/>
        <v>890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900</v>
      </c>
      <c r="E9" s="15">
        <f t="shared" si="1"/>
        <v>0</v>
      </c>
      <c r="F9" s="15">
        <f t="shared" si="0"/>
        <v>900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80</v>
      </c>
      <c r="E13" s="15">
        <v>10</v>
      </c>
      <c r="F13" s="15">
        <f t="shared" si="0"/>
        <v>70</v>
      </c>
      <c r="G13" s="29" t="s">
        <v>18</v>
      </c>
      <c r="H13" s="12"/>
      <c r="J13" s="11">
        <v>4</v>
      </c>
      <c r="K13" s="10">
        <v>1</v>
      </c>
      <c r="L13" s="10">
        <v>3</v>
      </c>
      <c r="M13" s="10"/>
      <c r="N13" s="10"/>
      <c r="O13" s="10"/>
      <c r="P13" s="10">
        <v>2</v>
      </c>
      <c r="Q13" s="10"/>
      <c r="R13" s="10"/>
      <c r="S13" s="10">
        <v>1</v>
      </c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40</v>
      </c>
      <c r="F22" s="6">
        <f>SUBTOTAL(9,F3:F21)</f>
        <v>5570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197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U2" sqref="J1:U1048576"/>
    </sheetView>
  </sheetViews>
  <sheetFormatPr defaultRowHeight="15" x14ac:dyDescent="0.25"/>
  <cols>
    <col min="1" max="1" width="12.42578125" bestFit="1" customWidth="1"/>
    <col min="2" max="2" width="18.28515625" customWidth="1"/>
    <col min="3" max="3" width="15.7109375" customWidth="1"/>
    <col min="4" max="4" width="18.5703125" bestFit="1" customWidth="1"/>
    <col min="5" max="5" width="15.42578125" customWidth="1"/>
    <col min="6" max="6" width="16.140625" customWidth="1"/>
    <col min="7" max="7" width="24.28515625" bestFit="1" customWidth="1"/>
    <col min="8" max="8" width="4.5703125" customWidth="1"/>
    <col min="9" max="9" width="6" customWidth="1"/>
    <col min="10" max="21" width="4.7109375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41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180</v>
      </c>
      <c r="E3" s="15">
        <v>20</v>
      </c>
      <c r="F3" s="15">
        <f t="shared" ref="F3:F19" si="0">D3-E3</f>
        <v>160</v>
      </c>
      <c r="G3" s="29" t="s">
        <v>18</v>
      </c>
      <c r="H3" s="12"/>
      <c r="J3" s="11">
        <v>1</v>
      </c>
      <c r="K3" s="10"/>
      <c r="L3" s="10">
        <v>1</v>
      </c>
      <c r="M3" s="10"/>
      <c r="N3" s="10">
        <v>7</v>
      </c>
      <c r="O3" s="10">
        <v>3</v>
      </c>
      <c r="P3" s="10">
        <v>2</v>
      </c>
      <c r="Q3" s="10">
        <v>1</v>
      </c>
      <c r="R3" s="10">
        <v>2</v>
      </c>
      <c r="S3" s="10">
        <v>2</v>
      </c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880</v>
      </c>
      <c r="E4" s="15">
        <v>10</v>
      </c>
      <c r="F4" s="15">
        <f t="shared" si="0"/>
        <v>870</v>
      </c>
      <c r="G4" s="29" t="s">
        <v>18</v>
      </c>
      <c r="H4" s="12"/>
      <c r="J4" s="11"/>
      <c r="K4" s="10"/>
      <c r="L4" s="10"/>
      <c r="M4" s="10">
        <v>3</v>
      </c>
      <c r="N4" s="10">
        <v>3</v>
      </c>
      <c r="O4" s="10"/>
      <c r="P4" s="10"/>
      <c r="Q4" s="10"/>
      <c r="R4" s="10">
        <v>2</v>
      </c>
      <c r="S4" s="10">
        <v>2</v>
      </c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890</v>
      </c>
      <c r="E8" s="15">
        <f t="shared" si="1"/>
        <v>0</v>
      </c>
      <c r="F8" s="15">
        <f t="shared" si="0"/>
        <v>890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900</v>
      </c>
      <c r="E9" s="15">
        <v>10</v>
      </c>
      <c r="F9" s="15">
        <f t="shared" si="0"/>
        <v>890</v>
      </c>
      <c r="G9" s="29" t="s">
        <v>18</v>
      </c>
      <c r="H9" s="12"/>
      <c r="J9" s="11">
        <v>2</v>
      </c>
      <c r="K9" s="10">
        <v>2</v>
      </c>
      <c r="L9" s="10">
        <v>3</v>
      </c>
      <c r="M9" s="10">
        <v>2</v>
      </c>
      <c r="N9" s="10"/>
      <c r="O9" s="10">
        <v>2</v>
      </c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70</v>
      </c>
      <c r="E13" s="15">
        <v>10</v>
      </c>
      <c r="F13" s="15">
        <f t="shared" si="0"/>
        <v>60</v>
      </c>
      <c r="G13" s="29" t="s">
        <v>18</v>
      </c>
      <c r="H13" s="12"/>
      <c r="J13" s="11">
        <v>2</v>
      </c>
      <c r="K13" s="10"/>
      <c r="L13" s="10">
        <v>2</v>
      </c>
      <c r="M13" s="10"/>
      <c r="N13" s="10"/>
      <c r="O13" s="10">
        <v>2</v>
      </c>
      <c r="P13" s="10">
        <v>2</v>
      </c>
      <c r="Q13" s="10"/>
      <c r="R13" s="10">
        <v>1</v>
      </c>
      <c r="S13" s="10">
        <v>1</v>
      </c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50</v>
      </c>
      <c r="F22" s="6">
        <f>SUBTOTAL(9,F3:F21)</f>
        <v>5520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175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U2" sqref="J1:U1048576"/>
    </sheetView>
  </sheetViews>
  <sheetFormatPr defaultRowHeight="15" x14ac:dyDescent="0.25"/>
  <cols>
    <col min="1" max="1" width="12.42578125" bestFit="1" customWidth="1"/>
    <col min="2" max="2" width="18.28515625" customWidth="1"/>
    <col min="3" max="3" width="15.7109375" customWidth="1"/>
    <col min="4" max="4" width="16" customWidth="1"/>
    <col min="5" max="5" width="19.42578125" customWidth="1"/>
    <col min="6" max="6" width="15" customWidth="1"/>
    <col min="7" max="7" width="24.28515625" bestFit="1" customWidth="1"/>
    <col min="8" max="8" width="4.5703125" customWidth="1"/>
    <col min="9" max="9" width="6" customWidth="1"/>
    <col min="10" max="21" width="4.7109375" customWidth="1"/>
    <col min="24" max="24" width="29.7109375" hidden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42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160</v>
      </c>
      <c r="E3" s="15">
        <v>10</v>
      </c>
      <c r="F3" s="15">
        <f t="shared" ref="F3:F19" si="0">D3-E3</f>
        <v>150</v>
      </c>
      <c r="G3" s="29" t="s">
        <v>18</v>
      </c>
      <c r="H3" s="12"/>
      <c r="J3" s="11"/>
      <c r="K3" s="10">
        <v>5</v>
      </c>
      <c r="L3" s="10"/>
      <c r="M3" s="10"/>
      <c r="N3" s="10">
        <v>3</v>
      </c>
      <c r="O3" s="10">
        <v>1</v>
      </c>
      <c r="P3" s="10">
        <v>1</v>
      </c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870</v>
      </c>
      <c r="E4" s="15">
        <v>10</v>
      </c>
      <c r="F4" s="15">
        <f t="shared" si="0"/>
        <v>860</v>
      </c>
      <c r="G4" s="29" t="s">
        <v>18</v>
      </c>
      <c r="H4" s="12"/>
      <c r="J4" s="11">
        <v>4</v>
      </c>
      <c r="K4" s="10"/>
      <c r="L4" s="10">
        <v>1</v>
      </c>
      <c r="M4" s="10">
        <v>1</v>
      </c>
      <c r="N4" s="10"/>
      <c r="O4" s="10"/>
      <c r="P4" s="10">
        <v>1</v>
      </c>
      <c r="Q4" s="10"/>
      <c r="R4" s="10">
        <v>2</v>
      </c>
      <c r="S4" s="10">
        <v>1</v>
      </c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890</v>
      </c>
      <c r="E8" s="15">
        <v>10</v>
      </c>
      <c r="F8" s="15">
        <f t="shared" si="0"/>
        <v>880</v>
      </c>
      <c r="G8" s="29" t="s">
        <v>17</v>
      </c>
      <c r="H8" s="12"/>
      <c r="J8" s="11">
        <v>1</v>
      </c>
      <c r="K8" s="10"/>
      <c r="L8" s="10"/>
      <c r="M8" s="10"/>
      <c r="N8" s="10"/>
      <c r="O8" s="10">
        <v>5</v>
      </c>
      <c r="P8" s="10"/>
      <c r="Q8" s="10">
        <v>4</v>
      </c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1"/>
        <v>0</v>
      </c>
      <c r="F9" s="15">
        <f t="shared" si="0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60</v>
      </c>
      <c r="E13" s="15">
        <v>10</v>
      </c>
      <c r="F13" s="15">
        <f t="shared" si="0"/>
        <v>50</v>
      </c>
      <c r="G13" s="29" t="s">
        <v>18</v>
      </c>
      <c r="H13" s="12"/>
      <c r="J13" s="11">
        <v>4</v>
      </c>
      <c r="K13" s="10">
        <v>1</v>
      </c>
      <c r="L13" s="10">
        <v>3</v>
      </c>
      <c r="M13" s="10"/>
      <c r="N13" s="10"/>
      <c r="O13" s="10"/>
      <c r="P13" s="10"/>
      <c r="Q13" s="10">
        <v>2</v>
      </c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40</v>
      </c>
      <c r="F22" s="6">
        <f>SUBTOTAL(9,F3:F21)</f>
        <v>5510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153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I6" activePane="bottomRight" state="frozen"/>
      <selection pane="topRight" activeCell="I1" sqref="I1"/>
      <selection pane="bottomLeft" activeCell="A3" sqref="A3"/>
      <selection pane="bottomRight" activeCell="V6" sqref="V6"/>
    </sheetView>
  </sheetViews>
  <sheetFormatPr defaultRowHeight="15" x14ac:dyDescent="0.25"/>
  <cols>
    <col min="1" max="1" width="12.42578125" bestFit="1" customWidth="1"/>
    <col min="2" max="2" width="19.28515625" customWidth="1"/>
    <col min="3" max="3" width="13.7109375" customWidth="1"/>
    <col min="4" max="4" width="18.5703125" bestFit="1" customWidth="1"/>
    <col min="5" max="5" width="15.42578125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21" width="4.5703125" customWidth="1"/>
    <col min="24" max="24" width="29.7109375" hidden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43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150</v>
      </c>
      <c r="E3" s="15">
        <v>10</v>
      </c>
      <c r="F3" s="15">
        <f t="shared" ref="F3:F19" si="0">D3-E3</f>
        <v>140</v>
      </c>
      <c r="G3" s="29" t="s">
        <v>18</v>
      </c>
      <c r="H3" s="12"/>
      <c r="J3" s="11"/>
      <c r="K3" s="10">
        <v>3</v>
      </c>
      <c r="L3" s="10">
        <v>1</v>
      </c>
      <c r="M3" s="10"/>
      <c r="N3" s="10"/>
      <c r="O3" s="10">
        <v>2</v>
      </c>
      <c r="P3" s="10"/>
      <c r="Q3" s="10"/>
      <c r="R3" s="10"/>
      <c r="S3" s="10">
        <v>4</v>
      </c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860</v>
      </c>
      <c r="E4" s="15">
        <v>10</v>
      </c>
      <c r="F4" s="15">
        <f t="shared" si="0"/>
        <v>850</v>
      </c>
      <c r="G4" s="29" t="s">
        <v>18</v>
      </c>
      <c r="H4" s="12"/>
      <c r="J4" s="11"/>
      <c r="K4" s="10">
        <v>2</v>
      </c>
      <c r="L4" s="10"/>
      <c r="M4" s="10">
        <v>1</v>
      </c>
      <c r="N4" s="10">
        <v>5</v>
      </c>
      <c r="O4" s="10"/>
      <c r="P4" s="10"/>
      <c r="Q4" s="10"/>
      <c r="R4" s="10"/>
      <c r="S4" s="10"/>
      <c r="T4" s="10">
        <v>4</v>
      </c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ref="E5:E19" si="1">SUM(J5:U5)</f>
        <v>0</v>
      </c>
      <c r="F5" s="15">
        <f t="shared" si="0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2</v>
      </c>
      <c r="D8" s="15">
        <v>920</v>
      </c>
      <c r="E8" s="15">
        <f t="shared" si="1"/>
        <v>0</v>
      </c>
      <c r="F8" s="15">
        <f t="shared" si="0"/>
        <v>920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1"/>
        <v>0</v>
      </c>
      <c r="F9" s="15">
        <f t="shared" si="0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50</v>
      </c>
      <c r="E13" s="15">
        <v>30</v>
      </c>
      <c r="F13" s="15">
        <f t="shared" si="0"/>
        <v>20</v>
      </c>
      <c r="G13" s="29" t="s">
        <v>17</v>
      </c>
      <c r="H13" s="12"/>
      <c r="J13" s="11">
        <v>9</v>
      </c>
      <c r="K13" s="10"/>
      <c r="L13" s="10">
        <v>5</v>
      </c>
      <c r="M13" s="10"/>
      <c r="N13" s="10"/>
      <c r="O13" s="10"/>
      <c r="P13" s="10">
        <v>3</v>
      </c>
      <c r="Q13" s="10">
        <v>6</v>
      </c>
      <c r="R13" s="10">
        <v>1</v>
      </c>
      <c r="S13" s="10">
        <v>6</v>
      </c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50</v>
      </c>
      <c r="F22" s="6">
        <f>SUBTOTAL(9,F3:F21)</f>
        <v>5500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131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tabSelected="1" workbookViewId="0">
      <pane xSplit="8" ySplit="2" topLeftCell="N3" activePane="bottomRight" state="frozen"/>
      <selection pane="topRight" activeCell="I1" sqref="I1"/>
      <selection pane="bottomLeft" activeCell="A3" sqref="A3"/>
      <selection pane="bottomRight" activeCell="P7" sqref="P7"/>
    </sheetView>
  </sheetViews>
  <sheetFormatPr defaultRowHeight="15" x14ac:dyDescent="0.25"/>
  <cols>
    <col min="1" max="1" width="12.42578125" bestFit="1" customWidth="1"/>
    <col min="2" max="2" width="18.7109375" customWidth="1"/>
    <col min="3" max="3" width="16.28515625" customWidth="1"/>
    <col min="4" max="4" width="18.5703125" bestFit="1" customWidth="1"/>
    <col min="5" max="5" width="14.85546875" customWidth="1"/>
    <col min="6" max="6" width="15.140625" customWidth="1"/>
    <col min="7" max="7" width="24.28515625" bestFit="1" customWidth="1"/>
    <col min="8" max="8" width="4.5703125" customWidth="1"/>
    <col min="9" max="9" width="2.42578125" customWidth="1"/>
    <col min="10" max="21" width="5.140625" customWidth="1"/>
    <col min="24" max="24" width="29.7109375" hidden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48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240</v>
      </c>
      <c r="E3" s="15">
        <f t="shared" ref="E3:E19" si="0">SUM(J3:U3)</f>
        <v>10</v>
      </c>
      <c r="F3" s="15">
        <f t="shared" ref="F3:F19" si="1">D3-E3</f>
        <v>230</v>
      </c>
      <c r="G3" s="29"/>
      <c r="H3" s="12"/>
      <c r="J3" s="37">
        <v>2</v>
      </c>
      <c r="K3" s="36">
        <v>2</v>
      </c>
      <c r="L3" s="36"/>
      <c r="M3" s="36"/>
      <c r="N3" s="36">
        <v>1</v>
      </c>
      <c r="O3" s="36">
        <v>1</v>
      </c>
      <c r="P3" s="36"/>
      <c r="Q3" s="36"/>
      <c r="R3" s="36">
        <v>2</v>
      </c>
      <c r="S3" s="36">
        <v>1</v>
      </c>
      <c r="T3" s="36">
        <v>1</v>
      </c>
      <c r="U3" s="35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950</v>
      </c>
      <c r="E4" s="15">
        <f t="shared" si="0"/>
        <v>0</v>
      </c>
      <c r="F4" s="15">
        <f t="shared" si="1"/>
        <v>950</v>
      </c>
      <c r="G4" s="29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0"/>
        <v>0</v>
      </c>
      <c r="F5" s="15">
        <f t="shared" si="1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0"/>
        <v>0</v>
      </c>
      <c r="F6" s="15">
        <f t="shared" si="1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0"/>
        <v>0</v>
      </c>
      <c r="F7" s="15">
        <f t="shared" si="1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11</v>
      </c>
      <c r="D8" s="15">
        <v>920</v>
      </c>
      <c r="E8" s="15">
        <f t="shared" si="0"/>
        <v>10</v>
      </c>
      <c r="F8" s="15">
        <f t="shared" si="1"/>
        <v>910</v>
      </c>
      <c r="G8" s="29"/>
      <c r="H8" s="12"/>
      <c r="J8" s="37"/>
      <c r="K8" s="36"/>
      <c r="L8" s="36"/>
      <c r="M8" s="36">
        <v>4</v>
      </c>
      <c r="N8" s="36"/>
      <c r="O8" s="36">
        <v>4</v>
      </c>
      <c r="P8" s="36"/>
      <c r="Q8" s="36"/>
      <c r="R8" s="36">
        <v>2</v>
      </c>
      <c r="S8" s="36"/>
      <c r="T8" s="36"/>
      <c r="U8" s="35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0"/>
        <v>0</v>
      </c>
      <c r="F9" s="15">
        <f t="shared" si="1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0"/>
        <v>0</v>
      </c>
      <c r="F10" s="15">
        <f t="shared" si="1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0"/>
        <v>0</v>
      </c>
      <c r="F11" s="15">
        <f t="shared" si="1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0"/>
        <v>0</v>
      </c>
      <c r="F12" s="15">
        <f t="shared" si="1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90</v>
      </c>
      <c r="E13" s="15">
        <f t="shared" si="0"/>
        <v>0</v>
      </c>
      <c r="F13" s="15">
        <f t="shared" si="1"/>
        <v>90</v>
      </c>
      <c r="G13" s="29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0"/>
        <v>0</v>
      </c>
      <c r="F14" s="15">
        <f t="shared" si="1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0"/>
        <v>0</v>
      </c>
      <c r="F15" s="15">
        <f t="shared" si="1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0"/>
        <v>0</v>
      </c>
      <c r="F16" s="15">
        <f t="shared" si="1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0"/>
        <v>0</v>
      </c>
      <c r="F17" s="15">
        <f t="shared" si="1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0"/>
        <v>0</v>
      </c>
      <c r="F18" s="15">
        <f t="shared" si="1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0"/>
        <v>0</v>
      </c>
      <c r="F19" s="15">
        <f t="shared" si="1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20</v>
      </c>
      <c r="F22" s="6">
        <f>SUBTOTAL(9,F3:F21)</f>
        <v>5750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109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P3" activePane="bottomRight" state="frozen"/>
      <selection pane="topRight" activeCell="I1" sqref="I1"/>
      <selection pane="bottomLeft" activeCell="A3" sqref="A3"/>
      <selection pane="bottomRight" activeCell="F9" sqref="F9:F10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44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240</v>
      </c>
      <c r="E3" s="15">
        <f t="shared" ref="E3:E19" si="0">SUM(J3:U3)</f>
        <v>0</v>
      </c>
      <c r="F3" s="15">
        <f t="shared" ref="F3:F19" si="1">D3-E3</f>
        <v>240</v>
      </c>
      <c r="G3" s="29"/>
      <c r="H3" s="12"/>
      <c r="J3" s="11"/>
      <c r="K3" s="10"/>
      <c r="L3" s="10"/>
      <c r="M3" s="10"/>
      <c r="N3" s="10"/>
      <c r="O3" s="10"/>
      <c r="P3" s="10"/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950</v>
      </c>
      <c r="E4" s="15">
        <f t="shared" si="0"/>
        <v>0</v>
      </c>
      <c r="F4" s="15">
        <f t="shared" si="1"/>
        <v>950</v>
      </c>
      <c r="G4" s="29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0"/>
        <v>0</v>
      </c>
      <c r="F5" s="15">
        <f t="shared" si="1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0"/>
        <v>0</v>
      </c>
      <c r="F6" s="15">
        <f t="shared" si="1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0"/>
        <v>0</v>
      </c>
      <c r="F7" s="15">
        <f t="shared" si="1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11</v>
      </c>
      <c r="D8" s="15">
        <v>920</v>
      </c>
      <c r="E8" s="15">
        <f t="shared" si="0"/>
        <v>0</v>
      </c>
      <c r="F8" s="15">
        <f t="shared" si="1"/>
        <v>920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0"/>
        <v>0</v>
      </c>
      <c r="F9" s="15">
        <f t="shared" si="1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0"/>
        <v>0</v>
      </c>
      <c r="F10" s="15">
        <f t="shared" si="1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0"/>
        <v>0</v>
      </c>
      <c r="F11" s="15">
        <f t="shared" si="1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0"/>
        <v>0</v>
      </c>
      <c r="F12" s="15">
        <f t="shared" si="1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90</v>
      </c>
      <c r="E13" s="15">
        <f t="shared" si="0"/>
        <v>0</v>
      </c>
      <c r="F13" s="15">
        <f t="shared" si="1"/>
        <v>90</v>
      </c>
      <c r="G13" s="29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0"/>
        <v>0</v>
      </c>
      <c r="F14" s="15">
        <f t="shared" si="1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0"/>
        <v>0</v>
      </c>
      <c r="F15" s="15">
        <f t="shared" si="1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0"/>
        <v>0</v>
      </c>
      <c r="F16" s="15">
        <f t="shared" si="1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0"/>
        <v>0</v>
      </c>
      <c r="F17" s="15">
        <f t="shared" si="1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0"/>
        <v>0</v>
      </c>
      <c r="F18" s="15">
        <f t="shared" si="1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0"/>
        <v>0</v>
      </c>
      <c r="F19" s="15">
        <f t="shared" si="1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0</v>
      </c>
      <c r="F22" s="6">
        <f>SUBTOTAL(9,F3:F21)</f>
        <v>5770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87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P3" activePane="bottomRight" state="frozen"/>
      <selection pane="topRight" activeCell="I1" sqref="I1"/>
      <selection pane="bottomLeft" activeCell="A3" sqref="A3"/>
      <selection pane="bottomRight" activeCell="E9" sqref="E9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45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240</v>
      </c>
      <c r="E3" s="15">
        <f t="shared" ref="E3:E19" si="0">SUM(J3:U3)</f>
        <v>0</v>
      </c>
      <c r="F3" s="15">
        <f t="shared" ref="F3:F19" si="1">D3-E3</f>
        <v>240</v>
      </c>
      <c r="G3" s="29"/>
      <c r="H3" s="12"/>
      <c r="J3" s="11"/>
      <c r="K3" s="10"/>
      <c r="L3" s="10"/>
      <c r="M3" s="10"/>
      <c r="N3" s="10"/>
      <c r="O3" s="10"/>
      <c r="P3" s="10"/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950</v>
      </c>
      <c r="E4" s="15">
        <f t="shared" si="0"/>
        <v>0</v>
      </c>
      <c r="F4" s="15">
        <f t="shared" si="1"/>
        <v>950</v>
      </c>
      <c r="G4" s="29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0"/>
        <v>0</v>
      </c>
      <c r="F5" s="15">
        <f t="shared" si="1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0"/>
        <v>0</v>
      </c>
      <c r="F6" s="15">
        <f t="shared" si="1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0"/>
        <v>0</v>
      </c>
      <c r="F7" s="15">
        <f t="shared" si="1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11</v>
      </c>
      <c r="D8" s="15">
        <v>920</v>
      </c>
      <c r="E8" s="15">
        <f t="shared" si="0"/>
        <v>0</v>
      </c>
      <c r="F8" s="15">
        <f t="shared" si="1"/>
        <v>920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0"/>
        <v>0</v>
      </c>
      <c r="F9" s="15">
        <f t="shared" si="1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0"/>
        <v>0</v>
      </c>
      <c r="F10" s="15">
        <f t="shared" si="1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0"/>
        <v>0</v>
      </c>
      <c r="F11" s="15">
        <f t="shared" si="1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0"/>
        <v>0</v>
      </c>
      <c r="F12" s="15">
        <f t="shared" si="1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90</v>
      </c>
      <c r="E13" s="15">
        <f t="shared" si="0"/>
        <v>0</v>
      </c>
      <c r="F13" s="15">
        <f t="shared" si="1"/>
        <v>90</v>
      </c>
      <c r="G13" s="29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0"/>
        <v>0</v>
      </c>
      <c r="F14" s="15">
        <f t="shared" si="1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0"/>
        <v>0</v>
      </c>
      <c r="F15" s="15">
        <f t="shared" si="1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0"/>
        <v>0</v>
      </c>
      <c r="F16" s="15">
        <f t="shared" si="1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0"/>
        <v>0</v>
      </c>
      <c r="F17" s="15">
        <f t="shared" si="1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0"/>
        <v>0</v>
      </c>
      <c r="F18" s="15">
        <f t="shared" si="1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0"/>
        <v>0</v>
      </c>
      <c r="F19" s="15">
        <f t="shared" si="1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0</v>
      </c>
      <c r="F22" s="6">
        <f>SUBTOTAL(9,F3:F21)</f>
        <v>5770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65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P3" activePane="bottomRight" state="frozen"/>
      <selection pane="topRight" activeCell="I1" sqref="I1"/>
      <selection pane="bottomLeft" activeCell="A3" sqref="A3"/>
      <selection pane="bottomRight" activeCell="E4" sqref="E4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46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240</v>
      </c>
      <c r="E3" s="15">
        <f>SUM(J3:U3)</f>
        <v>0</v>
      </c>
      <c r="F3" s="15">
        <f t="shared" ref="F3:F19" si="0">D3-E3</f>
        <v>240</v>
      </c>
      <c r="G3" s="29"/>
      <c r="H3" s="12"/>
      <c r="J3" s="11"/>
      <c r="K3" s="10"/>
      <c r="L3" s="10"/>
      <c r="M3" s="10"/>
      <c r="N3" s="10"/>
      <c r="O3" s="10"/>
      <c r="P3" s="10"/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950</v>
      </c>
      <c r="E4" s="15">
        <f t="shared" ref="E3:E19" si="1">SUM(J4:U4)</f>
        <v>0</v>
      </c>
      <c r="F4" s="15">
        <f t="shared" si="0"/>
        <v>950</v>
      </c>
      <c r="G4" s="29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1"/>
        <v>0</v>
      </c>
      <c r="F5" s="15">
        <f t="shared" si="0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1"/>
        <v>0</v>
      </c>
      <c r="F6" s="15">
        <f t="shared" si="0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1"/>
        <v>0</v>
      </c>
      <c r="F7" s="15">
        <f t="shared" si="0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11</v>
      </c>
      <c r="D8" s="15">
        <v>920</v>
      </c>
      <c r="E8" s="15">
        <f t="shared" si="1"/>
        <v>0</v>
      </c>
      <c r="F8" s="15">
        <f t="shared" si="0"/>
        <v>920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1"/>
        <v>0</v>
      </c>
      <c r="F9" s="15">
        <f t="shared" si="0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1"/>
        <v>0</v>
      </c>
      <c r="F10" s="15">
        <f t="shared" si="0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1"/>
        <v>0</v>
      </c>
      <c r="F11" s="15">
        <f t="shared" si="0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1"/>
        <v>0</v>
      </c>
      <c r="F12" s="15">
        <f t="shared" si="0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90</v>
      </c>
      <c r="E13" s="15">
        <f t="shared" si="1"/>
        <v>0</v>
      </c>
      <c r="F13" s="15">
        <f t="shared" si="0"/>
        <v>90</v>
      </c>
      <c r="G13" s="29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1"/>
        <v>0</v>
      </c>
      <c r="F14" s="15">
        <f t="shared" si="0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1"/>
        <v>0</v>
      </c>
      <c r="F15" s="15">
        <f t="shared" si="0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1"/>
        <v>0</v>
      </c>
      <c r="F16" s="15">
        <f t="shared" si="0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1"/>
        <v>0</v>
      </c>
      <c r="F17" s="15">
        <f t="shared" si="0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1"/>
        <v>0</v>
      </c>
      <c r="F18" s="15">
        <f t="shared" si="0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1"/>
        <v>0</v>
      </c>
      <c r="F19" s="15">
        <f t="shared" si="0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0</v>
      </c>
      <c r="F22" s="6">
        <f>SUBTOTAL(9,F3:F21)</f>
        <v>5770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43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pane xSplit="8" ySplit="2" topLeftCell="P3" activePane="bottomRight" state="frozen"/>
      <selection pane="topRight" activeCell="I1" sqref="I1"/>
      <selection pane="bottomLeft" activeCell="A3" sqref="A3"/>
      <selection pane="bottomRight" activeCell="G2" sqref="G2"/>
    </sheetView>
  </sheetViews>
  <sheetFormatPr defaultRowHeight="15" x14ac:dyDescent="0.25"/>
  <cols>
    <col min="1" max="1" width="12.42578125" bestFit="1" customWidth="1"/>
    <col min="2" max="2" width="24.140625" bestFit="1" customWidth="1"/>
    <col min="3" max="3" width="18.85546875" bestFit="1" customWidth="1"/>
    <col min="4" max="4" width="18.5703125" bestFit="1" customWidth="1"/>
    <col min="5" max="5" width="26.140625" bestFit="1" customWidth="1"/>
    <col min="6" max="6" width="17.85546875" bestFit="1" customWidth="1"/>
    <col min="7" max="7" width="24.28515625" bestFit="1" customWidth="1"/>
    <col min="8" max="8" width="4.5703125" customWidth="1"/>
    <col min="9" max="9" width="6" customWidth="1"/>
    <col min="10" max="18" width="11.7109375" bestFit="1" customWidth="1"/>
    <col min="19" max="21" width="12.7109375" bestFit="1" customWidth="1"/>
    <col min="24" max="24" width="29.7109375" bestFit="1" customWidth="1"/>
  </cols>
  <sheetData>
    <row r="1" spans="1:24" ht="48" customHeight="1" thickBot="1" x14ac:dyDescent="0.3">
      <c r="A1" s="28"/>
      <c r="B1" s="27"/>
      <c r="C1" s="31" t="s">
        <v>39</v>
      </c>
      <c r="D1" s="31"/>
      <c r="E1" s="31"/>
      <c r="F1" s="31"/>
      <c r="G1" s="26" t="s">
        <v>47</v>
      </c>
      <c r="H1" s="25"/>
      <c r="J1" s="32" t="s">
        <v>38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4"/>
    </row>
    <row r="2" spans="1:24" s="18" customFormat="1" ht="66.75" customHeight="1" x14ac:dyDescent="0.25">
      <c r="A2" s="24" t="s">
        <v>37</v>
      </c>
      <c r="B2" s="23" t="s">
        <v>36</v>
      </c>
      <c r="C2" s="23" t="s">
        <v>35</v>
      </c>
      <c r="D2" s="23" t="s">
        <v>34</v>
      </c>
      <c r="E2" s="23" t="s">
        <v>33</v>
      </c>
      <c r="F2" s="23" t="s">
        <v>32</v>
      </c>
      <c r="G2" s="22" t="s">
        <v>31</v>
      </c>
      <c r="H2" s="20"/>
      <c r="J2" s="21" t="s">
        <v>30</v>
      </c>
      <c r="K2" s="20" t="s">
        <v>29</v>
      </c>
      <c r="L2" s="20" t="s">
        <v>28</v>
      </c>
      <c r="M2" s="20" t="s">
        <v>27</v>
      </c>
      <c r="N2" s="20" t="s">
        <v>26</v>
      </c>
      <c r="O2" s="20" t="s">
        <v>25</v>
      </c>
      <c r="P2" s="20" t="s">
        <v>24</v>
      </c>
      <c r="Q2" s="20" t="s">
        <v>23</v>
      </c>
      <c r="R2" s="20" t="s">
        <v>22</v>
      </c>
      <c r="S2" s="20" t="s">
        <v>21</v>
      </c>
      <c r="T2" s="20" t="s">
        <v>20</v>
      </c>
      <c r="U2" s="19" t="s">
        <v>19</v>
      </c>
    </row>
    <row r="3" spans="1:24" ht="22.5" customHeight="1" x14ac:dyDescent="0.25">
      <c r="A3" s="17">
        <v>1</v>
      </c>
      <c r="B3" s="16" t="s">
        <v>5</v>
      </c>
      <c r="C3" s="16" t="s">
        <v>2</v>
      </c>
      <c r="D3" s="15">
        <v>240</v>
      </c>
      <c r="E3" s="15">
        <f t="shared" ref="E3:E19" si="0">SUM(J3:U3)</f>
        <v>0</v>
      </c>
      <c r="F3" s="15">
        <f t="shared" ref="F3:F19" si="1">D3-E3</f>
        <v>240</v>
      </c>
      <c r="G3" s="29"/>
      <c r="H3" s="12"/>
      <c r="J3" s="11"/>
      <c r="K3" s="10"/>
      <c r="L3" s="10"/>
      <c r="M3" s="10"/>
      <c r="N3" s="10"/>
      <c r="O3" s="10"/>
      <c r="P3" s="10"/>
      <c r="Q3" s="10"/>
      <c r="R3" s="10"/>
      <c r="S3" s="10"/>
      <c r="T3" s="10"/>
      <c r="U3" s="9"/>
      <c r="X3" t="s">
        <v>18</v>
      </c>
    </row>
    <row r="4" spans="1:24" ht="22.5" customHeight="1" x14ac:dyDescent="0.25">
      <c r="A4" s="17">
        <v>2</v>
      </c>
      <c r="B4" s="16" t="s">
        <v>5</v>
      </c>
      <c r="C4" s="16" t="s">
        <v>0</v>
      </c>
      <c r="D4" s="15">
        <v>950</v>
      </c>
      <c r="E4" s="15">
        <f t="shared" si="0"/>
        <v>0</v>
      </c>
      <c r="F4" s="15">
        <f t="shared" si="1"/>
        <v>950</v>
      </c>
      <c r="G4" s="29"/>
      <c r="H4" s="12"/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9"/>
      <c r="X4" t="s">
        <v>17</v>
      </c>
    </row>
    <row r="5" spans="1:24" ht="22.5" customHeight="1" x14ac:dyDescent="0.25">
      <c r="A5" s="17">
        <v>3</v>
      </c>
      <c r="B5" s="16" t="s">
        <v>5</v>
      </c>
      <c r="C5" s="16" t="s">
        <v>9</v>
      </c>
      <c r="D5" s="15">
        <v>290</v>
      </c>
      <c r="E5" s="15">
        <f t="shared" si="0"/>
        <v>0</v>
      </c>
      <c r="F5" s="15">
        <f t="shared" si="1"/>
        <v>290</v>
      </c>
      <c r="G5" s="29"/>
      <c r="H5" s="12"/>
      <c r="J5" s="11"/>
      <c r="K5" s="10"/>
      <c r="L5" s="10"/>
      <c r="M5" s="10"/>
      <c r="N5" s="10"/>
      <c r="O5" s="10"/>
      <c r="P5" s="10"/>
      <c r="Q5" s="10"/>
      <c r="R5" s="10"/>
      <c r="S5" s="10"/>
      <c r="T5" s="10"/>
      <c r="U5" s="9"/>
      <c r="X5" t="s">
        <v>16</v>
      </c>
    </row>
    <row r="6" spans="1:24" ht="22.5" customHeight="1" x14ac:dyDescent="0.25">
      <c r="A6" s="17">
        <v>4</v>
      </c>
      <c r="B6" s="16" t="s">
        <v>5</v>
      </c>
      <c r="C6" s="16" t="s">
        <v>15</v>
      </c>
      <c r="D6" s="15">
        <v>60</v>
      </c>
      <c r="E6" s="15">
        <f t="shared" si="0"/>
        <v>0</v>
      </c>
      <c r="F6" s="15">
        <f t="shared" si="1"/>
        <v>60</v>
      </c>
      <c r="G6" s="29"/>
      <c r="H6" s="12"/>
      <c r="J6" s="11"/>
      <c r="K6" s="10"/>
      <c r="L6" s="10"/>
      <c r="M6" s="10"/>
      <c r="N6" s="10"/>
      <c r="O6" s="10"/>
      <c r="P6" s="10"/>
      <c r="Q6" s="10"/>
      <c r="R6" s="10"/>
      <c r="S6" s="10"/>
      <c r="T6" s="10"/>
      <c r="U6" s="9"/>
      <c r="X6" t="s">
        <v>14</v>
      </c>
    </row>
    <row r="7" spans="1:24" ht="22.5" customHeight="1" x14ac:dyDescent="0.25">
      <c r="A7" s="17">
        <v>5</v>
      </c>
      <c r="B7" s="16" t="s">
        <v>5</v>
      </c>
      <c r="C7" s="16" t="s">
        <v>13</v>
      </c>
      <c r="D7" s="15">
        <v>0</v>
      </c>
      <c r="E7" s="15">
        <f t="shared" si="0"/>
        <v>0</v>
      </c>
      <c r="F7" s="15">
        <f t="shared" si="1"/>
        <v>0</v>
      </c>
      <c r="G7" s="29"/>
      <c r="H7" s="12"/>
      <c r="J7" s="11"/>
      <c r="K7" s="10"/>
      <c r="L7" s="10"/>
      <c r="M7" s="10"/>
      <c r="N7" s="10"/>
      <c r="O7" s="10"/>
      <c r="P7" s="10"/>
      <c r="Q7" s="10"/>
      <c r="R7" s="10"/>
      <c r="S7" s="10"/>
      <c r="T7" s="10"/>
      <c r="U7" s="9"/>
      <c r="X7" t="s">
        <v>12</v>
      </c>
    </row>
    <row r="8" spans="1:24" ht="22.5" customHeight="1" x14ac:dyDescent="0.25">
      <c r="A8" s="17">
        <v>6</v>
      </c>
      <c r="B8" s="16" t="s">
        <v>10</v>
      </c>
      <c r="C8" s="16" t="s">
        <v>11</v>
      </c>
      <c r="D8" s="15">
        <v>920</v>
      </c>
      <c r="E8" s="15">
        <f t="shared" si="0"/>
        <v>0</v>
      </c>
      <c r="F8" s="15">
        <f t="shared" si="1"/>
        <v>920</v>
      </c>
      <c r="G8" s="29"/>
      <c r="H8" s="12"/>
      <c r="J8" s="11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</row>
    <row r="9" spans="1:24" ht="22.5" customHeight="1" x14ac:dyDescent="0.25">
      <c r="A9" s="17">
        <v>7</v>
      </c>
      <c r="B9" s="16" t="s">
        <v>10</v>
      </c>
      <c r="C9" s="16" t="s">
        <v>0</v>
      </c>
      <c r="D9" s="15">
        <v>920</v>
      </c>
      <c r="E9" s="15">
        <f t="shared" si="0"/>
        <v>0</v>
      </c>
      <c r="F9" s="15">
        <f t="shared" si="1"/>
        <v>920</v>
      </c>
      <c r="G9" s="29"/>
      <c r="H9" s="12"/>
      <c r="J9" s="11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</row>
    <row r="10" spans="1:24" ht="22.5" customHeight="1" x14ac:dyDescent="0.25">
      <c r="A10" s="17">
        <v>8</v>
      </c>
      <c r="B10" s="16" t="s">
        <v>10</v>
      </c>
      <c r="C10" s="16" t="s">
        <v>9</v>
      </c>
      <c r="D10" s="15">
        <v>260</v>
      </c>
      <c r="E10" s="15">
        <f t="shared" si="0"/>
        <v>0</v>
      </c>
      <c r="F10" s="15">
        <f t="shared" si="1"/>
        <v>260</v>
      </c>
      <c r="G10" s="29"/>
      <c r="H10" s="12"/>
      <c r="J10" s="11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</row>
    <row r="11" spans="1:24" ht="22.5" customHeight="1" x14ac:dyDescent="0.25">
      <c r="A11" s="17">
        <v>9</v>
      </c>
      <c r="B11" s="16" t="s">
        <v>7</v>
      </c>
      <c r="C11" s="16" t="s">
        <v>0</v>
      </c>
      <c r="D11" s="15">
        <v>350</v>
      </c>
      <c r="E11" s="15">
        <f t="shared" si="0"/>
        <v>0</v>
      </c>
      <c r="F11" s="15">
        <f t="shared" si="1"/>
        <v>350</v>
      </c>
      <c r="G11" s="29"/>
      <c r="H11" s="12"/>
      <c r="J11" s="1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</row>
    <row r="12" spans="1:24" ht="22.5" customHeight="1" x14ac:dyDescent="0.25">
      <c r="A12" s="17">
        <v>10</v>
      </c>
      <c r="B12" s="16" t="s">
        <v>7</v>
      </c>
      <c r="C12" s="16" t="s">
        <v>8</v>
      </c>
      <c r="D12" s="15">
        <v>0</v>
      </c>
      <c r="E12" s="15">
        <f t="shared" si="0"/>
        <v>0</v>
      </c>
      <c r="F12" s="15">
        <f t="shared" si="1"/>
        <v>0</v>
      </c>
      <c r="G12" s="29"/>
      <c r="H12" s="12"/>
      <c r="J12" s="11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</row>
    <row r="13" spans="1:24" ht="22.5" customHeight="1" x14ac:dyDescent="0.25">
      <c r="A13" s="17">
        <v>11</v>
      </c>
      <c r="B13" s="16" t="s">
        <v>7</v>
      </c>
      <c r="C13" s="16" t="s">
        <v>2</v>
      </c>
      <c r="D13" s="15">
        <v>90</v>
      </c>
      <c r="E13" s="15">
        <f t="shared" si="0"/>
        <v>0</v>
      </c>
      <c r="F13" s="15">
        <f t="shared" si="1"/>
        <v>90</v>
      </c>
      <c r="G13" s="29"/>
      <c r="H13" s="12"/>
      <c r="J13" s="11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</row>
    <row r="14" spans="1:24" ht="22.5" customHeight="1" x14ac:dyDescent="0.25">
      <c r="A14" s="17">
        <v>12</v>
      </c>
      <c r="B14" s="16" t="s">
        <v>6</v>
      </c>
      <c r="C14" s="16" t="s">
        <v>2</v>
      </c>
      <c r="D14" s="15">
        <v>0</v>
      </c>
      <c r="E14" s="15">
        <f t="shared" si="0"/>
        <v>0</v>
      </c>
      <c r="F14" s="15">
        <f t="shared" si="1"/>
        <v>0</v>
      </c>
      <c r="G14" s="29"/>
      <c r="H14" s="12"/>
      <c r="J14" s="11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</row>
    <row r="15" spans="1:24" ht="22.5" customHeight="1" x14ac:dyDescent="0.25">
      <c r="A15" s="17">
        <v>13</v>
      </c>
      <c r="B15" s="16" t="s">
        <v>3</v>
      </c>
      <c r="C15" s="16" t="s">
        <v>2</v>
      </c>
      <c r="D15" s="15">
        <v>620</v>
      </c>
      <c r="E15" s="15">
        <f t="shared" si="0"/>
        <v>0</v>
      </c>
      <c r="F15" s="15">
        <f t="shared" si="1"/>
        <v>620</v>
      </c>
      <c r="G15" s="29"/>
      <c r="H15" s="12"/>
      <c r="J15" s="1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</row>
    <row r="16" spans="1:24" ht="22.5" customHeight="1" x14ac:dyDescent="0.25">
      <c r="A16" s="17">
        <v>14</v>
      </c>
      <c r="B16" s="16" t="s">
        <v>5</v>
      </c>
      <c r="C16" s="16" t="s">
        <v>4</v>
      </c>
      <c r="D16" s="15">
        <v>40</v>
      </c>
      <c r="E16" s="15">
        <f t="shared" si="0"/>
        <v>0</v>
      </c>
      <c r="F16" s="15">
        <f t="shared" si="1"/>
        <v>40</v>
      </c>
      <c r="G16" s="29"/>
      <c r="H16" s="12"/>
      <c r="J16" s="11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</row>
    <row r="17" spans="1:21" ht="22.5" customHeight="1" x14ac:dyDescent="0.25">
      <c r="A17" s="17">
        <v>15</v>
      </c>
      <c r="B17" s="16" t="s">
        <v>3</v>
      </c>
      <c r="C17" s="16" t="s">
        <v>0</v>
      </c>
      <c r="D17" s="15">
        <v>290</v>
      </c>
      <c r="E17" s="15">
        <f t="shared" si="0"/>
        <v>0</v>
      </c>
      <c r="F17" s="15">
        <f t="shared" si="1"/>
        <v>290</v>
      </c>
      <c r="G17" s="29"/>
      <c r="H17" s="12"/>
      <c r="J17" s="11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</row>
    <row r="18" spans="1:21" ht="22.5" customHeight="1" x14ac:dyDescent="0.25">
      <c r="A18" s="8">
        <v>16</v>
      </c>
      <c r="B18" s="7" t="s">
        <v>1</v>
      </c>
      <c r="C18" s="7" t="s">
        <v>2</v>
      </c>
      <c r="D18" s="15">
        <v>500</v>
      </c>
      <c r="E18" s="15">
        <f t="shared" si="0"/>
        <v>0</v>
      </c>
      <c r="F18" s="15">
        <f t="shared" si="1"/>
        <v>500</v>
      </c>
      <c r="G18" s="29"/>
      <c r="H18" s="12"/>
      <c r="J18" s="1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</row>
    <row r="19" spans="1:21" ht="22.5" customHeight="1" x14ac:dyDescent="0.25">
      <c r="A19" s="8">
        <v>17</v>
      </c>
      <c r="B19" s="16" t="s">
        <v>1</v>
      </c>
      <c r="C19" s="16" t="s">
        <v>0</v>
      </c>
      <c r="D19" s="15">
        <v>240</v>
      </c>
      <c r="E19" s="15">
        <f t="shared" si="0"/>
        <v>0</v>
      </c>
      <c r="F19" s="15">
        <f t="shared" si="1"/>
        <v>240</v>
      </c>
      <c r="G19" s="29"/>
      <c r="H19" s="12"/>
      <c r="J19" s="11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</row>
    <row r="20" spans="1:21" x14ac:dyDescent="0.25">
      <c r="A20" s="17"/>
      <c r="B20" s="16"/>
      <c r="C20" s="16"/>
      <c r="D20" s="15">
        <f>AP20+E20-C20</f>
        <v>0</v>
      </c>
      <c r="E20" s="15"/>
      <c r="F20" s="15"/>
      <c r="G20" s="29"/>
      <c r="H20" s="12"/>
      <c r="J20" s="1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</row>
    <row r="21" spans="1:21" x14ac:dyDescent="0.25">
      <c r="A21" s="8"/>
      <c r="B21" s="7"/>
      <c r="C21" s="7"/>
      <c r="D21" s="6">
        <f>AP21+E21-C21</f>
        <v>0</v>
      </c>
      <c r="E21" s="6"/>
      <c r="F21" s="6"/>
      <c r="G21" s="30"/>
      <c r="H21" s="12"/>
      <c r="J21" s="11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</row>
    <row r="22" spans="1:21" ht="15.75" thickBot="1" x14ac:dyDescent="0.3">
      <c r="A22" s="8"/>
      <c r="B22" s="7"/>
      <c r="C22" s="7"/>
      <c r="D22" s="7"/>
      <c r="E22" s="6">
        <f>SUBTOTAL(9,E3:E21)</f>
        <v>0</v>
      </c>
      <c r="F22" s="6">
        <f>SUBTOTAL(9,F3:F21)</f>
        <v>5770</v>
      </c>
      <c r="G22" s="5"/>
      <c r="H22" s="4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1"/>
    </row>
  </sheetData>
  <mergeCells count="2">
    <mergeCell ref="C1:F1"/>
    <mergeCell ref="J1:U1"/>
  </mergeCells>
  <conditionalFormatting sqref="D3:D19">
    <cfRule type="cellIs" dxfId="28" priority="1" stopIfTrue="1" operator="lessThan">
      <formula>51</formula>
    </cfRule>
  </conditionalFormatting>
  <dataValidations count="1">
    <dataValidation type="list" allowBlank="1" showInputMessage="1" showErrorMessage="1" sqref="G3:G21">
      <formula1>$X$3:$X$10</formula1>
    </dataValidation>
  </dataValidations>
  <pageMargins left="0.25" right="0.25" top="0.27500000000000002" bottom="0.2" header="0.3" footer="0.3"/>
  <pageSetup scale="90" orientation="landscape" verticalDpi="0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9-1</vt:lpstr>
      <vt:lpstr>9-2</vt:lpstr>
      <vt:lpstr>9-3</vt:lpstr>
      <vt:lpstr>9-4</vt:lpstr>
      <vt:lpstr>9-5</vt:lpstr>
      <vt:lpstr>9-7</vt:lpstr>
      <vt:lpstr>9-8</vt:lpstr>
      <vt:lpstr>9-9</vt:lpstr>
      <vt:lpstr>9-10</vt:lpstr>
      <vt:lpstr>9-11</vt:lpstr>
      <vt:lpstr>9-12</vt:lpstr>
      <vt:lpstr>9-14 </vt:lpstr>
      <vt:lpstr>9-15</vt:lpstr>
      <vt:lpstr>9-16</vt:lpstr>
      <vt:lpstr>9-17</vt:lpstr>
      <vt:lpstr>9-18</vt:lpstr>
      <vt:lpstr>9-19</vt:lpstr>
      <vt:lpstr>9-21</vt:lpstr>
      <vt:lpstr>9-22</vt:lpstr>
      <vt:lpstr>'9-1'!Print_Area</vt:lpstr>
      <vt:lpstr>'9-10'!Print_Area</vt:lpstr>
      <vt:lpstr>'9-11'!Print_Area</vt:lpstr>
      <vt:lpstr>'9-12'!Print_Area</vt:lpstr>
      <vt:lpstr>'9-14 '!Print_Area</vt:lpstr>
      <vt:lpstr>'9-15'!Print_Area</vt:lpstr>
      <vt:lpstr>'9-16'!Print_Area</vt:lpstr>
      <vt:lpstr>'9-17'!Print_Area</vt:lpstr>
      <vt:lpstr>'9-18'!Print_Area</vt:lpstr>
      <vt:lpstr>'9-19'!Print_Area</vt:lpstr>
      <vt:lpstr>'9-2'!Print_Area</vt:lpstr>
      <vt:lpstr>'9-21'!Print_Area</vt:lpstr>
      <vt:lpstr>'9-22'!Print_Area</vt:lpstr>
      <vt:lpstr>'9-3'!Print_Area</vt:lpstr>
      <vt:lpstr>'9-4'!Print_Area</vt:lpstr>
      <vt:lpstr>'9-5'!Print_Area</vt:lpstr>
      <vt:lpstr>'9-7'!Print_Area</vt:lpstr>
      <vt:lpstr>'9-8'!Print_Area</vt:lpstr>
      <vt:lpstr>'9-9'!Print_Area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 Sokhom</dc:creator>
  <cp:lastModifiedBy>Mao Sokhom</cp:lastModifiedBy>
  <dcterms:created xsi:type="dcterms:W3CDTF">2026-09-11T05:22:55Z</dcterms:created>
  <dcterms:modified xsi:type="dcterms:W3CDTF">2026-09-18T08:09:37Z</dcterms:modified>
</cp:coreProperties>
</file>