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Paul Report\Machine Speartart &amp; Needle Report\28-9-2026\"/>
    </mc:Choice>
  </mc:AlternateContent>
  <bookViews>
    <workbookView xWindow="0" yWindow="0" windowWidth="20490" windowHeight="7620" firstSheet="20" activeTab="22"/>
  </bookViews>
  <sheets>
    <sheet name="9-1" sheetId="1" r:id="rId1"/>
    <sheet name="9-2" sheetId="2" r:id="rId2"/>
    <sheet name="9-3" sheetId="4" r:id="rId3"/>
    <sheet name="9-4" sheetId="5" r:id="rId4"/>
    <sheet name="9-5" sheetId="6" r:id="rId5"/>
    <sheet name="9-7" sheetId="7" r:id="rId6"/>
    <sheet name="9-8" sheetId="8" r:id="rId7"/>
    <sheet name="9-9" sheetId="9" r:id="rId8"/>
    <sheet name="9-10" sheetId="10" r:id="rId9"/>
    <sheet name="9-11" sheetId="11" r:id="rId10"/>
    <sheet name="9-12" sheetId="13" r:id="rId11"/>
    <sheet name="9-14 " sheetId="14" r:id="rId12"/>
    <sheet name="9-15" sheetId="15" r:id="rId13"/>
    <sheet name="9-16" sheetId="16" r:id="rId14"/>
    <sheet name="9-17" sheetId="17" r:id="rId15"/>
    <sheet name="9-18" sheetId="18" r:id="rId16"/>
    <sheet name="9-19" sheetId="19" r:id="rId17"/>
    <sheet name="9-21" sheetId="20" r:id="rId18"/>
    <sheet name="9-22" sheetId="21" r:id="rId19"/>
    <sheet name="9-23" sheetId="22" r:id="rId20"/>
    <sheet name="9-24" sheetId="23" r:id="rId21"/>
    <sheet name="9-25" sheetId="25" r:id="rId22"/>
    <sheet name="9-28" sheetId="26" r:id="rId23"/>
  </sheets>
  <definedNames>
    <definedName name="_xlnm.Print_Area" localSheetId="0">'9-1'!$A$1:$G$19</definedName>
    <definedName name="_xlnm.Print_Area" localSheetId="8">'9-10'!$A$1:$G$19</definedName>
    <definedName name="_xlnm.Print_Area" localSheetId="9">'9-11'!$A$1:$G$19</definedName>
    <definedName name="_xlnm.Print_Area" localSheetId="10">'9-12'!$A$1:$G$19</definedName>
    <definedName name="_xlnm.Print_Area" localSheetId="11">'9-14 '!$A$1:$G$19</definedName>
    <definedName name="_xlnm.Print_Area" localSheetId="12">'9-15'!$A$1:$G$19</definedName>
    <definedName name="_xlnm.Print_Area" localSheetId="13">'9-16'!$A$1:$G$19</definedName>
    <definedName name="_xlnm.Print_Area" localSheetId="14">'9-17'!$A$1:$G$19</definedName>
    <definedName name="_xlnm.Print_Area" localSheetId="15">'9-18'!$A$1:$G$19</definedName>
    <definedName name="_xlnm.Print_Area" localSheetId="16">'9-19'!$A$1:$H$19</definedName>
    <definedName name="_xlnm.Print_Area" localSheetId="1">'9-2'!$A$1:$G$19</definedName>
    <definedName name="_xlnm.Print_Area" localSheetId="17">'9-21'!$A$1:$H$19</definedName>
    <definedName name="_xlnm.Print_Area" localSheetId="18">'9-22'!$A$1:$H$19</definedName>
    <definedName name="_xlnm.Print_Area" localSheetId="19">'9-23'!$A$1:$H$19</definedName>
    <definedName name="_xlnm.Print_Area" localSheetId="20">'9-24'!$A$1:$H$19</definedName>
    <definedName name="_xlnm.Print_Area" localSheetId="21">'9-25'!$A$1:$H$19</definedName>
    <definedName name="_xlnm.Print_Area" localSheetId="22">'9-28'!$A$1:$H$19</definedName>
    <definedName name="_xlnm.Print_Area" localSheetId="2">'9-3'!$A$1:$G$19</definedName>
    <definedName name="_xlnm.Print_Area" localSheetId="3">'9-4'!$A$1:$G$19</definedName>
    <definedName name="_xlnm.Print_Area" localSheetId="4">'9-5'!$A$1:$G$19</definedName>
    <definedName name="_xlnm.Print_Area" localSheetId="5">'9-7'!$A$1:$G$19</definedName>
    <definedName name="_xlnm.Print_Area" localSheetId="6">'9-8'!$A$1:$G$19</definedName>
    <definedName name="_xlnm.Print_Area" localSheetId="7">'9-9'!$A$1:$G$19</definedName>
  </definedNames>
  <calcPr calcId="162913" calcMode="autoNoTable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3" l="1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5" i="25"/>
  <c r="D3" i="25"/>
  <c r="D3" i="26"/>
  <c r="D10" i="26"/>
  <c r="E22" i="26" l="1"/>
  <c r="F19" i="26"/>
  <c r="F18" i="26"/>
  <c r="F17" i="26"/>
  <c r="F16" i="26"/>
  <c r="F15" i="26"/>
  <c r="F14" i="26"/>
  <c r="F12" i="26"/>
  <c r="F7" i="26"/>
  <c r="F6" i="26"/>
  <c r="F5" i="26"/>
  <c r="F22" i="26" l="1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3" i="21"/>
  <c r="F22" i="21" s="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13" i="20"/>
  <c r="F14" i="20"/>
  <c r="F15" i="20"/>
  <c r="F16" i="20"/>
  <c r="F17" i="20"/>
  <c r="F18" i="20"/>
  <c r="F19" i="20"/>
  <c r="F12" i="20"/>
  <c r="F4" i="20"/>
  <c r="F5" i="20"/>
  <c r="F6" i="20"/>
  <c r="F7" i="20"/>
  <c r="F8" i="20"/>
  <c r="F9" i="20"/>
  <c r="F10" i="20"/>
  <c r="F11" i="20"/>
  <c r="F3" i="20"/>
  <c r="F5" i="25"/>
  <c r="F6" i="25"/>
  <c r="F7" i="25"/>
  <c r="F22" i="25" s="1"/>
  <c r="F9" i="25"/>
  <c r="F12" i="25"/>
  <c r="F14" i="25"/>
  <c r="F15" i="25"/>
  <c r="F16" i="25"/>
  <c r="F17" i="25"/>
  <c r="F18" i="25"/>
  <c r="F19" i="25"/>
  <c r="E22" i="25"/>
  <c r="E22" i="23"/>
  <c r="E22" i="22"/>
  <c r="E22" i="21"/>
  <c r="E22" i="19"/>
  <c r="D14" i="19"/>
  <c r="D12" i="19"/>
  <c r="D13" i="19"/>
  <c r="D4" i="19"/>
  <c r="D3" i="19"/>
  <c r="D7" i="19"/>
  <c r="E22" i="20"/>
  <c r="F22" i="20" l="1"/>
  <c r="G5" i="25" l="1"/>
  <c r="D5" i="26" s="1"/>
  <c r="G5" i="26" s="1"/>
  <c r="F19" i="22"/>
  <c r="F18" i="22"/>
  <c r="F17" i="22"/>
  <c r="F16" i="22"/>
  <c r="F15" i="22"/>
  <c r="F14" i="22"/>
  <c r="F12" i="22"/>
  <c r="F10" i="22"/>
  <c r="F8" i="22"/>
  <c r="F7" i="22"/>
  <c r="F6" i="22"/>
  <c r="F5" i="22"/>
  <c r="F4" i="22"/>
  <c r="F3" i="22"/>
  <c r="F22" i="23" l="1"/>
  <c r="F22" i="22"/>
  <c r="D21" i="19" l="1"/>
  <c r="D20" i="19"/>
  <c r="D22" i="19" s="1"/>
  <c r="F19" i="19"/>
  <c r="G19" i="19" s="1"/>
  <c r="D19" i="20" s="1"/>
  <c r="G19" i="20" s="1"/>
  <c r="D19" i="21" s="1"/>
  <c r="G19" i="21" s="1"/>
  <c r="D19" i="22" s="1"/>
  <c r="G19" i="22" s="1"/>
  <c r="G19" i="23" s="1"/>
  <c r="D19" i="25" s="1"/>
  <c r="F18" i="19"/>
  <c r="G18" i="19" s="1"/>
  <c r="D18" i="20" s="1"/>
  <c r="G18" i="20" s="1"/>
  <c r="D18" i="21" s="1"/>
  <c r="G18" i="21" s="1"/>
  <c r="D18" i="22" s="1"/>
  <c r="G18" i="22" s="1"/>
  <c r="G18" i="23" s="1"/>
  <c r="D18" i="25" s="1"/>
  <c r="F17" i="19"/>
  <c r="G17" i="19" s="1"/>
  <c r="D17" i="20" s="1"/>
  <c r="G17" i="20" s="1"/>
  <c r="D17" i="21" s="1"/>
  <c r="G17" i="21" s="1"/>
  <c r="D17" i="22" s="1"/>
  <c r="G17" i="22" s="1"/>
  <c r="G17" i="23" s="1"/>
  <c r="D17" i="25" s="1"/>
  <c r="F16" i="19"/>
  <c r="G16" i="19" s="1"/>
  <c r="D16" i="20" s="1"/>
  <c r="G16" i="20" s="1"/>
  <c r="D16" i="21" s="1"/>
  <c r="G16" i="21" s="1"/>
  <c r="D16" i="22" s="1"/>
  <c r="G16" i="22" s="1"/>
  <c r="G16" i="23" s="1"/>
  <c r="D16" i="25" s="1"/>
  <c r="F15" i="19"/>
  <c r="G15" i="19" s="1"/>
  <c r="D15" i="20" s="1"/>
  <c r="G15" i="20" s="1"/>
  <c r="D15" i="21" s="1"/>
  <c r="G15" i="21" s="1"/>
  <c r="D15" i="22" s="1"/>
  <c r="G15" i="22" s="1"/>
  <c r="G15" i="23" s="1"/>
  <c r="D15" i="25" s="1"/>
  <c r="F14" i="19"/>
  <c r="G14" i="19" s="1"/>
  <c r="D14" i="20" s="1"/>
  <c r="G14" i="20" s="1"/>
  <c r="D14" i="21" s="1"/>
  <c r="G14" i="21" s="1"/>
  <c r="D14" i="22" s="1"/>
  <c r="G14" i="22" s="1"/>
  <c r="G14" i="23" s="1"/>
  <c r="D14" i="25" s="1"/>
  <c r="F13" i="19"/>
  <c r="G13" i="19" s="1"/>
  <c r="D13" i="20" s="1"/>
  <c r="G13" i="20" s="1"/>
  <c r="D13" i="21" s="1"/>
  <c r="G13" i="21" s="1"/>
  <c r="D13" i="22" s="1"/>
  <c r="G13" i="22" s="1"/>
  <c r="G13" i="23" s="1"/>
  <c r="F12" i="19"/>
  <c r="G12" i="19" s="1"/>
  <c r="D12" i="20" s="1"/>
  <c r="G12" i="20" s="1"/>
  <c r="D12" i="21" s="1"/>
  <c r="G12" i="21" s="1"/>
  <c r="D12" i="22" s="1"/>
  <c r="G12" i="22" s="1"/>
  <c r="G12" i="23" s="1"/>
  <c r="D12" i="25" s="1"/>
  <c r="F11" i="19"/>
  <c r="G11" i="19" s="1"/>
  <c r="D11" i="20" s="1"/>
  <c r="G11" i="20" s="1"/>
  <c r="D11" i="21" s="1"/>
  <c r="G11" i="21" s="1"/>
  <c r="D11" i="22" s="1"/>
  <c r="G11" i="22" s="1"/>
  <c r="G11" i="23" s="1"/>
  <c r="F10" i="19"/>
  <c r="G10" i="19" s="1"/>
  <c r="D10" i="20" s="1"/>
  <c r="G10" i="20" s="1"/>
  <c r="D10" i="21" s="1"/>
  <c r="G10" i="21" s="1"/>
  <c r="D10" i="22" s="1"/>
  <c r="G10" i="22" s="1"/>
  <c r="G10" i="23" s="1"/>
  <c r="D10" i="25" s="1"/>
  <c r="F9" i="19"/>
  <c r="G9" i="19" s="1"/>
  <c r="D9" i="20" s="1"/>
  <c r="G9" i="20" s="1"/>
  <c r="D9" i="21" s="1"/>
  <c r="G9" i="21" s="1"/>
  <c r="D9" i="22" s="1"/>
  <c r="G9" i="22" s="1"/>
  <c r="G9" i="23" s="1"/>
  <c r="D9" i="25" s="1"/>
  <c r="G8" i="19"/>
  <c r="D8" i="20" s="1"/>
  <c r="G8" i="20" s="1"/>
  <c r="D8" i="21" s="1"/>
  <c r="G8" i="21" s="1"/>
  <c r="D8" i="22" s="1"/>
  <c r="G8" i="22" s="1"/>
  <c r="G8" i="23" s="1"/>
  <c r="F7" i="19"/>
  <c r="G7" i="19" s="1"/>
  <c r="D7" i="20" s="1"/>
  <c r="F6" i="19"/>
  <c r="G6" i="19" s="1"/>
  <c r="D6" i="20" s="1"/>
  <c r="G6" i="20" s="1"/>
  <c r="D6" i="21" s="1"/>
  <c r="G6" i="21" s="1"/>
  <c r="D6" i="22" s="1"/>
  <c r="G6" i="22" s="1"/>
  <c r="G6" i="23" s="1"/>
  <c r="D6" i="25" s="1"/>
  <c r="G5" i="19"/>
  <c r="D5" i="20" s="1"/>
  <c r="G5" i="20" s="1"/>
  <c r="D5" i="21" s="1"/>
  <c r="G5" i="21" s="1"/>
  <c r="D5" i="22" s="1"/>
  <c r="G5" i="22" s="1"/>
  <c r="G4" i="19"/>
  <c r="D4" i="20" s="1"/>
  <c r="G4" i="20" s="1"/>
  <c r="D4" i="21" s="1"/>
  <c r="G4" i="21" s="1"/>
  <c r="D4" i="22" s="1"/>
  <c r="G4" i="22" s="1"/>
  <c r="G4" i="23" s="1"/>
  <c r="D4" i="25" s="1"/>
  <c r="G3" i="19"/>
  <c r="D3" i="20" s="1"/>
  <c r="G3" i="20" s="1"/>
  <c r="D21" i="18"/>
  <c r="D20" i="18"/>
  <c r="E19" i="18"/>
  <c r="F19" i="18" s="1"/>
  <c r="E18" i="18"/>
  <c r="F18" i="18" s="1"/>
  <c r="E17" i="18"/>
  <c r="F17" i="18" s="1"/>
  <c r="E16" i="18"/>
  <c r="F16" i="18" s="1"/>
  <c r="E15" i="18"/>
  <c r="F15" i="18" s="1"/>
  <c r="E14" i="18"/>
  <c r="F14" i="18" s="1"/>
  <c r="F13" i="18"/>
  <c r="E12" i="18"/>
  <c r="F12" i="18" s="1"/>
  <c r="E11" i="18"/>
  <c r="F11" i="18" s="1"/>
  <c r="E10" i="18"/>
  <c r="F10" i="18" s="1"/>
  <c r="E9" i="18"/>
  <c r="F9" i="18" s="1"/>
  <c r="F8" i="18"/>
  <c r="E7" i="18"/>
  <c r="F7" i="18" s="1"/>
  <c r="E6" i="18"/>
  <c r="F6" i="18" s="1"/>
  <c r="F5" i="18"/>
  <c r="E4" i="18"/>
  <c r="F4" i="18" s="1"/>
  <c r="F3" i="18"/>
  <c r="D21" i="17"/>
  <c r="D20" i="17"/>
  <c r="E19" i="17"/>
  <c r="F19" i="17" s="1"/>
  <c r="E18" i="17"/>
  <c r="F18" i="17" s="1"/>
  <c r="E17" i="17"/>
  <c r="F17" i="17" s="1"/>
  <c r="E16" i="17"/>
  <c r="F16" i="17" s="1"/>
  <c r="E15" i="17"/>
  <c r="F15" i="17" s="1"/>
  <c r="E14" i="17"/>
  <c r="F14" i="17" s="1"/>
  <c r="F13" i="17"/>
  <c r="E12" i="17"/>
  <c r="F12" i="17" s="1"/>
  <c r="F11" i="17"/>
  <c r="E11" i="17"/>
  <c r="E10" i="17"/>
  <c r="F10" i="17" s="1"/>
  <c r="E9" i="17"/>
  <c r="F9" i="17" s="1"/>
  <c r="F8" i="17"/>
  <c r="E7" i="17"/>
  <c r="F7" i="17" s="1"/>
  <c r="E6" i="17"/>
  <c r="F6" i="17" s="1"/>
  <c r="E5" i="17"/>
  <c r="F5" i="17" s="1"/>
  <c r="E4" i="17"/>
  <c r="F4" i="17" s="1"/>
  <c r="F3" i="17"/>
  <c r="D21" i="16"/>
  <c r="D20" i="16"/>
  <c r="E19" i="16"/>
  <c r="F19" i="16" s="1"/>
  <c r="E18" i="16"/>
  <c r="F18" i="16" s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E10" i="16"/>
  <c r="F10" i="16" s="1"/>
  <c r="E9" i="16"/>
  <c r="F9" i="16" s="1"/>
  <c r="F8" i="16"/>
  <c r="E7" i="16"/>
  <c r="F7" i="16" s="1"/>
  <c r="E6" i="16"/>
  <c r="F6" i="16" s="1"/>
  <c r="E5" i="16"/>
  <c r="F5" i="16" s="1"/>
  <c r="F4" i="16"/>
  <c r="F3" i="16"/>
  <c r="D21" i="15"/>
  <c r="D20" i="15"/>
  <c r="E19" i="15"/>
  <c r="F19" i="15" s="1"/>
  <c r="E18" i="15"/>
  <c r="F18" i="15" s="1"/>
  <c r="E17" i="15"/>
  <c r="F17" i="15" s="1"/>
  <c r="E16" i="15"/>
  <c r="F16" i="15" s="1"/>
  <c r="E15" i="15"/>
  <c r="F15" i="15" s="1"/>
  <c r="E14" i="15"/>
  <c r="F14" i="15" s="1"/>
  <c r="F13" i="15"/>
  <c r="E12" i="15"/>
  <c r="F12" i="15" s="1"/>
  <c r="E11" i="15"/>
  <c r="F11" i="15" s="1"/>
  <c r="E10" i="15"/>
  <c r="F10" i="15" s="1"/>
  <c r="E9" i="15"/>
  <c r="F9" i="15" s="1"/>
  <c r="F8" i="15"/>
  <c r="E7" i="15"/>
  <c r="F7" i="15" s="1"/>
  <c r="E6" i="15"/>
  <c r="F6" i="15" s="1"/>
  <c r="E5" i="15"/>
  <c r="F5" i="15" s="1"/>
  <c r="F4" i="15"/>
  <c r="F3" i="15"/>
  <c r="D21" i="14"/>
  <c r="D20" i="14"/>
  <c r="E19" i="14"/>
  <c r="F19" i="14" s="1"/>
  <c r="E18" i="14"/>
  <c r="F18" i="14" s="1"/>
  <c r="E17" i="14"/>
  <c r="F17" i="14" s="1"/>
  <c r="E16" i="14"/>
  <c r="F16" i="14" s="1"/>
  <c r="E15" i="14"/>
  <c r="F15" i="14" s="1"/>
  <c r="E14" i="14"/>
  <c r="F14" i="14" s="1"/>
  <c r="F13" i="14"/>
  <c r="E12" i="14"/>
  <c r="F12" i="14" s="1"/>
  <c r="E11" i="14"/>
  <c r="F11" i="14" s="1"/>
  <c r="E10" i="14"/>
  <c r="F10" i="14" s="1"/>
  <c r="F9" i="14"/>
  <c r="E8" i="14"/>
  <c r="F8" i="14" s="1"/>
  <c r="E7" i="14"/>
  <c r="F7" i="14" s="1"/>
  <c r="E6" i="14"/>
  <c r="F6" i="14" s="1"/>
  <c r="E5" i="14"/>
  <c r="F5" i="14" s="1"/>
  <c r="F4" i="14"/>
  <c r="F3" i="14"/>
  <c r="D21" i="13"/>
  <c r="D20" i="13"/>
  <c r="E19" i="13"/>
  <c r="F19" i="13" s="1"/>
  <c r="E18" i="13"/>
  <c r="F18" i="13" s="1"/>
  <c r="E17" i="13"/>
  <c r="F17" i="13" s="1"/>
  <c r="E16" i="13"/>
  <c r="F16" i="13" s="1"/>
  <c r="E15" i="13"/>
  <c r="F15" i="13" s="1"/>
  <c r="E14" i="13"/>
  <c r="F14" i="13" s="1"/>
  <c r="F13" i="13"/>
  <c r="E12" i="13"/>
  <c r="F12" i="13" s="1"/>
  <c r="E11" i="13"/>
  <c r="F11" i="13" s="1"/>
  <c r="E10" i="13"/>
  <c r="F10" i="13" s="1"/>
  <c r="E9" i="13"/>
  <c r="F9" i="13" s="1"/>
  <c r="E8" i="13"/>
  <c r="F8" i="13" s="1"/>
  <c r="E7" i="13"/>
  <c r="F7" i="13" s="1"/>
  <c r="E6" i="13"/>
  <c r="F6" i="13" s="1"/>
  <c r="E5" i="13"/>
  <c r="F5" i="13" s="1"/>
  <c r="F4" i="13"/>
  <c r="F3" i="13"/>
  <c r="D11" i="25" l="1"/>
  <c r="G11" i="25" s="1"/>
  <c r="D11" i="26" s="1"/>
  <c r="D8" i="25"/>
  <c r="G8" i="25" s="1"/>
  <c r="D8" i="26" s="1"/>
  <c r="G8" i="26" s="1"/>
  <c r="D13" i="25"/>
  <c r="G13" i="25" s="1"/>
  <c r="D13" i="26" s="1"/>
  <c r="G13" i="26" s="1"/>
  <c r="G16" i="25"/>
  <c r="D16" i="26" s="1"/>
  <c r="G16" i="26"/>
  <c r="G6" i="25"/>
  <c r="D6" i="26" s="1"/>
  <c r="G6" i="26" s="1"/>
  <c r="G14" i="25"/>
  <c r="D14" i="26" s="1"/>
  <c r="G14" i="26" s="1"/>
  <c r="G18" i="25"/>
  <c r="D18" i="26" s="1"/>
  <c r="G18" i="26" s="1"/>
  <c r="D3" i="21"/>
  <c r="G4" i="25"/>
  <c r="D4" i="26" s="1"/>
  <c r="G4" i="26" s="1"/>
  <c r="G12" i="25"/>
  <c r="D12" i="26" s="1"/>
  <c r="G12" i="26" s="1"/>
  <c r="G17" i="25"/>
  <c r="D17" i="26" s="1"/>
  <c r="G17" i="26" s="1"/>
  <c r="D22" i="20"/>
  <c r="G7" i="20"/>
  <c r="D7" i="21" s="1"/>
  <c r="G7" i="21" s="1"/>
  <c r="D7" i="22" s="1"/>
  <c r="G7" i="22" s="1"/>
  <c r="G7" i="23" s="1"/>
  <c r="D7" i="25" s="1"/>
  <c r="G15" i="25"/>
  <c r="D15" i="26" s="1"/>
  <c r="G15" i="26" s="1"/>
  <c r="G19" i="25"/>
  <c r="D19" i="26" s="1"/>
  <c r="G19" i="26" s="1"/>
  <c r="G3" i="21"/>
  <c r="D22" i="21"/>
  <c r="E22" i="13"/>
  <c r="F22" i="15"/>
  <c r="G22" i="19"/>
  <c r="F22" i="19"/>
  <c r="F22" i="18"/>
  <c r="E22" i="18"/>
  <c r="F22" i="17"/>
  <c r="E22" i="17"/>
  <c r="F22" i="16"/>
  <c r="E22" i="16"/>
  <c r="E22" i="15"/>
  <c r="F22" i="14"/>
  <c r="E22" i="14"/>
  <c r="F22" i="13"/>
  <c r="F3" i="2"/>
  <c r="F13" i="2"/>
  <c r="G7" i="25" l="1"/>
  <c r="D7" i="26" s="1"/>
  <c r="G7" i="26"/>
  <c r="G22" i="20"/>
  <c r="D3" i="22"/>
  <c r="G22" i="21"/>
  <c r="D21" i="11"/>
  <c r="D20" i="11"/>
  <c r="E19" i="11"/>
  <c r="F19" i="11" s="1"/>
  <c r="E18" i="11"/>
  <c r="F18" i="11" s="1"/>
  <c r="E17" i="11"/>
  <c r="F17" i="11" s="1"/>
  <c r="E16" i="11"/>
  <c r="F16" i="11" s="1"/>
  <c r="E15" i="11"/>
  <c r="F15" i="11" s="1"/>
  <c r="E14" i="11"/>
  <c r="F14" i="11" s="1"/>
  <c r="F13" i="11"/>
  <c r="E12" i="11"/>
  <c r="F12" i="11" s="1"/>
  <c r="E11" i="11"/>
  <c r="F11" i="11" s="1"/>
  <c r="E10" i="11"/>
  <c r="F10" i="11" s="1"/>
  <c r="E9" i="11"/>
  <c r="F9" i="11" s="1"/>
  <c r="F8" i="11"/>
  <c r="E7" i="11"/>
  <c r="F7" i="11" s="1"/>
  <c r="E6" i="11"/>
  <c r="F6" i="11" s="1"/>
  <c r="E5" i="11"/>
  <c r="F5" i="11" s="1"/>
  <c r="F4" i="11"/>
  <c r="D21" i="10"/>
  <c r="D20" i="10"/>
  <c r="E19" i="10"/>
  <c r="F19" i="10" s="1"/>
  <c r="E18" i="10"/>
  <c r="F18" i="10" s="1"/>
  <c r="E17" i="10"/>
  <c r="F17" i="10" s="1"/>
  <c r="E16" i="10"/>
  <c r="F16" i="10" s="1"/>
  <c r="F15" i="10"/>
  <c r="E14" i="10"/>
  <c r="F14" i="10" s="1"/>
  <c r="F13" i="10"/>
  <c r="E12" i="10"/>
  <c r="F12" i="10" s="1"/>
  <c r="F11" i="10"/>
  <c r="E10" i="10"/>
  <c r="F10" i="10" s="1"/>
  <c r="F9" i="10"/>
  <c r="F8" i="10"/>
  <c r="E7" i="10"/>
  <c r="F7" i="10" s="1"/>
  <c r="E6" i="10"/>
  <c r="F6" i="10" s="1"/>
  <c r="E5" i="10"/>
  <c r="F5" i="10" s="1"/>
  <c r="F4" i="10"/>
  <c r="F3" i="10"/>
  <c r="D21" i="9"/>
  <c r="D20" i="9"/>
  <c r="E19" i="9"/>
  <c r="F19" i="9" s="1"/>
  <c r="E18" i="9"/>
  <c r="F18" i="9" s="1"/>
  <c r="E17" i="9"/>
  <c r="F17" i="9" s="1"/>
  <c r="E16" i="9"/>
  <c r="F16" i="9" s="1"/>
  <c r="E15" i="9"/>
  <c r="F15" i="9" s="1"/>
  <c r="E14" i="9"/>
  <c r="F14" i="9" s="1"/>
  <c r="E13" i="9"/>
  <c r="F13" i="9" s="1"/>
  <c r="E12" i="9"/>
  <c r="F12" i="9" s="1"/>
  <c r="E11" i="9"/>
  <c r="F11" i="9" s="1"/>
  <c r="E10" i="9"/>
  <c r="F10" i="9" s="1"/>
  <c r="F9" i="9"/>
  <c r="F8" i="9"/>
  <c r="E7" i="9"/>
  <c r="F7" i="9" s="1"/>
  <c r="E6" i="9"/>
  <c r="F6" i="9" s="1"/>
  <c r="E5" i="9"/>
  <c r="F5" i="9" s="1"/>
  <c r="F4" i="9"/>
  <c r="F3" i="9"/>
  <c r="D21" i="8"/>
  <c r="D20" i="8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F13" i="8"/>
  <c r="E12" i="8"/>
  <c r="F12" i="8" s="1"/>
  <c r="E11" i="8"/>
  <c r="F11" i="8" s="1"/>
  <c r="E10" i="8"/>
  <c r="F10" i="8" s="1"/>
  <c r="E9" i="8"/>
  <c r="F9" i="8" s="1"/>
  <c r="F8" i="8"/>
  <c r="E7" i="8"/>
  <c r="F7" i="8" s="1"/>
  <c r="E6" i="8"/>
  <c r="F6" i="8" s="1"/>
  <c r="E5" i="8"/>
  <c r="F5" i="8" s="1"/>
  <c r="F4" i="8"/>
  <c r="F3" i="8"/>
  <c r="D21" i="7"/>
  <c r="D20" i="7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F13" i="7"/>
  <c r="E12" i="7"/>
  <c r="F12" i="7" s="1"/>
  <c r="E11" i="7"/>
  <c r="F11" i="7" s="1"/>
  <c r="E10" i="7"/>
  <c r="F10" i="7" s="1"/>
  <c r="F9" i="7"/>
  <c r="E8" i="7"/>
  <c r="F8" i="7" s="1"/>
  <c r="E7" i="7"/>
  <c r="F7" i="7" s="1"/>
  <c r="E6" i="7"/>
  <c r="F6" i="7" s="1"/>
  <c r="E5" i="7"/>
  <c r="F5" i="7" s="1"/>
  <c r="E4" i="7"/>
  <c r="F4" i="7" s="1"/>
  <c r="F3" i="7"/>
  <c r="D21" i="6"/>
  <c r="D20" i="6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F13" i="6"/>
  <c r="E12" i="6"/>
  <c r="F12" i="6" s="1"/>
  <c r="E11" i="6"/>
  <c r="F11" i="6" s="1"/>
  <c r="E10" i="6"/>
  <c r="F10" i="6" s="1"/>
  <c r="E9" i="6"/>
  <c r="F9" i="6" s="1"/>
  <c r="F8" i="6"/>
  <c r="E7" i="6"/>
  <c r="F7" i="6" s="1"/>
  <c r="E6" i="6"/>
  <c r="F6" i="6" s="1"/>
  <c r="E5" i="6"/>
  <c r="F5" i="6" s="1"/>
  <c r="E4" i="6"/>
  <c r="F4" i="6" s="1"/>
  <c r="E22" i="6"/>
  <c r="D21" i="5"/>
  <c r="D20" i="5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F13" i="5"/>
  <c r="E12" i="5"/>
  <c r="F12" i="5" s="1"/>
  <c r="E11" i="5"/>
  <c r="F11" i="5" s="1"/>
  <c r="E10" i="5"/>
  <c r="F10" i="5" s="1"/>
  <c r="F9" i="5"/>
  <c r="E8" i="5"/>
  <c r="F8" i="5" s="1"/>
  <c r="E7" i="5"/>
  <c r="F7" i="5" s="1"/>
  <c r="E6" i="5"/>
  <c r="F6" i="5" s="1"/>
  <c r="F5" i="5"/>
  <c r="F4" i="5"/>
  <c r="D21" i="4"/>
  <c r="D20" i="4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F8" i="4"/>
  <c r="E7" i="4"/>
  <c r="F7" i="4" s="1"/>
  <c r="E6" i="4"/>
  <c r="F6" i="4" s="1"/>
  <c r="E5" i="4"/>
  <c r="F5" i="4" s="1"/>
  <c r="E4" i="4"/>
  <c r="F4" i="4" s="1"/>
  <c r="E4" i="2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D20" i="2"/>
  <c r="D21" i="2"/>
  <c r="F3" i="1"/>
  <c r="E4" i="1"/>
  <c r="F4" i="1"/>
  <c r="F5" i="1"/>
  <c r="E6" i="1"/>
  <c r="F6" i="1"/>
  <c r="F7" i="1"/>
  <c r="F8" i="1"/>
  <c r="F9" i="1"/>
  <c r="E10" i="1"/>
  <c r="F10" i="1"/>
  <c r="E11" i="1"/>
  <c r="F11" i="1" s="1"/>
  <c r="E12" i="1"/>
  <c r="F12" i="1"/>
  <c r="F13" i="1"/>
  <c r="E14" i="1"/>
  <c r="F14" i="1" s="1"/>
  <c r="E15" i="1"/>
  <c r="F15" i="1"/>
  <c r="E16" i="1"/>
  <c r="F16" i="1" s="1"/>
  <c r="E17" i="1"/>
  <c r="F17" i="1"/>
  <c r="E18" i="1"/>
  <c r="F18" i="1" s="1"/>
  <c r="E19" i="1"/>
  <c r="F19" i="1"/>
  <c r="D20" i="1"/>
  <c r="D21" i="1"/>
  <c r="D22" i="22" l="1"/>
  <c r="G3" i="22"/>
  <c r="E22" i="2"/>
  <c r="F4" i="2"/>
  <c r="F22" i="2" s="1"/>
  <c r="E22" i="4"/>
  <c r="E22" i="7"/>
  <c r="E22" i="10"/>
  <c r="E22" i="5"/>
  <c r="E22" i="11"/>
  <c r="E22" i="8"/>
  <c r="F22" i="1"/>
  <c r="E22" i="1"/>
  <c r="F3" i="11"/>
  <c r="F22" i="11" s="1"/>
  <c r="F22" i="10"/>
  <c r="F22" i="9"/>
  <c r="E22" i="9"/>
  <c r="F22" i="8"/>
  <c r="F22" i="7"/>
  <c r="F3" i="6"/>
  <c r="F22" i="6" s="1"/>
  <c r="F3" i="5"/>
  <c r="F22" i="5" s="1"/>
  <c r="F3" i="4"/>
  <c r="F22" i="4" s="1"/>
  <c r="G22" i="26"/>
  <c r="G22" i="22" l="1"/>
  <c r="D3" i="23"/>
  <c r="D22" i="23" l="1"/>
  <c r="G3" i="23"/>
  <c r="G22" i="23" s="1"/>
  <c r="G9" i="25" l="1"/>
  <c r="D9" i="26" s="1"/>
  <c r="D22" i="26" s="1"/>
  <c r="D22" i="25"/>
  <c r="G22" i="25"/>
</calcChain>
</file>

<file path=xl/sharedStrings.xml><?xml version="1.0" encoding="utf-8"?>
<sst xmlns="http://schemas.openxmlformats.org/spreadsheetml/2006/main" count="1495" uniqueCount="56">
  <si>
    <t>90/14</t>
  </si>
  <si>
    <t>UYx128</t>
  </si>
  <si>
    <t>100/16</t>
  </si>
  <si>
    <t>UOX113</t>
  </si>
  <si>
    <t>75/11</t>
  </si>
  <si>
    <t>DBX1</t>
  </si>
  <si>
    <t>DPX17</t>
  </si>
  <si>
    <t>DPX5</t>
  </si>
  <si>
    <t>120/19</t>
  </si>
  <si>
    <t>80/12</t>
  </si>
  <si>
    <t>DCX27</t>
  </si>
  <si>
    <t>ផ្សេងៗ​ Other 其他</t>
  </si>
  <si>
    <t>110/18</t>
  </si>
  <si>
    <t>បាត់​ Lost 迷失</t>
  </si>
  <si>
    <t>65/9</t>
  </si>
  <si>
    <t>ប្តូរម៉ូដ Change Style, 更改样式</t>
  </si>
  <si>
    <t>បាក់​ Broken 破碎的</t>
  </si>
  <si>
    <t>ខូច​ Damage 损害</t>
  </si>
  <si>
    <t>Line# 12</t>
  </si>
  <si>
    <t>Line# 11</t>
  </si>
  <si>
    <t>Line# 10</t>
  </si>
  <si>
    <t>Line# 9</t>
  </si>
  <si>
    <t>Line# 8</t>
  </si>
  <si>
    <t>Line# 7</t>
  </si>
  <si>
    <t>Line# 6</t>
  </si>
  <si>
    <t>Line# 5</t>
  </si>
  <si>
    <t>Line# 4</t>
  </si>
  <si>
    <t>Line# 3</t>
  </si>
  <si>
    <t>Line# 2</t>
  </si>
  <si>
    <t>Line# 1</t>
  </si>
  <si>
    <t>សំគាល់ Remark 评论</t>
  </si>
  <si>
    <t>តុល្យភាព Balance 平衡</t>
  </si>
  <si>
    <t>ម្ជុលដែលបានផ្តល់ជូន, Issued  Needle, 已发放的针头</t>
  </si>
  <si>
    <t>ចំនួននៅសល់ Stock Left 剩余库存</t>
  </si>
  <si>
    <t>ទំហំ​ SIZE 尺寸</t>
  </si>
  <si>
    <t>ប្រភេទម្ជុល Needle Type 针型</t>
  </si>
  <si>
    <t>លរ No. 数字</t>
  </si>
  <si>
    <t>ខ្សែដេរម្ជុលដែលបានផ្តល់ជូន, Issued Needle Sewing Line,  缝纫线</t>
  </si>
  <si>
    <t>របាយការណ៏ដូរម្ជុលដេរ​ប្រចាំថ្ងៃ Daily Needles Change Report 每日针头更换报告</t>
  </si>
  <si>
    <t>12.9/26</t>
  </si>
  <si>
    <t>14.9/26</t>
  </si>
  <si>
    <t>15.9/26</t>
  </si>
  <si>
    <t>16.9/26</t>
  </si>
  <si>
    <t xml:space="preserve">                                                             </t>
  </si>
  <si>
    <t>24-9-2026</t>
  </si>
  <si>
    <t>23-9-2026</t>
  </si>
  <si>
    <t>22-9-2026</t>
  </si>
  <si>
    <t>21-9-2026</t>
  </si>
  <si>
    <t>19-9-2026</t>
  </si>
  <si>
    <t>18-9-2026</t>
  </si>
  <si>
    <t>17-9-2026</t>
  </si>
  <si>
    <t>ចំនួននៅសល់ Opening Balance 未结余额</t>
  </si>
  <si>
    <t>តុល្យភាព Closing Balance 期末余额</t>
  </si>
  <si>
    <t>ទទួល​ Received ​已收到</t>
  </si>
  <si>
    <t>25-9-2026</t>
  </si>
  <si>
    <t>28-9-2026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</si>
</sst>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\ \ &quot;Pcs&quot;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2" fillId="3" borderId="0" xfId="0" applyNumberFormat="1" applyFont="1" applyFill="1" applyBorder="1" applyAlignment="1">
      <alignment vertical="center" wrapText="1"/>
    </xf>
    <xf numFmtId="14" fontId="2" fillId="3" borderId="18" xfId="0" applyNumberFormat="1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520"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0\ \ &quot;Pc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  <dxf>
      <font>
        <b/>
        <i/>
        <color rgb="FF00206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3525" cy="6000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352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id="1" name="Table13810" displayName="Table13810" ref="A2:G22" totalsRowCount="1" headerRowDxfId="518" dataDxfId="516" totalsRowDxfId="514" headerRowBorderDxfId="517" tableBorderDxfId="515" totalsRowBorderDxfId="513">
  <autoFilter ref="A2:G21"/>
  <tableColumns count="7">
    <tableColumn id="1" name="លរ No. 数字" dataDxfId="512" totalsRowDxfId="511"/>
    <tableColumn id="2" name="ប្រភេទម្ជុល Needle Type 针型" dataDxfId="510" totalsRowDxfId="509"/>
    <tableColumn id="3" name="ទំហំ​ SIZE 尺寸" dataDxfId="508" totalsRowDxfId="507"/>
    <tableColumn id="4" name="ចំនួននៅសល់ Stock Left 剩余库存" dataDxfId="506" totalsRowDxfId="505">
      <calculatedColumnFormula>AP3+E3-C3</calculatedColumnFormula>
    </tableColumn>
    <tableColumn id="5" name="ម្ជុលដែលបានផ្តល់ជូន, Issued  Needle, 已发放的针头" totalsRowFunction="custom" dataDxfId="504" totalsRowDxfId="503">
      <calculatedColumnFormula>SUM(#REF!)</calculatedColumnFormula>
      <totalsRowFormula>SUBTOTAL(9,E3:E21)</totalsRowFormula>
    </tableColumn>
    <tableColumn id="8" name="តុល្យភាព Balance 平衡" totalsRowFunction="custom" dataDxfId="502" totalsRowDxfId="501">
      <calculatedColumnFormula>#REF!-E3+660</calculatedColumnFormula>
      <totalsRowFormula>SUBTOTAL(9,F3:F21)</totalsRowFormula>
    </tableColumn>
    <tableColumn id="9" name="សំគាល់ Remark 评论" dataDxfId="500" totalsRowDxfId="4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6911" displayName="Table6911" ref="J2:U21" totalsRowShown="0" headerRowDxfId="498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le13" displayName="Table13" ref="A2:G22" totalsRowCount="1" headerRowDxfId="496" dataDxfId="494" totalsRowDxfId="492" headerRowBorderDxfId="495" tableBorderDxfId="493" totalsRowBorderDxfId="491">
  <autoFilter ref="A2:G21"/>
  <tableColumns count="7">
    <tableColumn id="1" name="លរ No. 数字" dataDxfId="490" totalsRowDxfId="489"/>
    <tableColumn id="2" name="ប្រភេទម្ជុល Needle Type 针型" dataDxfId="488" totalsRowDxfId="487"/>
    <tableColumn id="3" name="ទំហំ​ SIZE 尺寸" dataDxfId="486" totalsRowDxfId="485"/>
    <tableColumn id="4" name="ចំនួននៅសល់ Stock Left 剩余库存" dataDxfId="484" totalsRowDxfId="483">
      <calculatedColumnFormula>AP3+E3-C3</calculatedColumnFormula>
    </tableColumn>
    <tableColumn id="5" name="ម្ជុលដែលបានផ្តល់ជូន, Issued  Needle, 已发放的针头" totalsRowFunction="custom" dataDxfId="482" totalsRowDxfId="481">
      <calculatedColumnFormula>SUM(#REF!)</calculatedColumnFormula>
      <totalsRowFormula>SUBTOTAL(9,E3:E21)</totalsRowFormula>
    </tableColumn>
    <tableColumn id="8" name="តុល្យភាព Balance 平衡" totalsRowFunction="custom" dataDxfId="480" totalsRowDxfId="479">
      <calculatedColumnFormula>#REF!-E3+660</calculatedColumnFormula>
      <totalsRowFormula>SUBTOTAL(9,F3:F21)</totalsRowFormula>
    </tableColumn>
    <tableColumn id="9" name="សំគាល់ Remark 评论" dataDxfId="478" totalsRowDxfId="47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6" displayName="Table6" ref="J2:U21" totalsRowShown="0" headerRowDxfId="476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7" name="Table1388" displayName="Table1388" ref="A2:G22" totalsRowCount="1" headerRowDxfId="474" dataDxfId="472" totalsRowDxfId="470" headerRowBorderDxfId="473" tableBorderDxfId="471" totalsRowBorderDxfId="469">
  <autoFilter ref="A2:G21"/>
  <tableColumns count="7">
    <tableColumn id="1" name="លរ No. 数字" dataDxfId="468" totalsRowDxfId="467"/>
    <tableColumn id="2" name="ប្រភេទម្ជុល Needle Type 针型" dataDxfId="466" totalsRowDxfId="465"/>
    <tableColumn id="3" name="ទំហំ​ SIZE 尺寸" dataDxfId="464" totalsRowDxfId="463"/>
    <tableColumn id="4" name="ចំនួននៅសល់ Stock Left 剩余库存" dataDxfId="462" totalsRowDxfId="461">
      <calculatedColumnFormula>AP3+E3-C3</calculatedColumnFormula>
    </tableColumn>
    <tableColumn id="5" name="ម្ជុលដែលបានផ្តល់ជូន, Issued  Needle, 已发放的针头" totalsRowFunction="custom" dataDxfId="460" totalsRowDxfId="459">
      <calculatedColumnFormula>SUM(#REF!)</calculatedColumnFormula>
      <totalsRowFormula>SUBTOTAL(9,E3:E21)</totalsRowFormula>
    </tableColumn>
    <tableColumn id="8" name="តុល្យភាព Balance 平衡" totalsRowFunction="custom" dataDxfId="458" totalsRowDxfId="457">
      <calculatedColumnFormula>#REF!-E3+660</calculatedColumnFormula>
      <totalsRowFormula>SUBTOTAL(9,F3:F21)</totalsRowFormula>
    </tableColumn>
    <tableColumn id="9" name="សំគាល់ Remark 评论" dataDxfId="456" totalsRowDxfId="4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699" displayName="Table699" ref="J2:U21" totalsRowShown="0" headerRowDxfId="454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id="9" name="Table13811" displayName="Table13811" ref="A2:G22" totalsRowCount="1" headerRowDxfId="452" dataDxfId="450" totalsRowDxfId="448" headerRowBorderDxfId="451" tableBorderDxfId="449" totalsRowBorderDxfId="447">
  <autoFilter ref="A2:G21"/>
  <tableColumns count="7">
    <tableColumn id="1" name="លរ No. 数字" dataDxfId="446" totalsRowDxfId="445"/>
    <tableColumn id="2" name="ប្រភេទម្ជុល Needle Type 针型" dataDxfId="444" totalsRowDxfId="443"/>
    <tableColumn id="3" name="ទំហំ​ SIZE 尺寸" dataDxfId="442" totalsRowDxfId="441"/>
    <tableColumn id="4" name="ចំនួននៅសល់ Stock Left 剩余库存" dataDxfId="440" totalsRowDxfId="439">
      <calculatedColumnFormula>AP3+E3-C3</calculatedColumnFormula>
    </tableColumn>
    <tableColumn id="5" name="ម្ជុលដែលបានផ្តល់ជូន, Issued  Needle, 已发放的针头" totalsRowFunction="custom" dataDxfId="438" totalsRowDxfId="437">
      <calculatedColumnFormula>SUM(#REF!)</calculatedColumnFormula>
      <totalsRowFormula>SUBTOTAL(9,E3:E21)</totalsRowFormula>
    </tableColumn>
    <tableColumn id="8" name="តុល្យភាព Balance 平衡" totalsRowFunction="custom" dataDxfId="436" totalsRowDxfId="435">
      <calculatedColumnFormula>#REF!-E3+660</calculatedColumnFormula>
      <totalsRowFormula>SUBTOTAL(9,F3:F21)</totalsRowFormula>
    </tableColumn>
    <tableColumn id="9" name="សំគាល់ Remark 评论" dataDxfId="434" totalsRowDxfId="4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e6912" displayName="Table6912" ref="J2:U21" totalsRowShown="0" headerRowDxfId="432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id="11" name="Table13812" displayName="Table13812" ref="A2:G22" totalsRowCount="1" headerRowDxfId="430" dataDxfId="428" totalsRowDxfId="426" headerRowBorderDxfId="429" tableBorderDxfId="427" totalsRowBorderDxfId="425">
  <autoFilter ref="A2:G21"/>
  <tableColumns count="7">
    <tableColumn id="1" name="លរ No. 数字" dataDxfId="424" totalsRowDxfId="423"/>
    <tableColumn id="2" name="ប្រភេទម្ជុល Needle Type 针型" dataDxfId="422" totalsRowDxfId="421"/>
    <tableColumn id="3" name="ទំហំ​ SIZE 尺寸" dataDxfId="420" totalsRowDxfId="419"/>
    <tableColumn id="4" name="ចំនួននៅសល់ Stock Left 剩余库存" dataDxfId="418" totalsRowDxfId="417">
      <calculatedColumnFormula>AP3+E3-C3</calculatedColumnFormula>
    </tableColumn>
    <tableColumn id="5" name="ម្ជុលដែលបានផ្តល់ជូន, Issued  Needle, 已发放的针头" totalsRowFunction="custom" dataDxfId="416" totalsRowDxfId="415">
      <calculatedColumnFormula>SUM(#REF!)</calculatedColumnFormula>
      <totalsRowFormula>SUBTOTAL(9,E3:E21)</totalsRowFormula>
    </tableColumn>
    <tableColumn id="8" name="តុល្យភាព Balance 平衡" totalsRowFunction="custom" dataDxfId="414" totalsRowDxfId="413">
      <calculatedColumnFormula>#REF!-E3+660</calculatedColumnFormula>
      <totalsRowFormula>SUBTOTAL(9,F3:F21)</totalsRowFormula>
    </tableColumn>
    <tableColumn id="9" name="សំគាល់ Remark 评论" dataDxfId="412" totalsRowDxfId="4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able6913" displayName="Table6913" ref="J2:U21" totalsRowShown="0" headerRowDxfId="410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id="13" name="Table13814" displayName="Table13814" ref="A2:G22" totalsRowCount="1" headerRowDxfId="408" dataDxfId="406" totalsRowDxfId="404" headerRowBorderDxfId="407" tableBorderDxfId="405" totalsRowBorderDxfId="403">
  <autoFilter ref="A2:G21"/>
  <tableColumns count="7">
    <tableColumn id="1" name="លរ No. 数字" dataDxfId="402" totalsRowDxfId="401"/>
    <tableColumn id="2" name="ប្រភេទម្ជុល Needle Type 针型" dataDxfId="400" totalsRowDxfId="399"/>
    <tableColumn id="3" name="ទំហំ​ SIZE 尺寸" dataDxfId="398" totalsRowDxfId="397"/>
    <tableColumn id="4" name="ចំនួននៅសល់ Stock Left 剩余库存" dataDxfId="396" totalsRowDxfId="395">
      <calculatedColumnFormula>AP3+E3-C3</calculatedColumnFormula>
    </tableColumn>
    <tableColumn id="5" name="ម្ជុលដែលបានផ្តល់ជូន, Issued  Needle, 已发放的针头" totalsRowFunction="custom" dataDxfId="394" totalsRowDxfId="393">
      <calculatedColumnFormula>SUM(#REF!)</calculatedColumnFormula>
      <totalsRowFormula>SUBTOTAL(9,E3:E21)</totalsRowFormula>
    </tableColumn>
    <tableColumn id="8" name="តុល្យភាព Balance 平衡" totalsRowFunction="custom" dataDxfId="392" totalsRowDxfId="391">
      <calculatedColumnFormula>#REF!-E3+660</calculatedColumnFormula>
      <totalsRowFormula>SUBTOTAL(9,F3:F21)</totalsRowFormula>
    </tableColumn>
    <tableColumn id="9" name="សំគាល់ Remark 评论" dataDxfId="390" totalsRowDxfId="38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4" name="Table6915" displayName="Table6915" ref="J2:U21" totalsRowShown="0" headerRowDxfId="388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id="15" name="Table13816" displayName="Table13816" ref="A2:G22" totalsRowCount="1" headerRowDxfId="386" dataDxfId="384" totalsRowDxfId="382" headerRowBorderDxfId="385" tableBorderDxfId="383" totalsRowBorderDxfId="381">
  <autoFilter ref="A2:G21"/>
  <tableColumns count="7">
    <tableColumn id="1" name="លរ No. 数字" dataDxfId="380" totalsRowDxfId="379"/>
    <tableColumn id="2" name="ប្រភេទម្ជុល Needle Type 针型" dataDxfId="378" totalsRowDxfId="377"/>
    <tableColumn id="3" name="ទំហំ​ SIZE 尺寸" dataDxfId="376" totalsRowDxfId="375"/>
    <tableColumn id="4" name="ចំនួននៅសល់ Stock Left 剩余库存" dataDxfId="374" totalsRowDxfId="373">
      <calculatedColumnFormula>AP3+E3-C3</calculatedColumnFormula>
    </tableColumn>
    <tableColumn id="5" name="ម្ជុលដែលបានផ្តល់ជូន, Issued  Needle, 已发放的针头" totalsRowFunction="custom" dataDxfId="372" totalsRowDxfId="371">
      <calculatedColumnFormula>SUM(#REF!)</calculatedColumnFormula>
      <totalsRowFormula>SUBTOTAL(9,E3:E21)</totalsRowFormula>
    </tableColumn>
    <tableColumn id="8" name="តុល្យភាព Balance 平衡" totalsRowFunction="custom" dataDxfId="370" totalsRowDxfId="369">
      <calculatedColumnFormula>#REF!-E3+660</calculatedColumnFormula>
      <totalsRowFormula>SUBTOTAL(9,F3:F21)</totalsRowFormula>
    </tableColumn>
    <tableColumn id="9" name="សំគាល់ Remark 评论" dataDxfId="368" totalsRowDxfId="36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6" name="Table6917" displayName="Table6917" ref="J2:U21" totalsRowShown="0" headerRowDxfId="366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id="17" name="Table13818" displayName="Table13818" ref="A2:G22" totalsRowCount="1" headerRowDxfId="364" dataDxfId="362" totalsRowDxfId="360" headerRowBorderDxfId="363" tableBorderDxfId="361" totalsRowBorderDxfId="359">
  <autoFilter ref="A2:G21"/>
  <tableColumns count="7">
    <tableColumn id="1" name="លរ No. 数字" dataDxfId="358" totalsRowDxfId="357"/>
    <tableColumn id="2" name="ប្រភេទម្ជុល Needle Type 针型" dataDxfId="356" totalsRowDxfId="355"/>
    <tableColumn id="3" name="ទំហំ​ SIZE 尺寸" dataDxfId="354" totalsRowDxfId="353"/>
    <tableColumn id="4" name="ចំនួននៅសល់ Stock Left 剩余库存" dataDxfId="352" totalsRowDxfId="351">
      <calculatedColumnFormula>AP3+E3-C3</calculatedColumnFormula>
    </tableColumn>
    <tableColumn id="5" name="ម្ជុលដែលបានផ្តល់ជូន, Issued  Needle, 已发放的针头" totalsRowFunction="custom" dataDxfId="350" totalsRowDxfId="349">
      <calculatedColumnFormula>SUM(#REF!)</calculatedColumnFormula>
      <totalsRowFormula>SUBTOTAL(9,E3:E21)</totalsRowFormula>
    </tableColumn>
    <tableColumn id="8" name="តុល្យភាព Balance 平衡" totalsRowFunction="custom" dataDxfId="348" totalsRowDxfId="347">
      <calculatedColumnFormula>#REF!-E3+660</calculatedColumnFormula>
      <totalsRowFormula>SUBTOTAL(9,F3:F21)</totalsRowFormula>
    </tableColumn>
    <tableColumn id="9" name="សំគាល់ Remark 评论" dataDxfId="346" totalsRowDxfId="34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8" name="Table6919" displayName="Table6919" ref="J2:U21" totalsRowShown="0" headerRowDxfId="344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id="19" name="Table13820" displayName="Table13820" ref="A2:G22" totalsRowCount="1" headerRowDxfId="342" dataDxfId="340" totalsRowDxfId="338" headerRowBorderDxfId="341" tableBorderDxfId="339" totalsRowBorderDxfId="337">
  <autoFilter ref="A2:G21"/>
  <tableColumns count="7">
    <tableColumn id="1" name="លរ No. 数字" dataDxfId="336" totalsRowDxfId="335"/>
    <tableColumn id="2" name="ប្រភេទម្ជុល Needle Type 针型" dataDxfId="334" totalsRowDxfId="333"/>
    <tableColumn id="3" name="ទំហំ​ SIZE 尺寸" dataDxfId="332" totalsRowDxfId="331"/>
    <tableColumn id="4" name="ចំនួននៅសល់ Stock Left 剩余库存" dataDxfId="330" totalsRowDxfId="329">
      <calculatedColumnFormula>AP3+E3-C3</calculatedColumnFormula>
    </tableColumn>
    <tableColumn id="5" name="ម្ជុលដែលបានផ្តល់ជូន, Issued  Needle, 已发放的针头" totalsRowFunction="custom" dataDxfId="328" totalsRowDxfId="327">
      <calculatedColumnFormula>SUM(#REF!)</calculatedColumnFormula>
      <totalsRowFormula>SUBTOTAL(9,E3:E21)</totalsRowFormula>
    </tableColumn>
    <tableColumn id="8" name="តុល្យភាព Balance 平衡" totalsRowFunction="custom" dataDxfId="326" totalsRowDxfId="325">
      <calculatedColumnFormula>#REF!-E3+660</calculatedColumnFormula>
      <totalsRowFormula>SUBTOTAL(9,F3:F21)</totalsRowFormula>
    </tableColumn>
    <tableColumn id="9" name="សំគាល់ Remark 评论" dataDxfId="324" totalsRowDxfId="32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0" name="Table6921" displayName="Table6921" ref="J2:U21" totalsRowShown="0" headerRowDxfId="322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id="21" name="Table13822" displayName="Table13822" ref="A2:G22" totalsRowCount="1" headerRowDxfId="320" dataDxfId="318" totalsRowDxfId="316" headerRowBorderDxfId="319" tableBorderDxfId="317" totalsRowBorderDxfId="315">
  <autoFilter ref="A2:G21"/>
  <tableColumns count="7">
    <tableColumn id="1" name="លរ No. 数字" dataDxfId="314" totalsRowDxfId="313"/>
    <tableColumn id="2" name="ប្រភេទម្ជុល Needle Type 针型" dataDxfId="312" totalsRowDxfId="311"/>
    <tableColumn id="3" name="ទំហំ​ SIZE 尺寸" dataDxfId="310" totalsRowDxfId="309"/>
    <tableColumn id="4" name="ចំនួននៅសល់ Stock Left 剩余库存" dataDxfId="308" totalsRowDxfId="307">
      <calculatedColumnFormula>AP3+E3-C3</calculatedColumnFormula>
    </tableColumn>
    <tableColumn id="5" name="ម្ជុលដែលបានផ្តល់ជូន, Issued  Needle, 已发放的针头" totalsRowFunction="custom" dataDxfId="306" totalsRowDxfId="305">
      <calculatedColumnFormula>SUM(#REF!)</calculatedColumnFormula>
      <totalsRowFormula>SUBTOTAL(9,E3:E21)</totalsRowFormula>
    </tableColumn>
    <tableColumn id="8" name="តុល្យភាព Balance 平衡" totalsRowFunction="custom" dataDxfId="304" totalsRowDxfId="303">
      <calculatedColumnFormula>#REF!-E3+660</calculatedColumnFormula>
      <totalsRowFormula>SUBTOTAL(9,F3:F21)</totalsRowFormula>
    </tableColumn>
    <tableColumn id="9" name="សំគាល់ Remark 评论" dataDxfId="302" totalsRowDxfId="30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2" name="Table6923" displayName="Table6923" ref="J2:U21" totalsRowShown="0" headerRowDxfId="300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id="23" name="Table13824" displayName="Table13824" ref="A2:G22" totalsRowCount="1" headerRowDxfId="298" dataDxfId="296" totalsRowDxfId="294" headerRowBorderDxfId="297" tableBorderDxfId="295" totalsRowBorderDxfId="293">
  <autoFilter ref="A2:G21"/>
  <tableColumns count="7">
    <tableColumn id="1" name="លរ No. 数字" dataDxfId="292" totalsRowDxfId="291"/>
    <tableColumn id="2" name="ប្រភេទម្ជុល Needle Type 针型" dataDxfId="290" totalsRowDxfId="289"/>
    <tableColumn id="3" name="ទំហំ​ SIZE 尺寸" dataDxfId="288" totalsRowDxfId="287"/>
    <tableColumn id="4" name="ចំនួននៅសល់ Stock Left 剩余库存" dataDxfId="286" totalsRowDxfId="285">
      <calculatedColumnFormula>AP3+E3-C3</calculatedColumnFormula>
    </tableColumn>
    <tableColumn id="5" name="ម្ជុលដែលបានផ្តល់ជូន, Issued  Needle, 已发放的针头" totalsRowFunction="custom" dataDxfId="284" totalsRowDxfId="283">
      <calculatedColumnFormula>SUM(#REF!)</calculatedColumnFormula>
      <totalsRowFormula>SUBTOTAL(9,E3:E21)</totalsRowFormula>
    </tableColumn>
    <tableColumn id="8" name="តុល្យភាព Balance 平衡" totalsRowFunction="custom" dataDxfId="282" totalsRowDxfId="281">
      <calculatedColumnFormula>#REF!-E3+660</calculatedColumnFormula>
      <totalsRowFormula>SUBTOTAL(9,F3:F21)</totalsRowFormula>
    </tableColumn>
    <tableColumn id="9" name="សំគាល់ Remark 评论" dataDxfId="280" totalsRowDxfId="27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4" name="Table6925" displayName="Table6925" ref="J2:U21" totalsRowShown="0" headerRowDxfId="278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23.xml><?xml version="1.0" encoding="utf-8"?>
<table xmlns="http://schemas.openxmlformats.org/spreadsheetml/2006/main" id="25" name="Table13826" displayName="Table13826" ref="A2:G22" totalsRowCount="1" headerRowDxfId="276" dataDxfId="274" totalsRowDxfId="272" headerRowBorderDxfId="275" tableBorderDxfId="273" totalsRowBorderDxfId="271">
  <autoFilter ref="A2:G21"/>
  <tableColumns count="7">
    <tableColumn id="1" name="លរ No. 数字" dataDxfId="270" totalsRowDxfId="269"/>
    <tableColumn id="2" name="ប្រភេទម្ជុល Needle Type 针型" dataDxfId="268" totalsRowDxfId="267"/>
    <tableColumn id="3" name="ទំហំ​ SIZE 尺寸" dataDxfId="266" totalsRowDxfId="265"/>
    <tableColumn id="4" name="ចំនួននៅសល់ Stock Left 剩余库存" dataDxfId="264" totalsRowDxfId="263">
      <calculatedColumnFormula>AP3+E3-C3</calculatedColumnFormula>
    </tableColumn>
    <tableColumn id="5" name="ម្ជុលដែលបានផ្តល់ជូន, Issued  Needle, 已发放的针头" totalsRowFunction="custom" dataDxfId="262" totalsRowDxfId="261">
      <calculatedColumnFormula>SUM(#REF!)</calculatedColumnFormula>
      <totalsRowFormula>SUBTOTAL(9,E3:E21)</totalsRowFormula>
    </tableColumn>
    <tableColumn id="8" name="តុល្យភាព Balance 平衡" totalsRowFunction="custom" dataDxfId="260" totalsRowDxfId="259">
      <calculatedColumnFormula>#REF!-E3+660</calculatedColumnFormula>
      <totalsRowFormula>SUBTOTAL(9,F3:F21)</totalsRowFormula>
    </tableColumn>
    <tableColumn id="9" name="សំគាល់ Remark 评论" dataDxfId="258" totalsRowDxfId="25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6" name="Table6927" displayName="Table6927" ref="J2:U21" totalsRowShown="0" headerRowDxfId="256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25.xml><?xml version="1.0" encoding="utf-8"?>
<table xmlns="http://schemas.openxmlformats.org/spreadsheetml/2006/main" id="27" name="Table1382628" displayName="Table1382628" ref="A2:G22" totalsRowCount="1" headerRowDxfId="254" dataDxfId="252" totalsRowDxfId="250" headerRowBorderDxfId="253" tableBorderDxfId="251" totalsRowBorderDxfId="249">
  <autoFilter ref="A2:G21"/>
  <tableColumns count="7">
    <tableColumn id="1" name="លរ No. 数字" dataDxfId="248" totalsRowDxfId="247"/>
    <tableColumn id="2" name="ប្រភេទម្ជុល Needle Type 针型" dataDxfId="246" totalsRowDxfId="245"/>
    <tableColumn id="3" name="ទំហំ​ SIZE 尺寸" dataDxfId="244" totalsRowDxfId="243"/>
    <tableColumn id="4" name="ចំនួននៅសល់ Stock Left 剩余库存" dataDxfId="242" totalsRowDxfId="241">
      <calculatedColumnFormula>AP3+E3-C3</calculatedColumnFormula>
    </tableColumn>
    <tableColumn id="5" name="ម្ជុលដែលបានផ្តល់ជូន, Issued  Needle, 已发放的针头" totalsRowFunction="custom" dataDxfId="240" totalsRowDxfId="239">
      <calculatedColumnFormula>SUM(#REF!)</calculatedColumnFormula>
      <totalsRowFormula>SUBTOTAL(9,E3:E21)</totalsRowFormula>
    </tableColumn>
    <tableColumn id="8" name="តុល្យភាព Balance 平衡" totalsRowFunction="custom" dataDxfId="238" totalsRowDxfId="237">
      <calculatedColumnFormula>#REF!-E3+660</calculatedColumnFormula>
      <totalsRowFormula>SUBTOTAL(9,F3:F21)</totalsRowFormula>
    </tableColumn>
    <tableColumn id="9" name="សំគាល់ Remark 评论" dataDxfId="236" totalsRowDxfId="23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8" name="Table692729" displayName="Table692729" ref="J2:U21" totalsRowShown="0" headerRowDxfId="234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27.xml><?xml version="1.0" encoding="utf-8"?>
<table xmlns="http://schemas.openxmlformats.org/spreadsheetml/2006/main" id="29" name="Table138262830" displayName="Table138262830" ref="A2:G22" totalsRowCount="1" headerRowDxfId="232" dataDxfId="230" totalsRowDxfId="228" headerRowBorderDxfId="231" tableBorderDxfId="229" totalsRowBorderDxfId="227">
  <autoFilter ref="A2:G21"/>
  <tableColumns count="7">
    <tableColumn id="1" name="លរ No. 数字" dataDxfId="226" totalsRowDxfId="225"/>
    <tableColumn id="2" name="ប្រភេទម្ជុល Needle Type 针型" dataDxfId="224" totalsRowDxfId="223"/>
    <tableColumn id="3" name="ទំហំ​ SIZE 尺寸" dataDxfId="222" totalsRowDxfId="221"/>
    <tableColumn id="4" name="ចំនួននៅសល់ Stock Left 剩余库存" dataDxfId="220" totalsRowDxfId="219">
      <calculatedColumnFormula>AP3+E3-C3</calculatedColumnFormula>
    </tableColumn>
    <tableColumn id="5" name="ម្ជុលដែលបានផ្តល់ជូន, Issued  Needle, 已发放的针头" totalsRowFunction="custom" dataDxfId="218" totalsRowDxfId="217">
      <calculatedColumnFormula>SUM(#REF!)</calculatedColumnFormula>
      <totalsRowFormula>SUBTOTAL(9,E3:E21)</totalsRowFormula>
    </tableColumn>
    <tableColumn id="8" name="តុល្យភាព Balance 平衡" totalsRowFunction="custom" dataDxfId="216" totalsRowDxfId="215">
      <calculatedColumnFormula>#REF!-E3+660</calculatedColumnFormula>
      <totalsRowFormula>SUBTOTAL(9,F3:F21)</totalsRowFormula>
    </tableColumn>
    <tableColumn id="9" name="សំគាល់ Remark 评论" dataDxfId="214" totalsRowDxfId="21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30" name="Table69272931" displayName="Table69272931" ref="J2:U21" totalsRowShown="0" headerRowDxfId="212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29.xml><?xml version="1.0" encoding="utf-8"?>
<table xmlns="http://schemas.openxmlformats.org/spreadsheetml/2006/main" id="31" name="Table13826283032" displayName="Table13826283032" ref="A2:G22" totalsRowCount="1" headerRowDxfId="210" dataDxfId="208" totalsRowDxfId="206" headerRowBorderDxfId="209" tableBorderDxfId="207" totalsRowBorderDxfId="205">
  <autoFilter ref="A2:G21"/>
  <tableColumns count="7">
    <tableColumn id="1" name="លរ No. 数字" dataDxfId="204" totalsRowDxfId="203"/>
    <tableColumn id="2" name="ប្រភេទម្ជុល Needle Type 针型" dataDxfId="202" totalsRowDxfId="201"/>
    <tableColumn id="3" name="ទំហំ​ SIZE 尺寸" dataDxfId="200" totalsRowDxfId="199"/>
    <tableColumn id="4" name="ចំនួននៅសល់ Stock Left 剩余库存" dataDxfId="198" totalsRowDxfId="197">
      <calculatedColumnFormula>AP3+E3-C3</calculatedColumnFormula>
    </tableColumn>
    <tableColumn id="5" name="ម្ជុលដែលបានផ្តល់ជូន, Issued  Needle, 已发放的针头" totalsRowFunction="custom" dataDxfId="196" totalsRowDxfId="195">
      <calculatedColumnFormula>SUM(#REF!)</calculatedColumnFormula>
      <totalsRowFormula>SUBTOTAL(9,E3:E21)</totalsRowFormula>
    </tableColumn>
    <tableColumn id="8" name="តុល្យភាព Balance 平衡" totalsRowFunction="custom" dataDxfId="194" totalsRowDxfId="193">
      <calculatedColumnFormula>#REF!-E3+660</calculatedColumnFormula>
      <totalsRowFormula>SUBTOTAL(9,F3:F21)</totalsRowFormula>
    </tableColumn>
    <tableColumn id="9" name="សំគាល់ Remark 评论" dataDxfId="192" totalsRowDxfId="19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2" name="Table6927293133" displayName="Table6927293133" ref="J2:U21" totalsRowShown="0" headerRowDxfId="190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31.xml><?xml version="1.0" encoding="utf-8"?>
<table xmlns="http://schemas.openxmlformats.org/spreadsheetml/2006/main" id="33" name="Table1382628303234" displayName="Table1382628303234" ref="A2:G22" totalsRowCount="1" headerRowDxfId="188" dataDxfId="186" totalsRowDxfId="184" headerRowBorderDxfId="187" tableBorderDxfId="185" totalsRowBorderDxfId="183">
  <autoFilter ref="A2:G21"/>
  <tableColumns count="7">
    <tableColumn id="1" name="លរ No. 数字" dataDxfId="182" totalsRowDxfId="181"/>
    <tableColumn id="2" name="ប្រភេទម្ជុល Needle Type 针型" dataDxfId="180" totalsRowDxfId="179"/>
    <tableColumn id="3" name="ទំហំ​ SIZE 尺寸" dataDxfId="178" totalsRowDxfId="177"/>
    <tableColumn id="4" name="ចំនួននៅសល់ Stock Left 剩余库存" dataDxfId="176" totalsRowDxfId="175">
      <calculatedColumnFormula>AP3+E3-C3</calculatedColumnFormula>
    </tableColumn>
    <tableColumn id="5" name="ម្ជុលដែលបានផ្តល់ជូន, Issued  Needle, 已发放的针头" totalsRowFunction="custom" dataDxfId="174" totalsRowDxfId="173">
      <calculatedColumnFormula>SUM(#REF!)</calculatedColumnFormula>
      <totalsRowFormula>SUBTOTAL(9,E3:E21)</totalsRowFormula>
    </tableColumn>
    <tableColumn id="8" name="តុល្យភាព Balance 平衡" totalsRowFunction="custom" dataDxfId="172" totalsRowDxfId="171">
      <calculatedColumnFormula>#REF!-E3+660</calculatedColumnFormula>
      <totalsRowFormula>SUBTOTAL(9,F3:F21)</totalsRowFormula>
    </tableColumn>
    <tableColumn id="9" name="សំគាល់ Remark 评论" dataDxfId="170" totalsRowDxfId="16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4" name="Table692729313335" displayName="Table692729313335" ref="J2:U21" totalsRowShown="0" headerRowDxfId="168">
  <autoFilter ref="J2:U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33.xml><?xml version="1.0" encoding="utf-8"?>
<table xmlns="http://schemas.openxmlformats.org/spreadsheetml/2006/main" id="35" name="Table138262830323436" displayName="Table138262830323436" ref="A2:H22" totalsRowCount="1" headerRowDxfId="166" dataDxfId="164" totalsRowDxfId="162" headerRowBorderDxfId="165" tableBorderDxfId="163" totalsRowBorderDxfId="161">
  <autoFilter ref="A2:H21"/>
  <tableColumns count="8">
    <tableColumn id="1" name="លរ No. 数字" dataDxfId="160" totalsRowDxfId="159"/>
    <tableColumn id="2" name="ប្រភេទម្ជុល Needle Type 针型" dataDxfId="158" totalsRowDxfId="157"/>
    <tableColumn id="3" name="ទំហំ​ SIZE 尺寸" dataDxfId="156" totalsRowDxfId="155"/>
    <tableColumn id="4" name="ចំនួននៅសល់ Opening Balance 未结余额" totalsRowFunction="custom" dataDxfId="154" totalsRowDxfId="153">
      <calculatedColumnFormula>AQ3+F3-C3</calculatedColumnFormula>
      <totalsRowFormula>SUBTOTAL(9,D3:D21)</totalsRowFormula>
    </tableColumn>
    <tableColumn id="6" name="ទទួល​ Received ​已收到" totalsRowFunction="custom" dataDxfId="152" totalsRowDxfId="151">
      <totalsRowFormula>SUBTOTAL(9,E3:E21)</totalsRowFormula>
    </tableColumn>
    <tableColumn id="5" name="ម្ជុលដែលបានផ្តល់ជូន, Issued  Needle, 已发放的针头" totalsRowFunction="custom" dataDxfId="150" totalsRowDxfId="149">
      <calculatedColumnFormula>SUM(#REF!)</calculatedColumnFormula>
      <totalsRowFormula>SUBTOTAL(9,F3:F21)</totalsRowFormula>
    </tableColumn>
    <tableColumn id="8" name="តុល្យភាព Closing Balance 期末余额" totalsRowFunction="custom" dataDxfId="148" totalsRowDxfId="147">
      <calculatedColumnFormula>#REF!-F3+660</calculatedColumnFormula>
      <totalsRowFormula>SUBTOTAL(9,G3:G21)</totalsRowFormula>
    </tableColumn>
    <tableColumn id="9" name="សំគាល់ Remark 评论" dataDxfId="146" totalsRowDxfId="145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6" name="Table69272931333537" displayName="Table69272931333537" ref="K2:V21" totalsRowShown="0" headerRowDxfId="144">
  <autoFilter ref="K2:V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35.xml><?xml version="1.0" encoding="utf-8"?>
<table xmlns="http://schemas.openxmlformats.org/spreadsheetml/2006/main" id="5" name="Table1382628303234366" displayName="Table1382628303234366" ref="A2:H22" totalsRowCount="1" headerRowDxfId="142" dataDxfId="140" totalsRowDxfId="138" headerRowBorderDxfId="141" tableBorderDxfId="139" totalsRowBorderDxfId="137">
  <autoFilter ref="A2:H21"/>
  <tableColumns count="8">
    <tableColumn id="1" name="លរ No. 数字" dataDxfId="136" totalsRowDxfId="135"/>
    <tableColumn id="2" name="ប្រភេទម្ជុល Needle Type 针型" dataDxfId="134" totalsRowDxfId="133"/>
    <tableColumn id="3" name="ទំហំ​ SIZE 尺寸" dataDxfId="132" totalsRowDxfId="131"/>
    <tableColumn id="4" name="ចំនួននៅសល់ Opening Balance 未结余额" totalsRowFunction="custom" dataDxfId="130" totalsRowDxfId="129">
      <calculatedColumnFormula>AQ3+F3-C3</calculatedColumnFormula>
      <totalsRowFormula>SUBTOTAL(9,D3:D21)</totalsRowFormula>
    </tableColumn>
    <tableColumn id="6" name="ទទួល​ Received ​已收到" totalsRowFunction="custom" dataDxfId="128" totalsRowDxfId="127">
      <totalsRowFormula>SUBTOTAL(9,E3:E21)</totalsRowFormula>
    </tableColumn>
    <tableColumn id="5" name="ម្ជុលដែលបានផ្តល់ជូន, Issued  Needle, 已发放的针头" totalsRowFunction="custom" dataDxfId="126" totalsRowDxfId="125">
      <calculatedColumnFormula>SUM(#REF!)</calculatedColumnFormula>
      <totalsRowFormula>SUBTOTAL(9,F3:F21)</totalsRowFormula>
    </tableColumn>
    <tableColumn id="8" name="តុល្យភាព Closing Balance 期末余额" totalsRowFunction="custom" dataDxfId="124" totalsRowDxfId="123">
      <calculatedColumnFormula>#REF!-F3+660</calculatedColumnFormula>
      <totalsRowFormula>SUBTOTAL(9,G3:G21)</totalsRowFormula>
    </tableColumn>
    <tableColumn id="9" name="សំគាល់ Remark 评论" dataDxfId="122" totalsRowDxfId="12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6" name="Table692729313335377" displayName="Table692729313335377" ref="K2:V21" totalsRowShown="0" headerRowDxfId="120">
  <autoFilter ref="K2:V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37.xml><?xml version="1.0" encoding="utf-8"?>
<table xmlns="http://schemas.openxmlformats.org/spreadsheetml/2006/main" id="38" name="Table69272931333537739" displayName="Table69272931333537739" ref="K2:V21" totalsRowShown="0" headerRowDxfId="118">
  <autoFilter ref="K2:V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38.xml><?xml version="1.0" encoding="utf-8"?>
<table xmlns="http://schemas.openxmlformats.org/spreadsheetml/2006/main" id="37" name="Table138262830323436638" displayName="Table138262830323436638" ref="A2:H22" totalsRowCount="1" headerRowDxfId="117" dataDxfId="115" totalsRowDxfId="113" headerRowBorderDxfId="116" tableBorderDxfId="114" totalsRowBorderDxfId="112">
  <autoFilter ref="A2:H21"/>
  <tableColumns count="8">
    <tableColumn id="1" name="លរ No. 数字" dataDxfId="111" totalsRowDxfId="110"/>
    <tableColumn id="2" name="ប្រភេទម្ជុល Needle Type 针型" dataDxfId="109" totalsRowDxfId="108"/>
    <tableColumn id="3" name="ទំហំ​ SIZE 尺寸" dataDxfId="107" totalsRowDxfId="106"/>
    <tableColumn id="4" name="ចំនួននៅសល់ Opening Balance 未结余额" totalsRowFunction="custom" dataDxfId="105" totalsRowDxfId="104">
      <calculatedColumnFormula>AQ3+F3-C3</calculatedColumnFormula>
      <totalsRowFormula>SUBTOTAL(9,D3:D21)</totalsRowFormula>
    </tableColumn>
    <tableColumn id="6" name="ទទួល​ Received ​已收到" totalsRowFunction="custom" dataDxfId="103" totalsRowDxfId="102">
      <totalsRowFormula>SUBTOTAL(9,E3:E21)</totalsRowFormula>
    </tableColumn>
    <tableColumn id="5" name="ម្ជុលដែលបានផ្តល់ជូន, Issued  Needle, 已发放的针头" totalsRowFunction="custom" dataDxfId="101" totalsRowDxfId="100">
      <calculatedColumnFormula>SUM(K3:V3)</calculatedColumnFormula>
      <totalsRowFormula>SUBTOTAL(9,F3:F21)</totalsRowFormula>
    </tableColumn>
    <tableColumn id="8" name="តុល្យភាព Closing Balance 期末余额" totalsRowFunction="custom" dataDxfId="99" totalsRowDxfId="98">
      <calculatedColumnFormula>#REF!-F3+660</calculatedColumnFormula>
      <totalsRowFormula>SUBTOTAL(9,G3:G21)</totalsRowFormula>
    </tableColumn>
    <tableColumn id="9" name="សំគាល់ Remark 评论" dataDxfId="97" totalsRowDxfId="9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13826283032343663840" displayName="Table13826283032343663840" ref="A2:H22" totalsRowCount="1" headerRowDxfId="94" dataDxfId="92" totalsRowDxfId="90" headerRowBorderDxfId="93" tableBorderDxfId="91" totalsRowBorderDxfId="89">
  <autoFilter ref="A2:H21"/>
  <tableColumns count="8">
    <tableColumn id="1" name="លរ No. 数字" dataDxfId="88" totalsRowDxfId="87"/>
    <tableColumn id="2" name="ប្រភេទម្ជុល Needle Type 针型" dataDxfId="86" totalsRowDxfId="85"/>
    <tableColumn id="3" name="ទំហំ​ SIZE 尺寸" dataDxfId="84" totalsRowDxfId="83"/>
    <tableColumn id="4" name="ចំនួននៅសល់ Opening Balance 未结余额" totalsRowFunction="custom" dataDxfId="82" totalsRowDxfId="81">
      <calculatedColumnFormula>AQ3+F3-C3</calculatedColumnFormula>
      <totalsRowFormula>SUBTOTAL(9,D3:D21)</totalsRowFormula>
    </tableColumn>
    <tableColumn id="6" name="ទទួល​ Received ​已收到" totalsRowFunction="custom" dataDxfId="80" totalsRowDxfId="79">
      <totalsRowFormula>SUBTOTAL(9,E3:E21)</totalsRowFormula>
    </tableColumn>
    <tableColumn id="5" name="ម្ជុលដែលបានផ្តល់ជូន, Issued  Needle, 已发放的针头" totalsRowFunction="custom" dataDxfId="78" totalsRowDxfId="77">
      <calculatedColumnFormula>SUM(#REF!)</calculatedColumnFormula>
      <totalsRowFormula>SUBTOTAL(9,F3:F21)</totalsRowFormula>
    </tableColumn>
    <tableColumn id="8" name="តុល្យភាព Closing Balance 期末余额" totalsRowFunction="custom" dataDxfId="76" totalsRowDxfId="75">
      <calculatedColumnFormula>#REF!-F3+660</calculatedColumnFormula>
      <totalsRowFormula>SUBTOTAL(9,G3:G21)</totalsRowFormula>
    </tableColumn>
    <tableColumn id="9" name="សំគាល់ Remark 评论" dataDxfId="74" totalsRowDxfId="73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able6927293133353773941" displayName="Table6927293133353773941" ref="K2:V21" totalsRowShown="0" headerRowDxfId="72">
  <autoFilter ref="K2:V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41.xml><?xml version="1.0" encoding="utf-8"?>
<table xmlns="http://schemas.openxmlformats.org/spreadsheetml/2006/main" id="41" name="Table1382628303234366384042" displayName="Table1382628303234366384042" ref="A2:H22" totalsRowCount="1" headerRowDxfId="70" dataDxfId="68" totalsRowDxfId="66" headerRowBorderDxfId="69" tableBorderDxfId="67" totalsRowBorderDxfId="65">
  <autoFilter ref="A2:H21"/>
  <tableColumns count="8">
    <tableColumn id="1" name="លរ No. 数字" dataDxfId="64" totalsRowDxfId="7"/>
    <tableColumn id="2" name="ប្រភេទម្ជុល Needle Type 针型" dataDxfId="63" totalsRowDxfId="6"/>
    <tableColumn id="3" name="ទំហំ​ SIZE 尺寸" dataDxfId="62" totalsRowDxfId="5"/>
    <tableColumn id="4" name="ចំនួននៅសល់ Opening Balance 未结余额" totalsRowFunction="custom" dataDxfId="61" totalsRowDxfId="4">
      <calculatedColumnFormula>AQ3+F3-C3</calculatedColumnFormula>
      <totalsRowFormula>SUBTOTAL(9,D3:D21)</totalsRowFormula>
    </tableColumn>
    <tableColumn id="6" name="ទទួល​ Received ​已收到" totalsRowFunction="custom" dataDxfId="60" totalsRowDxfId="3">
      <totalsRowFormula>SUBTOTAL(9,E3:E21)</totalsRowFormula>
    </tableColumn>
    <tableColumn id="5" name="ម្ជុលដែលបានផ្តល់ជូន, Issued  Needle, 已发放的针头" totalsRowFunction="custom" dataDxfId="59" totalsRowDxfId="2">
      <calculatedColumnFormula>SUM(K3:V3)</calculatedColumnFormula>
      <totalsRowFormula>SUBTOTAL(9,F3:F21)</totalsRowFormula>
    </tableColumn>
    <tableColumn id="8" name="តុល្យភាព Closing Balance 期末余额" totalsRowFunction="custom" dataDxfId="58" totalsRowDxfId="1">
      <calculatedColumnFormula>#REF!-F3+660</calculatedColumnFormula>
      <totalsRowFormula>SUBTOTAL(9,G3:G21)</totalsRowFormula>
    </tableColumn>
    <tableColumn id="9" name="សំគាល់ Remark 评论" dataDxfId="57" totalsRowDxfId="0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able692729313335377394143" displayName="Table692729313335377394143" ref="K2:V21" totalsRowShown="0" headerRowDxfId="56">
  <autoFilter ref="K2:V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43.xml><?xml version="1.0" encoding="utf-8"?>
<table xmlns="http://schemas.openxmlformats.org/spreadsheetml/2006/main" id="43" name="Table138262830323436638404244" displayName="Table138262830323436638404244" ref="A2:H22" totalsRowCount="1" headerRowDxfId="54" dataDxfId="52" totalsRowDxfId="50" headerRowBorderDxfId="53" tableBorderDxfId="51" totalsRowBorderDxfId="49">
  <autoFilter ref="A2:H21"/>
  <tableColumns count="8">
    <tableColumn id="1" name="លរ No. 数字" dataDxfId="48" totalsRowDxfId="15"/>
    <tableColumn id="2" name="ប្រភេទម្ជុល Needle Type 针型" dataDxfId="47" totalsRowDxfId="14"/>
    <tableColumn id="3" name="ទំហំ​ SIZE 尺寸" dataDxfId="46" totalsRowDxfId="13"/>
    <tableColumn id="4" name="ចំនួននៅសល់ Opening Balance 未结余额" totalsRowFunction="custom" dataDxfId="45" totalsRowDxfId="12">
      <calculatedColumnFormula>AQ3+F3-C3</calculatedColumnFormula>
      <totalsRowFormula>SUBTOTAL(9,D3:D21)</totalsRowFormula>
    </tableColumn>
    <tableColumn id="6" name="ទទួល​ Received ​已收到" totalsRowFunction="custom" dataDxfId="44" totalsRowDxfId="11">
      <totalsRowFormula>SUBTOTAL(9,E3:E21)</totalsRowFormula>
    </tableColumn>
    <tableColumn id="5" name="ម្ជុលដែលបានផ្តល់ជូន, Issued  Needle, 已发放的针头" totalsRowFunction="custom" dataDxfId="43" totalsRowDxfId="10">
      <calculatedColumnFormula>SUM(#REF!)</calculatedColumnFormula>
      <totalsRowFormula>SUBTOTAL(9,F3:F21)</totalsRowFormula>
    </tableColumn>
    <tableColumn id="8" name="តុល្យភាព Closing Balance 期末余额" totalsRowFunction="custom" dataDxfId="42" totalsRowDxfId="9">
      <calculatedColumnFormula>#REF!-F3+660</calculatedColumnFormula>
      <totalsRowFormula>SUBTOTAL(9,G3:G21)</totalsRowFormula>
    </tableColumn>
    <tableColumn id="9" name="សំគាល់ Remark 评论" dataDxfId="41" totalsRowDxfId="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able69272931333537739414345" displayName="Table69272931333537739414345" ref="K2:V21" totalsRowShown="0" headerRowDxfId="40">
  <autoFilter ref="K2:V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ables/table45.xml><?xml version="1.0" encoding="utf-8"?>
<table xmlns="http://schemas.openxmlformats.org/spreadsheetml/2006/main" id="45" name="Table13826283032343663840424446" displayName="Table13826283032343663840424446" ref="A2:H22" totalsRowCount="1" headerRowDxfId="38" dataDxfId="36" totalsRowDxfId="34" headerRowBorderDxfId="37" tableBorderDxfId="35" totalsRowBorderDxfId="33">
  <autoFilter ref="A2:H21"/>
  <tableColumns count="8">
    <tableColumn id="1" name="លរ No. 数字" dataDxfId="32" totalsRowDxfId="23"/>
    <tableColumn id="2" name="ប្រភេទម្ជុល Needle Type 针型" dataDxfId="31" totalsRowDxfId="22"/>
    <tableColumn id="3" name="ទំហំ​ SIZE 尺寸" dataDxfId="30" totalsRowDxfId="21"/>
    <tableColumn id="4" name="ចំនួននៅសល់ Opening Balance 未结余额" totalsRowFunction="custom" dataDxfId="29" totalsRowDxfId="20">
      <calculatedColumnFormula>AQ3+F3-C3</calculatedColumnFormula>
      <totalsRowFormula>SUBTOTAL(9,D3:D21)</totalsRowFormula>
    </tableColumn>
    <tableColumn id="6" name="ទទួល​ Received ​已收到" totalsRowFunction="custom" dataDxfId="28" totalsRowDxfId="19">
      <totalsRowFormula>SUBTOTAL(9,E3:E21)</totalsRowFormula>
    </tableColumn>
    <tableColumn id="5" name="ម្ជុលដែលបានផ្តល់ជូន, Issued  Needle, 已发放的针头" totalsRowFunction="custom" dataDxfId="27" totalsRowDxfId="18">
      <calculatedColumnFormula>SUM(#REF!)</calculatedColumnFormula>
      <totalsRowFormula>SUBTOTAL(9,F3:F21)</totalsRowFormula>
    </tableColumn>
    <tableColumn id="8" name="តុល្យភាព Closing Balance 期末余额" totalsRowFunction="custom" dataDxfId="26" totalsRowDxfId="17">
      <calculatedColumnFormula>#REF!-F3+660</calculatedColumnFormula>
      <totalsRowFormula>SUBTOTAL(9,G3:G21)</totalsRowFormula>
    </tableColumn>
    <tableColumn id="9" name="សំគាល់ Remark 评论" dataDxfId="25" totalsRowDxfId="1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able6927293133353773941434547" displayName="Table6927293133353773941434547" ref="K2:V21" totalsRowShown="0" headerRowDxfId="24">
  <autoFilter ref="K2:V21"/>
  <tableColumns count="12">
    <tableColumn id="1" name="Line# 1"/>
    <tableColumn id="2" name="Line# 2"/>
    <tableColumn id="3" name="Line# 3"/>
    <tableColumn id="4" name="Line# 4"/>
    <tableColumn id="5" name="Line# 5"/>
    <tableColumn id="6" name="Line# 6"/>
    <tableColumn id="7" name="Line# 7"/>
    <tableColumn id="8" name="Line# 8"/>
    <tableColumn id="9" name="Line# 9"/>
    <tableColumn id="10" name="Line# 10"/>
    <tableColumn id="11" name="Line# 11"/>
    <tableColumn id="12" name="Line# 1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22"/>
  <sheetViews>
    <sheetView workbookViewId="0">
      <pane xSplit="8" ySplit="2" topLeftCell="P3" activePane="bottomRight" state="frozen"/>
      <selection pane="topRight" activeCell="I1" sqref="I1"/>
      <selection pane="bottomLeft" activeCell="A3" sqref="A3"/>
      <selection pane="bottomRight" activeCell="B15" sqref="B1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46031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330</v>
      </c>
      <c r="E3" s="15">
        <v>10</v>
      </c>
      <c r="F3" s="15">
        <f t="shared" ref="F3:F19" si="0">D3-E3</f>
        <v>320</v>
      </c>
      <c r="G3" s="14" t="s">
        <v>15</v>
      </c>
      <c r="H3" s="12"/>
      <c r="J3" s="11">
        <v>1</v>
      </c>
      <c r="K3" s="10"/>
      <c r="L3" s="10">
        <v>7</v>
      </c>
      <c r="M3" s="10"/>
      <c r="N3" s="10"/>
      <c r="O3" s="10">
        <v>1</v>
      </c>
      <c r="P3" s="10">
        <v>1</v>
      </c>
      <c r="Q3" s="10"/>
      <c r="R3" s="10"/>
      <c r="S3" s="10"/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970</v>
      </c>
      <c r="E4" s="15">
        <f t="shared" ref="E4:E19" si="1">SUM(J4:U4)</f>
        <v>0</v>
      </c>
      <c r="F4" s="15">
        <f t="shared" si="0"/>
        <v>970</v>
      </c>
      <c r="G4" s="14"/>
      <c r="H4" s="12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310</v>
      </c>
      <c r="E5" s="15">
        <v>10</v>
      </c>
      <c r="F5" s="15">
        <f t="shared" si="0"/>
        <v>300</v>
      </c>
      <c r="G5" s="14" t="s">
        <v>15</v>
      </c>
      <c r="H5" s="12"/>
      <c r="J5" s="11">
        <v>1</v>
      </c>
      <c r="K5" s="10">
        <v>9</v>
      </c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/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960</v>
      </c>
      <c r="E8" s="15">
        <v>10</v>
      </c>
      <c r="F8" s="15">
        <f t="shared" si="0"/>
        <v>950</v>
      </c>
      <c r="G8" s="14" t="s">
        <v>17</v>
      </c>
      <c r="H8" s="12"/>
      <c r="J8" s="11">
        <v>2</v>
      </c>
      <c r="K8" s="10"/>
      <c r="L8" s="10"/>
      <c r="M8" s="10"/>
      <c r="N8" s="10">
        <v>1</v>
      </c>
      <c r="O8" s="10">
        <v>2</v>
      </c>
      <c r="P8" s="10"/>
      <c r="Q8" s="10">
        <v>3</v>
      </c>
      <c r="R8" s="10"/>
      <c r="S8" s="10">
        <v>2</v>
      </c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960</v>
      </c>
      <c r="E9" s="15">
        <v>10</v>
      </c>
      <c r="F9" s="15">
        <f t="shared" si="0"/>
        <v>950</v>
      </c>
      <c r="G9" s="14" t="s">
        <v>17</v>
      </c>
      <c r="H9" s="12"/>
      <c r="J9" s="11"/>
      <c r="K9" s="10">
        <v>1</v>
      </c>
      <c r="L9" s="10">
        <v>4</v>
      </c>
      <c r="M9" s="10"/>
      <c r="N9" s="10"/>
      <c r="O9" s="10">
        <v>2</v>
      </c>
      <c r="P9" s="10">
        <v>2</v>
      </c>
      <c r="Q9" s="10">
        <v>1</v>
      </c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170</v>
      </c>
      <c r="E13" s="15">
        <v>10</v>
      </c>
      <c r="F13" s="15">
        <f t="shared" si="0"/>
        <v>160</v>
      </c>
      <c r="G13" s="14" t="s">
        <v>15</v>
      </c>
      <c r="H13" s="12"/>
      <c r="J13" s="11"/>
      <c r="K13" s="10">
        <v>4</v>
      </c>
      <c r="L13" s="10">
        <v>3</v>
      </c>
      <c r="M13" s="10"/>
      <c r="N13" s="10"/>
      <c r="O13" s="10"/>
      <c r="P13" s="10">
        <v>1</v>
      </c>
      <c r="Q13" s="10">
        <v>2</v>
      </c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50</v>
      </c>
      <c r="F22" s="6">
        <f>SUBTOTAL(9,F3:F21)</f>
        <v>6010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519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22"/>
  <sheetViews>
    <sheetView workbookViewId="0">
      <pane xSplit="8" ySplit="2" topLeftCell="N3" activePane="bottomRight" state="frozen"/>
      <selection pane="topRight" activeCell="I1" sqref="I1"/>
      <selection pane="bottomLeft" activeCell="A3" sqref="A3"/>
      <selection pane="bottomRight" activeCell="B15" sqref="B1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46062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320</v>
      </c>
      <c r="E3" s="15">
        <v>20</v>
      </c>
      <c r="F3" s="15">
        <f t="shared" ref="F3:F19" si="0">D3-E3</f>
        <v>300</v>
      </c>
      <c r="G3" s="14" t="s">
        <v>15</v>
      </c>
      <c r="H3" s="12"/>
      <c r="J3" s="11">
        <v>5</v>
      </c>
      <c r="K3" s="10"/>
      <c r="L3" s="10">
        <v>3</v>
      </c>
      <c r="M3" s="10"/>
      <c r="N3" s="10">
        <v>2</v>
      </c>
      <c r="O3" s="10">
        <v>4</v>
      </c>
      <c r="P3" s="10">
        <v>1</v>
      </c>
      <c r="Q3" s="10"/>
      <c r="R3" s="10">
        <v>2</v>
      </c>
      <c r="S3" s="10">
        <v>2</v>
      </c>
      <c r="T3" s="10"/>
      <c r="U3" s="9">
        <v>1</v>
      </c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970</v>
      </c>
      <c r="E4" s="15">
        <f t="shared" ref="E4:E19" si="1">SUM(J4:U4)</f>
        <v>0</v>
      </c>
      <c r="F4" s="15">
        <f t="shared" si="0"/>
        <v>970</v>
      </c>
      <c r="G4" s="14"/>
      <c r="H4" s="12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300</v>
      </c>
      <c r="E5" s="15">
        <f t="shared" si="1"/>
        <v>0</v>
      </c>
      <c r="F5" s="15">
        <f t="shared" si="0"/>
        <v>300</v>
      </c>
      <c r="G5" s="14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950</v>
      </c>
      <c r="E8" s="15">
        <f t="shared" si="1"/>
        <v>0</v>
      </c>
      <c r="F8" s="15">
        <f t="shared" si="0"/>
        <v>950</v>
      </c>
      <c r="G8" s="14"/>
      <c r="H8" s="12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950</v>
      </c>
      <c r="E9" s="15">
        <f t="shared" si="1"/>
        <v>0</v>
      </c>
      <c r="F9" s="15">
        <f t="shared" si="0"/>
        <v>950</v>
      </c>
      <c r="G9" s="14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160</v>
      </c>
      <c r="E13" s="15">
        <v>10</v>
      </c>
      <c r="F13" s="15">
        <f t="shared" si="0"/>
        <v>150</v>
      </c>
      <c r="G13" s="14" t="s">
        <v>15</v>
      </c>
      <c r="H13" s="12"/>
      <c r="J13" s="11">
        <v>5</v>
      </c>
      <c r="K13" s="10"/>
      <c r="L13" s="10">
        <v>4</v>
      </c>
      <c r="M13" s="10"/>
      <c r="N13" s="10"/>
      <c r="O13" s="10"/>
      <c r="P13" s="10">
        <v>1</v>
      </c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30</v>
      </c>
      <c r="F22" s="6">
        <f>SUBTOTAL(9,F3:F21)</f>
        <v>5980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J1:U1"/>
    <mergeCell ref="C1:F1"/>
  </mergeCells>
  <conditionalFormatting sqref="D3:D19">
    <cfRule type="cellIs" dxfId="497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22"/>
  <sheetViews>
    <sheetView workbookViewId="0">
      <pane xSplit="8" ySplit="2" topLeftCell="S9" activePane="bottomRight" state="frozen"/>
      <selection pane="topRight" activeCell="I1" sqref="I1"/>
      <selection pane="bottomLeft" activeCell="A3" sqref="A3"/>
      <selection pane="bottomRight" activeCell="D15" sqref="D1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46090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300</v>
      </c>
      <c r="E3" s="15">
        <v>0</v>
      </c>
      <c r="F3" s="15">
        <f t="shared" ref="F3:F19" si="0">D3-E3</f>
        <v>300</v>
      </c>
      <c r="G3" s="14"/>
      <c r="H3" s="12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970</v>
      </c>
      <c r="E4" s="15">
        <f t="shared" ref="E4:E19" si="1">SUM(J4:U4)</f>
        <v>0</v>
      </c>
      <c r="F4" s="15">
        <f t="shared" si="0"/>
        <v>970</v>
      </c>
      <c r="G4" s="14"/>
      <c r="H4" s="12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300</v>
      </c>
      <c r="E5" s="15">
        <f t="shared" si="1"/>
        <v>0</v>
      </c>
      <c r="F5" s="15">
        <f t="shared" si="0"/>
        <v>300</v>
      </c>
      <c r="G5" s="14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950</v>
      </c>
      <c r="E8" s="15">
        <v>10</v>
      </c>
      <c r="F8" s="15">
        <f t="shared" si="0"/>
        <v>940</v>
      </c>
      <c r="G8" s="14" t="s">
        <v>15</v>
      </c>
      <c r="H8" s="12"/>
      <c r="J8" s="11">
        <v>2</v>
      </c>
      <c r="K8" s="10"/>
      <c r="L8" s="10"/>
      <c r="M8" s="10"/>
      <c r="N8" s="10"/>
      <c r="O8" s="10">
        <v>2</v>
      </c>
      <c r="P8" s="10">
        <v>2</v>
      </c>
      <c r="Q8" s="10"/>
      <c r="R8" s="10">
        <v>1</v>
      </c>
      <c r="S8" s="10">
        <v>3</v>
      </c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950</v>
      </c>
      <c r="E9" s="15">
        <f t="shared" si="1"/>
        <v>0</v>
      </c>
      <c r="F9" s="15">
        <f t="shared" si="0"/>
        <v>950</v>
      </c>
      <c r="G9" s="14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150</v>
      </c>
      <c r="E13" s="15">
        <f t="shared" si="1"/>
        <v>0</v>
      </c>
      <c r="F13" s="15">
        <f t="shared" si="0"/>
        <v>150</v>
      </c>
      <c r="G13" s="14"/>
      <c r="H13" s="12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10</v>
      </c>
      <c r="F22" s="6">
        <f>SUBTOTAL(9,F3:F21)</f>
        <v>5970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475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22"/>
  <sheetViews>
    <sheetView workbookViewId="0">
      <pane xSplit="8" ySplit="2" topLeftCell="K3" activePane="bottomRight" state="frozen"/>
      <selection pane="topRight" activeCell="I1" sqref="I1"/>
      <selection pane="bottomLeft" activeCell="A3" sqref="A3"/>
      <selection pane="bottomRight" activeCell="D15" sqref="D15"/>
    </sheetView>
  </sheetViews>
  <sheetFormatPr defaultRowHeight="15" x14ac:dyDescent="0.25"/>
  <cols>
    <col min="1" max="1" width="12" bestFit="1" customWidth="1"/>
    <col min="2" max="2" width="17.28515625" bestFit="1" customWidth="1"/>
    <col min="3" max="3" width="18.85546875" bestFit="1" customWidth="1"/>
    <col min="4" max="4" width="18.5703125" bestFit="1" customWidth="1"/>
    <col min="5" max="5" width="19.8554687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46121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300</v>
      </c>
      <c r="E3" s="15">
        <v>10</v>
      </c>
      <c r="F3" s="15">
        <f t="shared" ref="F3:F19" si="0">D3-E3</f>
        <v>290</v>
      </c>
      <c r="G3" s="14" t="s">
        <v>15</v>
      </c>
      <c r="H3" s="12"/>
      <c r="J3" s="11">
        <v>3</v>
      </c>
      <c r="K3" s="10">
        <v>1</v>
      </c>
      <c r="L3" s="10"/>
      <c r="M3" s="10"/>
      <c r="N3" s="10">
        <v>1</v>
      </c>
      <c r="O3" s="10">
        <v>2</v>
      </c>
      <c r="P3" s="10">
        <v>1</v>
      </c>
      <c r="Q3" s="10"/>
      <c r="R3" s="10">
        <v>1</v>
      </c>
      <c r="S3" s="10"/>
      <c r="T3" s="10">
        <v>1</v>
      </c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970</v>
      </c>
      <c r="E4" s="15">
        <v>10</v>
      </c>
      <c r="F4" s="15">
        <f t="shared" si="0"/>
        <v>960</v>
      </c>
      <c r="G4" s="14" t="s">
        <v>16</v>
      </c>
      <c r="H4" s="12"/>
      <c r="J4" s="11">
        <v>3</v>
      </c>
      <c r="K4" s="10">
        <v>3</v>
      </c>
      <c r="L4" s="10"/>
      <c r="M4" s="10"/>
      <c r="N4" s="10">
        <v>1</v>
      </c>
      <c r="O4" s="10"/>
      <c r="P4" s="10">
        <v>1</v>
      </c>
      <c r="Q4" s="10">
        <v>1</v>
      </c>
      <c r="R4" s="10"/>
      <c r="S4" s="10"/>
      <c r="T4" s="10">
        <v>1</v>
      </c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300</v>
      </c>
      <c r="E5" s="15">
        <v>10</v>
      </c>
      <c r="F5" s="15">
        <f t="shared" si="0"/>
        <v>290</v>
      </c>
      <c r="G5" s="14" t="s">
        <v>16</v>
      </c>
      <c r="H5" s="12"/>
      <c r="J5" s="11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ref="E6:E19" si="1">SUM(J6:U6)</f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940</v>
      </c>
      <c r="E8" s="15">
        <f t="shared" si="1"/>
        <v>0</v>
      </c>
      <c r="F8" s="15">
        <f t="shared" si="0"/>
        <v>940</v>
      </c>
      <c r="G8" s="14"/>
      <c r="H8" s="12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950</v>
      </c>
      <c r="E9" s="15">
        <v>20</v>
      </c>
      <c r="F9" s="15">
        <f t="shared" si="0"/>
        <v>930</v>
      </c>
      <c r="G9" s="14" t="s">
        <v>15</v>
      </c>
      <c r="H9" s="12"/>
      <c r="J9" s="11">
        <v>16</v>
      </c>
      <c r="K9" s="10">
        <v>1</v>
      </c>
      <c r="L9" s="10"/>
      <c r="M9" s="10"/>
      <c r="N9" s="10"/>
      <c r="O9" s="10"/>
      <c r="P9" s="10">
        <v>1</v>
      </c>
      <c r="Q9" s="10">
        <v>2</v>
      </c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150</v>
      </c>
      <c r="E13" s="15">
        <v>10</v>
      </c>
      <c r="F13" s="15">
        <f t="shared" si="0"/>
        <v>140</v>
      </c>
      <c r="G13" s="14" t="s">
        <v>15</v>
      </c>
      <c r="H13" s="12"/>
      <c r="J13" s="11"/>
      <c r="K13" s="10">
        <v>9</v>
      </c>
      <c r="L13" s="10"/>
      <c r="M13" s="10">
        <v>1</v>
      </c>
      <c r="N13" s="10"/>
      <c r="O13" s="10"/>
      <c r="P13" s="10"/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60</v>
      </c>
      <c r="F22" s="6">
        <f>SUBTOTAL(9,F3:F21)</f>
        <v>5910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453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X22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15" sqref="D15"/>
    </sheetView>
  </sheetViews>
  <sheetFormatPr defaultRowHeight="15" x14ac:dyDescent="0.25"/>
  <cols>
    <col min="1" max="1" width="12" bestFit="1" customWidth="1"/>
    <col min="2" max="2" width="17.28515625" bestFit="1" customWidth="1"/>
    <col min="3" max="3" width="18.85546875" bestFit="1" customWidth="1"/>
    <col min="4" max="4" width="18.5703125" bestFit="1" customWidth="1"/>
    <col min="5" max="5" width="19.8554687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46151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290</v>
      </c>
      <c r="E3" s="15">
        <v>20</v>
      </c>
      <c r="F3" s="15">
        <f t="shared" ref="F3:F19" si="0">D3-E3</f>
        <v>270</v>
      </c>
      <c r="G3" s="14" t="s">
        <v>15</v>
      </c>
      <c r="H3" s="12"/>
      <c r="J3" s="11">
        <v>3</v>
      </c>
      <c r="K3" s="10"/>
      <c r="L3" s="10">
        <v>4</v>
      </c>
      <c r="M3" s="10"/>
      <c r="N3" s="10"/>
      <c r="O3" s="10"/>
      <c r="P3" s="10">
        <v>1</v>
      </c>
      <c r="Q3" s="10">
        <v>10</v>
      </c>
      <c r="R3" s="10"/>
      <c r="S3" s="10">
        <v>1</v>
      </c>
      <c r="T3" s="10">
        <v>1</v>
      </c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960</v>
      </c>
      <c r="E4" s="15">
        <f t="shared" ref="E4:E19" si="1">SUM(J4:U4)</f>
        <v>0</v>
      </c>
      <c r="F4" s="15">
        <f t="shared" si="0"/>
        <v>960</v>
      </c>
      <c r="G4" s="14"/>
      <c r="H4" s="12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si="1"/>
        <v>0</v>
      </c>
      <c r="F5" s="15">
        <f t="shared" si="0"/>
        <v>290</v>
      </c>
      <c r="G5" s="14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940</v>
      </c>
      <c r="E8" s="15">
        <v>10</v>
      </c>
      <c r="F8" s="15">
        <f t="shared" si="0"/>
        <v>930</v>
      </c>
      <c r="G8" s="14" t="s">
        <v>17</v>
      </c>
      <c r="H8" s="12"/>
      <c r="J8" s="11"/>
      <c r="K8" s="10">
        <v>2</v>
      </c>
      <c r="L8" s="10"/>
      <c r="M8" s="10"/>
      <c r="N8" s="10"/>
      <c r="O8" s="10"/>
      <c r="P8" s="10">
        <v>2</v>
      </c>
      <c r="Q8" s="10">
        <v>2</v>
      </c>
      <c r="R8" s="10">
        <v>2</v>
      </c>
      <c r="S8" s="10">
        <v>2</v>
      </c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930</v>
      </c>
      <c r="E9" s="15">
        <f t="shared" si="1"/>
        <v>0</v>
      </c>
      <c r="F9" s="15">
        <f t="shared" si="0"/>
        <v>930</v>
      </c>
      <c r="G9" s="14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140</v>
      </c>
      <c r="E13" s="15">
        <v>10</v>
      </c>
      <c r="F13" s="15">
        <f t="shared" si="0"/>
        <v>130</v>
      </c>
      <c r="G13" s="14" t="s">
        <v>15</v>
      </c>
      <c r="H13" s="12"/>
      <c r="J13" s="11">
        <v>6</v>
      </c>
      <c r="K13" s="10">
        <v>1</v>
      </c>
      <c r="L13" s="10">
        <v>2</v>
      </c>
      <c r="M13" s="10"/>
      <c r="N13" s="10"/>
      <c r="O13" s="10">
        <v>1</v>
      </c>
      <c r="P13" s="10"/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40</v>
      </c>
      <c r="F22" s="6">
        <f>SUBTOTAL(9,F3:F21)</f>
        <v>5870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431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22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15" sqref="D15"/>
    </sheetView>
  </sheetViews>
  <sheetFormatPr defaultRowHeight="15" x14ac:dyDescent="0.25"/>
  <cols>
    <col min="1" max="1" width="12.42578125" bestFit="1" customWidth="1"/>
    <col min="2" max="2" width="21.85546875" bestFit="1" customWidth="1"/>
    <col min="3" max="3" width="18.85546875" bestFit="1" customWidth="1"/>
    <col min="4" max="4" width="18.5703125" bestFit="1" customWidth="1"/>
    <col min="5" max="5" width="23.8554687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46212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270</v>
      </c>
      <c r="E3" s="15">
        <v>10</v>
      </c>
      <c r="F3" s="15">
        <f t="shared" ref="F3:F19" si="0">D3-E3</f>
        <v>260</v>
      </c>
      <c r="G3" s="14" t="s">
        <v>17</v>
      </c>
      <c r="H3" s="12"/>
      <c r="J3" s="11">
        <v>1</v>
      </c>
      <c r="K3" s="10"/>
      <c r="L3" s="10">
        <v>4</v>
      </c>
      <c r="M3" s="10"/>
      <c r="N3" s="10"/>
      <c r="O3" s="10">
        <v>1</v>
      </c>
      <c r="P3" s="10">
        <v>1</v>
      </c>
      <c r="Q3" s="10">
        <v>2</v>
      </c>
      <c r="R3" s="10">
        <v>1</v>
      </c>
      <c r="S3" s="10"/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960</v>
      </c>
      <c r="E4" s="15">
        <f t="shared" ref="E4:E19" si="1">SUM(J4:U4)</f>
        <v>0</v>
      </c>
      <c r="F4" s="15">
        <f t="shared" si="0"/>
        <v>960</v>
      </c>
      <c r="G4" s="14"/>
      <c r="H4" s="12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si="1"/>
        <v>0</v>
      </c>
      <c r="F5" s="15">
        <f t="shared" si="0"/>
        <v>290</v>
      </c>
      <c r="G5" s="14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930</v>
      </c>
      <c r="E8" s="15">
        <f t="shared" si="1"/>
        <v>0</v>
      </c>
      <c r="F8" s="15">
        <f t="shared" si="0"/>
        <v>930</v>
      </c>
      <c r="G8" s="14"/>
      <c r="H8" s="12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930</v>
      </c>
      <c r="E9" s="15">
        <v>10</v>
      </c>
      <c r="F9" s="15">
        <f t="shared" si="0"/>
        <v>920</v>
      </c>
      <c r="G9" s="14" t="s">
        <v>15</v>
      </c>
      <c r="H9" s="12"/>
      <c r="J9" s="11">
        <v>7</v>
      </c>
      <c r="K9" s="10"/>
      <c r="L9" s="10"/>
      <c r="M9" s="10"/>
      <c r="N9" s="10"/>
      <c r="O9" s="10"/>
      <c r="P9" s="10"/>
      <c r="Q9" s="10">
        <v>3</v>
      </c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130</v>
      </c>
      <c r="E13" s="15">
        <v>10</v>
      </c>
      <c r="F13" s="15">
        <f t="shared" si="0"/>
        <v>120</v>
      </c>
      <c r="G13" s="14" t="s">
        <v>15</v>
      </c>
      <c r="H13" s="12"/>
      <c r="J13" s="11">
        <v>3</v>
      </c>
      <c r="K13" s="10"/>
      <c r="L13" s="10">
        <v>2</v>
      </c>
      <c r="M13" s="10">
        <v>1</v>
      </c>
      <c r="N13" s="10"/>
      <c r="O13" s="10"/>
      <c r="P13" s="10">
        <v>1</v>
      </c>
      <c r="Q13" s="10">
        <v>2</v>
      </c>
      <c r="R13" s="10"/>
      <c r="S13" s="10">
        <v>1</v>
      </c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30</v>
      </c>
      <c r="F22" s="6">
        <f>SUBTOTAL(9,F3:F21)</f>
        <v>5840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409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2"/>
  <sheetViews>
    <sheetView workbookViewId="0">
      <pane xSplit="8" ySplit="2" topLeftCell="J6" activePane="bottomRight" state="frozen"/>
      <selection pane="topRight" activeCell="I1" sqref="I1"/>
      <selection pane="bottomLeft" activeCell="A3" sqref="A3"/>
      <selection pane="bottomRight" activeCell="D15" sqref="D15"/>
    </sheetView>
  </sheetViews>
  <sheetFormatPr defaultRowHeight="15" x14ac:dyDescent="0.25"/>
  <cols>
    <col min="1" max="1" width="8.42578125" customWidth="1"/>
    <col min="2" max="2" width="15.42578125" customWidth="1"/>
    <col min="3" max="4" width="16.28515625" customWidth="1"/>
    <col min="5" max="5" width="15.85546875" customWidth="1"/>
    <col min="6" max="6" width="14.28515625" customWidth="1"/>
    <col min="7" max="7" width="28.28515625" customWidth="1"/>
    <col min="8" max="8" width="4.5703125" customWidth="1"/>
    <col min="9" max="9" width="6" customWidth="1"/>
    <col min="10" max="18" width="9.28515625" customWidth="1"/>
    <col min="19" max="21" width="10.28515625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46243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260</v>
      </c>
      <c r="E3" s="15">
        <v>20</v>
      </c>
      <c r="F3" s="15">
        <f t="shared" ref="F3:F19" si="0">D3-E3</f>
        <v>240</v>
      </c>
      <c r="G3" s="14" t="s">
        <v>15</v>
      </c>
      <c r="H3" s="12"/>
      <c r="J3" s="11">
        <v>4</v>
      </c>
      <c r="K3" s="10">
        <v>1</v>
      </c>
      <c r="L3" s="10">
        <v>1</v>
      </c>
      <c r="M3" s="10"/>
      <c r="N3" s="10"/>
      <c r="O3" s="10">
        <v>3</v>
      </c>
      <c r="P3" s="10">
        <v>3</v>
      </c>
      <c r="Q3" s="10">
        <v>1</v>
      </c>
      <c r="R3" s="10">
        <v>3</v>
      </c>
      <c r="S3" s="10">
        <v>1</v>
      </c>
      <c r="T3" s="10">
        <v>3</v>
      </c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960</v>
      </c>
      <c r="E4" s="15">
        <v>20</v>
      </c>
      <c r="F4" s="15">
        <f t="shared" si="0"/>
        <v>940</v>
      </c>
      <c r="G4" s="14" t="s">
        <v>16</v>
      </c>
      <c r="H4" s="12"/>
      <c r="J4" s="11">
        <v>3</v>
      </c>
      <c r="K4" s="10">
        <v>5</v>
      </c>
      <c r="L4" s="10">
        <v>2</v>
      </c>
      <c r="M4" s="10">
        <v>3</v>
      </c>
      <c r="N4" s="10"/>
      <c r="O4" s="10"/>
      <c r="P4" s="10">
        <v>3</v>
      </c>
      <c r="Q4" s="10"/>
      <c r="R4" s="10">
        <v>3</v>
      </c>
      <c r="S4" s="10"/>
      <c r="T4" s="10">
        <v>1</v>
      </c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14" t="s">
        <v>17</v>
      </c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930</v>
      </c>
      <c r="E8" s="15">
        <v>10</v>
      </c>
      <c r="F8" s="15">
        <f t="shared" si="0"/>
        <v>920</v>
      </c>
      <c r="G8" s="14" t="s">
        <v>15</v>
      </c>
      <c r="H8" s="12"/>
      <c r="J8" s="11">
        <v>3</v>
      </c>
      <c r="K8" s="10"/>
      <c r="L8" s="10"/>
      <c r="M8" s="10"/>
      <c r="N8" s="10">
        <v>2</v>
      </c>
      <c r="O8" s="10">
        <v>2</v>
      </c>
      <c r="P8" s="10">
        <v>2</v>
      </c>
      <c r="Q8" s="10"/>
      <c r="R8" s="10"/>
      <c r="S8" s="10">
        <v>1</v>
      </c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920</v>
      </c>
      <c r="E9" s="15">
        <f t="shared" si="1"/>
        <v>0</v>
      </c>
      <c r="F9" s="15">
        <f t="shared" si="0"/>
        <v>920</v>
      </c>
      <c r="G9" s="14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120</v>
      </c>
      <c r="E13" s="15">
        <v>20</v>
      </c>
      <c r="F13" s="15">
        <f t="shared" si="0"/>
        <v>100</v>
      </c>
      <c r="G13" s="14" t="s">
        <v>17</v>
      </c>
      <c r="H13" s="12"/>
      <c r="J13" s="11">
        <v>10</v>
      </c>
      <c r="K13" s="10"/>
      <c r="L13" s="10">
        <v>2</v>
      </c>
      <c r="M13" s="10"/>
      <c r="N13" s="10"/>
      <c r="O13" s="10"/>
      <c r="P13" s="10">
        <v>4</v>
      </c>
      <c r="Q13" s="10">
        <v>2</v>
      </c>
      <c r="R13" s="10"/>
      <c r="S13" s="10">
        <v>2</v>
      </c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70</v>
      </c>
      <c r="F22" s="6">
        <f>SUBTOTAL(9,F3:F21)</f>
        <v>5770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387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2"/>
  <sheetViews>
    <sheetView workbookViewId="0">
      <pane xSplit="8" ySplit="2" topLeftCell="K3" activePane="bottomRight" state="frozen"/>
      <selection pane="topRight" activeCell="I1" sqref="I1"/>
      <selection pane="bottomLeft" activeCell="A3" sqref="A3"/>
      <selection pane="bottomRight" activeCell="D5" sqref="D5"/>
    </sheetView>
  </sheetViews>
  <sheetFormatPr defaultRowHeight="15" x14ac:dyDescent="0.25"/>
  <cols>
    <col min="1" max="1" width="12" bestFit="1" customWidth="1"/>
    <col min="2" max="2" width="17.28515625" bestFit="1" customWidth="1"/>
    <col min="3" max="3" width="18.85546875" bestFit="1" customWidth="1"/>
    <col min="4" max="4" width="18.5703125" bestFit="1" customWidth="1"/>
    <col min="5" max="5" width="19.8554687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46274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240</v>
      </c>
      <c r="E3" s="15">
        <v>10</v>
      </c>
      <c r="F3" s="15">
        <f t="shared" ref="F3:F19" si="0">D3-E3</f>
        <v>230</v>
      </c>
      <c r="G3" s="14" t="s">
        <v>17</v>
      </c>
      <c r="H3" s="12"/>
      <c r="J3" s="11"/>
      <c r="K3" s="10"/>
      <c r="L3" s="10">
        <v>1</v>
      </c>
      <c r="M3" s="10">
        <v>3</v>
      </c>
      <c r="N3" s="10"/>
      <c r="O3" s="10">
        <v>1</v>
      </c>
      <c r="P3" s="10">
        <v>2</v>
      </c>
      <c r="Q3" s="10">
        <v>1</v>
      </c>
      <c r="R3" s="10">
        <v>1</v>
      </c>
      <c r="S3" s="10">
        <v>1</v>
      </c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940</v>
      </c>
      <c r="E4" s="15">
        <v>10</v>
      </c>
      <c r="F4" s="15">
        <f t="shared" si="0"/>
        <v>930</v>
      </c>
      <c r="G4" s="14" t="s">
        <v>16</v>
      </c>
      <c r="H4" s="12"/>
      <c r="J4" s="11"/>
      <c r="K4" s="10"/>
      <c r="L4" s="10"/>
      <c r="M4" s="10"/>
      <c r="N4" s="10"/>
      <c r="O4" s="10">
        <v>2</v>
      </c>
      <c r="P4" s="10">
        <v>6</v>
      </c>
      <c r="Q4" s="10">
        <v>2</v>
      </c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14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920</v>
      </c>
      <c r="E8" s="15">
        <v>10</v>
      </c>
      <c r="F8" s="15">
        <f t="shared" si="0"/>
        <v>910</v>
      </c>
      <c r="G8" s="14" t="s">
        <v>17</v>
      </c>
      <c r="H8" s="12"/>
      <c r="J8" s="11"/>
      <c r="K8" s="10">
        <v>3</v>
      </c>
      <c r="L8" s="10"/>
      <c r="M8" s="10"/>
      <c r="N8" s="10"/>
      <c r="O8" s="10">
        <v>4</v>
      </c>
      <c r="P8" s="10"/>
      <c r="Q8" s="10"/>
      <c r="R8" s="10">
        <v>3</v>
      </c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920</v>
      </c>
      <c r="E9" s="15">
        <v>10</v>
      </c>
      <c r="F9" s="15">
        <f t="shared" si="0"/>
        <v>910</v>
      </c>
      <c r="G9" s="14" t="s">
        <v>17</v>
      </c>
      <c r="H9" s="12"/>
      <c r="J9" s="11">
        <v>2</v>
      </c>
      <c r="K9" s="10"/>
      <c r="L9" s="10">
        <v>2</v>
      </c>
      <c r="M9" s="10">
        <v>1</v>
      </c>
      <c r="N9" s="10">
        <v>2</v>
      </c>
      <c r="O9" s="10"/>
      <c r="P9" s="10">
        <v>3</v>
      </c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f t="shared" si="1"/>
        <v>0</v>
      </c>
      <c r="F11" s="15">
        <f t="shared" si="0"/>
        <v>350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100</v>
      </c>
      <c r="E13" s="15">
        <f t="shared" si="1"/>
        <v>0</v>
      </c>
      <c r="F13" s="15">
        <f t="shared" si="0"/>
        <v>100</v>
      </c>
      <c r="G13" s="14"/>
      <c r="H13" s="12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f t="shared" si="1"/>
        <v>0</v>
      </c>
      <c r="F15" s="15">
        <f t="shared" si="0"/>
        <v>620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40</v>
      </c>
      <c r="F22" s="6">
        <f>SUBTOTAL(9,F3:F21)</f>
        <v>5730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365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22"/>
  <sheetViews>
    <sheetView workbookViewId="0">
      <pane xSplit="7" ySplit="2" topLeftCell="I6" activePane="bottomRight" state="frozen"/>
      <selection pane="topRight" activeCell="H1" sqref="H1"/>
      <selection pane="bottomLeft" activeCell="A3" sqref="A3"/>
      <selection pane="bottomRight" activeCell="G15" sqref="G1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46304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230</v>
      </c>
      <c r="E3" s="15">
        <v>20</v>
      </c>
      <c r="F3" s="15">
        <f t="shared" ref="F3:F19" si="0">D3-E3</f>
        <v>210</v>
      </c>
      <c r="G3" s="14" t="s">
        <v>16</v>
      </c>
      <c r="H3" s="12"/>
      <c r="J3" s="11"/>
      <c r="K3" s="10">
        <v>3</v>
      </c>
      <c r="L3" s="10">
        <v>2</v>
      </c>
      <c r="M3" s="10">
        <v>8</v>
      </c>
      <c r="N3" s="10"/>
      <c r="O3" s="10">
        <v>2</v>
      </c>
      <c r="P3" s="10">
        <v>1</v>
      </c>
      <c r="Q3" s="10"/>
      <c r="R3" s="10">
        <v>2</v>
      </c>
      <c r="S3" s="10"/>
      <c r="T3" s="10"/>
      <c r="U3" s="9">
        <v>1</v>
      </c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930</v>
      </c>
      <c r="E4" s="15">
        <v>20</v>
      </c>
      <c r="F4" s="15">
        <f t="shared" si="0"/>
        <v>910</v>
      </c>
      <c r="G4" s="14" t="s">
        <v>17</v>
      </c>
      <c r="H4" s="12"/>
      <c r="J4" s="11">
        <v>1</v>
      </c>
      <c r="K4" s="10">
        <v>2</v>
      </c>
      <c r="L4" s="10"/>
      <c r="M4" s="10"/>
      <c r="N4" s="10"/>
      <c r="O4" s="10">
        <v>1</v>
      </c>
      <c r="P4" s="10">
        <v>4</v>
      </c>
      <c r="Q4" s="10">
        <v>1</v>
      </c>
      <c r="R4" s="10">
        <v>5</v>
      </c>
      <c r="S4" s="10">
        <v>3</v>
      </c>
      <c r="T4" s="10">
        <v>3</v>
      </c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14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910</v>
      </c>
      <c r="E8" s="15">
        <v>10</v>
      </c>
      <c r="F8" s="15">
        <f t="shared" si="0"/>
        <v>900</v>
      </c>
      <c r="G8" s="14" t="s">
        <v>17</v>
      </c>
      <c r="H8" s="12"/>
      <c r="J8" s="11"/>
      <c r="K8" s="10">
        <v>2</v>
      </c>
      <c r="L8" s="10"/>
      <c r="M8" s="10"/>
      <c r="N8" s="10"/>
      <c r="O8" s="10">
        <v>2</v>
      </c>
      <c r="P8" s="10">
        <v>2</v>
      </c>
      <c r="Q8" s="10">
        <v>3</v>
      </c>
      <c r="R8" s="10"/>
      <c r="S8" s="10">
        <v>1</v>
      </c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910</v>
      </c>
      <c r="E9" s="15">
        <v>10</v>
      </c>
      <c r="F9" s="15">
        <f t="shared" si="0"/>
        <v>900</v>
      </c>
      <c r="G9" s="14" t="s">
        <v>17</v>
      </c>
      <c r="H9" s="12"/>
      <c r="J9" s="11">
        <v>1</v>
      </c>
      <c r="K9" s="10">
        <v>2</v>
      </c>
      <c r="L9" s="10">
        <v>2</v>
      </c>
      <c r="M9" s="10">
        <v>4</v>
      </c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350</v>
      </c>
      <c r="E11" s="15">
        <v>10</v>
      </c>
      <c r="F11" s="15">
        <f t="shared" si="0"/>
        <v>340</v>
      </c>
      <c r="G11" s="14" t="s">
        <v>17</v>
      </c>
      <c r="H11" s="12"/>
      <c r="J11" s="11">
        <v>3</v>
      </c>
      <c r="K11" s="10"/>
      <c r="L11" s="10">
        <v>1</v>
      </c>
      <c r="M11" s="10"/>
      <c r="N11" s="10">
        <v>1</v>
      </c>
      <c r="O11" s="10">
        <v>1</v>
      </c>
      <c r="P11" s="10"/>
      <c r="Q11" s="10">
        <v>3</v>
      </c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100</v>
      </c>
      <c r="E13" s="15">
        <v>10</v>
      </c>
      <c r="F13" s="15">
        <f t="shared" si="0"/>
        <v>90</v>
      </c>
      <c r="G13" s="14" t="s">
        <v>17</v>
      </c>
      <c r="H13" s="12"/>
      <c r="J13" s="11">
        <v>2</v>
      </c>
      <c r="K13" s="10"/>
      <c r="L13" s="10">
        <v>6</v>
      </c>
      <c r="M13" s="10"/>
      <c r="N13" s="10"/>
      <c r="O13" s="10">
        <v>1</v>
      </c>
      <c r="P13" s="10">
        <v>1</v>
      </c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620</v>
      </c>
      <c r="E15" s="15">
        <v>10</v>
      </c>
      <c r="F15" s="15">
        <f t="shared" si="0"/>
        <v>610</v>
      </c>
      <c r="G15" s="14"/>
      <c r="H15" s="12"/>
      <c r="J15" s="11"/>
      <c r="K15" s="10"/>
      <c r="L15" s="10"/>
      <c r="M15" s="10"/>
      <c r="N15" s="10"/>
      <c r="O15" s="10">
        <v>3</v>
      </c>
      <c r="P15" s="10">
        <v>4</v>
      </c>
      <c r="Q15" s="10"/>
      <c r="R15" s="10"/>
      <c r="S15" s="10">
        <v>3</v>
      </c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90</v>
      </c>
      <c r="F22" s="6">
        <f>SUBTOTAL(9,F3:F21)</f>
        <v>5640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343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22"/>
  <sheetViews>
    <sheetView workbookViewId="0">
      <pane xSplit="8" ySplit="2" topLeftCell="J3" activePane="bottomRight" state="frozen"/>
      <selection pane="topRight" activeCell="I1" sqref="I1"/>
      <selection pane="bottomLeft" activeCell="A3" sqref="A3"/>
      <selection pane="bottomRight" activeCell="B11" sqref="B1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5.42578125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>
        <v>46335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210</v>
      </c>
      <c r="E3" s="15">
        <v>20</v>
      </c>
      <c r="F3" s="15">
        <f t="shared" ref="F3:F19" si="0">D3-E3</f>
        <v>190</v>
      </c>
      <c r="G3" s="14" t="s">
        <v>16</v>
      </c>
      <c r="H3" s="12"/>
      <c r="J3" s="11"/>
      <c r="K3" s="10">
        <v>5</v>
      </c>
      <c r="L3" s="10">
        <v>1</v>
      </c>
      <c r="M3" s="10">
        <v>2</v>
      </c>
      <c r="N3" s="10">
        <v>2</v>
      </c>
      <c r="O3" s="10">
        <v>2</v>
      </c>
      <c r="P3" s="10"/>
      <c r="Q3" s="10"/>
      <c r="R3" s="10">
        <v>4</v>
      </c>
      <c r="S3" s="10">
        <v>4</v>
      </c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910</v>
      </c>
      <c r="E4" s="15">
        <v>10</v>
      </c>
      <c r="F4" s="15">
        <f t="shared" si="0"/>
        <v>900</v>
      </c>
      <c r="G4" s="14" t="s">
        <v>17</v>
      </c>
      <c r="H4" s="12"/>
      <c r="J4" s="11"/>
      <c r="K4" s="10"/>
      <c r="L4" s="10">
        <v>2</v>
      </c>
      <c r="M4" s="10"/>
      <c r="N4" s="10">
        <v>4</v>
      </c>
      <c r="O4" s="10"/>
      <c r="P4" s="10">
        <v>1</v>
      </c>
      <c r="Q4" s="10">
        <v>3</v>
      </c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14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14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14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900</v>
      </c>
      <c r="E8" s="15">
        <v>10</v>
      </c>
      <c r="F8" s="15">
        <f t="shared" si="0"/>
        <v>890</v>
      </c>
      <c r="G8" s="14" t="s">
        <v>17</v>
      </c>
      <c r="H8" s="12"/>
      <c r="J8" s="11"/>
      <c r="K8" s="10"/>
      <c r="L8" s="10">
        <v>1</v>
      </c>
      <c r="M8" s="10"/>
      <c r="N8" s="10">
        <v>2</v>
      </c>
      <c r="O8" s="10">
        <v>1</v>
      </c>
      <c r="P8" s="10"/>
      <c r="Q8" s="10"/>
      <c r="R8" s="10">
        <v>2</v>
      </c>
      <c r="S8" s="10">
        <v>2</v>
      </c>
      <c r="T8" s="10">
        <v>2</v>
      </c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900</v>
      </c>
      <c r="E9" s="15">
        <f t="shared" si="1"/>
        <v>0</v>
      </c>
      <c r="F9" s="15">
        <f t="shared" si="0"/>
        <v>900</v>
      </c>
      <c r="G9" s="14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14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>
        <f t="shared" si="1"/>
        <v>0</v>
      </c>
      <c r="F11" s="15">
        <f t="shared" si="0"/>
        <v>340</v>
      </c>
      <c r="G11" s="14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14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90</v>
      </c>
      <c r="E13" s="15">
        <v>10</v>
      </c>
      <c r="F13" s="15">
        <f t="shared" si="0"/>
        <v>80</v>
      </c>
      <c r="G13" s="14" t="s">
        <v>17</v>
      </c>
      <c r="H13" s="12"/>
      <c r="J13" s="11">
        <v>8</v>
      </c>
      <c r="K13" s="10">
        <v>1</v>
      </c>
      <c r="L13" s="10"/>
      <c r="M13" s="10"/>
      <c r="N13" s="10"/>
      <c r="O13" s="10">
        <v>1</v>
      </c>
      <c r="P13" s="10"/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14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>
        <f t="shared" si="1"/>
        <v>0</v>
      </c>
      <c r="F15" s="15">
        <f t="shared" si="0"/>
        <v>610</v>
      </c>
      <c r="G15" s="14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14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14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14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14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14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13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50</v>
      </c>
      <c r="F22" s="6">
        <f>SUBTOTAL(9,F3:F21)</f>
        <v>5590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321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E11" sqref="E1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 t="s">
        <v>39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190</v>
      </c>
      <c r="E3" s="15">
        <v>10</v>
      </c>
      <c r="F3" s="15">
        <f t="shared" ref="F3:F19" si="0">D3-E3</f>
        <v>180</v>
      </c>
      <c r="G3" s="29" t="s">
        <v>17</v>
      </c>
      <c r="H3" s="12"/>
      <c r="J3" s="11">
        <v>2</v>
      </c>
      <c r="K3" s="10"/>
      <c r="L3" s="10">
        <v>2</v>
      </c>
      <c r="M3" s="10"/>
      <c r="N3" s="10">
        <v>1</v>
      </c>
      <c r="O3" s="10"/>
      <c r="P3" s="10">
        <v>3</v>
      </c>
      <c r="Q3" s="10">
        <v>2</v>
      </c>
      <c r="R3" s="10"/>
      <c r="S3" s="10"/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900</v>
      </c>
      <c r="E4" s="15">
        <v>20</v>
      </c>
      <c r="F4" s="15">
        <f t="shared" si="0"/>
        <v>880</v>
      </c>
      <c r="G4" s="29" t="s">
        <v>17</v>
      </c>
      <c r="H4" s="12"/>
      <c r="J4" s="11">
        <v>2</v>
      </c>
      <c r="K4" s="10">
        <v>5</v>
      </c>
      <c r="L4" s="10">
        <v>1</v>
      </c>
      <c r="M4" s="10"/>
      <c r="N4" s="10">
        <v>2</v>
      </c>
      <c r="O4" s="10"/>
      <c r="P4" s="10">
        <v>2</v>
      </c>
      <c r="Q4" s="10"/>
      <c r="R4" s="10">
        <v>1</v>
      </c>
      <c r="S4" s="10"/>
      <c r="T4" s="10">
        <v>5</v>
      </c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29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29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29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890</v>
      </c>
      <c r="E8" s="15">
        <f t="shared" si="1"/>
        <v>0</v>
      </c>
      <c r="F8" s="15">
        <f t="shared" si="0"/>
        <v>890</v>
      </c>
      <c r="G8" s="29"/>
      <c r="H8" s="12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900</v>
      </c>
      <c r="E9" s="15">
        <f t="shared" si="1"/>
        <v>0</v>
      </c>
      <c r="F9" s="15">
        <f t="shared" si="0"/>
        <v>900</v>
      </c>
      <c r="G9" s="29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29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>
        <f t="shared" si="1"/>
        <v>0</v>
      </c>
      <c r="F11" s="15">
        <f t="shared" si="0"/>
        <v>340</v>
      </c>
      <c r="G11" s="29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29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80</v>
      </c>
      <c r="E13" s="15">
        <v>10</v>
      </c>
      <c r="F13" s="15">
        <f t="shared" si="0"/>
        <v>70</v>
      </c>
      <c r="G13" s="29" t="s">
        <v>17</v>
      </c>
      <c r="H13" s="12"/>
      <c r="J13" s="11">
        <v>4</v>
      </c>
      <c r="K13" s="10">
        <v>1</v>
      </c>
      <c r="L13" s="10">
        <v>3</v>
      </c>
      <c r="M13" s="10"/>
      <c r="N13" s="10"/>
      <c r="O13" s="10"/>
      <c r="P13" s="10">
        <v>2</v>
      </c>
      <c r="Q13" s="10"/>
      <c r="R13" s="10"/>
      <c r="S13" s="10">
        <v>1</v>
      </c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29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>
        <f t="shared" si="1"/>
        <v>0</v>
      </c>
      <c r="F15" s="15">
        <f t="shared" si="0"/>
        <v>610</v>
      </c>
      <c r="G15" s="29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29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29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29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29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29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30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40</v>
      </c>
      <c r="F22" s="6">
        <f>SUBTOTAL(9,F3:F21)</f>
        <v>5550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299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xSplit="8" ySplit="2" topLeftCell="M3" activePane="bottomRight" state="frozen"/>
      <selection pane="topRight" activeCell="I1" sqref="I1"/>
      <selection pane="bottomLeft" activeCell="A3" sqref="A3"/>
      <selection pane="bottomRight" activeCell="E11" sqref="E1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 t="s">
        <v>40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180</v>
      </c>
      <c r="E3" s="15">
        <v>20</v>
      </c>
      <c r="F3" s="15">
        <f t="shared" ref="F3:F19" si="0">D3-E3</f>
        <v>160</v>
      </c>
      <c r="G3" s="29" t="s">
        <v>17</v>
      </c>
      <c r="H3" s="12"/>
      <c r="J3" s="11">
        <v>1</v>
      </c>
      <c r="K3" s="10"/>
      <c r="L3" s="10">
        <v>1</v>
      </c>
      <c r="M3" s="10"/>
      <c r="N3" s="10">
        <v>7</v>
      </c>
      <c r="O3" s="10">
        <v>3</v>
      </c>
      <c r="P3" s="10">
        <v>2</v>
      </c>
      <c r="Q3" s="10">
        <v>1</v>
      </c>
      <c r="R3" s="10">
        <v>2</v>
      </c>
      <c r="S3" s="10">
        <v>2</v>
      </c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880</v>
      </c>
      <c r="E4" s="15">
        <v>10</v>
      </c>
      <c r="F4" s="15">
        <f t="shared" si="0"/>
        <v>870</v>
      </c>
      <c r="G4" s="29" t="s">
        <v>17</v>
      </c>
      <c r="H4" s="12"/>
      <c r="J4" s="11"/>
      <c r="K4" s="10"/>
      <c r="L4" s="10"/>
      <c r="M4" s="10">
        <v>3</v>
      </c>
      <c r="N4" s="10">
        <v>3</v>
      </c>
      <c r="O4" s="10"/>
      <c r="P4" s="10"/>
      <c r="Q4" s="10"/>
      <c r="R4" s="10">
        <v>2</v>
      </c>
      <c r="S4" s="10">
        <v>2</v>
      </c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29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29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29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890</v>
      </c>
      <c r="E8" s="15">
        <f t="shared" si="1"/>
        <v>0</v>
      </c>
      <c r="F8" s="15">
        <f t="shared" si="0"/>
        <v>890</v>
      </c>
      <c r="G8" s="29"/>
      <c r="H8" s="12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900</v>
      </c>
      <c r="E9" s="15">
        <v>10</v>
      </c>
      <c r="F9" s="15">
        <f t="shared" si="0"/>
        <v>890</v>
      </c>
      <c r="G9" s="29" t="s">
        <v>17</v>
      </c>
      <c r="H9" s="12"/>
      <c r="J9" s="11">
        <v>2</v>
      </c>
      <c r="K9" s="10">
        <v>2</v>
      </c>
      <c r="L9" s="10">
        <v>3</v>
      </c>
      <c r="M9" s="10">
        <v>2</v>
      </c>
      <c r="N9" s="10"/>
      <c r="O9" s="10">
        <v>2</v>
      </c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29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>
        <f t="shared" si="1"/>
        <v>0</v>
      </c>
      <c r="F11" s="15">
        <f t="shared" si="0"/>
        <v>340</v>
      </c>
      <c r="G11" s="29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29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70</v>
      </c>
      <c r="E13" s="15">
        <v>10</v>
      </c>
      <c r="F13" s="15">
        <f t="shared" si="0"/>
        <v>60</v>
      </c>
      <c r="G13" s="29" t="s">
        <v>17</v>
      </c>
      <c r="H13" s="12"/>
      <c r="J13" s="11">
        <v>2</v>
      </c>
      <c r="K13" s="10"/>
      <c r="L13" s="10">
        <v>2</v>
      </c>
      <c r="M13" s="10"/>
      <c r="N13" s="10"/>
      <c r="O13" s="10">
        <v>2</v>
      </c>
      <c r="P13" s="10">
        <v>2</v>
      </c>
      <c r="Q13" s="10"/>
      <c r="R13" s="10">
        <v>1</v>
      </c>
      <c r="S13" s="10">
        <v>1</v>
      </c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29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>
        <f t="shared" si="1"/>
        <v>0</v>
      </c>
      <c r="F15" s="15">
        <f t="shared" si="0"/>
        <v>610</v>
      </c>
      <c r="G15" s="29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29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29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29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29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29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30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50</v>
      </c>
      <c r="F22" s="6">
        <f>SUBTOTAL(9,F3:F21)</f>
        <v>5500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277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xSplit="8" ySplit="2" topLeftCell="S3" activePane="bottomRight" state="frozen"/>
      <selection pane="topRight" activeCell="I1" sqref="I1"/>
      <selection pane="bottomLeft" activeCell="A3" sqref="A3"/>
      <selection pane="bottomRight" activeCell="E11" sqref="E1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 t="s">
        <v>41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160</v>
      </c>
      <c r="E3" s="15">
        <v>10</v>
      </c>
      <c r="F3" s="15">
        <f t="shared" ref="F3:F19" si="0">D3-E3</f>
        <v>150</v>
      </c>
      <c r="G3" s="29" t="s">
        <v>17</v>
      </c>
      <c r="H3" s="12"/>
      <c r="J3" s="11"/>
      <c r="K3" s="10">
        <v>5</v>
      </c>
      <c r="L3" s="10"/>
      <c r="M3" s="10"/>
      <c r="N3" s="10">
        <v>3</v>
      </c>
      <c r="O3" s="10">
        <v>1</v>
      </c>
      <c r="P3" s="10">
        <v>1</v>
      </c>
      <c r="Q3" s="10"/>
      <c r="R3" s="10"/>
      <c r="S3" s="10"/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870</v>
      </c>
      <c r="E4" s="15">
        <v>10</v>
      </c>
      <c r="F4" s="15">
        <f t="shared" si="0"/>
        <v>860</v>
      </c>
      <c r="G4" s="29" t="s">
        <v>17</v>
      </c>
      <c r="H4" s="12"/>
      <c r="J4" s="11">
        <v>4</v>
      </c>
      <c r="K4" s="10"/>
      <c r="L4" s="10">
        <v>1</v>
      </c>
      <c r="M4" s="10">
        <v>1</v>
      </c>
      <c r="N4" s="10"/>
      <c r="O4" s="10"/>
      <c r="P4" s="10">
        <v>1</v>
      </c>
      <c r="Q4" s="10"/>
      <c r="R4" s="10">
        <v>2</v>
      </c>
      <c r="S4" s="10">
        <v>1</v>
      </c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29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29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29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890</v>
      </c>
      <c r="E8" s="15">
        <v>10</v>
      </c>
      <c r="F8" s="15">
        <f t="shared" si="0"/>
        <v>880</v>
      </c>
      <c r="G8" s="29" t="s">
        <v>16</v>
      </c>
      <c r="H8" s="12"/>
      <c r="J8" s="11">
        <v>1</v>
      </c>
      <c r="K8" s="10"/>
      <c r="L8" s="10"/>
      <c r="M8" s="10"/>
      <c r="N8" s="10"/>
      <c r="O8" s="10">
        <v>5</v>
      </c>
      <c r="P8" s="10"/>
      <c r="Q8" s="10">
        <v>4</v>
      </c>
      <c r="R8" s="10"/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890</v>
      </c>
      <c r="E9" s="15">
        <f t="shared" si="1"/>
        <v>0</v>
      </c>
      <c r="F9" s="15">
        <f t="shared" si="0"/>
        <v>890</v>
      </c>
      <c r="G9" s="29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29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>
        <f t="shared" si="1"/>
        <v>0</v>
      </c>
      <c r="F11" s="15">
        <f t="shared" si="0"/>
        <v>340</v>
      </c>
      <c r="G11" s="29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29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60</v>
      </c>
      <c r="E13" s="15">
        <v>10</v>
      </c>
      <c r="F13" s="15">
        <f t="shared" si="0"/>
        <v>50</v>
      </c>
      <c r="G13" s="29" t="s">
        <v>17</v>
      </c>
      <c r="H13" s="12"/>
      <c r="J13" s="11">
        <v>4</v>
      </c>
      <c r="K13" s="10">
        <v>1</v>
      </c>
      <c r="L13" s="10">
        <v>3</v>
      </c>
      <c r="M13" s="10"/>
      <c r="N13" s="10"/>
      <c r="O13" s="10"/>
      <c r="P13" s="10"/>
      <c r="Q13" s="10">
        <v>2</v>
      </c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29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>
        <f t="shared" si="1"/>
        <v>0</v>
      </c>
      <c r="F15" s="15">
        <f t="shared" si="0"/>
        <v>610</v>
      </c>
      <c r="G15" s="29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29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29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29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29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29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30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40</v>
      </c>
      <c r="F22" s="6">
        <f>SUBTOTAL(9,F3:F21)</f>
        <v>5460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255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xSplit="8" ySplit="2" topLeftCell="O3" activePane="bottomRight" state="frozen"/>
      <selection pane="topRight" activeCell="I1" sqref="I1"/>
      <selection pane="bottomLeft" activeCell="A3" sqref="A3"/>
      <selection pane="bottomRight" activeCell="D11" sqref="D1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 t="s">
        <v>42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150</v>
      </c>
      <c r="E3" s="15">
        <v>10</v>
      </c>
      <c r="F3" s="15">
        <f t="shared" ref="F3:F19" si="0">D3-E3</f>
        <v>140</v>
      </c>
      <c r="G3" s="29" t="s">
        <v>17</v>
      </c>
      <c r="H3" s="12"/>
      <c r="J3" s="11"/>
      <c r="K3" s="10">
        <v>3</v>
      </c>
      <c r="L3" s="10">
        <v>1</v>
      </c>
      <c r="M3" s="10"/>
      <c r="N3" s="10"/>
      <c r="O3" s="10">
        <v>2</v>
      </c>
      <c r="P3" s="10"/>
      <c r="Q3" s="10"/>
      <c r="R3" s="10"/>
      <c r="S3" s="10">
        <v>4</v>
      </c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860</v>
      </c>
      <c r="E4" s="15">
        <v>10</v>
      </c>
      <c r="F4" s="15">
        <f t="shared" si="0"/>
        <v>850</v>
      </c>
      <c r="G4" s="29" t="s">
        <v>17</v>
      </c>
      <c r="H4" s="12"/>
      <c r="J4" s="11"/>
      <c r="K4" s="10">
        <v>2</v>
      </c>
      <c r="L4" s="10"/>
      <c r="M4" s="10">
        <v>1</v>
      </c>
      <c r="N4" s="10">
        <v>5</v>
      </c>
      <c r="O4" s="10"/>
      <c r="P4" s="10"/>
      <c r="Q4" s="10"/>
      <c r="R4" s="10"/>
      <c r="S4" s="10"/>
      <c r="T4" s="10">
        <v>4</v>
      </c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ref="E5:E19" si="1">SUM(J5:U5)</f>
        <v>0</v>
      </c>
      <c r="F5" s="15">
        <f t="shared" si="0"/>
        <v>290</v>
      </c>
      <c r="G5" s="29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29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29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880</v>
      </c>
      <c r="E8" s="15">
        <v>10</v>
      </c>
      <c r="F8" s="15">
        <f t="shared" si="0"/>
        <v>870</v>
      </c>
      <c r="G8" s="29" t="s">
        <v>17</v>
      </c>
      <c r="H8" s="12"/>
      <c r="J8" s="11"/>
      <c r="K8" s="10">
        <v>4</v>
      </c>
      <c r="L8" s="10">
        <v>4</v>
      </c>
      <c r="M8" s="10"/>
      <c r="N8" s="10"/>
      <c r="O8" s="10"/>
      <c r="P8" s="10"/>
      <c r="Q8" s="10">
        <v>2</v>
      </c>
      <c r="R8" s="10"/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890</v>
      </c>
      <c r="E9" s="15">
        <f t="shared" si="1"/>
        <v>0</v>
      </c>
      <c r="F9" s="15">
        <f t="shared" si="0"/>
        <v>890</v>
      </c>
      <c r="G9" s="29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29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>
        <f t="shared" si="1"/>
        <v>0</v>
      </c>
      <c r="F11" s="15">
        <f t="shared" si="0"/>
        <v>340</v>
      </c>
      <c r="G11" s="29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29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50</v>
      </c>
      <c r="E13" s="15">
        <v>30</v>
      </c>
      <c r="F13" s="15">
        <f t="shared" si="0"/>
        <v>20</v>
      </c>
      <c r="G13" s="29" t="s">
        <v>16</v>
      </c>
      <c r="H13" s="12"/>
      <c r="J13" s="11"/>
      <c r="K13" s="10"/>
      <c r="L13" s="10">
        <v>5</v>
      </c>
      <c r="M13" s="10"/>
      <c r="N13" s="10"/>
      <c r="O13" s="10"/>
      <c r="P13" s="10">
        <v>3</v>
      </c>
      <c r="Q13" s="10">
        <v>6</v>
      </c>
      <c r="R13" s="10">
        <v>1</v>
      </c>
      <c r="S13" s="10">
        <v>6</v>
      </c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29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>
        <f t="shared" si="1"/>
        <v>0</v>
      </c>
      <c r="F15" s="15">
        <f t="shared" si="0"/>
        <v>610</v>
      </c>
      <c r="G15" s="29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29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29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29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29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29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30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60</v>
      </c>
      <c r="F22" s="6">
        <f>SUBTOTAL(9,F3:F21)</f>
        <v>5400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233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G1" sqref="G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 t="s">
        <v>50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140</v>
      </c>
      <c r="E3" s="15">
        <v>10</v>
      </c>
      <c r="F3" s="15">
        <f t="shared" ref="F3:F19" si="0">D3-E3</f>
        <v>130</v>
      </c>
      <c r="G3" s="29" t="s">
        <v>17</v>
      </c>
      <c r="H3" s="12"/>
      <c r="J3" s="11">
        <v>2</v>
      </c>
      <c r="K3" s="10">
        <v>2</v>
      </c>
      <c r="L3" s="10"/>
      <c r="M3" s="10"/>
      <c r="N3" s="10">
        <v>1</v>
      </c>
      <c r="O3" s="10">
        <v>1</v>
      </c>
      <c r="P3" s="10"/>
      <c r="Q3" s="10"/>
      <c r="R3" s="10">
        <v>2</v>
      </c>
      <c r="S3" s="10">
        <v>1</v>
      </c>
      <c r="T3" s="10">
        <v>1</v>
      </c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850</v>
      </c>
      <c r="E4" s="15">
        <f t="shared" ref="E4:E19" si="1">SUM(J4:U4)</f>
        <v>0</v>
      </c>
      <c r="F4" s="15">
        <f t="shared" si="0"/>
        <v>850</v>
      </c>
      <c r="G4" s="29"/>
      <c r="H4" s="12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f t="shared" si="1"/>
        <v>0</v>
      </c>
      <c r="F5" s="15">
        <f t="shared" si="0"/>
        <v>290</v>
      </c>
      <c r="G5" s="29"/>
      <c r="H5" s="12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29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29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870</v>
      </c>
      <c r="E8" s="15">
        <v>10</v>
      </c>
      <c r="F8" s="15">
        <f t="shared" si="0"/>
        <v>860</v>
      </c>
      <c r="G8" s="29" t="s">
        <v>17</v>
      </c>
      <c r="H8" s="12"/>
      <c r="J8" s="11"/>
      <c r="K8" s="10"/>
      <c r="L8" s="10"/>
      <c r="M8" s="10">
        <v>4</v>
      </c>
      <c r="N8" s="10"/>
      <c r="O8" s="10">
        <v>4</v>
      </c>
      <c r="P8" s="10"/>
      <c r="Q8" s="10"/>
      <c r="R8" s="10">
        <v>2</v>
      </c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890</v>
      </c>
      <c r="E9" s="15">
        <f t="shared" si="1"/>
        <v>0</v>
      </c>
      <c r="F9" s="15">
        <f t="shared" si="0"/>
        <v>890</v>
      </c>
      <c r="G9" s="29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29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>
        <f t="shared" si="1"/>
        <v>0</v>
      </c>
      <c r="F11" s="15">
        <f t="shared" si="0"/>
        <v>340</v>
      </c>
      <c r="G11" s="29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29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20</v>
      </c>
      <c r="E13" s="15"/>
      <c r="F13" s="15">
        <f t="shared" si="0"/>
        <v>20</v>
      </c>
      <c r="G13" s="29"/>
      <c r="H13" s="12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29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>
        <f t="shared" si="1"/>
        <v>0</v>
      </c>
      <c r="F15" s="15">
        <f t="shared" si="0"/>
        <v>610</v>
      </c>
      <c r="G15" s="29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29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29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29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29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29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30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20</v>
      </c>
      <c r="F22" s="6">
        <f>SUBTOTAL(9,F3:F21)</f>
        <v>5380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211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pane xSplit="8" ySplit="2" topLeftCell="S3" activePane="bottomRight" state="frozen"/>
      <selection pane="topRight" activeCell="I1" sqref="I1"/>
      <selection pane="bottomLeft" activeCell="A3" sqref="A3"/>
      <selection pane="bottomRight" activeCell="G1" sqref="G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26.140625" bestFit="1" customWidth="1"/>
    <col min="6" max="6" width="17.85546875" bestFit="1" customWidth="1"/>
    <col min="7" max="7" width="24.28515625" bestFit="1" customWidth="1"/>
    <col min="8" max="8" width="4.5703125" customWidth="1"/>
    <col min="9" max="9" width="6" customWidth="1"/>
    <col min="10" max="18" width="11.7109375" bestFit="1" customWidth="1"/>
    <col min="19" max="21" width="12.7109375" bestFit="1" customWidth="1"/>
    <col min="24" max="24" width="29.7109375" bestFit="1" customWidth="1"/>
  </cols>
  <sheetData>
    <row r="1" spans="1:24" ht="48" customHeight="1" thickBot="1" x14ac:dyDescent="0.3">
      <c r="A1" s="28"/>
      <c r="B1" s="27"/>
      <c r="C1" s="31" t="s">
        <v>38</v>
      </c>
      <c r="D1" s="31"/>
      <c r="E1" s="31"/>
      <c r="F1" s="31"/>
      <c r="G1" s="26" t="s">
        <v>49</v>
      </c>
      <c r="H1" s="25"/>
      <c r="J1" s="32" t="s">
        <v>37</v>
      </c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4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33</v>
      </c>
      <c r="E2" s="23" t="s">
        <v>32</v>
      </c>
      <c r="F2" s="23" t="s">
        <v>31</v>
      </c>
      <c r="G2" s="22" t="s">
        <v>30</v>
      </c>
      <c r="H2" s="20"/>
      <c r="J2" s="21" t="s">
        <v>29</v>
      </c>
      <c r="K2" s="20" t="s">
        <v>28</v>
      </c>
      <c r="L2" s="20" t="s">
        <v>27</v>
      </c>
      <c r="M2" s="20" t="s">
        <v>26</v>
      </c>
      <c r="N2" s="20" t="s">
        <v>25</v>
      </c>
      <c r="O2" s="20" t="s">
        <v>24</v>
      </c>
      <c r="P2" s="20" t="s">
        <v>23</v>
      </c>
      <c r="Q2" s="20" t="s">
        <v>22</v>
      </c>
      <c r="R2" s="20" t="s">
        <v>21</v>
      </c>
      <c r="S2" s="20" t="s">
        <v>20</v>
      </c>
      <c r="T2" s="20" t="s">
        <v>19</v>
      </c>
      <c r="U2" s="19" t="s">
        <v>18</v>
      </c>
    </row>
    <row r="3" spans="1:24" ht="22.5" customHeight="1" x14ac:dyDescent="0.25">
      <c r="A3" s="17">
        <v>1</v>
      </c>
      <c r="B3" s="16" t="s">
        <v>5</v>
      </c>
      <c r="C3" s="16" t="s">
        <v>2</v>
      </c>
      <c r="D3" s="15">
        <v>130</v>
      </c>
      <c r="E3" s="15">
        <v>10</v>
      </c>
      <c r="F3" s="15">
        <f t="shared" ref="F3:F19" si="0">D3-E3</f>
        <v>120</v>
      </c>
      <c r="G3" s="29" t="s">
        <v>17</v>
      </c>
      <c r="H3" s="12"/>
      <c r="J3" s="11">
        <v>3</v>
      </c>
      <c r="K3" s="10">
        <v>1</v>
      </c>
      <c r="L3" s="10">
        <v>1</v>
      </c>
      <c r="M3" s="10"/>
      <c r="N3" s="10"/>
      <c r="O3" s="10">
        <v>1</v>
      </c>
      <c r="P3" s="10">
        <v>2</v>
      </c>
      <c r="Q3" s="10">
        <v>2</v>
      </c>
      <c r="R3" s="10"/>
      <c r="S3" s="10"/>
      <c r="T3" s="10"/>
      <c r="U3" s="9"/>
      <c r="X3" t="s">
        <v>17</v>
      </c>
    </row>
    <row r="4" spans="1:24" ht="22.5" customHeight="1" x14ac:dyDescent="0.25">
      <c r="A4" s="17">
        <v>2</v>
      </c>
      <c r="B4" s="16" t="s">
        <v>5</v>
      </c>
      <c r="C4" s="16" t="s">
        <v>0</v>
      </c>
      <c r="D4" s="15">
        <v>850</v>
      </c>
      <c r="E4" s="15">
        <f t="shared" ref="E4:E19" si="1">SUM(J4:U4)</f>
        <v>0</v>
      </c>
      <c r="F4" s="15">
        <f t="shared" si="0"/>
        <v>850</v>
      </c>
      <c r="G4" s="29"/>
      <c r="H4" s="12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X4" t="s">
        <v>16</v>
      </c>
    </row>
    <row r="5" spans="1:24" ht="22.5" customHeight="1" x14ac:dyDescent="0.25">
      <c r="A5" s="17">
        <v>3</v>
      </c>
      <c r="B5" s="16" t="s">
        <v>5</v>
      </c>
      <c r="C5" s="16" t="s">
        <v>9</v>
      </c>
      <c r="D5" s="15">
        <v>290</v>
      </c>
      <c r="E5" s="15">
        <v>20</v>
      </c>
      <c r="F5" s="15">
        <f t="shared" si="0"/>
        <v>270</v>
      </c>
      <c r="G5" s="29" t="s">
        <v>17</v>
      </c>
      <c r="H5" s="12"/>
      <c r="J5" s="11"/>
      <c r="K5" s="10"/>
      <c r="L5" s="10">
        <v>3</v>
      </c>
      <c r="M5" s="10">
        <v>7</v>
      </c>
      <c r="N5" s="10">
        <v>4</v>
      </c>
      <c r="O5" s="10">
        <v>1</v>
      </c>
      <c r="P5" s="10"/>
      <c r="Q5" s="10">
        <v>2</v>
      </c>
      <c r="R5" s="10">
        <v>1</v>
      </c>
      <c r="S5" s="10"/>
      <c r="T5" s="10"/>
      <c r="U5" s="9"/>
      <c r="X5" t="s">
        <v>15</v>
      </c>
    </row>
    <row r="6" spans="1:24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>
        <f t="shared" si="1"/>
        <v>0</v>
      </c>
      <c r="F6" s="15">
        <f t="shared" si="0"/>
        <v>60</v>
      </c>
      <c r="G6" s="29"/>
      <c r="H6" s="12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X6" t="s">
        <v>13</v>
      </c>
    </row>
    <row r="7" spans="1:24" ht="22.5" customHeight="1" x14ac:dyDescent="0.25">
      <c r="A7" s="17">
        <v>5</v>
      </c>
      <c r="B7" s="16" t="s">
        <v>5</v>
      </c>
      <c r="C7" s="16" t="s">
        <v>12</v>
      </c>
      <c r="D7" s="15">
        <v>0</v>
      </c>
      <c r="E7" s="15">
        <f t="shared" si="1"/>
        <v>0</v>
      </c>
      <c r="F7" s="15">
        <f t="shared" si="0"/>
        <v>0</v>
      </c>
      <c r="G7" s="29"/>
      <c r="H7" s="12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X7" t="s">
        <v>11</v>
      </c>
    </row>
    <row r="8" spans="1:24" ht="22.5" customHeight="1" x14ac:dyDescent="0.25">
      <c r="A8" s="17">
        <v>6</v>
      </c>
      <c r="B8" s="16" t="s">
        <v>10</v>
      </c>
      <c r="C8" s="16" t="s">
        <v>2</v>
      </c>
      <c r="D8" s="15">
        <v>860</v>
      </c>
      <c r="E8" s="15">
        <v>10</v>
      </c>
      <c r="F8" s="15">
        <f t="shared" si="0"/>
        <v>850</v>
      </c>
      <c r="G8" s="29" t="s">
        <v>17</v>
      </c>
      <c r="H8" s="12"/>
      <c r="J8" s="11"/>
      <c r="K8" s="10">
        <v>2</v>
      </c>
      <c r="L8" s="10"/>
      <c r="M8" s="10"/>
      <c r="N8" s="10">
        <v>2</v>
      </c>
      <c r="O8" s="10"/>
      <c r="P8" s="10"/>
      <c r="Q8" s="10">
        <v>4</v>
      </c>
      <c r="R8" s="10">
        <v>2</v>
      </c>
      <c r="S8" s="10"/>
      <c r="T8" s="10"/>
      <c r="U8" s="9"/>
    </row>
    <row r="9" spans="1:24" ht="22.5" customHeight="1" x14ac:dyDescent="0.25">
      <c r="A9" s="17">
        <v>7</v>
      </c>
      <c r="B9" s="16" t="s">
        <v>10</v>
      </c>
      <c r="C9" s="16" t="s">
        <v>0</v>
      </c>
      <c r="D9" s="15">
        <v>890</v>
      </c>
      <c r="E9" s="15">
        <f t="shared" si="1"/>
        <v>0</v>
      </c>
      <c r="F9" s="15">
        <f t="shared" si="0"/>
        <v>890</v>
      </c>
      <c r="G9" s="29"/>
      <c r="H9" s="12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</row>
    <row r="10" spans="1:24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>
        <f t="shared" si="1"/>
        <v>0</v>
      </c>
      <c r="F10" s="15">
        <f t="shared" si="0"/>
        <v>260</v>
      </c>
      <c r="G10" s="29"/>
      <c r="H10" s="12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</row>
    <row r="11" spans="1:24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>
        <f t="shared" si="1"/>
        <v>0</v>
      </c>
      <c r="F11" s="15">
        <f t="shared" si="0"/>
        <v>340</v>
      </c>
      <c r="G11" s="29"/>
      <c r="H11" s="12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</row>
    <row r="12" spans="1:24" ht="22.5" customHeight="1" x14ac:dyDescent="0.25">
      <c r="A12" s="17">
        <v>10</v>
      </c>
      <c r="B12" s="16" t="s">
        <v>7</v>
      </c>
      <c r="C12" s="16" t="s">
        <v>8</v>
      </c>
      <c r="D12" s="15">
        <v>0</v>
      </c>
      <c r="E12" s="15">
        <f t="shared" si="1"/>
        <v>0</v>
      </c>
      <c r="F12" s="15">
        <f t="shared" si="0"/>
        <v>0</v>
      </c>
      <c r="G12" s="29"/>
      <c r="H12" s="12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</row>
    <row r="13" spans="1:24" ht="22.5" customHeight="1" x14ac:dyDescent="0.25">
      <c r="A13" s="17">
        <v>11</v>
      </c>
      <c r="B13" s="16" t="s">
        <v>7</v>
      </c>
      <c r="C13" s="16" t="s">
        <v>2</v>
      </c>
      <c r="D13" s="15">
        <v>20</v>
      </c>
      <c r="E13" s="15">
        <v>20</v>
      </c>
      <c r="F13" s="15">
        <f t="shared" si="0"/>
        <v>0</v>
      </c>
      <c r="G13" s="29" t="s">
        <v>17</v>
      </c>
      <c r="H13" s="12"/>
      <c r="J13" s="11">
        <v>11</v>
      </c>
      <c r="K13" s="10"/>
      <c r="L13" s="10">
        <v>2</v>
      </c>
      <c r="M13" s="10">
        <v>1</v>
      </c>
      <c r="N13" s="10"/>
      <c r="O13" s="10">
        <v>1</v>
      </c>
      <c r="P13" s="10">
        <v>3</v>
      </c>
      <c r="Q13" s="10"/>
      <c r="R13" s="10">
        <v>1</v>
      </c>
      <c r="S13" s="10">
        <v>1</v>
      </c>
      <c r="T13" s="10"/>
      <c r="U13" s="9"/>
    </row>
    <row r="14" spans="1:24" ht="22.5" customHeight="1" x14ac:dyDescent="0.25">
      <c r="A14" s="17">
        <v>12</v>
      </c>
      <c r="B14" s="16" t="s">
        <v>6</v>
      </c>
      <c r="C14" s="16" t="s">
        <v>2</v>
      </c>
      <c r="D14" s="15">
        <v>0</v>
      </c>
      <c r="E14" s="15">
        <f t="shared" si="1"/>
        <v>0</v>
      </c>
      <c r="F14" s="15">
        <f t="shared" si="0"/>
        <v>0</v>
      </c>
      <c r="G14" s="29"/>
      <c r="H14" s="12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</row>
    <row r="15" spans="1:24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>
        <f t="shared" si="1"/>
        <v>0</v>
      </c>
      <c r="F15" s="15">
        <f t="shared" si="0"/>
        <v>610</v>
      </c>
      <c r="G15" s="29"/>
      <c r="H15" s="12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</row>
    <row r="16" spans="1:24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>
        <f t="shared" si="1"/>
        <v>0</v>
      </c>
      <c r="F16" s="15">
        <f t="shared" si="0"/>
        <v>40</v>
      </c>
      <c r="G16" s="29"/>
      <c r="H16" s="12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</row>
    <row r="17" spans="1:21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>
        <f t="shared" si="1"/>
        <v>0</v>
      </c>
      <c r="F17" s="15">
        <f t="shared" si="0"/>
        <v>290</v>
      </c>
      <c r="G17" s="29"/>
      <c r="H17" s="12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</row>
    <row r="18" spans="1:21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>
        <f t="shared" si="1"/>
        <v>0</v>
      </c>
      <c r="F18" s="15">
        <f t="shared" si="0"/>
        <v>500</v>
      </c>
      <c r="G18" s="29"/>
      <c r="H18" s="12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</row>
    <row r="19" spans="1:21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>
        <f t="shared" si="1"/>
        <v>0</v>
      </c>
      <c r="F19" s="15">
        <f t="shared" si="0"/>
        <v>240</v>
      </c>
      <c r="G19" s="29"/>
      <c r="H19" s="12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</row>
    <row r="20" spans="1:21" x14ac:dyDescent="0.25">
      <c r="A20" s="17"/>
      <c r="B20" s="16"/>
      <c r="C20" s="16"/>
      <c r="D20" s="15">
        <f>AP20+E20-C20</f>
        <v>0</v>
      </c>
      <c r="E20" s="15"/>
      <c r="F20" s="15"/>
      <c r="G20" s="29"/>
      <c r="H20" s="12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</row>
    <row r="21" spans="1:21" x14ac:dyDescent="0.25">
      <c r="A21" s="8"/>
      <c r="B21" s="7"/>
      <c r="C21" s="7"/>
      <c r="D21" s="6">
        <f>AP21+E21-C21</f>
        <v>0</v>
      </c>
      <c r="E21" s="6"/>
      <c r="F21" s="6"/>
      <c r="G21" s="30"/>
      <c r="H21" s="12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</row>
    <row r="22" spans="1:21" ht="15.75" thickBot="1" x14ac:dyDescent="0.3">
      <c r="A22" s="8"/>
      <c r="B22" s="7"/>
      <c r="C22" s="7"/>
      <c r="D22" s="7"/>
      <c r="E22" s="6">
        <f>SUBTOTAL(9,E3:E21)</f>
        <v>60</v>
      </c>
      <c r="F22" s="6">
        <f>SUBTOTAL(9,F3:F21)</f>
        <v>5320</v>
      </c>
      <c r="G22" s="5"/>
      <c r="H22" s="4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</row>
  </sheetData>
  <mergeCells count="2">
    <mergeCell ref="C1:F1"/>
    <mergeCell ref="J1:U1"/>
  </mergeCells>
  <conditionalFormatting sqref="D3:D19">
    <cfRule type="cellIs" dxfId="189" priority="1" stopIfTrue="1" operator="lessThan">
      <formula>51</formula>
    </cfRule>
  </conditionalFormatting>
  <dataValidations count="1">
    <dataValidation type="list" allowBlank="1" showInputMessage="1" showErrorMessage="1" sqref="G3:G21">
      <formula1>$X$3:$X$10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zoomScale="95" zoomScaleNormal="95" workbookViewId="0">
      <pane xSplit="9" ySplit="2" topLeftCell="X3" activePane="bottomRight" state="frozen"/>
      <selection pane="topRight" activeCell="I1" sqref="I1"/>
      <selection pane="bottomLeft" activeCell="A3" sqref="A3"/>
      <selection pane="bottomRight" activeCell="D3" sqref="D3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3.42578125" customWidth="1"/>
    <col min="4" max="4" width="18.5703125" bestFit="1" customWidth="1"/>
    <col min="5" max="5" width="13.7109375" customWidth="1"/>
    <col min="6" max="6" width="19.140625" customWidth="1"/>
    <col min="7" max="7" width="17.85546875" bestFit="1" customWidth="1"/>
    <col min="8" max="8" width="24.28515625" bestFit="1" customWidth="1"/>
    <col min="9" max="9" width="4.5703125" customWidth="1"/>
    <col min="10" max="10" width="6" customWidth="1"/>
    <col min="11" max="22" width="6.28515625" customWidth="1"/>
    <col min="25" max="25" width="29.7109375" hidden="1" customWidth="1"/>
  </cols>
  <sheetData>
    <row r="1" spans="1:25" ht="48" customHeight="1" thickBot="1" x14ac:dyDescent="0.3">
      <c r="A1" s="28"/>
      <c r="B1" s="27"/>
      <c r="C1" s="31" t="s">
        <v>38</v>
      </c>
      <c r="D1" s="31"/>
      <c r="E1" s="31"/>
      <c r="F1" s="31"/>
      <c r="G1" s="31"/>
      <c r="H1" s="26" t="s">
        <v>48</v>
      </c>
      <c r="I1" s="25"/>
      <c r="K1" s="32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5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51</v>
      </c>
      <c r="E2" s="23" t="s">
        <v>53</v>
      </c>
      <c r="F2" s="23" t="s">
        <v>32</v>
      </c>
      <c r="G2" s="23" t="s">
        <v>52</v>
      </c>
      <c r="H2" s="22" t="s">
        <v>30</v>
      </c>
      <c r="I2" s="20"/>
      <c r="K2" s="21" t="s">
        <v>29</v>
      </c>
      <c r="L2" s="20" t="s">
        <v>28</v>
      </c>
      <c r="M2" s="20" t="s">
        <v>27</v>
      </c>
      <c r="N2" s="20" t="s">
        <v>26</v>
      </c>
      <c r="O2" s="20" t="s">
        <v>25</v>
      </c>
      <c r="P2" s="20" t="s">
        <v>24</v>
      </c>
      <c r="Q2" s="20" t="s">
        <v>23</v>
      </c>
      <c r="R2" s="20" t="s">
        <v>22</v>
      </c>
      <c r="S2" s="20" t="s">
        <v>21</v>
      </c>
      <c r="T2" s="20" t="s">
        <v>20</v>
      </c>
      <c r="U2" s="20" t="s">
        <v>19</v>
      </c>
      <c r="V2" s="19" t="s">
        <v>18</v>
      </c>
    </row>
    <row r="3" spans="1:25" ht="22.5" customHeight="1" x14ac:dyDescent="0.25">
      <c r="A3" s="17">
        <v>1</v>
      </c>
      <c r="B3" s="16" t="s">
        <v>5</v>
      </c>
      <c r="C3" s="16" t="s">
        <v>2</v>
      </c>
      <c r="D3" s="15">
        <f>120+E3</f>
        <v>620</v>
      </c>
      <c r="E3" s="15">
        <v>500</v>
      </c>
      <c r="F3" s="15">
        <v>10</v>
      </c>
      <c r="G3" s="15">
        <f t="shared" ref="G3:G19" si="0">D3-F3</f>
        <v>610</v>
      </c>
      <c r="H3" s="29" t="s">
        <v>17</v>
      </c>
      <c r="I3" s="12"/>
      <c r="K3" s="11"/>
      <c r="L3" s="10"/>
      <c r="M3" s="10">
        <v>3</v>
      </c>
      <c r="N3" s="10"/>
      <c r="O3" s="10">
        <v>1</v>
      </c>
      <c r="P3" s="10">
        <v>2</v>
      </c>
      <c r="Q3" s="10">
        <v>3</v>
      </c>
      <c r="R3" s="10"/>
      <c r="S3" s="10"/>
      <c r="T3" s="10">
        <v>1</v>
      </c>
      <c r="U3" s="10">
        <v>2</v>
      </c>
      <c r="V3" s="9"/>
      <c r="Y3" t="s">
        <v>17</v>
      </c>
    </row>
    <row r="4" spans="1:25" ht="22.5" customHeight="1" x14ac:dyDescent="0.25">
      <c r="A4" s="17">
        <v>2</v>
      </c>
      <c r="B4" s="16" t="s">
        <v>5</v>
      </c>
      <c r="C4" s="16" t="s">
        <v>0</v>
      </c>
      <c r="D4" s="15">
        <f>850+E4</f>
        <v>850</v>
      </c>
      <c r="E4" s="15"/>
      <c r="F4" s="15">
        <v>10</v>
      </c>
      <c r="G4" s="15">
        <f t="shared" si="0"/>
        <v>840</v>
      </c>
      <c r="H4" s="29" t="s">
        <v>17</v>
      </c>
      <c r="I4" s="12"/>
      <c r="K4" s="11">
        <v>2</v>
      </c>
      <c r="L4" s="10">
        <v>4</v>
      </c>
      <c r="M4" s="10">
        <v>1</v>
      </c>
      <c r="N4" s="10"/>
      <c r="O4" s="10"/>
      <c r="P4" s="10">
        <v>1</v>
      </c>
      <c r="Q4" s="10">
        <v>1</v>
      </c>
      <c r="R4" s="10"/>
      <c r="S4" s="10">
        <v>1</v>
      </c>
      <c r="T4" s="10"/>
      <c r="U4" s="10"/>
      <c r="V4" s="9"/>
      <c r="Y4" t="s">
        <v>16</v>
      </c>
    </row>
    <row r="5" spans="1:25" ht="22.5" customHeight="1" x14ac:dyDescent="0.25">
      <c r="A5" s="17">
        <v>3</v>
      </c>
      <c r="B5" s="16" t="s">
        <v>5</v>
      </c>
      <c r="C5" s="16" t="s">
        <v>9</v>
      </c>
      <c r="D5" s="15">
        <v>270</v>
      </c>
      <c r="E5" s="15"/>
      <c r="F5" s="15"/>
      <c r="G5" s="15">
        <f t="shared" si="0"/>
        <v>270</v>
      </c>
      <c r="H5" s="29"/>
      <c r="I5" s="12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Y5" t="s">
        <v>15</v>
      </c>
    </row>
    <row r="6" spans="1:25" ht="22.5" customHeight="1" x14ac:dyDescent="0.25">
      <c r="A6" s="17">
        <v>4</v>
      </c>
      <c r="B6" s="16" t="s">
        <v>5</v>
      </c>
      <c r="C6" s="16" t="s">
        <v>14</v>
      </c>
      <c r="D6" s="15">
        <v>60</v>
      </c>
      <c r="E6" s="15"/>
      <c r="F6" s="15">
        <f t="shared" ref="F6:F19" si="1">SUM(K6:V6)</f>
        <v>0</v>
      </c>
      <c r="G6" s="15">
        <f t="shared" si="0"/>
        <v>60</v>
      </c>
      <c r="H6" s="29"/>
      <c r="I6" s="1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9"/>
      <c r="Y6" t="s">
        <v>13</v>
      </c>
    </row>
    <row r="7" spans="1:25" ht="22.5" customHeight="1" x14ac:dyDescent="0.25">
      <c r="A7" s="17">
        <v>5</v>
      </c>
      <c r="B7" s="16" t="s">
        <v>5</v>
      </c>
      <c r="C7" s="16" t="s">
        <v>12</v>
      </c>
      <c r="D7" s="15">
        <f>E7</f>
        <v>500</v>
      </c>
      <c r="E7" s="15">
        <v>500</v>
      </c>
      <c r="F7" s="15">
        <f t="shared" si="1"/>
        <v>0</v>
      </c>
      <c r="G7" s="15">
        <f t="shared" si="0"/>
        <v>500</v>
      </c>
      <c r="H7" s="29"/>
      <c r="I7" s="12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Y7" t="s">
        <v>11</v>
      </c>
    </row>
    <row r="8" spans="1:25" ht="22.5" customHeight="1" x14ac:dyDescent="0.25">
      <c r="A8" s="17">
        <v>6</v>
      </c>
      <c r="B8" s="16" t="s">
        <v>10</v>
      </c>
      <c r="C8" s="16" t="s">
        <v>2</v>
      </c>
      <c r="D8" s="15">
        <v>850</v>
      </c>
      <c r="E8" s="15"/>
      <c r="F8" s="15">
        <v>10</v>
      </c>
      <c r="G8" s="15">
        <f t="shared" si="0"/>
        <v>840</v>
      </c>
      <c r="H8" s="29" t="s">
        <v>17</v>
      </c>
      <c r="I8" s="12"/>
      <c r="K8" s="11"/>
      <c r="L8" s="10"/>
      <c r="M8" s="10">
        <v>2</v>
      </c>
      <c r="N8" s="10"/>
      <c r="O8" s="10" t="s">
        <v>43</v>
      </c>
      <c r="P8" s="10">
        <v>2</v>
      </c>
      <c r="Q8" s="10">
        <v>2</v>
      </c>
      <c r="R8" s="10">
        <v>1</v>
      </c>
      <c r="S8" s="10"/>
      <c r="T8" s="10"/>
      <c r="U8" s="10"/>
      <c r="V8" s="9"/>
    </row>
    <row r="9" spans="1:25" ht="22.5" customHeight="1" x14ac:dyDescent="0.25">
      <c r="A9" s="17">
        <v>7</v>
      </c>
      <c r="B9" s="16" t="s">
        <v>10</v>
      </c>
      <c r="C9" s="16" t="s">
        <v>0</v>
      </c>
      <c r="D9" s="15">
        <v>890</v>
      </c>
      <c r="E9" s="15"/>
      <c r="F9" s="15">
        <f t="shared" si="1"/>
        <v>0</v>
      </c>
      <c r="G9" s="15">
        <f t="shared" si="0"/>
        <v>890</v>
      </c>
      <c r="H9" s="29"/>
      <c r="I9" s="12"/>
      <c r="K9" s="11"/>
      <c r="L9" s="10"/>
      <c r="M9" s="10"/>
      <c r="N9" s="10"/>
      <c r="O9" s="10"/>
      <c r="P9" s="10"/>
      <c r="Q9" s="10"/>
      <c r="R9" s="10"/>
      <c r="S9" s="10"/>
      <c r="T9" s="10"/>
      <c r="U9" s="10"/>
      <c r="V9" s="9"/>
    </row>
    <row r="10" spans="1:25" ht="22.5" customHeight="1" x14ac:dyDescent="0.25">
      <c r="A10" s="17">
        <v>8</v>
      </c>
      <c r="B10" s="16" t="s">
        <v>10</v>
      </c>
      <c r="C10" s="16" t="s">
        <v>9</v>
      </c>
      <c r="D10" s="15">
        <v>260</v>
      </c>
      <c r="E10" s="15"/>
      <c r="F10" s="15">
        <f t="shared" si="1"/>
        <v>0</v>
      </c>
      <c r="G10" s="15">
        <f t="shared" si="0"/>
        <v>260</v>
      </c>
      <c r="H10" s="29"/>
      <c r="I10" s="12"/>
      <c r="K10" s="1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9"/>
    </row>
    <row r="11" spans="1:25" ht="22.5" customHeight="1" x14ac:dyDescent="0.25">
      <c r="A11" s="17">
        <v>9</v>
      </c>
      <c r="B11" s="16" t="s">
        <v>7</v>
      </c>
      <c r="C11" s="16" t="s">
        <v>0</v>
      </c>
      <c r="D11" s="15">
        <v>340</v>
      </c>
      <c r="E11" s="15"/>
      <c r="F11" s="15">
        <f t="shared" si="1"/>
        <v>0</v>
      </c>
      <c r="G11" s="15">
        <f t="shared" si="0"/>
        <v>340</v>
      </c>
      <c r="H11" s="29"/>
      <c r="I11" s="12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9"/>
    </row>
    <row r="12" spans="1:25" ht="22.5" customHeight="1" x14ac:dyDescent="0.25">
      <c r="A12" s="17">
        <v>10</v>
      </c>
      <c r="B12" s="16" t="s">
        <v>7</v>
      </c>
      <c r="C12" s="16" t="s">
        <v>8</v>
      </c>
      <c r="D12" s="15">
        <f>0+E12</f>
        <v>500</v>
      </c>
      <c r="E12" s="15">
        <v>500</v>
      </c>
      <c r="F12" s="15">
        <f t="shared" si="1"/>
        <v>0</v>
      </c>
      <c r="G12" s="15">
        <f t="shared" si="0"/>
        <v>500</v>
      </c>
      <c r="H12" s="29"/>
      <c r="I12" s="12"/>
      <c r="K12" s="1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9"/>
    </row>
    <row r="13" spans="1:25" ht="22.5" customHeight="1" x14ac:dyDescent="0.25">
      <c r="A13" s="17">
        <v>11</v>
      </c>
      <c r="B13" s="16" t="s">
        <v>7</v>
      </c>
      <c r="C13" s="16" t="s">
        <v>2</v>
      </c>
      <c r="D13" s="15">
        <f>0+E13</f>
        <v>500</v>
      </c>
      <c r="E13" s="15">
        <v>500</v>
      </c>
      <c r="F13" s="15">
        <f t="shared" si="1"/>
        <v>0</v>
      </c>
      <c r="G13" s="15">
        <f t="shared" si="0"/>
        <v>500</v>
      </c>
      <c r="H13" s="29"/>
      <c r="I13" s="12"/>
      <c r="K13" s="11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9"/>
    </row>
    <row r="14" spans="1:25" ht="22.5" customHeight="1" x14ac:dyDescent="0.25">
      <c r="A14" s="17">
        <v>12</v>
      </c>
      <c r="B14" s="16" t="s">
        <v>6</v>
      </c>
      <c r="C14" s="16" t="s">
        <v>2</v>
      </c>
      <c r="D14" s="15">
        <f>0+E14</f>
        <v>500</v>
      </c>
      <c r="E14" s="15">
        <v>500</v>
      </c>
      <c r="F14" s="15">
        <f t="shared" si="1"/>
        <v>0</v>
      </c>
      <c r="G14" s="15">
        <f t="shared" si="0"/>
        <v>500</v>
      </c>
      <c r="H14" s="29"/>
      <c r="I14" s="12"/>
      <c r="K14" s="1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9"/>
    </row>
    <row r="15" spans="1:25" ht="22.5" customHeight="1" x14ac:dyDescent="0.25">
      <c r="A15" s="17">
        <v>13</v>
      </c>
      <c r="B15" s="16" t="s">
        <v>3</v>
      </c>
      <c r="C15" s="16" t="s">
        <v>2</v>
      </c>
      <c r="D15" s="15">
        <v>610</v>
      </c>
      <c r="E15" s="15"/>
      <c r="F15" s="15">
        <f t="shared" si="1"/>
        <v>0</v>
      </c>
      <c r="G15" s="15">
        <f t="shared" si="0"/>
        <v>610</v>
      </c>
      <c r="H15" s="29"/>
      <c r="I15" s="12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"/>
    </row>
    <row r="16" spans="1:25" ht="22.5" customHeight="1" x14ac:dyDescent="0.25">
      <c r="A16" s="17">
        <v>14</v>
      </c>
      <c r="B16" s="16" t="s">
        <v>5</v>
      </c>
      <c r="C16" s="16" t="s">
        <v>4</v>
      </c>
      <c r="D16" s="15">
        <v>40</v>
      </c>
      <c r="E16" s="15"/>
      <c r="F16" s="15">
        <f t="shared" si="1"/>
        <v>0</v>
      </c>
      <c r="G16" s="15">
        <f t="shared" si="0"/>
        <v>40</v>
      </c>
      <c r="H16" s="29"/>
      <c r="I16" s="12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/>
    </row>
    <row r="17" spans="1:22" ht="22.5" customHeight="1" x14ac:dyDescent="0.25">
      <c r="A17" s="17">
        <v>15</v>
      </c>
      <c r="B17" s="16" t="s">
        <v>3</v>
      </c>
      <c r="C17" s="16" t="s">
        <v>0</v>
      </c>
      <c r="D17" s="15">
        <v>290</v>
      </c>
      <c r="E17" s="15"/>
      <c r="F17" s="15">
        <f t="shared" si="1"/>
        <v>0</v>
      </c>
      <c r="G17" s="15">
        <f t="shared" si="0"/>
        <v>290</v>
      </c>
      <c r="H17" s="29"/>
      <c r="I17" s="12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"/>
    </row>
    <row r="18" spans="1:22" ht="22.5" customHeight="1" x14ac:dyDescent="0.25">
      <c r="A18" s="8">
        <v>16</v>
      </c>
      <c r="B18" s="7" t="s">
        <v>1</v>
      </c>
      <c r="C18" s="7" t="s">
        <v>2</v>
      </c>
      <c r="D18" s="15">
        <v>500</v>
      </c>
      <c r="E18" s="15"/>
      <c r="F18" s="15">
        <f t="shared" si="1"/>
        <v>0</v>
      </c>
      <c r="G18" s="15">
        <f t="shared" si="0"/>
        <v>500</v>
      </c>
      <c r="H18" s="29"/>
      <c r="I18" s="12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9"/>
    </row>
    <row r="19" spans="1:22" ht="22.5" customHeight="1" x14ac:dyDescent="0.25">
      <c r="A19" s="8">
        <v>17</v>
      </c>
      <c r="B19" s="16" t="s">
        <v>1</v>
      </c>
      <c r="C19" s="16" t="s">
        <v>0</v>
      </c>
      <c r="D19" s="15">
        <v>240</v>
      </c>
      <c r="E19" s="15"/>
      <c r="F19" s="15">
        <f t="shared" si="1"/>
        <v>0</v>
      </c>
      <c r="G19" s="15">
        <f t="shared" si="0"/>
        <v>240</v>
      </c>
      <c r="H19" s="29"/>
      <c r="I19" s="12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9"/>
    </row>
    <row r="20" spans="1:22" x14ac:dyDescent="0.25">
      <c r="A20" s="17"/>
      <c r="B20" s="16"/>
      <c r="C20" s="16"/>
      <c r="D20" s="15">
        <f>AQ20+F20-C20</f>
        <v>0</v>
      </c>
      <c r="E20" s="15"/>
      <c r="F20" s="15"/>
      <c r="G20" s="15"/>
      <c r="H20" s="29"/>
      <c r="I20" s="12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9"/>
    </row>
    <row r="21" spans="1:22" x14ac:dyDescent="0.25">
      <c r="A21" s="8"/>
      <c r="B21" s="7"/>
      <c r="C21" s="7"/>
      <c r="D21" s="6">
        <f>AQ21+F21-C21</f>
        <v>0</v>
      </c>
      <c r="E21" s="6"/>
      <c r="F21" s="6"/>
      <c r="G21" s="6"/>
      <c r="H21" s="30"/>
      <c r="I21" s="12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/>
    </row>
    <row r="22" spans="1:22" ht="15.75" thickBot="1" x14ac:dyDescent="0.3">
      <c r="A22" s="8"/>
      <c r="B22" s="7"/>
      <c r="C22" s="7"/>
      <c r="D22" s="6">
        <f>SUBTOTAL(9,D3:D21)</f>
        <v>7820</v>
      </c>
      <c r="E22" s="6">
        <f>SUBTOTAL(9,E3:E21)</f>
        <v>2500</v>
      </c>
      <c r="F22" s="6">
        <f>SUBTOTAL(9,F3:F21)</f>
        <v>30</v>
      </c>
      <c r="G22" s="6">
        <f>SUBTOTAL(9,G3:G21)</f>
        <v>7790</v>
      </c>
      <c r="H22" s="5"/>
      <c r="I22" s="4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</row>
  </sheetData>
  <mergeCells count="2">
    <mergeCell ref="C1:G1"/>
    <mergeCell ref="K1:V1"/>
  </mergeCells>
  <conditionalFormatting sqref="D3:D19">
    <cfRule type="cellIs" dxfId="167" priority="1" stopIfTrue="1" operator="lessThan">
      <formula>51</formula>
    </cfRule>
  </conditionalFormatting>
  <dataValidations count="1">
    <dataValidation type="list" allowBlank="1" showInputMessage="1" showErrorMessage="1" sqref="H3:H21">
      <formula1>$Y$3:$Y$10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>
      <pane xSplit="9" ySplit="2" topLeftCell="J3" activePane="bottomRight" state="frozen"/>
      <selection pane="topRight" activeCell="I1" sqref="I1"/>
      <selection pane="bottomLeft" activeCell="A3" sqref="A3"/>
      <selection pane="bottomRight" activeCell="E17" sqref="E17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18.5703125" customWidth="1"/>
    <col min="6" max="6" width="26.140625" bestFit="1" customWidth="1"/>
    <col min="7" max="7" width="17.85546875" bestFit="1" customWidth="1"/>
    <col min="8" max="8" width="24.28515625" bestFit="1" customWidth="1"/>
    <col min="9" max="9" width="4.5703125" customWidth="1"/>
    <col min="10" max="10" width="6" customWidth="1"/>
    <col min="11" max="19" width="11.7109375" bestFit="1" customWidth="1"/>
    <col min="20" max="22" width="12.7109375" bestFit="1" customWidth="1"/>
    <col min="25" max="25" width="29.7109375" bestFit="1" customWidth="1"/>
  </cols>
  <sheetData>
    <row r="1" spans="1:25" ht="48" customHeight="1" thickBot="1" x14ac:dyDescent="0.3">
      <c r="A1" s="28"/>
      <c r="B1" s="27"/>
      <c r="C1" s="31" t="s">
        <v>38</v>
      </c>
      <c r="D1" s="31"/>
      <c r="E1" s="31"/>
      <c r="F1" s="31"/>
      <c r="G1" s="31"/>
      <c r="H1" s="26" t="s">
        <v>47</v>
      </c>
      <c r="I1" s="25"/>
      <c r="K1" s="32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5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51</v>
      </c>
      <c r="E2" s="23" t="s">
        <v>53</v>
      </c>
      <c r="F2" s="23" t="s">
        <v>32</v>
      </c>
      <c r="G2" s="23" t="s">
        <v>52</v>
      </c>
      <c r="H2" s="22" t="s">
        <v>30</v>
      </c>
      <c r="I2" s="20"/>
      <c r="K2" s="21" t="s">
        <v>29</v>
      </c>
      <c r="L2" s="20" t="s">
        <v>28</v>
      </c>
      <c r="M2" s="20" t="s">
        <v>27</v>
      </c>
      <c r="N2" s="20" t="s">
        <v>26</v>
      </c>
      <c r="O2" s="20" t="s">
        <v>25</v>
      </c>
      <c r="P2" s="20" t="s">
        <v>24</v>
      </c>
      <c r="Q2" s="20" t="s">
        <v>23</v>
      </c>
      <c r="R2" s="20" t="s">
        <v>22</v>
      </c>
      <c r="S2" s="20" t="s">
        <v>21</v>
      </c>
      <c r="T2" s="20" t="s">
        <v>20</v>
      </c>
      <c r="U2" s="20" t="s">
        <v>19</v>
      </c>
      <c r="V2" s="19" t="s">
        <v>18</v>
      </c>
    </row>
    <row r="3" spans="1:25" ht="22.5" customHeight="1" x14ac:dyDescent="0.25">
      <c r="A3" s="17">
        <v>1</v>
      </c>
      <c r="B3" s="16" t="s">
        <v>5</v>
      </c>
      <c r="C3" s="16" t="s">
        <v>2</v>
      </c>
      <c r="D3" s="15">
        <f>'9-19'!G3+E3</f>
        <v>610</v>
      </c>
      <c r="E3" s="15"/>
      <c r="F3" s="15">
        <f>SUM(K3:V3)</f>
        <v>10</v>
      </c>
      <c r="G3" s="15">
        <f t="shared" ref="G3:G19" si="0">D3-F3</f>
        <v>600</v>
      </c>
      <c r="H3" s="29" t="s">
        <v>11</v>
      </c>
      <c r="I3" s="12"/>
      <c r="K3" s="11">
        <v>1</v>
      </c>
      <c r="L3" s="10"/>
      <c r="M3" s="10">
        <v>3</v>
      </c>
      <c r="N3" s="10">
        <v>1</v>
      </c>
      <c r="O3" s="10"/>
      <c r="P3" s="10"/>
      <c r="Q3" s="10">
        <v>2</v>
      </c>
      <c r="R3" s="10"/>
      <c r="S3" s="10"/>
      <c r="T3" s="10">
        <v>1</v>
      </c>
      <c r="U3" s="10">
        <v>2</v>
      </c>
      <c r="V3" s="9"/>
      <c r="Y3" t="s">
        <v>17</v>
      </c>
    </row>
    <row r="4" spans="1:25" ht="22.5" customHeight="1" x14ac:dyDescent="0.25">
      <c r="A4" s="17">
        <v>2</v>
      </c>
      <c r="B4" s="16" t="s">
        <v>5</v>
      </c>
      <c r="C4" s="16" t="s">
        <v>0</v>
      </c>
      <c r="D4" s="15">
        <f>'9-19'!G4+E4</f>
        <v>840</v>
      </c>
      <c r="E4" s="15"/>
      <c r="F4" s="15">
        <f t="shared" ref="F4:F11" si="1">SUM(K4:V4)</f>
        <v>0</v>
      </c>
      <c r="G4" s="15">
        <f t="shared" si="0"/>
        <v>840</v>
      </c>
      <c r="H4" s="29"/>
      <c r="I4" s="12"/>
      <c r="K4" s="11"/>
      <c r="L4" s="10"/>
      <c r="M4" s="10"/>
      <c r="N4" s="10"/>
      <c r="O4" s="10"/>
      <c r="P4" s="10"/>
      <c r="Q4" s="10"/>
      <c r="R4" s="10"/>
      <c r="S4" s="10"/>
      <c r="T4" s="10"/>
      <c r="U4" s="10"/>
      <c r="V4" s="9"/>
      <c r="Y4" t="s">
        <v>16</v>
      </c>
    </row>
    <row r="5" spans="1:25" ht="22.5" customHeight="1" x14ac:dyDescent="0.25">
      <c r="A5" s="17">
        <v>3</v>
      </c>
      <c r="B5" s="16" t="s">
        <v>5</v>
      </c>
      <c r="C5" s="16" t="s">
        <v>9</v>
      </c>
      <c r="D5" s="15">
        <f>'9-19'!G5+E5</f>
        <v>270</v>
      </c>
      <c r="E5" s="15"/>
      <c r="F5" s="15">
        <f t="shared" si="1"/>
        <v>14</v>
      </c>
      <c r="G5" s="15">
        <f t="shared" si="0"/>
        <v>256</v>
      </c>
      <c r="H5" s="29" t="s">
        <v>17</v>
      </c>
      <c r="I5" s="12"/>
      <c r="K5" s="11">
        <v>2</v>
      </c>
      <c r="L5" s="10">
        <v>2</v>
      </c>
      <c r="M5" s="10">
        <v>3</v>
      </c>
      <c r="N5" s="10">
        <v>2</v>
      </c>
      <c r="O5" s="10">
        <v>2</v>
      </c>
      <c r="P5" s="10">
        <v>3</v>
      </c>
      <c r="Q5" s="10"/>
      <c r="R5" s="10"/>
      <c r="S5" s="10"/>
      <c r="T5" s="10"/>
      <c r="U5" s="10"/>
      <c r="V5" s="9"/>
      <c r="Y5" t="s">
        <v>15</v>
      </c>
    </row>
    <row r="6" spans="1:25" ht="22.5" customHeight="1" x14ac:dyDescent="0.25">
      <c r="A6" s="17">
        <v>4</v>
      </c>
      <c r="B6" s="16" t="s">
        <v>5</v>
      </c>
      <c r="C6" s="16" t="s">
        <v>14</v>
      </c>
      <c r="D6" s="15">
        <f>'9-19'!G6+E6</f>
        <v>60</v>
      </c>
      <c r="E6" s="15"/>
      <c r="F6" s="15">
        <f t="shared" si="1"/>
        <v>0</v>
      </c>
      <c r="G6" s="15">
        <f t="shared" si="0"/>
        <v>60</v>
      </c>
      <c r="H6" s="29"/>
      <c r="I6" s="1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9"/>
      <c r="Y6" t="s">
        <v>13</v>
      </c>
    </row>
    <row r="7" spans="1:25" ht="22.5" customHeight="1" x14ac:dyDescent="0.25">
      <c r="A7" s="17">
        <v>5</v>
      </c>
      <c r="B7" s="16" t="s">
        <v>5</v>
      </c>
      <c r="C7" s="16" t="s">
        <v>12</v>
      </c>
      <c r="D7" s="15">
        <f>'9-19'!G7+E7</f>
        <v>500</v>
      </c>
      <c r="E7" s="15"/>
      <c r="F7" s="15">
        <f t="shared" si="1"/>
        <v>0</v>
      </c>
      <c r="G7" s="15">
        <f t="shared" si="0"/>
        <v>500</v>
      </c>
      <c r="H7" s="29" t="s">
        <v>11</v>
      </c>
      <c r="I7" s="12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Y7" t="s">
        <v>11</v>
      </c>
    </row>
    <row r="8" spans="1:25" ht="22.5" customHeight="1" x14ac:dyDescent="0.25">
      <c r="A8" s="17">
        <v>6</v>
      </c>
      <c r="B8" s="16" t="s">
        <v>10</v>
      </c>
      <c r="C8" s="16" t="s">
        <v>2</v>
      </c>
      <c r="D8" s="15">
        <f>'9-19'!G8+E8</f>
        <v>840</v>
      </c>
      <c r="E8" s="15"/>
      <c r="F8" s="15">
        <f t="shared" si="1"/>
        <v>0</v>
      </c>
      <c r="G8" s="15">
        <f t="shared" si="0"/>
        <v>840</v>
      </c>
      <c r="H8" s="29"/>
      <c r="I8" s="12"/>
      <c r="K8" s="11"/>
      <c r="L8" s="10"/>
      <c r="M8" s="10"/>
      <c r="N8" s="10"/>
      <c r="O8" s="10"/>
      <c r="P8" s="10"/>
      <c r="Q8" s="10"/>
      <c r="R8" s="10"/>
      <c r="S8" s="10"/>
      <c r="T8" s="10"/>
      <c r="U8" s="10"/>
      <c r="V8" s="9"/>
    </row>
    <row r="9" spans="1:25" ht="22.5" customHeight="1" x14ac:dyDescent="0.25">
      <c r="A9" s="17">
        <v>7</v>
      </c>
      <c r="B9" s="16" t="s">
        <v>10</v>
      </c>
      <c r="C9" s="16" t="s">
        <v>0</v>
      </c>
      <c r="D9" s="15">
        <f>'9-19'!G9+E9</f>
        <v>890</v>
      </c>
      <c r="E9" s="15"/>
      <c r="F9" s="15">
        <f t="shared" si="1"/>
        <v>10</v>
      </c>
      <c r="G9" s="15">
        <f t="shared" si="0"/>
        <v>880</v>
      </c>
      <c r="H9" s="29" t="s">
        <v>17</v>
      </c>
      <c r="I9" s="12"/>
      <c r="K9" s="11"/>
      <c r="L9" s="10"/>
      <c r="M9" s="10">
        <v>6</v>
      </c>
      <c r="N9" s="10"/>
      <c r="O9" s="10"/>
      <c r="P9" s="10"/>
      <c r="Q9" s="10"/>
      <c r="R9" s="10">
        <v>3</v>
      </c>
      <c r="S9" s="10"/>
      <c r="T9" s="10">
        <v>1</v>
      </c>
      <c r="U9" s="10"/>
      <c r="V9" s="9"/>
    </row>
    <row r="10" spans="1:25" ht="22.5" customHeight="1" x14ac:dyDescent="0.25">
      <c r="A10" s="17">
        <v>8</v>
      </c>
      <c r="B10" s="16" t="s">
        <v>10</v>
      </c>
      <c r="C10" s="16" t="s">
        <v>9</v>
      </c>
      <c r="D10" s="15">
        <f>'9-19'!G10+E10</f>
        <v>260</v>
      </c>
      <c r="E10" s="15"/>
      <c r="F10" s="15">
        <f t="shared" si="1"/>
        <v>0</v>
      </c>
      <c r="G10" s="15">
        <f t="shared" si="0"/>
        <v>260</v>
      </c>
      <c r="H10" s="29"/>
      <c r="I10" s="12"/>
      <c r="K10" s="1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9"/>
    </row>
    <row r="11" spans="1:25" ht="22.5" customHeight="1" x14ac:dyDescent="0.25">
      <c r="A11" s="17">
        <v>9</v>
      </c>
      <c r="B11" s="16" t="s">
        <v>7</v>
      </c>
      <c r="C11" s="16" t="s">
        <v>0</v>
      </c>
      <c r="D11" s="15">
        <f>'9-19'!G11+E11</f>
        <v>340</v>
      </c>
      <c r="E11" s="15"/>
      <c r="F11" s="15">
        <f t="shared" si="1"/>
        <v>0</v>
      </c>
      <c r="G11" s="15">
        <f t="shared" si="0"/>
        <v>340</v>
      </c>
      <c r="H11" s="29"/>
      <c r="I11" s="12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9"/>
    </row>
    <row r="12" spans="1:25" ht="22.5" customHeight="1" x14ac:dyDescent="0.25">
      <c r="A12" s="17">
        <v>10</v>
      </c>
      <c r="B12" s="16" t="s">
        <v>7</v>
      </c>
      <c r="C12" s="16" t="s">
        <v>8</v>
      </c>
      <c r="D12" s="15">
        <f>'9-19'!G12+E12</f>
        <v>500</v>
      </c>
      <c r="E12" s="15"/>
      <c r="F12" s="15">
        <f>SUM(K12:V12)</f>
        <v>0</v>
      </c>
      <c r="G12" s="15">
        <f t="shared" si="0"/>
        <v>500</v>
      </c>
      <c r="H12" s="29"/>
      <c r="I12" s="12"/>
      <c r="K12" s="1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9"/>
    </row>
    <row r="13" spans="1:25" ht="22.5" customHeight="1" x14ac:dyDescent="0.25">
      <c r="A13" s="17">
        <v>11</v>
      </c>
      <c r="B13" s="16" t="s">
        <v>7</v>
      </c>
      <c r="C13" s="16" t="s">
        <v>2</v>
      </c>
      <c r="D13" s="15">
        <f>'9-19'!G13+E13</f>
        <v>500</v>
      </c>
      <c r="E13" s="15"/>
      <c r="F13" s="15">
        <f>SUM(K13:V13)</f>
        <v>20</v>
      </c>
      <c r="G13" s="15">
        <f t="shared" si="0"/>
        <v>480</v>
      </c>
      <c r="H13" s="29" t="s">
        <v>11</v>
      </c>
      <c r="I13" s="12"/>
      <c r="K13" s="11">
        <v>4</v>
      </c>
      <c r="L13" s="10">
        <v>1</v>
      </c>
      <c r="M13" s="10">
        <v>1</v>
      </c>
      <c r="N13" s="10"/>
      <c r="O13" s="10">
        <v>1</v>
      </c>
      <c r="P13" s="10">
        <v>3</v>
      </c>
      <c r="Q13" s="10">
        <v>2</v>
      </c>
      <c r="R13" s="10">
        <v>2</v>
      </c>
      <c r="S13" s="10">
        <v>1</v>
      </c>
      <c r="T13" s="10">
        <v>4</v>
      </c>
      <c r="U13" s="10">
        <v>1</v>
      </c>
      <c r="V13" s="9"/>
    </row>
    <row r="14" spans="1:25" ht="22.5" customHeight="1" x14ac:dyDescent="0.25">
      <c r="A14" s="17">
        <v>12</v>
      </c>
      <c r="B14" s="16" t="s">
        <v>6</v>
      </c>
      <c r="C14" s="16" t="s">
        <v>2</v>
      </c>
      <c r="D14" s="15">
        <f>'9-19'!G14+E14</f>
        <v>500</v>
      </c>
      <c r="E14" s="15"/>
      <c r="F14" s="15">
        <f t="shared" ref="F14:F19" si="2">SUM(K14:V14)</f>
        <v>0</v>
      </c>
      <c r="G14" s="15">
        <f t="shared" si="0"/>
        <v>500</v>
      </c>
      <c r="H14" s="29" t="s">
        <v>11</v>
      </c>
      <c r="I14" s="12"/>
      <c r="K14" s="1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9"/>
    </row>
    <row r="15" spans="1:25" ht="22.5" customHeight="1" x14ac:dyDescent="0.25">
      <c r="A15" s="17">
        <v>13</v>
      </c>
      <c r="B15" s="16" t="s">
        <v>3</v>
      </c>
      <c r="C15" s="16" t="s">
        <v>2</v>
      </c>
      <c r="D15" s="15">
        <f>'9-19'!G15+E15</f>
        <v>610</v>
      </c>
      <c r="E15" s="15"/>
      <c r="F15" s="15">
        <f t="shared" si="2"/>
        <v>10</v>
      </c>
      <c r="G15" s="15">
        <f t="shared" si="0"/>
        <v>600</v>
      </c>
      <c r="H15" s="29" t="s">
        <v>17</v>
      </c>
      <c r="I15" s="12"/>
      <c r="K15" s="11"/>
      <c r="L15" s="10"/>
      <c r="M15" s="10">
        <v>5</v>
      </c>
      <c r="N15" s="10"/>
      <c r="O15" s="10"/>
      <c r="P15" s="10">
        <v>3</v>
      </c>
      <c r="Q15" s="10">
        <v>2</v>
      </c>
      <c r="R15" s="10"/>
      <c r="S15" s="10"/>
      <c r="T15" s="10"/>
      <c r="U15" s="10"/>
      <c r="V15" s="9"/>
    </row>
    <row r="16" spans="1:25" ht="22.5" customHeight="1" x14ac:dyDescent="0.25">
      <c r="A16" s="17">
        <v>14</v>
      </c>
      <c r="B16" s="16" t="s">
        <v>5</v>
      </c>
      <c r="C16" s="16" t="s">
        <v>4</v>
      </c>
      <c r="D16" s="15">
        <f>'9-19'!G16+E16</f>
        <v>40</v>
      </c>
      <c r="E16" s="15"/>
      <c r="F16" s="15">
        <f t="shared" si="2"/>
        <v>0</v>
      </c>
      <c r="G16" s="15">
        <f t="shared" si="0"/>
        <v>40</v>
      </c>
      <c r="H16" s="29"/>
      <c r="I16" s="12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/>
    </row>
    <row r="17" spans="1:22" ht="22.5" customHeight="1" x14ac:dyDescent="0.25">
      <c r="A17" s="17">
        <v>15</v>
      </c>
      <c r="B17" s="16" t="s">
        <v>3</v>
      </c>
      <c r="C17" s="16" t="s">
        <v>0</v>
      </c>
      <c r="D17" s="15">
        <f>'9-19'!G17+E17</f>
        <v>290</v>
      </c>
      <c r="E17" s="15"/>
      <c r="F17" s="15">
        <f t="shared" si="2"/>
        <v>0</v>
      </c>
      <c r="G17" s="15">
        <f t="shared" si="0"/>
        <v>290</v>
      </c>
      <c r="H17" s="29"/>
      <c r="I17" s="12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"/>
    </row>
    <row r="18" spans="1:22" ht="22.5" customHeight="1" x14ac:dyDescent="0.25">
      <c r="A18" s="8">
        <v>16</v>
      </c>
      <c r="B18" s="7" t="s">
        <v>1</v>
      </c>
      <c r="C18" s="7" t="s">
        <v>2</v>
      </c>
      <c r="D18" s="15">
        <f>'9-19'!G18+E18</f>
        <v>500</v>
      </c>
      <c r="E18" s="15"/>
      <c r="F18" s="15">
        <f t="shared" si="2"/>
        <v>0</v>
      </c>
      <c r="G18" s="15">
        <f t="shared" si="0"/>
        <v>500</v>
      </c>
      <c r="H18" s="29"/>
      <c r="I18" s="12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9"/>
    </row>
    <row r="19" spans="1:22" ht="22.5" customHeight="1" x14ac:dyDescent="0.25">
      <c r="A19" s="8">
        <v>17</v>
      </c>
      <c r="B19" s="16" t="s">
        <v>1</v>
      </c>
      <c r="C19" s="16" t="s">
        <v>0</v>
      </c>
      <c r="D19" s="15">
        <f>'9-19'!G19+E19</f>
        <v>240</v>
      </c>
      <c r="E19" s="15"/>
      <c r="F19" s="15">
        <f t="shared" si="2"/>
        <v>0</v>
      </c>
      <c r="G19" s="15">
        <f t="shared" si="0"/>
        <v>240</v>
      </c>
      <c r="H19" s="29"/>
      <c r="I19" s="12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9"/>
    </row>
    <row r="20" spans="1:22" x14ac:dyDescent="0.25">
      <c r="A20" s="17"/>
      <c r="B20" s="16"/>
      <c r="C20" s="16"/>
      <c r="D20" s="15"/>
      <c r="E20" s="15"/>
      <c r="F20" s="15"/>
      <c r="G20" s="15"/>
      <c r="H20" s="29"/>
      <c r="I20" s="12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9"/>
    </row>
    <row r="21" spans="1:22" x14ac:dyDescent="0.25">
      <c r="A21" s="8"/>
      <c r="B21" s="7"/>
      <c r="C21" s="7"/>
      <c r="D21" s="6"/>
      <c r="E21" s="6"/>
      <c r="F21" s="6"/>
      <c r="G21" s="6"/>
      <c r="H21" s="30"/>
      <c r="I21" s="12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/>
    </row>
    <row r="22" spans="1:22" ht="15.75" thickBot="1" x14ac:dyDescent="0.3">
      <c r="A22" s="8"/>
      <c r="B22" s="7"/>
      <c r="C22" s="7"/>
      <c r="D22" s="6">
        <f>SUBTOTAL(9,D3:D21)</f>
        <v>7790</v>
      </c>
      <c r="E22" s="6">
        <f>SUBTOTAL(9,E3:E21)</f>
        <v>0</v>
      </c>
      <c r="F22" s="6">
        <f>SUBTOTAL(9,F3:F21)</f>
        <v>64</v>
      </c>
      <c r="G22" s="6">
        <f>SUBTOTAL(9,G3:G21)</f>
        <v>7726</v>
      </c>
      <c r="H22" s="5"/>
      <c r="I22" s="4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</row>
  </sheetData>
  <mergeCells count="2">
    <mergeCell ref="C1:G1"/>
    <mergeCell ref="K1:V1"/>
  </mergeCells>
  <conditionalFormatting sqref="D3:D19">
    <cfRule type="cellIs" dxfId="143" priority="1" stopIfTrue="1" operator="lessThan">
      <formula>51</formula>
    </cfRule>
  </conditionalFormatting>
  <dataValidations count="1">
    <dataValidation type="list" allowBlank="1" showInputMessage="1" showErrorMessage="1" sqref="H3:H21">
      <formula1>$Y$3:$Y$10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>
      <pane xSplit="9" ySplit="2" topLeftCell="J13" activePane="bottomRight" state="frozen"/>
      <selection pane="topRight" activeCell="I1" sqref="I1"/>
      <selection pane="bottomLeft" activeCell="A3" sqref="A3"/>
      <selection pane="bottomRight" activeCell="F19" sqref="F19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18.5703125" customWidth="1"/>
    <col min="6" max="6" width="26.140625" bestFit="1" customWidth="1"/>
    <col min="7" max="7" width="17.85546875" bestFit="1" customWidth="1"/>
    <col min="8" max="8" width="24.28515625" bestFit="1" customWidth="1"/>
    <col min="9" max="9" width="4.5703125" customWidth="1"/>
    <col min="10" max="10" width="6" customWidth="1"/>
    <col min="11" max="19" width="11.7109375" bestFit="1" customWidth="1"/>
    <col min="20" max="22" width="12.7109375" bestFit="1" customWidth="1"/>
    <col min="25" max="25" width="29.7109375" bestFit="1" customWidth="1"/>
  </cols>
  <sheetData>
    <row r="1" spans="1:25" ht="48" customHeight="1" thickBot="1" x14ac:dyDescent="0.3">
      <c r="A1" s="28"/>
      <c r="B1" s="27"/>
      <c r="C1" s="31" t="s">
        <v>38</v>
      </c>
      <c r="D1" s="31"/>
      <c r="E1" s="31"/>
      <c r="F1" s="31"/>
      <c r="G1" s="31"/>
      <c r="H1" s="26" t="s">
        <v>46</v>
      </c>
      <c r="I1" s="25"/>
      <c r="K1" s="32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5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51</v>
      </c>
      <c r="E2" s="23" t="s">
        <v>53</v>
      </c>
      <c r="F2" s="23" t="s">
        <v>32</v>
      </c>
      <c r="G2" s="23" t="s">
        <v>52</v>
      </c>
      <c r="H2" s="22" t="s">
        <v>30</v>
      </c>
      <c r="I2" s="20"/>
      <c r="K2" s="21" t="s">
        <v>29</v>
      </c>
      <c r="L2" s="20" t="s">
        <v>28</v>
      </c>
      <c r="M2" s="20" t="s">
        <v>27</v>
      </c>
      <c r="N2" s="20" t="s">
        <v>26</v>
      </c>
      <c r="O2" s="20" t="s">
        <v>25</v>
      </c>
      <c r="P2" s="20" t="s">
        <v>24</v>
      </c>
      <c r="Q2" s="20" t="s">
        <v>23</v>
      </c>
      <c r="R2" s="20" t="s">
        <v>22</v>
      </c>
      <c r="S2" s="20" t="s">
        <v>21</v>
      </c>
      <c r="T2" s="20" t="s">
        <v>20</v>
      </c>
      <c r="U2" s="20" t="s">
        <v>19</v>
      </c>
      <c r="V2" s="19" t="s">
        <v>18</v>
      </c>
    </row>
    <row r="3" spans="1:25" ht="22.5" customHeight="1" x14ac:dyDescent="0.25">
      <c r="A3" s="17">
        <v>1</v>
      </c>
      <c r="B3" s="16" t="s">
        <v>5</v>
      </c>
      <c r="C3" s="16" t="s">
        <v>2</v>
      </c>
      <c r="D3" s="15">
        <f>'9-21'!G3+E3</f>
        <v>600</v>
      </c>
      <c r="E3" s="15"/>
      <c r="F3" s="15">
        <f t="shared" ref="F3:F19" si="0">SUM(K3:V3)</f>
        <v>20</v>
      </c>
      <c r="G3" s="15">
        <f t="shared" ref="G3:G19" si="1">D3-F3</f>
        <v>580</v>
      </c>
      <c r="H3" s="29" t="s">
        <v>17</v>
      </c>
      <c r="I3" s="12"/>
      <c r="K3" s="11">
        <v>5</v>
      </c>
      <c r="L3" s="10">
        <v>1</v>
      </c>
      <c r="M3" s="10">
        <v>4</v>
      </c>
      <c r="N3" s="10"/>
      <c r="O3" s="10">
        <v>1</v>
      </c>
      <c r="P3" s="10">
        <v>1</v>
      </c>
      <c r="Q3" s="10">
        <v>1</v>
      </c>
      <c r="R3" s="10">
        <v>1</v>
      </c>
      <c r="S3" s="10">
        <v>2</v>
      </c>
      <c r="T3" s="10">
        <v>3</v>
      </c>
      <c r="U3" s="10">
        <v>1</v>
      </c>
      <c r="V3" s="9"/>
      <c r="Y3" t="s">
        <v>17</v>
      </c>
    </row>
    <row r="4" spans="1:25" ht="22.5" customHeight="1" x14ac:dyDescent="0.25">
      <c r="A4" s="17">
        <v>2</v>
      </c>
      <c r="B4" s="16" t="s">
        <v>5</v>
      </c>
      <c r="C4" s="16" t="s">
        <v>0</v>
      </c>
      <c r="D4" s="15">
        <f>'9-21'!G4+E4</f>
        <v>840</v>
      </c>
      <c r="E4" s="15"/>
      <c r="F4" s="15">
        <f t="shared" si="0"/>
        <v>10</v>
      </c>
      <c r="G4" s="15">
        <f t="shared" si="1"/>
        <v>830</v>
      </c>
      <c r="H4" s="29" t="s">
        <v>17</v>
      </c>
      <c r="I4" s="12"/>
      <c r="K4" s="11">
        <v>1</v>
      </c>
      <c r="L4" s="10"/>
      <c r="M4" s="10">
        <v>1</v>
      </c>
      <c r="N4" s="10">
        <v>3</v>
      </c>
      <c r="O4" s="10">
        <v>1</v>
      </c>
      <c r="P4" s="10"/>
      <c r="Q4" s="10"/>
      <c r="R4" s="10">
        <v>1</v>
      </c>
      <c r="S4" s="10">
        <v>2</v>
      </c>
      <c r="T4" s="10"/>
      <c r="U4" s="10"/>
      <c r="V4" s="9">
        <v>1</v>
      </c>
      <c r="Y4" t="s">
        <v>16</v>
      </c>
    </row>
    <row r="5" spans="1:25" ht="22.5" customHeight="1" x14ac:dyDescent="0.25">
      <c r="A5" s="17">
        <v>3</v>
      </c>
      <c r="B5" s="16" t="s">
        <v>5</v>
      </c>
      <c r="C5" s="16" t="s">
        <v>9</v>
      </c>
      <c r="D5" s="15">
        <f>'9-21'!G5+E5</f>
        <v>256</v>
      </c>
      <c r="E5" s="15"/>
      <c r="F5" s="15">
        <f t="shared" si="0"/>
        <v>0</v>
      </c>
      <c r="G5" s="15">
        <f t="shared" si="1"/>
        <v>256</v>
      </c>
      <c r="H5" s="29"/>
      <c r="I5" s="12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Y5" t="s">
        <v>15</v>
      </c>
    </row>
    <row r="6" spans="1:25" ht="22.5" customHeight="1" x14ac:dyDescent="0.25">
      <c r="A6" s="17">
        <v>4</v>
      </c>
      <c r="B6" s="16" t="s">
        <v>5</v>
      </c>
      <c r="C6" s="16" t="s">
        <v>14</v>
      </c>
      <c r="D6" s="15">
        <f>'9-21'!G6+E6</f>
        <v>60</v>
      </c>
      <c r="E6" s="15"/>
      <c r="F6" s="15">
        <f t="shared" si="0"/>
        <v>0</v>
      </c>
      <c r="G6" s="15">
        <f t="shared" si="1"/>
        <v>60</v>
      </c>
      <c r="H6" s="29"/>
      <c r="I6" s="1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9"/>
      <c r="Y6" t="s">
        <v>13</v>
      </c>
    </row>
    <row r="7" spans="1:25" ht="22.5" customHeight="1" x14ac:dyDescent="0.25">
      <c r="A7" s="17">
        <v>5</v>
      </c>
      <c r="B7" s="16" t="s">
        <v>5</v>
      </c>
      <c r="C7" s="16" t="s">
        <v>12</v>
      </c>
      <c r="D7" s="15">
        <f>'9-21'!G7+E7</f>
        <v>500</v>
      </c>
      <c r="E7" s="15"/>
      <c r="F7" s="15">
        <f t="shared" si="0"/>
        <v>0</v>
      </c>
      <c r="G7" s="15">
        <f t="shared" si="1"/>
        <v>500</v>
      </c>
      <c r="H7" s="29"/>
      <c r="I7" s="12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Y7" t="s">
        <v>11</v>
      </c>
    </row>
    <row r="8" spans="1:25" ht="22.5" customHeight="1" x14ac:dyDescent="0.25">
      <c r="A8" s="17">
        <v>6</v>
      </c>
      <c r="B8" s="16" t="s">
        <v>10</v>
      </c>
      <c r="C8" s="16" t="s">
        <v>2</v>
      </c>
      <c r="D8" s="15">
        <f>'9-21'!G8+E8</f>
        <v>840</v>
      </c>
      <c r="E8" s="15"/>
      <c r="F8" s="15">
        <f t="shared" si="0"/>
        <v>0</v>
      </c>
      <c r="G8" s="15">
        <f t="shared" si="1"/>
        <v>840</v>
      </c>
      <c r="H8" s="29"/>
      <c r="I8" s="12"/>
      <c r="K8" s="11"/>
      <c r="L8" s="10"/>
      <c r="M8" s="10"/>
      <c r="N8" s="10"/>
      <c r="O8" s="10"/>
      <c r="P8" s="10"/>
      <c r="Q8" s="10"/>
      <c r="R8" s="10"/>
      <c r="S8" s="10"/>
      <c r="T8" s="10"/>
      <c r="U8" s="10"/>
      <c r="V8" s="9"/>
    </row>
    <row r="9" spans="1:25" ht="22.5" customHeight="1" x14ac:dyDescent="0.25">
      <c r="A9" s="17">
        <v>7</v>
      </c>
      <c r="B9" s="16" t="s">
        <v>10</v>
      </c>
      <c r="C9" s="16" t="s">
        <v>0</v>
      </c>
      <c r="D9" s="15">
        <f>'9-21'!G9+E9</f>
        <v>880</v>
      </c>
      <c r="E9" s="15"/>
      <c r="F9" s="15">
        <f t="shared" si="0"/>
        <v>10</v>
      </c>
      <c r="G9" s="15">
        <f t="shared" si="1"/>
        <v>870</v>
      </c>
      <c r="H9" s="29" t="s">
        <v>17</v>
      </c>
      <c r="I9" s="12"/>
      <c r="K9" s="11"/>
      <c r="L9" s="10"/>
      <c r="M9" s="10"/>
      <c r="N9" s="10"/>
      <c r="O9" s="10"/>
      <c r="P9" s="10">
        <v>2</v>
      </c>
      <c r="Q9" s="10">
        <v>4</v>
      </c>
      <c r="R9" s="10"/>
      <c r="S9" s="10"/>
      <c r="T9" s="10">
        <v>4</v>
      </c>
      <c r="U9" s="10"/>
      <c r="V9" s="9"/>
    </row>
    <row r="10" spans="1:25" ht="22.5" customHeight="1" x14ac:dyDescent="0.25">
      <c r="A10" s="17">
        <v>8</v>
      </c>
      <c r="B10" s="16" t="s">
        <v>10</v>
      </c>
      <c r="C10" s="16" t="s">
        <v>9</v>
      </c>
      <c r="D10" s="15">
        <f>'9-21'!G10+E10</f>
        <v>260</v>
      </c>
      <c r="E10" s="15"/>
      <c r="F10" s="15">
        <f t="shared" si="0"/>
        <v>0</v>
      </c>
      <c r="G10" s="15">
        <f t="shared" si="1"/>
        <v>260</v>
      </c>
      <c r="H10" s="29"/>
      <c r="I10" s="12"/>
      <c r="K10" s="1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9"/>
    </row>
    <row r="11" spans="1:25" ht="22.5" customHeight="1" x14ac:dyDescent="0.25">
      <c r="A11" s="17">
        <v>9</v>
      </c>
      <c r="B11" s="16" t="s">
        <v>7</v>
      </c>
      <c r="C11" s="16" t="s">
        <v>0</v>
      </c>
      <c r="D11" s="15">
        <f>'9-21'!G11+E11</f>
        <v>340</v>
      </c>
      <c r="E11" s="15"/>
      <c r="F11" s="15">
        <f t="shared" si="0"/>
        <v>0</v>
      </c>
      <c r="G11" s="15">
        <f t="shared" si="1"/>
        <v>340</v>
      </c>
      <c r="H11" s="29"/>
      <c r="I11" s="12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9"/>
    </row>
    <row r="12" spans="1:25" ht="22.5" customHeight="1" x14ac:dyDescent="0.25">
      <c r="A12" s="17">
        <v>10</v>
      </c>
      <c r="B12" s="16" t="s">
        <v>7</v>
      </c>
      <c r="C12" s="16" t="s">
        <v>8</v>
      </c>
      <c r="D12" s="15">
        <f>'9-21'!G12+E12</f>
        <v>500</v>
      </c>
      <c r="E12" s="15"/>
      <c r="F12" s="15">
        <f t="shared" si="0"/>
        <v>10</v>
      </c>
      <c r="G12" s="15">
        <f t="shared" si="1"/>
        <v>490</v>
      </c>
      <c r="H12" s="29" t="s">
        <v>11</v>
      </c>
      <c r="I12" s="12"/>
      <c r="K12" s="11"/>
      <c r="L12" s="10"/>
      <c r="M12" s="10"/>
      <c r="N12" s="10"/>
      <c r="O12" s="10"/>
      <c r="P12" s="10"/>
      <c r="Q12" s="10">
        <v>3</v>
      </c>
      <c r="R12" s="10"/>
      <c r="S12" s="10"/>
      <c r="T12" s="10">
        <v>7</v>
      </c>
      <c r="U12" s="10"/>
      <c r="V12" s="9"/>
    </row>
    <row r="13" spans="1:25" ht="22.5" customHeight="1" x14ac:dyDescent="0.25">
      <c r="A13" s="17">
        <v>11</v>
      </c>
      <c r="B13" s="16" t="s">
        <v>7</v>
      </c>
      <c r="C13" s="16" t="s">
        <v>2</v>
      </c>
      <c r="D13" s="15">
        <f>'9-21'!G13+E13</f>
        <v>480</v>
      </c>
      <c r="E13" s="15"/>
      <c r="F13" s="15">
        <f t="shared" si="0"/>
        <v>0</v>
      </c>
      <c r="G13" s="15">
        <f t="shared" si="1"/>
        <v>480</v>
      </c>
      <c r="H13" s="29"/>
      <c r="I13" s="12"/>
      <c r="K13" s="11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9"/>
    </row>
    <row r="14" spans="1:25" ht="22.5" customHeight="1" x14ac:dyDescent="0.25">
      <c r="A14" s="17">
        <v>12</v>
      </c>
      <c r="B14" s="16" t="s">
        <v>6</v>
      </c>
      <c r="C14" s="16" t="s">
        <v>2</v>
      </c>
      <c r="D14" s="15">
        <f>'9-21'!G14+E14</f>
        <v>500</v>
      </c>
      <c r="E14" s="15"/>
      <c r="F14" s="15">
        <f t="shared" si="0"/>
        <v>0</v>
      </c>
      <c r="G14" s="15">
        <f t="shared" si="1"/>
        <v>500</v>
      </c>
      <c r="H14" s="29"/>
      <c r="I14" s="12"/>
      <c r="K14" s="1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9"/>
    </row>
    <row r="15" spans="1:25" ht="22.5" customHeight="1" x14ac:dyDescent="0.25">
      <c r="A15" s="17">
        <v>13</v>
      </c>
      <c r="B15" s="16" t="s">
        <v>3</v>
      </c>
      <c r="C15" s="16" t="s">
        <v>2</v>
      </c>
      <c r="D15" s="15">
        <f>'9-21'!G15+E15</f>
        <v>600</v>
      </c>
      <c r="E15" s="15"/>
      <c r="F15" s="15">
        <f t="shared" si="0"/>
        <v>10</v>
      </c>
      <c r="G15" s="15">
        <f t="shared" si="1"/>
        <v>590</v>
      </c>
      <c r="H15" s="29" t="s">
        <v>11</v>
      </c>
      <c r="I15" s="12"/>
      <c r="K15" s="11"/>
      <c r="L15" s="10"/>
      <c r="M15" s="10">
        <v>1</v>
      </c>
      <c r="N15" s="10"/>
      <c r="O15" s="10"/>
      <c r="P15" s="10"/>
      <c r="Q15" s="10">
        <v>5</v>
      </c>
      <c r="R15" s="10"/>
      <c r="S15" s="10"/>
      <c r="T15" s="10">
        <v>4</v>
      </c>
      <c r="U15" s="10"/>
      <c r="V15" s="9"/>
    </row>
    <row r="16" spans="1:25" ht="22.5" customHeight="1" x14ac:dyDescent="0.25">
      <c r="A16" s="17">
        <v>14</v>
      </c>
      <c r="B16" s="16" t="s">
        <v>5</v>
      </c>
      <c r="C16" s="16" t="s">
        <v>4</v>
      </c>
      <c r="D16" s="15">
        <f>'9-21'!G16+E16</f>
        <v>40</v>
      </c>
      <c r="E16" s="15"/>
      <c r="F16" s="15">
        <f t="shared" si="0"/>
        <v>0</v>
      </c>
      <c r="G16" s="15">
        <f t="shared" si="1"/>
        <v>40</v>
      </c>
      <c r="H16" s="29"/>
      <c r="I16" s="12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/>
    </row>
    <row r="17" spans="1:22" ht="22.5" customHeight="1" x14ac:dyDescent="0.25">
      <c r="A17" s="17">
        <v>15</v>
      </c>
      <c r="B17" s="16" t="s">
        <v>3</v>
      </c>
      <c r="C17" s="16" t="s">
        <v>0</v>
      </c>
      <c r="D17" s="15">
        <f>'9-21'!G17+E17</f>
        <v>290</v>
      </c>
      <c r="E17" s="15"/>
      <c r="F17" s="15">
        <f t="shared" si="0"/>
        <v>0</v>
      </c>
      <c r="G17" s="15">
        <f t="shared" si="1"/>
        <v>290</v>
      </c>
      <c r="H17" s="29"/>
      <c r="I17" s="12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"/>
    </row>
    <row r="18" spans="1:22" ht="22.5" customHeight="1" x14ac:dyDescent="0.25">
      <c r="A18" s="8">
        <v>16</v>
      </c>
      <c r="B18" s="7" t="s">
        <v>1</v>
      </c>
      <c r="C18" s="7" t="s">
        <v>2</v>
      </c>
      <c r="D18" s="15">
        <f>'9-21'!G18+E18</f>
        <v>500</v>
      </c>
      <c r="E18" s="15"/>
      <c r="F18" s="15">
        <f t="shared" si="0"/>
        <v>0</v>
      </c>
      <c r="G18" s="15">
        <f t="shared" si="1"/>
        <v>500</v>
      </c>
      <c r="H18" s="29"/>
      <c r="I18" s="12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9"/>
    </row>
    <row r="19" spans="1:22" ht="22.5" customHeight="1" x14ac:dyDescent="0.25">
      <c r="A19" s="8">
        <v>17</v>
      </c>
      <c r="B19" s="16" t="s">
        <v>1</v>
      </c>
      <c r="C19" s="16" t="s">
        <v>0</v>
      </c>
      <c r="D19" s="15">
        <f>'9-21'!G19+E19</f>
        <v>240</v>
      </c>
      <c r="E19" s="15"/>
      <c r="F19" s="15">
        <f t="shared" si="0"/>
        <v>0</v>
      </c>
      <c r="G19" s="15">
        <f t="shared" si="1"/>
        <v>240</v>
      </c>
      <c r="H19" s="29"/>
      <c r="I19" s="12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9"/>
    </row>
    <row r="20" spans="1:22" x14ac:dyDescent="0.25">
      <c r="A20" s="17"/>
      <c r="B20" s="16"/>
      <c r="C20" s="16"/>
      <c r="D20" s="15"/>
      <c r="E20" s="15"/>
      <c r="F20" s="15"/>
      <c r="G20" s="15"/>
      <c r="H20" s="29"/>
      <c r="I20" s="12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9"/>
    </row>
    <row r="21" spans="1:22" x14ac:dyDescent="0.25">
      <c r="A21" s="17"/>
      <c r="B21" s="16"/>
      <c r="C21" s="16"/>
      <c r="D21" s="15"/>
      <c r="E21" s="6"/>
      <c r="F21" s="15"/>
      <c r="G21" s="15"/>
      <c r="H21" s="29"/>
      <c r="I21" s="12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/>
    </row>
    <row r="22" spans="1:22" ht="15.75" thickBot="1" x14ac:dyDescent="0.3">
      <c r="A22" s="8"/>
      <c r="B22" s="7"/>
      <c r="C22" s="7"/>
      <c r="D22" s="6">
        <f>SUBTOTAL(9,D3:D21)</f>
        <v>7726</v>
      </c>
      <c r="E22" s="6">
        <f>SUBTOTAL(9,E3:E21)</f>
        <v>0</v>
      </c>
      <c r="F22" s="6">
        <f>SUBTOTAL(9,F3:F21)</f>
        <v>60</v>
      </c>
      <c r="G22" s="6">
        <f>SUBTOTAL(9,G3:G21)</f>
        <v>7666</v>
      </c>
      <c r="H22" s="5"/>
      <c r="I22" s="4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</row>
  </sheetData>
  <mergeCells count="2">
    <mergeCell ref="C1:G1"/>
    <mergeCell ref="K1:V1"/>
  </mergeCells>
  <conditionalFormatting sqref="D3:D19">
    <cfRule type="cellIs" dxfId="119" priority="1" stopIfTrue="1" operator="lessThan">
      <formula>51</formula>
    </cfRule>
  </conditionalFormatting>
  <dataValidations count="1">
    <dataValidation type="list" allowBlank="1" showInputMessage="1" showErrorMessage="1" sqref="H3:H21">
      <formula1>$Y$3:$Y$10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>
      <pane xSplit="9" ySplit="2" topLeftCell="J3" activePane="bottomRight" state="frozen"/>
      <selection pane="topRight" activeCell="I1" sqref="I1"/>
      <selection pane="bottomLeft" activeCell="A3" sqref="A3"/>
      <selection pane="bottomRight" activeCell="F5" sqref="F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18.5703125" customWidth="1"/>
    <col min="6" max="6" width="26.140625" bestFit="1" customWidth="1"/>
    <col min="7" max="7" width="17.85546875" bestFit="1" customWidth="1"/>
    <col min="8" max="8" width="24.28515625" bestFit="1" customWidth="1"/>
    <col min="9" max="9" width="4.5703125" customWidth="1"/>
    <col min="10" max="10" width="6" customWidth="1"/>
    <col min="11" max="19" width="11.7109375" bestFit="1" customWidth="1"/>
    <col min="20" max="22" width="12.7109375" bestFit="1" customWidth="1"/>
    <col min="25" max="25" width="29.7109375" bestFit="1" customWidth="1"/>
  </cols>
  <sheetData>
    <row r="1" spans="1:25" ht="48" customHeight="1" thickBot="1" x14ac:dyDescent="0.3">
      <c r="A1" s="28"/>
      <c r="B1" s="27"/>
      <c r="C1" s="31" t="s">
        <v>38</v>
      </c>
      <c r="D1" s="31"/>
      <c r="E1" s="31"/>
      <c r="F1" s="31"/>
      <c r="G1" s="31"/>
      <c r="H1" s="26" t="s">
        <v>45</v>
      </c>
      <c r="I1" s="25"/>
      <c r="K1" s="32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5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51</v>
      </c>
      <c r="E2" s="23" t="s">
        <v>53</v>
      </c>
      <c r="F2" s="23" t="s">
        <v>32</v>
      </c>
      <c r="G2" s="23" t="s">
        <v>52</v>
      </c>
      <c r="H2" s="22" t="s">
        <v>30</v>
      </c>
      <c r="I2" s="20"/>
      <c r="K2" s="21" t="s">
        <v>29</v>
      </c>
      <c r="L2" s="20" t="s">
        <v>28</v>
      </c>
      <c r="M2" s="20" t="s">
        <v>27</v>
      </c>
      <c r="N2" s="20" t="s">
        <v>26</v>
      </c>
      <c r="O2" s="20" t="s">
        <v>25</v>
      </c>
      <c r="P2" s="20" t="s">
        <v>24</v>
      </c>
      <c r="Q2" s="20" t="s">
        <v>23</v>
      </c>
      <c r="R2" s="20" t="s">
        <v>22</v>
      </c>
      <c r="S2" s="20" t="s">
        <v>21</v>
      </c>
      <c r="T2" s="20" t="s">
        <v>20</v>
      </c>
      <c r="U2" s="20" t="s">
        <v>19</v>
      </c>
      <c r="V2" s="19" t="s">
        <v>18</v>
      </c>
    </row>
    <row r="3" spans="1:25" ht="22.5" customHeight="1" x14ac:dyDescent="0.25">
      <c r="A3" s="17">
        <v>1</v>
      </c>
      <c r="B3" s="16" t="s">
        <v>5</v>
      </c>
      <c r="C3" s="16" t="s">
        <v>2</v>
      </c>
      <c r="D3" s="15">
        <f>'9-22'!G3+E3</f>
        <v>580</v>
      </c>
      <c r="E3" s="15"/>
      <c r="F3" s="15">
        <f t="shared" ref="F3:F19" si="0">SUM(K3:V3)</f>
        <v>0</v>
      </c>
      <c r="G3" s="15">
        <f t="shared" ref="G3:G19" si="1">D3-F3</f>
        <v>580</v>
      </c>
      <c r="H3" s="29"/>
      <c r="I3" s="12"/>
      <c r="K3" s="11"/>
      <c r="L3" s="10"/>
      <c r="M3" s="10"/>
      <c r="N3" s="10"/>
      <c r="O3" s="10"/>
      <c r="P3" s="10"/>
      <c r="Q3" s="10"/>
      <c r="R3" s="10"/>
      <c r="S3" s="10"/>
      <c r="T3" s="10"/>
      <c r="U3" s="10"/>
      <c r="V3" s="9"/>
      <c r="Y3" t="s">
        <v>17</v>
      </c>
    </row>
    <row r="4" spans="1:25" ht="22.5" customHeight="1" x14ac:dyDescent="0.25">
      <c r="A4" s="17">
        <v>2</v>
      </c>
      <c r="B4" s="16" t="s">
        <v>5</v>
      </c>
      <c r="C4" s="16" t="s">
        <v>0</v>
      </c>
      <c r="D4" s="15">
        <f>'9-22'!G4+E4</f>
        <v>830</v>
      </c>
      <c r="E4" s="15"/>
      <c r="F4" s="15">
        <f t="shared" si="0"/>
        <v>0</v>
      </c>
      <c r="G4" s="15">
        <f t="shared" si="1"/>
        <v>830</v>
      </c>
      <c r="H4" s="29"/>
      <c r="I4" s="12"/>
      <c r="K4" s="11"/>
      <c r="L4" s="10"/>
      <c r="M4" s="10"/>
      <c r="N4" s="10"/>
      <c r="O4" s="10"/>
      <c r="P4" s="10"/>
      <c r="Q4" s="10"/>
      <c r="R4" s="10"/>
      <c r="S4" s="10"/>
      <c r="T4" s="10"/>
      <c r="U4" s="10"/>
      <c r="V4" s="9"/>
      <c r="Y4" t="s">
        <v>16</v>
      </c>
    </row>
    <row r="5" spans="1:25" ht="22.5" customHeight="1" x14ac:dyDescent="0.25">
      <c r="A5" s="17">
        <v>3</v>
      </c>
      <c r="B5" s="16" t="s">
        <v>5</v>
      </c>
      <c r="C5" s="16" t="s">
        <v>9</v>
      </c>
      <c r="D5" s="15">
        <f>'9-22'!G5+E5</f>
        <v>256</v>
      </c>
      <c r="E5" s="15"/>
      <c r="F5" s="15">
        <f t="shared" si="0"/>
        <v>0</v>
      </c>
      <c r="G5" s="15">
        <f t="shared" si="1"/>
        <v>256</v>
      </c>
      <c r="H5" s="29"/>
      <c r="I5" s="12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Y5" t="s">
        <v>15</v>
      </c>
    </row>
    <row r="6" spans="1:25" ht="22.5" customHeight="1" x14ac:dyDescent="0.25">
      <c r="A6" s="17">
        <v>4</v>
      </c>
      <c r="B6" s="16" t="s">
        <v>5</v>
      </c>
      <c r="C6" s="16" t="s">
        <v>14</v>
      </c>
      <c r="D6" s="15">
        <f>'9-22'!G6+E6</f>
        <v>60</v>
      </c>
      <c r="E6" s="15"/>
      <c r="F6" s="15">
        <f t="shared" si="0"/>
        <v>0</v>
      </c>
      <c r="G6" s="15">
        <f t="shared" si="1"/>
        <v>60</v>
      </c>
      <c r="H6" s="29"/>
      <c r="I6" s="1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9"/>
      <c r="Y6" t="s">
        <v>13</v>
      </c>
    </row>
    <row r="7" spans="1:25" ht="22.5" customHeight="1" x14ac:dyDescent="0.25">
      <c r="A7" s="17">
        <v>5</v>
      </c>
      <c r="B7" s="16" t="s">
        <v>5</v>
      </c>
      <c r="C7" s="16" t="s">
        <v>12</v>
      </c>
      <c r="D7" s="15">
        <f>'9-22'!G7+E7</f>
        <v>500</v>
      </c>
      <c r="E7" s="15"/>
      <c r="F7" s="15">
        <f t="shared" si="0"/>
        <v>0</v>
      </c>
      <c r="G7" s="15">
        <f t="shared" si="1"/>
        <v>500</v>
      </c>
      <c r="H7" s="29"/>
      <c r="I7" s="12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Y7" t="s">
        <v>11</v>
      </c>
    </row>
    <row r="8" spans="1:25" ht="22.5" customHeight="1" x14ac:dyDescent="0.25">
      <c r="A8" s="17">
        <v>6</v>
      </c>
      <c r="B8" s="16" t="s">
        <v>10</v>
      </c>
      <c r="C8" s="16" t="s">
        <v>2</v>
      </c>
      <c r="D8" s="15">
        <f>'9-22'!G8+E8</f>
        <v>840</v>
      </c>
      <c r="E8" s="15"/>
      <c r="F8" s="15">
        <f t="shared" si="0"/>
        <v>0</v>
      </c>
      <c r="G8" s="15">
        <f t="shared" si="1"/>
        <v>840</v>
      </c>
      <c r="H8" s="29"/>
      <c r="I8" s="12"/>
      <c r="K8" s="11"/>
      <c r="L8" s="10"/>
      <c r="M8" s="10"/>
      <c r="N8" s="10"/>
      <c r="O8" s="10"/>
      <c r="P8" s="10"/>
      <c r="Q8" s="10"/>
      <c r="R8" s="10"/>
      <c r="S8" s="10"/>
      <c r="T8" s="10"/>
      <c r="U8" s="10"/>
      <c r="V8" s="9"/>
    </row>
    <row r="9" spans="1:25" ht="22.5" customHeight="1" x14ac:dyDescent="0.25">
      <c r="A9" s="17">
        <v>7</v>
      </c>
      <c r="B9" s="16" t="s">
        <v>10</v>
      </c>
      <c r="C9" s="16" t="s">
        <v>0</v>
      </c>
      <c r="D9" s="15">
        <f>'9-22'!G9+E9</f>
        <v>870</v>
      </c>
      <c r="E9" s="15"/>
      <c r="F9" s="15">
        <v>10</v>
      </c>
      <c r="G9" s="15">
        <f t="shared" si="1"/>
        <v>860</v>
      </c>
      <c r="H9" s="29" t="s">
        <v>17</v>
      </c>
      <c r="I9" s="12"/>
      <c r="K9" s="11">
        <v>3</v>
      </c>
      <c r="L9" s="10">
        <v>4</v>
      </c>
      <c r="M9" s="10">
        <v>2</v>
      </c>
      <c r="N9" s="10"/>
      <c r="O9" s="10"/>
      <c r="P9" s="10"/>
      <c r="Q9" s="10"/>
      <c r="R9" s="10">
        <v>1</v>
      </c>
      <c r="S9" s="10"/>
      <c r="T9" s="10"/>
      <c r="U9" s="10"/>
      <c r="V9" s="9"/>
    </row>
    <row r="10" spans="1:25" ht="22.5" customHeight="1" x14ac:dyDescent="0.25">
      <c r="A10" s="17">
        <v>8</v>
      </c>
      <c r="B10" s="16" t="s">
        <v>10</v>
      </c>
      <c r="C10" s="16" t="s">
        <v>9</v>
      </c>
      <c r="D10" s="15">
        <f>'9-22'!G10+E10</f>
        <v>260</v>
      </c>
      <c r="E10" s="15"/>
      <c r="F10" s="15">
        <f t="shared" si="0"/>
        <v>0</v>
      </c>
      <c r="G10" s="15">
        <f t="shared" si="1"/>
        <v>260</v>
      </c>
      <c r="H10" s="29"/>
      <c r="I10" s="12"/>
      <c r="K10" s="1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9"/>
    </row>
    <row r="11" spans="1:25" ht="22.5" customHeight="1" x14ac:dyDescent="0.25">
      <c r="A11" s="17">
        <v>9</v>
      </c>
      <c r="B11" s="16" t="s">
        <v>7</v>
      </c>
      <c r="C11" s="16" t="s">
        <v>0</v>
      </c>
      <c r="D11" s="15">
        <f>'9-22'!G11+E11</f>
        <v>340</v>
      </c>
      <c r="E11" s="15"/>
      <c r="F11" s="15">
        <v>10</v>
      </c>
      <c r="G11" s="15">
        <f>D11-F11</f>
        <v>330</v>
      </c>
      <c r="H11" s="29" t="s">
        <v>17</v>
      </c>
      <c r="I11" s="12"/>
      <c r="K11" s="11">
        <v>7</v>
      </c>
      <c r="L11" s="10"/>
      <c r="M11" s="10"/>
      <c r="N11" s="10"/>
      <c r="O11" s="10"/>
      <c r="P11" s="10"/>
      <c r="Q11" s="10"/>
      <c r="R11" s="10">
        <v>3</v>
      </c>
      <c r="S11" s="10"/>
      <c r="T11" s="10"/>
      <c r="U11" s="10"/>
      <c r="V11" s="9"/>
    </row>
    <row r="12" spans="1:25" ht="22.5" customHeight="1" x14ac:dyDescent="0.25">
      <c r="A12" s="17">
        <v>10</v>
      </c>
      <c r="B12" s="16" t="s">
        <v>7</v>
      </c>
      <c r="C12" s="16" t="s">
        <v>8</v>
      </c>
      <c r="D12" s="15">
        <f>'9-22'!G12+E12</f>
        <v>490</v>
      </c>
      <c r="E12" s="15"/>
      <c r="F12" s="15">
        <f t="shared" si="0"/>
        <v>0</v>
      </c>
      <c r="G12" s="15">
        <f t="shared" si="1"/>
        <v>490</v>
      </c>
      <c r="H12" s="29"/>
      <c r="I12" s="12"/>
      <c r="K12" s="1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9"/>
    </row>
    <row r="13" spans="1:25" ht="22.5" customHeight="1" x14ac:dyDescent="0.25">
      <c r="A13" s="17">
        <v>11</v>
      </c>
      <c r="B13" s="16" t="s">
        <v>7</v>
      </c>
      <c r="C13" s="16" t="s">
        <v>2</v>
      </c>
      <c r="D13" s="15">
        <f>'9-22'!G13+E13</f>
        <v>480</v>
      </c>
      <c r="E13" s="15"/>
      <c r="F13" s="15">
        <v>10</v>
      </c>
      <c r="G13" s="15">
        <f t="shared" si="1"/>
        <v>470</v>
      </c>
      <c r="H13" s="29" t="s">
        <v>17</v>
      </c>
      <c r="I13" s="12"/>
      <c r="K13" s="11">
        <v>3</v>
      </c>
      <c r="L13" s="10"/>
      <c r="M13" s="10"/>
      <c r="N13" s="10">
        <v>2</v>
      </c>
      <c r="O13" s="10"/>
      <c r="P13" s="10"/>
      <c r="Q13" s="10">
        <v>3</v>
      </c>
      <c r="R13" s="10"/>
      <c r="S13" s="10"/>
      <c r="T13" s="10"/>
      <c r="U13" s="10"/>
      <c r="V13" s="9">
        <v>2</v>
      </c>
    </row>
    <row r="14" spans="1:25" ht="22.5" customHeight="1" x14ac:dyDescent="0.25">
      <c r="A14" s="17">
        <v>12</v>
      </c>
      <c r="B14" s="16" t="s">
        <v>6</v>
      </c>
      <c r="C14" s="16" t="s">
        <v>2</v>
      </c>
      <c r="D14" s="15">
        <f>'9-22'!G14+E14</f>
        <v>500</v>
      </c>
      <c r="E14" s="15"/>
      <c r="F14" s="15">
        <f t="shared" si="0"/>
        <v>0</v>
      </c>
      <c r="G14" s="15">
        <f t="shared" si="1"/>
        <v>500</v>
      </c>
      <c r="H14" s="29"/>
      <c r="I14" s="12"/>
      <c r="K14" s="1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9"/>
    </row>
    <row r="15" spans="1:25" ht="22.5" customHeight="1" x14ac:dyDescent="0.25">
      <c r="A15" s="17">
        <v>13</v>
      </c>
      <c r="B15" s="16" t="s">
        <v>3</v>
      </c>
      <c r="C15" s="16" t="s">
        <v>2</v>
      </c>
      <c r="D15" s="15">
        <f>'9-22'!G15+E15</f>
        <v>590</v>
      </c>
      <c r="E15" s="15"/>
      <c r="F15" s="15">
        <f t="shared" si="0"/>
        <v>0</v>
      </c>
      <c r="G15" s="15">
        <f t="shared" si="1"/>
        <v>590</v>
      </c>
      <c r="H15" s="29"/>
      <c r="I15" s="12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"/>
    </row>
    <row r="16" spans="1:25" ht="22.5" customHeight="1" x14ac:dyDescent="0.25">
      <c r="A16" s="17">
        <v>14</v>
      </c>
      <c r="B16" s="16" t="s">
        <v>5</v>
      </c>
      <c r="C16" s="16" t="s">
        <v>4</v>
      </c>
      <c r="D16" s="15">
        <f>'9-22'!G16+E16</f>
        <v>40</v>
      </c>
      <c r="E16" s="15"/>
      <c r="F16" s="15">
        <f t="shared" si="0"/>
        <v>0</v>
      </c>
      <c r="G16" s="15">
        <f t="shared" si="1"/>
        <v>40</v>
      </c>
      <c r="H16" s="29"/>
      <c r="I16" s="12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/>
    </row>
    <row r="17" spans="1:22" ht="22.5" customHeight="1" x14ac:dyDescent="0.25">
      <c r="A17" s="17">
        <v>15</v>
      </c>
      <c r="B17" s="16" t="s">
        <v>3</v>
      </c>
      <c r="C17" s="16" t="s">
        <v>0</v>
      </c>
      <c r="D17" s="15">
        <f>'9-22'!G17+E17</f>
        <v>290</v>
      </c>
      <c r="E17" s="15"/>
      <c r="F17" s="15">
        <f t="shared" si="0"/>
        <v>0</v>
      </c>
      <c r="G17" s="15">
        <f t="shared" si="1"/>
        <v>290</v>
      </c>
      <c r="H17" s="29"/>
      <c r="I17" s="12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"/>
    </row>
    <row r="18" spans="1:22" ht="22.5" customHeight="1" x14ac:dyDescent="0.25">
      <c r="A18" s="8">
        <v>16</v>
      </c>
      <c r="B18" s="7" t="s">
        <v>1</v>
      </c>
      <c r="C18" s="7" t="s">
        <v>2</v>
      </c>
      <c r="D18" s="15">
        <f>'9-22'!G18+E18</f>
        <v>500</v>
      </c>
      <c r="E18" s="15"/>
      <c r="F18" s="15">
        <f t="shared" si="0"/>
        <v>0</v>
      </c>
      <c r="G18" s="15">
        <f t="shared" si="1"/>
        <v>500</v>
      </c>
      <c r="H18" s="29"/>
      <c r="I18" s="12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9"/>
    </row>
    <row r="19" spans="1:22" ht="22.5" customHeight="1" x14ac:dyDescent="0.25">
      <c r="A19" s="8">
        <v>17</v>
      </c>
      <c r="B19" s="16" t="s">
        <v>1</v>
      </c>
      <c r="C19" s="16" t="s">
        <v>0</v>
      </c>
      <c r="D19" s="15">
        <f>'9-22'!G19+E19</f>
        <v>240</v>
      </c>
      <c r="E19" s="15"/>
      <c r="F19" s="15">
        <f t="shared" si="0"/>
        <v>0</v>
      </c>
      <c r="G19" s="15">
        <f t="shared" si="1"/>
        <v>240</v>
      </c>
      <c r="H19" s="29"/>
      <c r="I19" s="12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9"/>
    </row>
    <row r="20" spans="1:22" x14ac:dyDescent="0.25">
      <c r="A20" s="17"/>
      <c r="B20" s="16"/>
      <c r="C20" s="16"/>
      <c r="D20" s="15"/>
      <c r="E20" s="15"/>
      <c r="F20" s="15"/>
      <c r="G20" s="15"/>
      <c r="H20" s="29"/>
      <c r="I20" s="12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9"/>
    </row>
    <row r="21" spans="1:22" x14ac:dyDescent="0.25">
      <c r="A21" s="8"/>
      <c r="B21" s="7"/>
      <c r="C21" s="7"/>
      <c r="D21" s="6"/>
      <c r="E21" s="6"/>
      <c r="F21" s="6"/>
      <c r="G21" s="6"/>
      <c r="H21" s="30"/>
      <c r="I21" s="12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/>
    </row>
    <row r="22" spans="1:22" ht="15.75" thickBot="1" x14ac:dyDescent="0.3">
      <c r="A22" s="8"/>
      <c r="B22" s="7"/>
      <c r="C22" s="7"/>
      <c r="D22" s="6">
        <f>SUBTOTAL(9,D3:D21)</f>
        <v>7666</v>
      </c>
      <c r="E22" s="6">
        <f>SUBTOTAL(9,E3:E21)</f>
        <v>0</v>
      </c>
      <c r="F22" s="6">
        <f>SUBTOTAL(9,F3:F21)</f>
        <v>30</v>
      </c>
      <c r="G22" s="6">
        <f>SUBTOTAL(9,G3:G21)</f>
        <v>7636</v>
      </c>
      <c r="H22" s="5"/>
      <c r="I22" s="4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</row>
  </sheetData>
  <mergeCells count="2">
    <mergeCell ref="C1:G1"/>
    <mergeCell ref="K1:V1"/>
  </mergeCells>
  <conditionalFormatting sqref="D3:D19">
    <cfRule type="cellIs" dxfId="95" priority="1" stopIfTrue="1" operator="lessThan">
      <formula>51</formula>
    </cfRule>
  </conditionalFormatting>
  <dataValidations count="1">
    <dataValidation type="list" allowBlank="1" showInputMessage="1" showErrorMessage="1" sqref="H3:H21">
      <formula1>$Y$3:$Y$10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>
      <pane xSplit="9" ySplit="2" topLeftCell="J12" activePane="bottomRight" state="frozen"/>
      <selection pane="topRight" activeCell="I1" sqref="I1"/>
      <selection pane="bottomLeft" activeCell="A3" sqref="A3"/>
      <selection pane="bottomRight" activeCell="D21" sqref="D21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18.5703125" customWidth="1"/>
    <col min="6" max="6" width="26.140625" bestFit="1" customWidth="1"/>
    <col min="7" max="7" width="17.85546875" bestFit="1" customWidth="1"/>
    <col min="8" max="8" width="24.28515625" bestFit="1" customWidth="1"/>
    <col min="9" max="9" width="4.5703125" customWidth="1"/>
    <col min="10" max="10" width="6" customWidth="1"/>
    <col min="11" max="22" width="6.85546875" customWidth="1"/>
    <col min="25" max="25" width="29.7109375" bestFit="1" customWidth="1"/>
  </cols>
  <sheetData>
    <row r="1" spans="1:25" ht="48" customHeight="1" thickBot="1" x14ac:dyDescent="0.3">
      <c r="A1" s="28"/>
      <c r="B1" s="27"/>
      <c r="C1" s="31" t="s">
        <v>38</v>
      </c>
      <c r="D1" s="31"/>
      <c r="E1" s="31"/>
      <c r="F1" s="31"/>
      <c r="G1" s="31"/>
      <c r="H1" s="26" t="s">
        <v>44</v>
      </c>
      <c r="I1" s="25"/>
      <c r="K1" s="32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5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51</v>
      </c>
      <c r="E2" s="23" t="s">
        <v>53</v>
      </c>
      <c r="F2" s="23" t="s">
        <v>32</v>
      </c>
      <c r="G2" s="23" t="s">
        <v>52</v>
      </c>
      <c r="H2" s="22" t="s">
        <v>30</v>
      </c>
      <c r="I2" s="20"/>
      <c r="K2" s="21" t="s">
        <v>29</v>
      </c>
      <c r="L2" s="20" t="s">
        <v>28</v>
      </c>
      <c r="M2" s="20" t="s">
        <v>27</v>
      </c>
      <c r="N2" s="20" t="s">
        <v>26</v>
      </c>
      <c r="O2" s="20" t="s">
        <v>25</v>
      </c>
      <c r="P2" s="20" t="s">
        <v>24</v>
      </c>
      <c r="Q2" s="20" t="s">
        <v>23</v>
      </c>
      <c r="R2" s="20" t="s">
        <v>22</v>
      </c>
      <c r="S2" s="20" t="s">
        <v>21</v>
      </c>
      <c r="T2" s="20" t="s">
        <v>20</v>
      </c>
      <c r="U2" s="20" t="s">
        <v>19</v>
      </c>
      <c r="V2" s="19" t="s">
        <v>18</v>
      </c>
    </row>
    <row r="3" spans="1:25" ht="22.5" customHeight="1" x14ac:dyDescent="0.25">
      <c r="A3" s="17">
        <v>1</v>
      </c>
      <c r="B3" s="16" t="s">
        <v>5</v>
      </c>
      <c r="C3" s="16" t="s">
        <v>2</v>
      </c>
      <c r="D3" s="15">
        <f>'9-23'!G3+E3</f>
        <v>580</v>
      </c>
      <c r="E3" s="15"/>
      <c r="F3" s="15">
        <v>10</v>
      </c>
      <c r="G3" s="15">
        <f t="shared" ref="G3:G19" si="0">D3-F3</f>
        <v>570</v>
      </c>
      <c r="H3" s="29" t="s">
        <v>17</v>
      </c>
      <c r="I3" s="12"/>
      <c r="K3" s="11">
        <v>3</v>
      </c>
      <c r="L3" s="10">
        <v>1</v>
      </c>
      <c r="M3" s="10">
        <v>1</v>
      </c>
      <c r="N3" s="10"/>
      <c r="O3" s="10"/>
      <c r="P3" s="10">
        <v>1</v>
      </c>
      <c r="Q3" s="10"/>
      <c r="R3" s="10"/>
      <c r="S3" s="10"/>
      <c r="T3" s="10"/>
      <c r="U3" s="10">
        <v>4</v>
      </c>
      <c r="V3" s="9"/>
      <c r="Y3" t="s">
        <v>17</v>
      </c>
    </row>
    <row r="4" spans="1:25" ht="22.5" customHeight="1" x14ac:dyDescent="0.25">
      <c r="A4" s="17">
        <v>2</v>
      </c>
      <c r="B4" s="16" t="s">
        <v>5</v>
      </c>
      <c r="C4" s="16" t="s">
        <v>0</v>
      </c>
      <c r="D4" s="15">
        <f>'9-23'!G4+E4</f>
        <v>830</v>
      </c>
      <c r="E4" s="15"/>
      <c r="F4" s="15">
        <f t="shared" ref="F4:F19" si="1">SUM(K4:V4)</f>
        <v>10</v>
      </c>
      <c r="G4" s="15">
        <f t="shared" si="0"/>
        <v>820</v>
      </c>
      <c r="H4" s="29" t="s">
        <v>17</v>
      </c>
      <c r="I4" s="12"/>
      <c r="K4" s="11">
        <v>4</v>
      </c>
      <c r="L4" s="10"/>
      <c r="M4" s="10"/>
      <c r="N4" s="10"/>
      <c r="O4" s="10"/>
      <c r="P4" s="10"/>
      <c r="Q4" s="10">
        <v>1</v>
      </c>
      <c r="R4" s="10"/>
      <c r="S4" s="10">
        <v>2</v>
      </c>
      <c r="T4" s="10">
        <v>2</v>
      </c>
      <c r="U4" s="10">
        <v>1</v>
      </c>
      <c r="V4" s="9"/>
      <c r="Y4" t="s">
        <v>16</v>
      </c>
    </row>
    <row r="5" spans="1:25" ht="22.5" customHeight="1" x14ac:dyDescent="0.25">
      <c r="A5" s="17">
        <v>3</v>
      </c>
      <c r="B5" s="16" t="s">
        <v>5</v>
      </c>
      <c r="C5" s="16" t="s">
        <v>9</v>
      </c>
      <c r="D5" s="15">
        <f>'9-23'!G5+E5</f>
        <v>256</v>
      </c>
      <c r="E5" s="15"/>
      <c r="F5" s="15">
        <f t="shared" si="1"/>
        <v>10</v>
      </c>
      <c r="G5" s="15">
        <v>240</v>
      </c>
      <c r="H5" s="29" t="s">
        <v>15</v>
      </c>
      <c r="I5" s="12"/>
      <c r="K5" s="11">
        <v>10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Y5" t="s">
        <v>15</v>
      </c>
    </row>
    <row r="6" spans="1:25" ht="22.5" customHeight="1" x14ac:dyDescent="0.25">
      <c r="A6" s="17">
        <v>4</v>
      </c>
      <c r="B6" s="16" t="s">
        <v>5</v>
      </c>
      <c r="C6" s="16" t="s">
        <v>14</v>
      </c>
      <c r="D6" s="15">
        <f>'9-23'!G6+E6</f>
        <v>60</v>
      </c>
      <c r="E6" s="15"/>
      <c r="F6" s="15">
        <f t="shared" si="1"/>
        <v>0</v>
      </c>
      <c r="G6" s="15">
        <f t="shared" si="0"/>
        <v>60</v>
      </c>
      <c r="H6" s="29"/>
      <c r="I6" s="1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9"/>
      <c r="Y6" t="s">
        <v>13</v>
      </c>
    </row>
    <row r="7" spans="1:25" ht="22.5" customHeight="1" x14ac:dyDescent="0.25">
      <c r="A7" s="17">
        <v>5</v>
      </c>
      <c r="B7" s="16" t="s">
        <v>5</v>
      </c>
      <c r="C7" s="16" t="s">
        <v>12</v>
      </c>
      <c r="D7" s="15">
        <f>'9-23'!G7+E7</f>
        <v>500</v>
      </c>
      <c r="E7" s="15"/>
      <c r="F7" s="15">
        <f t="shared" si="1"/>
        <v>0</v>
      </c>
      <c r="G7" s="15">
        <f t="shared" si="0"/>
        <v>500</v>
      </c>
      <c r="H7" s="29"/>
      <c r="I7" s="12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Y7" t="s">
        <v>11</v>
      </c>
    </row>
    <row r="8" spans="1:25" ht="22.5" customHeight="1" x14ac:dyDescent="0.25">
      <c r="A8" s="17">
        <v>6</v>
      </c>
      <c r="B8" s="16" t="s">
        <v>10</v>
      </c>
      <c r="C8" s="16" t="s">
        <v>2</v>
      </c>
      <c r="D8" s="15">
        <f>'9-23'!G8+E8</f>
        <v>840</v>
      </c>
      <c r="E8" s="15"/>
      <c r="F8" s="15">
        <f t="shared" si="1"/>
        <v>0</v>
      </c>
      <c r="G8" s="15">
        <f t="shared" si="0"/>
        <v>840</v>
      </c>
      <c r="H8" s="29"/>
      <c r="I8" s="12"/>
      <c r="K8" s="11"/>
      <c r="L8" s="10"/>
      <c r="M8" s="10"/>
      <c r="N8" s="10"/>
      <c r="O8" s="10"/>
      <c r="P8" s="10"/>
      <c r="Q8" s="10"/>
      <c r="R8" s="10"/>
      <c r="S8" s="10"/>
      <c r="T8" s="10"/>
      <c r="U8" s="10"/>
      <c r="V8" s="9"/>
    </row>
    <row r="9" spans="1:25" ht="22.5" customHeight="1" x14ac:dyDescent="0.25">
      <c r="A9" s="17">
        <v>7</v>
      </c>
      <c r="B9" s="16" t="s">
        <v>10</v>
      </c>
      <c r="C9" s="16" t="s">
        <v>0</v>
      </c>
      <c r="D9" s="15">
        <f>'9-23'!G9+E9</f>
        <v>860</v>
      </c>
      <c r="E9" s="15"/>
      <c r="F9" s="15">
        <f t="shared" si="1"/>
        <v>30</v>
      </c>
      <c r="G9" s="15">
        <f t="shared" si="0"/>
        <v>830</v>
      </c>
      <c r="H9" s="29" t="s">
        <v>17</v>
      </c>
      <c r="I9" s="12"/>
      <c r="K9" s="11">
        <v>8</v>
      </c>
      <c r="L9" s="10"/>
      <c r="M9" s="10"/>
      <c r="N9" s="10">
        <v>2</v>
      </c>
      <c r="O9" s="10"/>
      <c r="P9" s="10">
        <v>2</v>
      </c>
      <c r="Q9" s="10">
        <v>4</v>
      </c>
      <c r="R9" s="10">
        <v>10</v>
      </c>
      <c r="S9" s="10">
        <v>4</v>
      </c>
      <c r="T9" s="10"/>
      <c r="U9" s="10"/>
      <c r="V9" s="9"/>
    </row>
    <row r="10" spans="1:25" ht="22.5" customHeight="1" x14ac:dyDescent="0.25">
      <c r="A10" s="17">
        <v>8</v>
      </c>
      <c r="B10" s="16" t="s">
        <v>10</v>
      </c>
      <c r="C10" s="16" t="s">
        <v>9</v>
      </c>
      <c r="D10" s="15">
        <f>'9-23'!G10+E10</f>
        <v>260</v>
      </c>
      <c r="E10" s="15"/>
      <c r="F10" s="15">
        <f t="shared" si="1"/>
        <v>20</v>
      </c>
      <c r="G10" s="15">
        <f t="shared" si="0"/>
        <v>240</v>
      </c>
      <c r="H10" s="29" t="s">
        <v>17</v>
      </c>
      <c r="I10" s="12"/>
      <c r="K10" s="11">
        <v>16</v>
      </c>
      <c r="L10" s="10"/>
      <c r="M10" s="10"/>
      <c r="N10" s="10"/>
      <c r="O10" s="10"/>
      <c r="P10" s="10"/>
      <c r="Q10" s="10"/>
      <c r="R10" s="10">
        <v>4</v>
      </c>
      <c r="S10" s="10"/>
      <c r="T10" s="10"/>
      <c r="U10" s="10"/>
      <c r="V10" s="9"/>
    </row>
    <row r="11" spans="1:25" ht="22.5" customHeight="1" x14ac:dyDescent="0.25">
      <c r="A11" s="17">
        <v>9</v>
      </c>
      <c r="B11" s="16" t="s">
        <v>7</v>
      </c>
      <c r="C11" s="16" t="s">
        <v>0</v>
      </c>
      <c r="D11" s="15">
        <f>'9-23'!G11+E11</f>
        <v>330</v>
      </c>
      <c r="E11" s="15"/>
      <c r="F11" s="15">
        <f t="shared" si="1"/>
        <v>20</v>
      </c>
      <c r="G11" s="15">
        <f t="shared" si="0"/>
        <v>310</v>
      </c>
      <c r="H11" s="29" t="s">
        <v>15</v>
      </c>
      <c r="I11" s="12"/>
      <c r="K11" s="11">
        <v>10</v>
      </c>
      <c r="L11" s="10"/>
      <c r="M11" s="10"/>
      <c r="N11" s="10"/>
      <c r="O11" s="10"/>
      <c r="P11" s="10"/>
      <c r="Q11" s="10"/>
      <c r="R11" s="10">
        <v>10</v>
      </c>
      <c r="S11" s="10"/>
      <c r="T11" s="10"/>
      <c r="U11" s="10"/>
      <c r="V11" s="9"/>
    </row>
    <row r="12" spans="1:25" ht="22.5" customHeight="1" x14ac:dyDescent="0.25">
      <c r="A12" s="17">
        <v>10</v>
      </c>
      <c r="B12" s="16" t="s">
        <v>7</v>
      </c>
      <c r="C12" s="16" t="s">
        <v>8</v>
      </c>
      <c r="D12" s="15">
        <f>'9-23'!G12+E12</f>
        <v>490</v>
      </c>
      <c r="E12" s="15"/>
      <c r="F12" s="15">
        <f t="shared" si="1"/>
        <v>0</v>
      </c>
      <c r="G12" s="15">
        <f t="shared" si="0"/>
        <v>490</v>
      </c>
      <c r="H12" s="29"/>
      <c r="I12" s="12"/>
      <c r="K12" s="1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9"/>
    </row>
    <row r="13" spans="1:25" ht="22.5" customHeight="1" x14ac:dyDescent="0.25">
      <c r="A13" s="17">
        <v>11</v>
      </c>
      <c r="B13" s="16" t="s">
        <v>7</v>
      </c>
      <c r="C13" s="16" t="s">
        <v>2</v>
      </c>
      <c r="D13" s="15">
        <f>'9-23'!G13+E13</f>
        <v>470</v>
      </c>
      <c r="E13" s="15"/>
      <c r="F13" s="15">
        <f t="shared" si="1"/>
        <v>0</v>
      </c>
      <c r="G13" s="15">
        <f t="shared" si="0"/>
        <v>470</v>
      </c>
      <c r="H13" s="29"/>
      <c r="I13" s="12"/>
      <c r="K13" s="11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9"/>
    </row>
    <row r="14" spans="1:25" ht="22.5" customHeight="1" x14ac:dyDescent="0.25">
      <c r="A14" s="17">
        <v>12</v>
      </c>
      <c r="B14" s="16" t="s">
        <v>6</v>
      </c>
      <c r="C14" s="16" t="s">
        <v>2</v>
      </c>
      <c r="D14" s="15">
        <f>'9-23'!G14+E14</f>
        <v>500</v>
      </c>
      <c r="E14" s="15"/>
      <c r="F14" s="15">
        <f t="shared" si="1"/>
        <v>0</v>
      </c>
      <c r="G14" s="15">
        <f t="shared" si="0"/>
        <v>500</v>
      </c>
      <c r="H14" s="29"/>
      <c r="I14" s="12"/>
      <c r="K14" s="1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9"/>
    </row>
    <row r="15" spans="1:25" ht="22.5" customHeight="1" x14ac:dyDescent="0.25">
      <c r="A15" s="17">
        <v>13</v>
      </c>
      <c r="B15" s="16" t="s">
        <v>3</v>
      </c>
      <c r="C15" s="16" t="s">
        <v>2</v>
      </c>
      <c r="D15" s="15">
        <f>'9-23'!G15+E15</f>
        <v>590</v>
      </c>
      <c r="E15" s="15"/>
      <c r="F15" s="15">
        <f t="shared" si="1"/>
        <v>10</v>
      </c>
      <c r="G15" s="15">
        <f t="shared" si="0"/>
        <v>580</v>
      </c>
      <c r="H15" s="29" t="s">
        <v>17</v>
      </c>
      <c r="I15" s="12"/>
      <c r="K15" s="11"/>
      <c r="L15" s="10"/>
      <c r="M15" s="10">
        <v>6</v>
      </c>
      <c r="N15" s="10"/>
      <c r="O15" s="10"/>
      <c r="P15" s="10">
        <v>2</v>
      </c>
      <c r="Q15" s="10">
        <v>2</v>
      </c>
      <c r="R15" s="10"/>
      <c r="S15" s="10"/>
      <c r="T15" s="10"/>
      <c r="U15" s="10"/>
      <c r="V15" s="9"/>
    </row>
    <row r="16" spans="1:25" ht="22.5" customHeight="1" x14ac:dyDescent="0.25">
      <c r="A16" s="17">
        <v>14</v>
      </c>
      <c r="B16" s="16" t="s">
        <v>5</v>
      </c>
      <c r="C16" s="16" t="s">
        <v>4</v>
      </c>
      <c r="D16" s="15">
        <f>'9-23'!G16+E16</f>
        <v>40</v>
      </c>
      <c r="E16" s="15"/>
      <c r="F16" s="15">
        <f t="shared" si="1"/>
        <v>0</v>
      </c>
      <c r="G16" s="15">
        <f t="shared" si="0"/>
        <v>40</v>
      </c>
      <c r="H16" s="29"/>
      <c r="I16" s="12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/>
    </row>
    <row r="17" spans="1:22" ht="22.5" customHeight="1" x14ac:dyDescent="0.25">
      <c r="A17" s="17">
        <v>15</v>
      </c>
      <c r="B17" s="16" t="s">
        <v>3</v>
      </c>
      <c r="C17" s="16" t="s">
        <v>0</v>
      </c>
      <c r="D17" s="15">
        <f>'9-23'!G17+E17</f>
        <v>290</v>
      </c>
      <c r="E17" s="15"/>
      <c r="F17" s="15">
        <f t="shared" si="1"/>
        <v>0</v>
      </c>
      <c r="G17" s="15">
        <f t="shared" si="0"/>
        <v>290</v>
      </c>
      <c r="H17" s="29"/>
      <c r="I17" s="12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"/>
    </row>
    <row r="18" spans="1:22" ht="22.5" customHeight="1" x14ac:dyDescent="0.25">
      <c r="A18" s="8">
        <v>16</v>
      </c>
      <c r="B18" s="7" t="s">
        <v>1</v>
      </c>
      <c r="C18" s="7" t="s">
        <v>2</v>
      </c>
      <c r="D18" s="15">
        <f>'9-23'!G18+E18</f>
        <v>500</v>
      </c>
      <c r="E18" s="15"/>
      <c r="F18" s="15">
        <f t="shared" si="1"/>
        <v>0</v>
      </c>
      <c r="G18" s="15">
        <f t="shared" si="0"/>
        <v>500</v>
      </c>
      <c r="H18" s="29"/>
      <c r="I18" s="12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9"/>
    </row>
    <row r="19" spans="1:22" ht="22.5" customHeight="1" x14ac:dyDescent="0.25">
      <c r="A19" s="8">
        <v>17</v>
      </c>
      <c r="B19" s="16" t="s">
        <v>1</v>
      </c>
      <c r="C19" s="16" t="s">
        <v>0</v>
      </c>
      <c r="D19" s="15">
        <f>'9-23'!G19+E19</f>
        <v>240</v>
      </c>
      <c r="E19" s="15"/>
      <c r="F19" s="15">
        <f t="shared" si="1"/>
        <v>0</v>
      </c>
      <c r="G19" s="15">
        <f t="shared" si="0"/>
        <v>240</v>
      </c>
      <c r="H19" s="29"/>
      <c r="I19" s="12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9"/>
    </row>
    <row r="20" spans="1:22" x14ac:dyDescent="0.25">
      <c r="A20" s="17"/>
      <c r="B20" s="16"/>
      <c r="C20" s="16"/>
      <c r="D20" s="15"/>
      <c r="E20" s="15"/>
      <c r="F20" s="15"/>
      <c r="G20" s="15"/>
      <c r="H20" s="29"/>
      <c r="I20" s="12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9"/>
    </row>
    <row r="21" spans="1:22" x14ac:dyDescent="0.25">
      <c r="A21" s="8"/>
      <c r="B21" s="7"/>
      <c r="C21" s="7"/>
      <c r="D21" s="6"/>
      <c r="E21" s="6"/>
      <c r="F21" s="6"/>
      <c r="G21" s="6"/>
      <c r="H21" s="30"/>
      <c r="I21" s="12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/>
    </row>
    <row r="22" spans="1:22" ht="15.75" thickBot="1" x14ac:dyDescent="0.3">
      <c r="A22" s="8"/>
      <c r="B22" s="7"/>
      <c r="C22" s="7"/>
      <c r="D22" s="6">
        <f>SUBTOTAL(9,D3:D21)</f>
        <v>7636</v>
      </c>
      <c r="E22" s="6">
        <f>SUBTOTAL(9,E3:E21)</f>
        <v>0</v>
      </c>
      <c r="F22" s="6">
        <f>SUBTOTAL(9,F3:F21)</f>
        <v>110</v>
      </c>
      <c r="G22" s="6">
        <f>SUBTOTAL(9,G3:G21)</f>
        <v>7520</v>
      </c>
      <c r="H22" s="5"/>
      <c r="I22" s="4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</row>
  </sheetData>
  <mergeCells count="2">
    <mergeCell ref="C1:G1"/>
    <mergeCell ref="K1:V1"/>
  </mergeCells>
  <conditionalFormatting sqref="D3:D19">
    <cfRule type="cellIs" dxfId="71" priority="1" stopIfTrue="1" operator="lessThan">
      <formula>51</formula>
    </cfRule>
  </conditionalFormatting>
  <dataValidations count="1">
    <dataValidation type="list" allowBlank="1" showInputMessage="1" showErrorMessage="1" sqref="H3:H21">
      <formula1>$Y$3:$Y$10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>
      <pane xSplit="9" ySplit="2" topLeftCell="J18" activePane="bottomRight" state="frozen"/>
      <selection pane="topRight" activeCell="I1" sqref="I1"/>
      <selection pane="bottomLeft" activeCell="A3" sqref="A3"/>
      <selection pane="bottomRight" activeCell="D9" sqref="D9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18.5703125" customWidth="1"/>
    <col min="6" max="6" width="26.140625" bestFit="1" customWidth="1"/>
    <col min="7" max="7" width="17.85546875" bestFit="1" customWidth="1"/>
    <col min="8" max="8" width="24.28515625" bestFit="1" customWidth="1"/>
    <col min="9" max="9" width="4.5703125" customWidth="1"/>
    <col min="10" max="10" width="6" customWidth="1"/>
    <col min="11" max="22" width="6.85546875" customWidth="1"/>
    <col min="25" max="25" width="29.7109375" bestFit="1" customWidth="1"/>
  </cols>
  <sheetData>
    <row r="1" spans="1:25" ht="48" customHeight="1" thickBot="1" x14ac:dyDescent="0.3">
      <c r="A1" s="28"/>
      <c r="B1" s="27"/>
      <c r="C1" s="31" t="s">
        <v>38</v>
      </c>
      <c r="D1" s="31"/>
      <c r="E1" s="31"/>
      <c r="F1" s="31"/>
      <c r="G1" s="31"/>
      <c r="H1" s="26" t="s">
        <v>54</v>
      </c>
      <c r="I1" s="25"/>
      <c r="K1" s="32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5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51</v>
      </c>
      <c r="E2" s="23" t="s">
        <v>53</v>
      </c>
      <c r="F2" s="23" t="s">
        <v>32</v>
      </c>
      <c r="G2" s="23" t="s">
        <v>52</v>
      </c>
      <c r="H2" s="22" t="s">
        <v>30</v>
      </c>
      <c r="I2" s="20"/>
      <c r="K2" s="21" t="s">
        <v>29</v>
      </c>
      <c r="L2" s="20" t="s">
        <v>28</v>
      </c>
      <c r="M2" s="20" t="s">
        <v>27</v>
      </c>
      <c r="N2" s="20" t="s">
        <v>26</v>
      </c>
      <c r="O2" s="20" t="s">
        <v>25</v>
      </c>
      <c r="P2" s="20" t="s">
        <v>24</v>
      </c>
      <c r="Q2" s="20" t="s">
        <v>23</v>
      </c>
      <c r="R2" s="20" t="s">
        <v>22</v>
      </c>
      <c r="S2" s="20" t="s">
        <v>21</v>
      </c>
      <c r="T2" s="20" t="s">
        <v>20</v>
      </c>
      <c r="U2" s="20" t="s">
        <v>19</v>
      </c>
      <c r="V2" s="19" t="s">
        <v>18</v>
      </c>
    </row>
    <row r="3" spans="1:25" ht="22.5" customHeight="1" x14ac:dyDescent="0.25">
      <c r="A3" s="17">
        <v>1</v>
      </c>
      <c r="B3" s="16" t="s">
        <v>5</v>
      </c>
      <c r="C3" s="16" t="s">
        <v>2</v>
      </c>
      <c r="D3" s="15">
        <f>'9-24'!G3+E3</f>
        <v>570</v>
      </c>
      <c r="E3" s="15"/>
      <c r="F3" s="15">
        <v>10</v>
      </c>
      <c r="G3" s="15">
        <v>560</v>
      </c>
      <c r="H3" s="29" t="s">
        <v>17</v>
      </c>
      <c r="I3" s="12"/>
      <c r="K3" s="11">
        <v>3</v>
      </c>
      <c r="L3" s="10"/>
      <c r="M3" s="10"/>
      <c r="N3" s="10">
        <v>1</v>
      </c>
      <c r="O3" s="10"/>
      <c r="P3" s="10">
        <v>1</v>
      </c>
      <c r="Q3" s="10">
        <v>2</v>
      </c>
      <c r="R3" s="10">
        <v>1</v>
      </c>
      <c r="S3" s="10"/>
      <c r="T3" s="10">
        <v>2</v>
      </c>
      <c r="U3" s="10"/>
      <c r="V3" s="9"/>
      <c r="Y3" t="s">
        <v>17</v>
      </c>
    </row>
    <row r="4" spans="1:25" ht="22.5" customHeight="1" x14ac:dyDescent="0.25">
      <c r="A4" s="17">
        <v>2</v>
      </c>
      <c r="B4" s="16" t="s">
        <v>5</v>
      </c>
      <c r="C4" s="16" t="s">
        <v>0</v>
      </c>
      <c r="D4" s="15">
        <f>'9-24'!G4+E4</f>
        <v>820</v>
      </c>
      <c r="E4" s="15"/>
      <c r="F4" s="15">
        <v>20</v>
      </c>
      <c r="G4" s="15">
        <f t="shared" ref="G4:G19" si="0">D4-F4</f>
        <v>800</v>
      </c>
      <c r="H4" s="29" t="s">
        <v>17</v>
      </c>
      <c r="I4" s="12"/>
      <c r="K4" s="11">
        <v>2</v>
      </c>
      <c r="L4" s="10">
        <v>3</v>
      </c>
      <c r="M4" s="10">
        <v>4</v>
      </c>
      <c r="N4" s="10">
        <v>4</v>
      </c>
      <c r="O4" s="10">
        <v>2</v>
      </c>
      <c r="P4" s="10">
        <v>2</v>
      </c>
      <c r="Q4" s="10">
        <v>1</v>
      </c>
      <c r="R4" s="10"/>
      <c r="S4" s="10">
        <v>2</v>
      </c>
      <c r="T4" s="10"/>
      <c r="U4" s="10"/>
      <c r="V4" s="9"/>
      <c r="Y4" t="s">
        <v>16</v>
      </c>
    </row>
    <row r="5" spans="1:25" ht="22.5" customHeight="1" x14ac:dyDescent="0.25">
      <c r="A5" s="17">
        <v>3</v>
      </c>
      <c r="B5" s="16" t="s">
        <v>5</v>
      </c>
      <c r="C5" s="16" t="s">
        <v>9</v>
      </c>
      <c r="D5" s="15">
        <f>'9-24'!G5+E5</f>
        <v>240</v>
      </c>
      <c r="E5" s="15"/>
      <c r="F5" s="15">
        <f t="shared" ref="F5:F19" si="1">SUM(K5:V5)</f>
        <v>0</v>
      </c>
      <c r="G5" s="15">
        <f t="shared" si="0"/>
        <v>240</v>
      </c>
      <c r="H5" s="29"/>
      <c r="I5" s="12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Y5" t="s">
        <v>15</v>
      </c>
    </row>
    <row r="6" spans="1:25" ht="22.5" customHeight="1" x14ac:dyDescent="0.25">
      <c r="A6" s="17">
        <v>4</v>
      </c>
      <c r="B6" s="16" t="s">
        <v>5</v>
      </c>
      <c r="C6" s="16" t="s">
        <v>14</v>
      </c>
      <c r="D6" s="15">
        <f>'9-24'!G6+E6</f>
        <v>60</v>
      </c>
      <c r="E6" s="15"/>
      <c r="F6" s="15">
        <f t="shared" si="1"/>
        <v>0</v>
      </c>
      <c r="G6" s="15">
        <f t="shared" si="0"/>
        <v>60</v>
      </c>
      <c r="H6" s="29"/>
      <c r="I6" s="1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9"/>
      <c r="Y6" t="s">
        <v>13</v>
      </c>
    </row>
    <row r="7" spans="1:25" ht="22.5" customHeight="1" x14ac:dyDescent="0.25">
      <c r="A7" s="17">
        <v>5</v>
      </c>
      <c r="B7" s="16" t="s">
        <v>5</v>
      </c>
      <c r="C7" s="16" t="s">
        <v>12</v>
      </c>
      <c r="D7" s="15">
        <f>'9-24'!G7+E7</f>
        <v>500</v>
      </c>
      <c r="E7" s="15"/>
      <c r="F7" s="15">
        <f t="shared" si="1"/>
        <v>0</v>
      </c>
      <c r="G7" s="15">
        <f t="shared" si="0"/>
        <v>500</v>
      </c>
      <c r="H7" s="29"/>
      <c r="I7" s="12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Y7" t="s">
        <v>11</v>
      </c>
    </row>
    <row r="8" spans="1:25" ht="22.5" customHeight="1" x14ac:dyDescent="0.25">
      <c r="A8" s="17">
        <v>6</v>
      </c>
      <c r="B8" s="16" t="s">
        <v>10</v>
      </c>
      <c r="C8" s="16" t="s">
        <v>2</v>
      </c>
      <c r="D8" s="15">
        <f>'9-24'!G8+E8</f>
        <v>840</v>
      </c>
      <c r="E8" s="15"/>
      <c r="F8" s="15">
        <v>10</v>
      </c>
      <c r="G8" s="15">
        <f t="shared" si="0"/>
        <v>830</v>
      </c>
      <c r="H8" s="29" t="s">
        <v>16</v>
      </c>
      <c r="I8" s="12"/>
      <c r="K8" s="11">
        <v>2</v>
      </c>
      <c r="L8" s="10"/>
      <c r="M8" s="10"/>
      <c r="N8" s="10"/>
      <c r="O8" s="10">
        <v>8</v>
      </c>
      <c r="P8" s="10"/>
      <c r="Q8" s="10"/>
      <c r="R8" s="10"/>
      <c r="S8" s="10"/>
      <c r="T8" s="10"/>
      <c r="U8" s="10"/>
      <c r="V8" s="9"/>
    </row>
    <row r="9" spans="1:25" ht="22.5" customHeight="1" x14ac:dyDescent="0.25">
      <c r="A9" s="17">
        <v>7</v>
      </c>
      <c r="B9" s="16" t="s">
        <v>10</v>
      </c>
      <c r="C9" s="16" t="s">
        <v>0</v>
      </c>
      <c r="D9" s="15">
        <f>'9-24'!G9+E9</f>
        <v>830</v>
      </c>
      <c r="E9" s="15"/>
      <c r="F9" s="15">
        <f t="shared" si="1"/>
        <v>0</v>
      </c>
      <c r="G9" s="15">
        <f t="shared" si="0"/>
        <v>830</v>
      </c>
      <c r="H9" s="29"/>
      <c r="I9" s="12"/>
      <c r="K9" s="11"/>
      <c r="L9" s="10"/>
      <c r="M9" s="10"/>
      <c r="N9" s="10"/>
      <c r="O9" s="10"/>
      <c r="P9" s="10"/>
      <c r="Q9" s="10"/>
      <c r="R9" s="10"/>
      <c r="S9" s="10"/>
      <c r="T9" s="10"/>
      <c r="U9" s="10"/>
      <c r="V9" s="9"/>
    </row>
    <row r="10" spans="1:25" ht="22.5" customHeight="1" x14ac:dyDescent="0.25">
      <c r="A10" s="17">
        <v>8</v>
      </c>
      <c r="B10" s="16" t="s">
        <v>10</v>
      </c>
      <c r="C10" s="16" t="s">
        <v>9</v>
      </c>
      <c r="D10" s="15">
        <f>'9-24'!G10+E10</f>
        <v>240</v>
      </c>
      <c r="E10" s="15"/>
      <c r="F10" s="15">
        <v>20</v>
      </c>
      <c r="G10" s="15">
        <v>220</v>
      </c>
      <c r="H10" s="29" t="s">
        <v>17</v>
      </c>
      <c r="I10" s="12"/>
      <c r="K10" s="11">
        <v>11</v>
      </c>
      <c r="L10" s="10"/>
      <c r="M10" s="10"/>
      <c r="N10" s="10">
        <v>4</v>
      </c>
      <c r="O10" s="10"/>
      <c r="P10" s="10"/>
      <c r="Q10" s="10"/>
      <c r="R10" s="10">
        <v>5</v>
      </c>
      <c r="S10" s="10"/>
      <c r="T10" s="10"/>
      <c r="U10" s="10"/>
      <c r="V10" s="9"/>
    </row>
    <row r="11" spans="1:25" ht="22.5" customHeight="1" x14ac:dyDescent="0.25">
      <c r="A11" s="17">
        <v>9</v>
      </c>
      <c r="B11" s="16" t="s">
        <v>7</v>
      </c>
      <c r="C11" s="16" t="s">
        <v>0</v>
      </c>
      <c r="D11" s="15">
        <f>'9-24'!G11+E11</f>
        <v>310</v>
      </c>
      <c r="E11" s="15"/>
      <c r="F11" s="15">
        <v>10</v>
      </c>
      <c r="G11" s="15">
        <f t="shared" si="0"/>
        <v>300</v>
      </c>
      <c r="H11" s="29" t="s">
        <v>17</v>
      </c>
      <c r="I11" s="12"/>
      <c r="K11" s="11">
        <v>5</v>
      </c>
      <c r="L11" s="10"/>
      <c r="M11" s="10"/>
      <c r="N11" s="10"/>
      <c r="O11" s="10"/>
      <c r="P11" s="10"/>
      <c r="Q11" s="10"/>
      <c r="R11" s="10">
        <v>5</v>
      </c>
      <c r="S11" s="10"/>
      <c r="T11" s="10"/>
      <c r="U11" s="10"/>
      <c r="V11" s="9"/>
    </row>
    <row r="12" spans="1:25" ht="22.5" customHeight="1" x14ac:dyDescent="0.25">
      <c r="A12" s="17">
        <v>10</v>
      </c>
      <c r="B12" s="16" t="s">
        <v>7</v>
      </c>
      <c r="C12" s="16" t="s">
        <v>8</v>
      </c>
      <c r="D12" s="15">
        <f>'9-24'!G12+E12</f>
        <v>490</v>
      </c>
      <c r="E12" s="15"/>
      <c r="F12" s="15">
        <f t="shared" si="1"/>
        <v>0</v>
      </c>
      <c r="G12" s="15">
        <f t="shared" si="0"/>
        <v>490</v>
      </c>
      <c r="H12" s="29"/>
      <c r="I12" s="12"/>
      <c r="K12" s="1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9"/>
    </row>
    <row r="13" spans="1:25" ht="22.5" customHeight="1" x14ac:dyDescent="0.25">
      <c r="A13" s="17">
        <v>11</v>
      </c>
      <c r="B13" s="16" t="s">
        <v>7</v>
      </c>
      <c r="C13" s="16" t="s">
        <v>2</v>
      </c>
      <c r="D13" s="15">
        <f>'9-24'!G13+E13</f>
        <v>470</v>
      </c>
      <c r="E13" s="15"/>
      <c r="F13" s="15">
        <v>10</v>
      </c>
      <c r="G13" s="15">
        <f t="shared" si="0"/>
        <v>460</v>
      </c>
      <c r="H13" s="29" t="s">
        <v>17</v>
      </c>
      <c r="I13" s="12"/>
      <c r="K13" s="11">
        <v>1</v>
      </c>
      <c r="L13" s="10">
        <v>1</v>
      </c>
      <c r="M13" s="10"/>
      <c r="N13" s="10">
        <v>2</v>
      </c>
      <c r="O13" s="10">
        <v>2</v>
      </c>
      <c r="P13" s="10"/>
      <c r="Q13" s="10">
        <v>4</v>
      </c>
      <c r="R13" s="10"/>
      <c r="S13" s="10"/>
      <c r="T13" s="10"/>
      <c r="U13" s="10"/>
      <c r="V13" s="9"/>
    </row>
    <row r="14" spans="1:25" ht="22.5" customHeight="1" x14ac:dyDescent="0.25">
      <c r="A14" s="17">
        <v>12</v>
      </c>
      <c r="B14" s="16" t="s">
        <v>6</v>
      </c>
      <c r="C14" s="16" t="s">
        <v>2</v>
      </c>
      <c r="D14" s="15">
        <f>'9-24'!G14+E14</f>
        <v>500</v>
      </c>
      <c r="E14" s="15"/>
      <c r="F14" s="15">
        <f t="shared" si="1"/>
        <v>0</v>
      </c>
      <c r="G14" s="15">
        <f t="shared" si="0"/>
        <v>500</v>
      </c>
      <c r="H14" s="29"/>
      <c r="I14" s="12"/>
      <c r="K14" s="1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9"/>
    </row>
    <row r="15" spans="1:25" ht="22.5" customHeight="1" x14ac:dyDescent="0.25">
      <c r="A15" s="17">
        <v>13</v>
      </c>
      <c r="B15" s="16" t="s">
        <v>3</v>
      </c>
      <c r="C15" s="16" t="s">
        <v>2</v>
      </c>
      <c r="D15" s="15">
        <f>'9-24'!G15+E15</f>
        <v>580</v>
      </c>
      <c r="E15" s="15"/>
      <c r="F15" s="15">
        <f t="shared" si="1"/>
        <v>0</v>
      </c>
      <c r="G15" s="15">
        <f t="shared" si="0"/>
        <v>580</v>
      </c>
      <c r="H15" s="29"/>
      <c r="I15" s="12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"/>
    </row>
    <row r="16" spans="1:25" ht="22.5" customHeight="1" x14ac:dyDescent="0.25">
      <c r="A16" s="17">
        <v>14</v>
      </c>
      <c r="B16" s="16" t="s">
        <v>5</v>
      </c>
      <c r="C16" s="16" t="s">
        <v>4</v>
      </c>
      <c r="D16" s="15">
        <f>'9-24'!G16+E16</f>
        <v>40</v>
      </c>
      <c r="E16" s="15"/>
      <c r="F16" s="15">
        <f t="shared" si="1"/>
        <v>0</v>
      </c>
      <c r="G16" s="15">
        <f t="shared" si="0"/>
        <v>40</v>
      </c>
      <c r="H16" s="29"/>
      <c r="I16" s="12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/>
    </row>
    <row r="17" spans="1:22" ht="22.5" customHeight="1" x14ac:dyDescent="0.25">
      <c r="A17" s="17">
        <v>15</v>
      </c>
      <c r="B17" s="16" t="s">
        <v>3</v>
      </c>
      <c r="C17" s="16" t="s">
        <v>0</v>
      </c>
      <c r="D17" s="15">
        <f>'9-24'!G17+E17</f>
        <v>290</v>
      </c>
      <c r="E17" s="15"/>
      <c r="F17" s="15">
        <f t="shared" si="1"/>
        <v>0</v>
      </c>
      <c r="G17" s="15">
        <f t="shared" si="0"/>
        <v>290</v>
      </c>
      <c r="H17" s="29"/>
      <c r="I17" s="12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"/>
    </row>
    <row r="18" spans="1:22" ht="22.5" customHeight="1" x14ac:dyDescent="0.25">
      <c r="A18" s="8">
        <v>16</v>
      </c>
      <c r="B18" s="7" t="s">
        <v>1</v>
      </c>
      <c r="C18" s="7" t="s">
        <v>2</v>
      </c>
      <c r="D18" s="15">
        <f>'9-24'!G18+E18</f>
        <v>500</v>
      </c>
      <c r="E18" s="15"/>
      <c r="F18" s="15">
        <f t="shared" si="1"/>
        <v>0</v>
      </c>
      <c r="G18" s="15">
        <f t="shared" si="0"/>
        <v>500</v>
      </c>
      <c r="H18" s="29"/>
      <c r="I18" s="12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9"/>
    </row>
    <row r="19" spans="1:22" ht="22.5" customHeight="1" x14ac:dyDescent="0.25">
      <c r="A19" s="8">
        <v>17</v>
      </c>
      <c r="B19" s="16" t="s">
        <v>1</v>
      </c>
      <c r="C19" s="16" t="s">
        <v>0</v>
      </c>
      <c r="D19" s="15">
        <f>'9-24'!G19+E19</f>
        <v>240</v>
      </c>
      <c r="E19" s="15"/>
      <c r="F19" s="15">
        <f t="shared" si="1"/>
        <v>0</v>
      </c>
      <c r="G19" s="15">
        <f t="shared" si="0"/>
        <v>240</v>
      </c>
      <c r="H19" s="29"/>
      <c r="I19" s="12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9"/>
    </row>
    <row r="20" spans="1:22" x14ac:dyDescent="0.25">
      <c r="A20" s="17"/>
      <c r="B20" s="16"/>
      <c r="C20" s="16"/>
      <c r="D20" s="15"/>
      <c r="E20" s="15"/>
      <c r="F20" s="15"/>
      <c r="G20" s="15"/>
      <c r="H20" s="29"/>
      <c r="I20" s="12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9"/>
    </row>
    <row r="21" spans="1:22" x14ac:dyDescent="0.25">
      <c r="A21" s="8"/>
      <c r="B21" s="7"/>
      <c r="C21" s="7"/>
      <c r="D21" s="6"/>
      <c r="E21" s="6"/>
      <c r="F21" s="6"/>
      <c r="G21" s="6"/>
      <c r="H21" s="30"/>
      <c r="I21" s="12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/>
    </row>
    <row r="22" spans="1:22" ht="15.75" thickBot="1" x14ac:dyDescent="0.3">
      <c r="A22" s="8"/>
      <c r="B22" s="7"/>
      <c r="C22" s="7"/>
      <c r="D22" s="6">
        <f>SUBTOTAL(9,D3:D21)</f>
        <v>7520</v>
      </c>
      <c r="E22" s="6">
        <f>SUBTOTAL(9,E3:E21)</f>
        <v>0</v>
      </c>
      <c r="F22" s="6">
        <f>SUBTOTAL(9,F3:F21)</f>
        <v>80</v>
      </c>
      <c r="G22" s="6">
        <f>SUBTOTAL(9,G3:G21)</f>
        <v>7440</v>
      </c>
      <c r="H22" s="5"/>
      <c r="I22" s="4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</row>
  </sheetData>
  <mergeCells count="2">
    <mergeCell ref="C1:G1"/>
    <mergeCell ref="K1:V1"/>
  </mergeCells>
  <conditionalFormatting sqref="D3:D19">
    <cfRule type="cellIs" dxfId="55" priority="1" stopIfTrue="1" operator="lessThan">
      <formula>51</formula>
    </cfRule>
  </conditionalFormatting>
  <dataValidations count="1">
    <dataValidation type="list" allowBlank="1" showInputMessage="1" showErrorMessage="1" sqref="H3:H21">
      <formula1>$Y$3:$Y$10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workbookViewId="0">
      <pane xSplit="9" ySplit="2" topLeftCell="J12" activePane="bottomRight" state="frozen"/>
      <selection pane="topRight" activeCell="I1" sqref="I1"/>
      <selection pane="bottomLeft" activeCell="A3" sqref="A3"/>
      <selection pane="bottomRight" activeCell="C18" sqref="C18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18.85546875" bestFit="1" customWidth="1"/>
    <col min="4" max="4" width="18.5703125" bestFit="1" customWidth="1"/>
    <col min="5" max="5" width="18.5703125" customWidth="1"/>
    <col min="6" max="6" width="26.140625" bestFit="1" customWidth="1"/>
    <col min="7" max="7" width="17.85546875" bestFit="1" customWidth="1"/>
    <col min="8" max="8" width="24.28515625" bestFit="1" customWidth="1"/>
    <col min="9" max="9" width="4.5703125" customWidth="1"/>
    <col min="10" max="10" width="6" customWidth="1"/>
    <col min="11" max="22" width="6.85546875" customWidth="1"/>
    <col min="25" max="25" width="29.7109375" bestFit="1" customWidth="1"/>
  </cols>
  <sheetData>
    <row r="1" spans="1:25" ht="48" customHeight="1" thickBot="1" x14ac:dyDescent="0.3">
      <c r="A1" s="28"/>
      <c r="B1" s="27"/>
      <c r="C1" s="31" t="s">
        <v>38</v>
      </c>
      <c r="D1" s="31"/>
      <c r="E1" s="31"/>
      <c r="F1" s="31"/>
      <c r="G1" s="31"/>
      <c r="H1" s="26" t="s">
        <v>55</v>
      </c>
      <c r="I1" s="25"/>
      <c r="K1" s="32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5" s="18" customFormat="1" ht="66.75" customHeight="1" x14ac:dyDescent="0.25">
      <c r="A2" s="24" t="s">
        <v>36</v>
      </c>
      <c r="B2" s="23" t="s">
        <v>35</v>
      </c>
      <c r="C2" s="23" t="s">
        <v>34</v>
      </c>
      <c r="D2" s="23" t="s">
        <v>51</v>
      </c>
      <c r="E2" s="23" t="s">
        <v>53</v>
      </c>
      <c r="F2" s="23" t="s">
        <v>32</v>
      </c>
      <c r="G2" s="23" t="s">
        <v>52</v>
      </c>
      <c r="H2" s="22" t="s">
        <v>30</v>
      </c>
      <c r="I2" s="20"/>
      <c r="K2" s="21" t="s">
        <v>29</v>
      </c>
      <c r="L2" s="20" t="s">
        <v>28</v>
      </c>
      <c r="M2" s="20" t="s">
        <v>27</v>
      </c>
      <c r="N2" s="20" t="s">
        <v>26</v>
      </c>
      <c r="O2" s="20" t="s">
        <v>25</v>
      </c>
      <c r="P2" s="20" t="s">
        <v>24</v>
      </c>
      <c r="Q2" s="20" t="s">
        <v>23</v>
      </c>
      <c r="R2" s="20" t="s">
        <v>22</v>
      </c>
      <c r="S2" s="20" t="s">
        <v>21</v>
      </c>
      <c r="T2" s="20" t="s">
        <v>20</v>
      </c>
      <c r="U2" s="20" t="s">
        <v>19</v>
      </c>
      <c r="V2" s="19" t="s">
        <v>18</v>
      </c>
    </row>
    <row r="3" spans="1:25" ht="22.5" customHeight="1" x14ac:dyDescent="0.25">
      <c r="A3" s="17">
        <v>1</v>
      </c>
      <c r="B3" s="16" t="s">
        <v>5</v>
      </c>
      <c r="C3" s="16" t="s">
        <v>2</v>
      </c>
      <c r="D3" s="15">
        <f>'9-25'!G3+E3</f>
        <v>560</v>
      </c>
      <c r="E3" s="15"/>
      <c r="F3" s="15">
        <v>20</v>
      </c>
      <c r="G3" s="15">
        <v>540</v>
      </c>
      <c r="H3" s="29" t="s">
        <v>15</v>
      </c>
      <c r="I3" s="12"/>
      <c r="K3" s="11">
        <v>10</v>
      </c>
      <c r="L3" s="10">
        <v>3</v>
      </c>
      <c r="M3" s="10"/>
      <c r="N3" s="10"/>
      <c r="O3" s="10"/>
      <c r="P3" s="10">
        <v>2</v>
      </c>
      <c r="Q3" s="10"/>
      <c r="R3" s="10"/>
      <c r="S3" s="10">
        <v>2</v>
      </c>
      <c r="T3" s="10">
        <v>3</v>
      </c>
      <c r="U3" s="10"/>
      <c r="V3" s="9"/>
      <c r="Y3" t="s">
        <v>17</v>
      </c>
    </row>
    <row r="4" spans="1:25" ht="22.5" customHeight="1" x14ac:dyDescent="0.25">
      <c r="A4" s="17">
        <v>2</v>
      </c>
      <c r="B4" s="16" t="s">
        <v>5</v>
      </c>
      <c r="C4" s="16" t="s">
        <v>0</v>
      </c>
      <c r="D4" s="15">
        <f>'9-25'!G4+E4</f>
        <v>800</v>
      </c>
      <c r="E4" s="15"/>
      <c r="F4" s="15"/>
      <c r="G4" s="15">
        <f t="shared" ref="G4:G19" si="0">D4-F4</f>
        <v>800</v>
      </c>
      <c r="H4" s="29"/>
      <c r="I4" s="12"/>
      <c r="K4" s="11"/>
      <c r="L4" s="10"/>
      <c r="M4" s="10"/>
      <c r="N4" s="10"/>
      <c r="O4" s="10"/>
      <c r="P4" s="10"/>
      <c r="Q4" s="10"/>
      <c r="R4" s="10"/>
      <c r="S4" s="10"/>
      <c r="T4" s="10"/>
      <c r="U4" s="10"/>
      <c r="V4" s="9"/>
      <c r="Y4" t="s">
        <v>16</v>
      </c>
    </row>
    <row r="5" spans="1:25" ht="22.5" customHeight="1" x14ac:dyDescent="0.25">
      <c r="A5" s="17">
        <v>3</v>
      </c>
      <c r="B5" s="16" t="s">
        <v>5</v>
      </c>
      <c r="C5" s="16" t="s">
        <v>9</v>
      </c>
      <c r="D5" s="15">
        <f>'9-25'!G5+E5</f>
        <v>240</v>
      </c>
      <c r="E5" s="15"/>
      <c r="F5" s="15">
        <f t="shared" ref="F5:F19" si="1">SUM(K5:V5)</f>
        <v>0</v>
      </c>
      <c r="G5" s="15">
        <f t="shared" si="0"/>
        <v>240</v>
      </c>
      <c r="H5" s="29"/>
      <c r="I5" s="12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9"/>
      <c r="Y5" t="s">
        <v>15</v>
      </c>
    </row>
    <row r="6" spans="1:25" ht="22.5" customHeight="1" x14ac:dyDescent="0.25">
      <c r="A6" s="17">
        <v>4</v>
      </c>
      <c r="B6" s="16" t="s">
        <v>5</v>
      </c>
      <c r="C6" s="16" t="s">
        <v>14</v>
      </c>
      <c r="D6" s="15">
        <f>'9-25'!G6+E6</f>
        <v>60</v>
      </c>
      <c r="E6" s="15"/>
      <c r="F6" s="15">
        <f t="shared" si="1"/>
        <v>0</v>
      </c>
      <c r="G6" s="15">
        <f t="shared" si="0"/>
        <v>60</v>
      </c>
      <c r="H6" s="29"/>
      <c r="I6" s="1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9"/>
      <c r="Y6" t="s">
        <v>13</v>
      </c>
    </row>
    <row r="7" spans="1:25" ht="22.5" customHeight="1" x14ac:dyDescent="0.25">
      <c r="A7" s="17">
        <v>5</v>
      </c>
      <c r="B7" s="16" t="s">
        <v>5</v>
      </c>
      <c r="C7" s="16" t="s">
        <v>12</v>
      </c>
      <c r="D7" s="15">
        <f>'9-25'!G7+E7</f>
        <v>500</v>
      </c>
      <c r="E7" s="15"/>
      <c r="F7" s="15">
        <f t="shared" si="1"/>
        <v>0</v>
      </c>
      <c r="G7" s="15">
        <f t="shared" si="0"/>
        <v>500</v>
      </c>
      <c r="H7" s="29"/>
      <c r="I7" s="12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Y7" t="s">
        <v>11</v>
      </c>
    </row>
    <row r="8" spans="1:25" ht="22.5" customHeight="1" x14ac:dyDescent="0.25">
      <c r="A8" s="17">
        <v>6</v>
      </c>
      <c r="B8" s="16" t="s">
        <v>10</v>
      </c>
      <c r="C8" s="16" t="s">
        <v>2</v>
      </c>
      <c r="D8" s="15">
        <f>'9-25'!G8+E8</f>
        <v>830</v>
      </c>
      <c r="E8" s="15"/>
      <c r="F8" s="15">
        <v>10</v>
      </c>
      <c r="G8" s="15">
        <f t="shared" si="0"/>
        <v>820</v>
      </c>
      <c r="H8" s="29" t="s">
        <v>17</v>
      </c>
      <c r="I8" s="12"/>
      <c r="K8" s="11">
        <v>5</v>
      </c>
      <c r="L8" s="10"/>
      <c r="M8" s="10"/>
      <c r="N8" s="10"/>
      <c r="O8" s="10"/>
      <c r="P8" s="10"/>
      <c r="Q8" s="10">
        <v>3</v>
      </c>
      <c r="R8" s="10"/>
      <c r="S8" s="10">
        <v>2</v>
      </c>
      <c r="T8" s="10"/>
      <c r="U8" s="10"/>
      <c r="V8" s="9"/>
    </row>
    <row r="9" spans="1:25" ht="22.5" customHeight="1" x14ac:dyDescent="0.25">
      <c r="A9" s="17">
        <v>7</v>
      </c>
      <c r="B9" s="16" t="s">
        <v>10</v>
      </c>
      <c r="C9" s="16" t="s">
        <v>0</v>
      </c>
      <c r="D9" s="15">
        <f>'9-25'!G9+E9</f>
        <v>830</v>
      </c>
      <c r="E9" s="15"/>
      <c r="F9" s="15"/>
      <c r="G9" s="15">
        <v>830</v>
      </c>
      <c r="H9" s="29"/>
      <c r="I9" s="12"/>
      <c r="K9" s="11"/>
      <c r="L9" s="10"/>
      <c r="M9" s="10"/>
      <c r="N9" s="10"/>
      <c r="O9" s="10"/>
      <c r="P9" s="10"/>
      <c r="Q9" s="10"/>
      <c r="R9" s="10"/>
      <c r="S9" s="10"/>
      <c r="T9" s="10"/>
      <c r="U9" s="10"/>
      <c r="V9" s="9"/>
    </row>
    <row r="10" spans="1:25" ht="22.5" customHeight="1" x14ac:dyDescent="0.25">
      <c r="A10" s="17">
        <v>8</v>
      </c>
      <c r="B10" s="16" t="s">
        <v>10</v>
      </c>
      <c r="C10" s="16" t="s">
        <v>9</v>
      </c>
      <c r="D10" s="15">
        <f>'9-25'!G10+E10</f>
        <v>220</v>
      </c>
      <c r="E10" s="15"/>
      <c r="F10" s="15">
        <v>10</v>
      </c>
      <c r="G10" s="15">
        <v>210</v>
      </c>
      <c r="H10" s="29" t="s">
        <v>17</v>
      </c>
      <c r="I10" s="12"/>
      <c r="K10" s="11">
        <v>6</v>
      </c>
      <c r="L10" s="10"/>
      <c r="M10" s="10"/>
      <c r="N10" s="10"/>
      <c r="O10" s="10"/>
      <c r="P10" s="10"/>
      <c r="Q10" s="10"/>
      <c r="R10" s="10">
        <v>4</v>
      </c>
      <c r="S10" s="10"/>
      <c r="T10" s="10"/>
      <c r="U10" s="10"/>
      <c r="V10" s="9"/>
    </row>
    <row r="11" spans="1:25" ht="22.5" customHeight="1" x14ac:dyDescent="0.25">
      <c r="A11" s="17">
        <v>9</v>
      </c>
      <c r="B11" s="16" t="s">
        <v>7</v>
      </c>
      <c r="C11" s="16" t="s">
        <v>0</v>
      </c>
      <c r="D11" s="15">
        <f>'9-25'!G11+E11</f>
        <v>300</v>
      </c>
      <c r="E11" s="15"/>
      <c r="F11" s="15"/>
      <c r="G11" s="15">
        <v>300</v>
      </c>
      <c r="H11" s="29"/>
      <c r="I11" s="12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9"/>
    </row>
    <row r="12" spans="1:25" ht="22.5" customHeight="1" x14ac:dyDescent="0.25">
      <c r="A12" s="17">
        <v>10</v>
      </c>
      <c r="B12" s="16" t="s">
        <v>7</v>
      </c>
      <c r="C12" s="16" t="s">
        <v>8</v>
      </c>
      <c r="D12" s="15">
        <f>'9-25'!G12+E12</f>
        <v>490</v>
      </c>
      <c r="E12" s="15"/>
      <c r="F12" s="15">
        <f t="shared" si="1"/>
        <v>0</v>
      </c>
      <c r="G12" s="15">
        <f t="shared" si="0"/>
        <v>490</v>
      </c>
      <c r="H12" s="29"/>
      <c r="I12" s="12"/>
      <c r="K12" s="1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9"/>
    </row>
    <row r="13" spans="1:25" ht="22.5" customHeight="1" x14ac:dyDescent="0.25">
      <c r="A13" s="17">
        <v>11</v>
      </c>
      <c r="B13" s="16" t="s">
        <v>7</v>
      </c>
      <c r="C13" s="16" t="s">
        <v>2</v>
      </c>
      <c r="D13" s="15">
        <f>'9-25'!G13+E13</f>
        <v>460</v>
      </c>
      <c r="E13" s="15"/>
      <c r="F13" s="15">
        <v>10</v>
      </c>
      <c r="G13" s="15">
        <f t="shared" si="0"/>
        <v>450</v>
      </c>
      <c r="H13" s="29" t="s">
        <v>17</v>
      </c>
      <c r="I13" s="12"/>
      <c r="K13" s="11">
        <v>2</v>
      </c>
      <c r="L13" s="10"/>
      <c r="M13" s="10">
        <v>1</v>
      </c>
      <c r="N13" s="10">
        <v>2</v>
      </c>
      <c r="O13" s="10"/>
      <c r="P13" s="10">
        <v>2</v>
      </c>
      <c r="Q13" s="10">
        <v>2</v>
      </c>
      <c r="R13" s="10"/>
      <c r="S13" s="10"/>
      <c r="T13" s="10">
        <v>1</v>
      </c>
      <c r="U13" s="10"/>
      <c r="V13" s="9"/>
    </row>
    <row r="14" spans="1:25" ht="22.5" customHeight="1" x14ac:dyDescent="0.25">
      <c r="A14" s="17">
        <v>12</v>
      </c>
      <c r="B14" s="16" t="s">
        <v>6</v>
      </c>
      <c r="C14" s="16" t="s">
        <v>2</v>
      </c>
      <c r="D14" s="15">
        <f>'9-25'!G14+E14</f>
        <v>500</v>
      </c>
      <c r="E14" s="15"/>
      <c r="F14" s="15">
        <f t="shared" si="1"/>
        <v>0</v>
      </c>
      <c r="G14" s="15">
        <f t="shared" si="0"/>
        <v>500</v>
      </c>
      <c r="H14" s="29"/>
      <c r="I14" s="12"/>
      <c r="K14" s="1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9"/>
    </row>
    <row r="15" spans="1:25" ht="22.5" customHeight="1" x14ac:dyDescent="0.25">
      <c r="A15" s="17">
        <v>13</v>
      </c>
      <c r="B15" s="16" t="s">
        <v>3</v>
      </c>
      <c r="C15" s="16" t="s">
        <v>2</v>
      </c>
      <c r="D15" s="15">
        <f>'9-25'!G15+E15</f>
        <v>580</v>
      </c>
      <c r="E15" s="15"/>
      <c r="F15" s="15">
        <f t="shared" si="1"/>
        <v>0</v>
      </c>
      <c r="G15" s="15">
        <f t="shared" si="0"/>
        <v>580</v>
      </c>
      <c r="H15" s="29"/>
      <c r="I15" s="12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"/>
    </row>
    <row r="16" spans="1:25" ht="22.5" customHeight="1" x14ac:dyDescent="0.25">
      <c r="A16" s="17">
        <v>14</v>
      </c>
      <c r="B16" s="16" t="s">
        <v>5</v>
      </c>
      <c r="C16" s="16" t="s">
        <v>4</v>
      </c>
      <c r="D16" s="15">
        <f>'9-25'!G16+E16</f>
        <v>40</v>
      </c>
      <c r="E16" s="15"/>
      <c r="F16" s="15">
        <f t="shared" si="1"/>
        <v>0</v>
      </c>
      <c r="G16" s="15">
        <f t="shared" si="0"/>
        <v>40</v>
      </c>
      <c r="H16" s="29"/>
      <c r="I16" s="12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"/>
    </row>
    <row r="17" spans="1:22" ht="22.5" customHeight="1" x14ac:dyDescent="0.25">
      <c r="A17" s="17">
        <v>15</v>
      </c>
      <c r="B17" s="16" t="s">
        <v>3</v>
      </c>
      <c r="C17" s="16" t="s">
        <v>0</v>
      </c>
      <c r="D17" s="15">
        <f>'9-25'!G17+E17</f>
        <v>290</v>
      </c>
      <c r="E17" s="15"/>
      <c r="F17" s="15">
        <f t="shared" si="1"/>
        <v>0</v>
      </c>
      <c r="G17" s="15">
        <f t="shared" si="0"/>
        <v>290</v>
      </c>
      <c r="H17" s="29"/>
      <c r="I17" s="12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9"/>
    </row>
    <row r="18" spans="1:22" ht="22.5" customHeight="1" x14ac:dyDescent="0.25">
      <c r="A18" s="8">
        <v>16</v>
      </c>
      <c r="B18" s="7" t="s">
        <v>1</v>
      </c>
      <c r="C18" s="7" t="s">
        <v>2</v>
      </c>
      <c r="D18" s="15">
        <f>'9-25'!G18+E18</f>
        <v>500</v>
      </c>
      <c r="E18" s="15"/>
      <c r="F18" s="15">
        <f t="shared" si="1"/>
        <v>0</v>
      </c>
      <c r="G18" s="15">
        <f t="shared" si="0"/>
        <v>500</v>
      </c>
      <c r="H18" s="29"/>
      <c r="I18" s="12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9"/>
    </row>
    <row r="19" spans="1:22" ht="22.5" customHeight="1" x14ac:dyDescent="0.25">
      <c r="A19" s="8">
        <v>17</v>
      </c>
      <c r="B19" s="16" t="s">
        <v>1</v>
      </c>
      <c r="C19" s="16" t="s">
        <v>0</v>
      </c>
      <c r="D19" s="15">
        <f>'9-25'!G19+E19</f>
        <v>240</v>
      </c>
      <c r="E19" s="15"/>
      <c r="F19" s="15">
        <f t="shared" si="1"/>
        <v>0</v>
      </c>
      <c r="G19" s="15">
        <f t="shared" si="0"/>
        <v>240</v>
      </c>
      <c r="H19" s="29"/>
      <c r="I19" s="12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9"/>
    </row>
    <row r="20" spans="1:22" x14ac:dyDescent="0.25">
      <c r="A20" s="17"/>
      <c r="B20" s="16"/>
      <c r="C20" s="16"/>
      <c r="D20" s="15"/>
      <c r="E20" s="15"/>
      <c r="F20" s="15"/>
      <c r="G20" s="15"/>
      <c r="H20" s="29"/>
      <c r="I20" s="12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9"/>
    </row>
    <row r="21" spans="1:22" x14ac:dyDescent="0.25">
      <c r="A21" s="8"/>
      <c r="B21" s="7"/>
      <c r="C21" s="7"/>
      <c r="D21" s="6"/>
      <c r="E21" s="6"/>
      <c r="F21" s="6"/>
      <c r="G21" s="6"/>
      <c r="H21" s="30"/>
      <c r="I21" s="12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/>
    </row>
    <row r="22" spans="1:22" ht="15.75" thickBot="1" x14ac:dyDescent="0.3">
      <c r="A22" s="8"/>
      <c r="B22" s="7"/>
      <c r="C22" s="7"/>
      <c r="D22" s="6">
        <f>SUBTOTAL(9,D3:D21)</f>
        <v>7440</v>
      </c>
      <c r="E22" s="6">
        <f>SUBTOTAL(9,E3:E21)</f>
        <v>0</v>
      </c>
      <c r="F22" s="6">
        <f>SUBTOTAL(9,F3:F21)</f>
        <v>50</v>
      </c>
      <c r="G22" s="6">
        <f>SUBTOTAL(9,G3:G21)</f>
        <v>7390</v>
      </c>
      <c r="H22" s="5"/>
      <c r="I22" s="4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</row>
  </sheetData>
  <mergeCells count="2">
    <mergeCell ref="C1:G1"/>
    <mergeCell ref="K1:V1"/>
  </mergeCells>
  <conditionalFormatting sqref="D3:D19">
    <cfRule type="cellIs" dxfId="39" priority="1" stopIfTrue="1" operator="lessThan">
      <formula>51</formula>
    </cfRule>
  </conditionalFormatting>
  <dataValidations count="1">
    <dataValidation type="list" allowBlank="1" showInputMessage="1" showErrorMessage="1" sqref="H3:H21">
      <formula1>$Y$3:$Y$10</formula1>
    </dataValidation>
  </dataValidations>
  <pageMargins left="0.25" right="0.25" top="0.27500000000000002" bottom="0.2" header="0.3" footer="0.3"/>
  <pageSetup scale="90" orientation="landscape" verticalDpi="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9-1</vt:lpstr>
      <vt:lpstr>9-2</vt:lpstr>
      <vt:lpstr>9-3</vt:lpstr>
      <vt:lpstr>9-4</vt:lpstr>
      <vt:lpstr>9-5</vt:lpstr>
      <vt:lpstr>9-7</vt:lpstr>
      <vt:lpstr>9-8</vt:lpstr>
      <vt:lpstr>9-9</vt:lpstr>
      <vt:lpstr>9-10</vt:lpstr>
      <vt:lpstr>9-11</vt:lpstr>
      <vt:lpstr>9-12</vt:lpstr>
      <vt:lpstr>9-14 </vt:lpstr>
      <vt:lpstr>9-15</vt:lpstr>
      <vt:lpstr>9-16</vt:lpstr>
      <vt:lpstr>9-17</vt:lpstr>
      <vt:lpstr>9-18</vt:lpstr>
      <vt:lpstr>9-19</vt:lpstr>
      <vt:lpstr>9-21</vt:lpstr>
      <vt:lpstr>9-22</vt:lpstr>
      <vt:lpstr>9-23</vt:lpstr>
      <vt:lpstr>9-24</vt:lpstr>
      <vt:lpstr>9-25</vt:lpstr>
      <vt:lpstr>9-28</vt:lpstr>
      <vt:lpstr>'9-1'!Print_Area</vt:lpstr>
      <vt:lpstr>'9-10'!Print_Area</vt:lpstr>
      <vt:lpstr>'9-11'!Print_Area</vt:lpstr>
      <vt:lpstr>'9-12'!Print_Area</vt:lpstr>
      <vt:lpstr>'9-14 '!Print_Area</vt:lpstr>
      <vt:lpstr>'9-15'!Print_Area</vt:lpstr>
      <vt:lpstr>'9-16'!Print_Area</vt:lpstr>
      <vt:lpstr>'9-17'!Print_Area</vt:lpstr>
      <vt:lpstr>'9-18'!Print_Area</vt:lpstr>
      <vt:lpstr>'9-19'!Print_Area</vt:lpstr>
      <vt:lpstr>'9-2'!Print_Area</vt:lpstr>
      <vt:lpstr>'9-21'!Print_Area</vt:lpstr>
      <vt:lpstr>'9-22'!Print_Area</vt:lpstr>
      <vt:lpstr>'9-23'!Print_Area</vt:lpstr>
      <vt:lpstr>'9-24'!Print_Area</vt:lpstr>
      <vt:lpstr>'9-25'!Print_Area</vt:lpstr>
      <vt:lpstr>'9-28'!Print_Area</vt:lpstr>
      <vt:lpstr>'9-3'!Print_Area</vt:lpstr>
      <vt:lpstr>'9-4'!Print_Area</vt:lpstr>
      <vt:lpstr>'9-5'!Print_Area</vt:lpstr>
      <vt:lpstr>'9-7'!Print_Area</vt:lpstr>
      <vt:lpstr>'9-8'!Print_Area</vt:lpstr>
      <vt:lpstr>'9-9'!Print_Area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 Sokhom</dc:creator>
  <cp:lastModifiedBy>Mao Sokhom</cp:lastModifiedBy>
  <dcterms:created xsi:type="dcterms:W3CDTF">2026-09-11T05:22:55Z</dcterms:created>
  <dcterms:modified xsi:type="dcterms:W3CDTF">2026-09-29T06:29:42Z</dcterms:modified>
</cp:coreProperties>
</file>