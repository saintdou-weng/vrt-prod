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Server\34.VRT_Weekly_Top_3_defect_KPI_每周质量会议报告_\"/>
    </mc:Choice>
  </mc:AlternateContent>
  <bookViews>
    <workbookView xWindow="360" yWindow="120" windowWidth="20985" windowHeight="9555"/>
  </bookViews>
  <sheets>
    <sheet name="SEP21" sheetId="1" r:id="rId1"/>
    <sheet name="SEP22" sheetId="4" r:id="rId2"/>
    <sheet name="SEP23" sheetId="5" r:id="rId3"/>
    <sheet name="SEP24" sheetId="6" r:id="rId4"/>
    <sheet name="SEP25" sheetId="7" r:id="rId5"/>
    <sheet name="SEP26" sheetId="10" state="hidden" r:id="rId6"/>
    <sheet name="week 12" sheetId="8" r:id="rId7"/>
  </sheets>
  <calcPr calcId="162913"/>
</workbook>
</file>

<file path=xl/calcChain.xml><?xml version="1.0" encoding="utf-8"?>
<calcChain xmlns="http://schemas.openxmlformats.org/spreadsheetml/2006/main">
  <c r="C15" i="8" l="1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G12" i="8"/>
  <c r="F12" i="8"/>
  <c r="E12" i="8"/>
  <c r="D12" i="8"/>
  <c r="C12" i="8"/>
  <c r="B12" i="8"/>
  <c r="Q11" i="8"/>
  <c r="P11" i="8"/>
  <c r="N11" i="8"/>
  <c r="M11" i="8"/>
  <c r="L11" i="8"/>
  <c r="M10" i="8"/>
  <c r="N10" i="8"/>
  <c r="K11" i="8"/>
  <c r="P10" i="8"/>
  <c r="L10" i="8"/>
  <c r="K10" i="8"/>
  <c r="P9" i="8"/>
  <c r="O9" i="8"/>
  <c r="M9" i="8"/>
  <c r="L9" i="8"/>
  <c r="Q8" i="8"/>
  <c r="P8" i="8"/>
  <c r="N8" i="8"/>
  <c r="M8" i="8"/>
  <c r="L8" i="8"/>
  <c r="K8" i="8"/>
  <c r="P7" i="8"/>
  <c r="M7" i="8"/>
  <c r="L7" i="8"/>
  <c r="K7" i="8"/>
  <c r="O10" i="8" l="1"/>
  <c r="O8" i="8"/>
  <c r="K17" i="7"/>
  <c r="L17" i="7"/>
  <c r="M17" i="7"/>
  <c r="N17" i="7"/>
  <c r="O17" i="7"/>
  <c r="V16" i="7"/>
  <c r="X16" i="7" s="1"/>
  <c r="B17" i="7"/>
  <c r="K17" i="6"/>
  <c r="L17" i="6"/>
  <c r="M17" i="6"/>
  <c r="N17" i="6"/>
  <c r="O17" i="6"/>
  <c r="L17" i="5"/>
  <c r="M17" i="5"/>
  <c r="N17" i="5"/>
  <c r="O17" i="5"/>
  <c r="P17" i="5"/>
  <c r="K17" i="1"/>
  <c r="L17" i="1"/>
  <c r="M17" i="1"/>
  <c r="N17" i="1"/>
  <c r="O17" i="1"/>
  <c r="L17" i="4"/>
  <c r="M17" i="4"/>
  <c r="N17" i="4"/>
  <c r="O17" i="4"/>
  <c r="P17" i="4"/>
  <c r="Q17" i="4"/>
  <c r="O11" i="8"/>
  <c r="N9" i="8"/>
  <c r="N7" i="8"/>
  <c r="O7" i="8"/>
  <c r="L6" i="8"/>
  <c r="M6" i="8"/>
  <c r="N6" i="8"/>
  <c r="O6" i="8"/>
  <c r="P6" i="8"/>
  <c r="O17" i="8" l="1"/>
  <c r="P17" i="8"/>
  <c r="N17" i="8"/>
  <c r="L17" i="8"/>
  <c r="M17" i="8"/>
  <c r="V6" i="1"/>
  <c r="X6" i="1" s="1"/>
  <c r="V7" i="1"/>
  <c r="X7" i="1" s="1"/>
  <c r="V8" i="1"/>
  <c r="V9" i="1"/>
  <c r="X9" i="1"/>
  <c r="V10" i="1"/>
  <c r="X10" i="1" s="1"/>
  <c r="V11" i="1"/>
  <c r="X11" i="1" s="1"/>
  <c r="V12" i="1"/>
  <c r="X12" i="1" s="1"/>
  <c r="V13" i="1"/>
  <c r="X13" i="1" s="1"/>
  <c r="V14" i="1"/>
  <c r="X14" i="1" s="1"/>
  <c r="V15" i="1"/>
  <c r="X15" i="1"/>
  <c r="V16" i="1"/>
  <c r="X16" i="1" s="1"/>
  <c r="B17" i="1"/>
  <c r="C17" i="1"/>
  <c r="D17" i="1"/>
  <c r="E17" i="1"/>
  <c r="F17" i="1"/>
  <c r="G17" i="1"/>
  <c r="H17" i="1"/>
  <c r="I17" i="1"/>
  <c r="J17" i="1"/>
  <c r="P17" i="1"/>
  <c r="Q17" i="1"/>
  <c r="R17" i="1"/>
  <c r="S17" i="1"/>
  <c r="T17" i="1"/>
  <c r="U17" i="1"/>
  <c r="W17" i="1"/>
  <c r="V6" i="4"/>
  <c r="X6" i="4" s="1"/>
  <c r="V7" i="4"/>
  <c r="X7" i="4"/>
  <c r="V8" i="4"/>
  <c r="X8" i="4" s="1"/>
  <c r="V9" i="4"/>
  <c r="X9" i="4"/>
  <c r="V10" i="4"/>
  <c r="X10" i="4" s="1"/>
  <c r="V11" i="4"/>
  <c r="X11" i="4" s="1"/>
  <c r="V12" i="4"/>
  <c r="X12" i="4" s="1"/>
  <c r="V13" i="4"/>
  <c r="X13" i="4"/>
  <c r="V14" i="4"/>
  <c r="X14" i="4" s="1"/>
  <c r="V15" i="4"/>
  <c r="X15" i="4"/>
  <c r="V16" i="4"/>
  <c r="X16" i="4" s="1"/>
  <c r="B17" i="4"/>
  <c r="C17" i="4"/>
  <c r="D17" i="4"/>
  <c r="E17" i="4"/>
  <c r="F17" i="4"/>
  <c r="G17" i="4"/>
  <c r="H17" i="4"/>
  <c r="I17" i="4"/>
  <c r="J17" i="4"/>
  <c r="K17" i="4"/>
  <c r="R17" i="4"/>
  <c r="S17" i="4"/>
  <c r="T17" i="4"/>
  <c r="U17" i="4"/>
  <c r="W17" i="4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B17" i="10"/>
  <c r="U17" i="10"/>
  <c r="V6" i="10"/>
  <c r="X8" i="1" l="1"/>
  <c r="V17" i="1"/>
  <c r="X17" i="1" s="1"/>
  <c r="V17" i="4"/>
  <c r="X17" i="4" s="1"/>
  <c r="V7" i="7"/>
  <c r="X7" i="7" s="1"/>
  <c r="V8" i="7"/>
  <c r="X8" i="7" s="1"/>
  <c r="V9" i="6" l="1"/>
  <c r="W7" i="8" l="1"/>
  <c r="W8" i="8"/>
  <c r="W9" i="8"/>
  <c r="W10" i="8"/>
  <c r="W11" i="8"/>
  <c r="W12" i="8"/>
  <c r="W13" i="8"/>
  <c r="W14" i="8"/>
  <c r="W15" i="8"/>
  <c r="W16" i="8"/>
  <c r="W6" i="8"/>
  <c r="B7" i="8"/>
  <c r="C7" i="8"/>
  <c r="D7" i="8"/>
  <c r="E7" i="8"/>
  <c r="F7" i="8"/>
  <c r="G7" i="8"/>
  <c r="H7" i="8"/>
  <c r="I7" i="8"/>
  <c r="J7" i="8"/>
  <c r="Q7" i="8"/>
  <c r="R7" i="8"/>
  <c r="S7" i="8"/>
  <c r="T7" i="8"/>
  <c r="U7" i="8"/>
  <c r="B8" i="8"/>
  <c r="C8" i="8"/>
  <c r="D8" i="8"/>
  <c r="E8" i="8"/>
  <c r="F8" i="8"/>
  <c r="G8" i="8"/>
  <c r="H8" i="8"/>
  <c r="I8" i="8"/>
  <c r="J8" i="8"/>
  <c r="R8" i="8"/>
  <c r="S8" i="8"/>
  <c r="T8" i="8"/>
  <c r="U8" i="8"/>
  <c r="B9" i="8"/>
  <c r="C9" i="8"/>
  <c r="D9" i="8"/>
  <c r="E9" i="8"/>
  <c r="F9" i="8"/>
  <c r="G9" i="8"/>
  <c r="H9" i="8"/>
  <c r="I9" i="8"/>
  <c r="J9" i="8"/>
  <c r="K9" i="8"/>
  <c r="Q9" i="8"/>
  <c r="R9" i="8"/>
  <c r="S9" i="8"/>
  <c r="T9" i="8"/>
  <c r="U9" i="8"/>
  <c r="B10" i="8"/>
  <c r="C10" i="8"/>
  <c r="D10" i="8"/>
  <c r="E10" i="8"/>
  <c r="F10" i="8"/>
  <c r="G10" i="8"/>
  <c r="H10" i="8"/>
  <c r="I10" i="8"/>
  <c r="J10" i="8"/>
  <c r="Q10" i="8"/>
  <c r="R10" i="8"/>
  <c r="S10" i="8"/>
  <c r="T10" i="8"/>
  <c r="U10" i="8"/>
  <c r="B11" i="8"/>
  <c r="C11" i="8"/>
  <c r="D11" i="8"/>
  <c r="E11" i="8"/>
  <c r="F11" i="8"/>
  <c r="G11" i="8"/>
  <c r="H11" i="8"/>
  <c r="I11" i="8"/>
  <c r="J11" i="8"/>
  <c r="R11" i="8"/>
  <c r="S11" i="8"/>
  <c r="T11" i="8"/>
  <c r="U11" i="8"/>
  <c r="B13" i="8"/>
  <c r="B14" i="8"/>
  <c r="B15" i="8"/>
  <c r="B16" i="8"/>
  <c r="U6" i="8"/>
  <c r="T6" i="8"/>
  <c r="S6" i="8"/>
  <c r="R6" i="8"/>
  <c r="Q6" i="8"/>
  <c r="K6" i="8"/>
  <c r="J6" i="8"/>
  <c r="I6" i="8"/>
  <c r="H6" i="8"/>
  <c r="G6" i="8"/>
  <c r="F6" i="8"/>
  <c r="E6" i="8"/>
  <c r="D6" i="8"/>
  <c r="C6" i="8"/>
  <c r="B6" i="8"/>
  <c r="W17" i="10"/>
  <c r="V16" i="10"/>
  <c r="X16" i="10" s="1"/>
  <c r="V15" i="10"/>
  <c r="X15" i="10" s="1"/>
  <c r="V14" i="10"/>
  <c r="X14" i="10" s="1"/>
  <c r="V13" i="10"/>
  <c r="X13" i="10" s="1"/>
  <c r="V12" i="10"/>
  <c r="X12" i="10" s="1"/>
  <c r="V11" i="10"/>
  <c r="X11" i="10" s="1"/>
  <c r="V10" i="10"/>
  <c r="X10" i="10" s="1"/>
  <c r="V9" i="10"/>
  <c r="X9" i="10" s="1"/>
  <c r="V8" i="10"/>
  <c r="X8" i="10" s="1"/>
  <c r="V7" i="10"/>
  <c r="X6" i="10"/>
  <c r="V9" i="8" l="1"/>
  <c r="V7" i="8"/>
  <c r="V8" i="8"/>
  <c r="X7" i="10"/>
  <c r="V17" i="10"/>
  <c r="X17" i="10" s="1"/>
  <c r="W17" i="8"/>
  <c r="U17" i="8"/>
  <c r="W17" i="7"/>
  <c r="U17" i="7"/>
  <c r="T17" i="7"/>
  <c r="S17" i="7"/>
  <c r="R17" i="7"/>
  <c r="Q17" i="7"/>
  <c r="P17" i="7"/>
  <c r="J17" i="7"/>
  <c r="I17" i="7"/>
  <c r="H17" i="7"/>
  <c r="G17" i="7"/>
  <c r="F17" i="7"/>
  <c r="E17" i="7"/>
  <c r="D17" i="7"/>
  <c r="C17" i="7"/>
  <c r="V15" i="7"/>
  <c r="X15" i="7" s="1"/>
  <c r="V14" i="7"/>
  <c r="X14" i="7" s="1"/>
  <c r="V13" i="7"/>
  <c r="X13" i="7" s="1"/>
  <c r="V12" i="7"/>
  <c r="X12" i="7" s="1"/>
  <c r="V11" i="7"/>
  <c r="X11" i="7" s="1"/>
  <c r="V10" i="7"/>
  <c r="X10" i="7" s="1"/>
  <c r="V9" i="7"/>
  <c r="X9" i="7" s="1"/>
  <c r="V6" i="7"/>
  <c r="X6" i="7" s="1"/>
  <c r="W17" i="6"/>
  <c r="U17" i="6"/>
  <c r="T17" i="6"/>
  <c r="S17" i="6"/>
  <c r="R17" i="6"/>
  <c r="Q17" i="6"/>
  <c r="P17" i="6"/>
  <c r="J17" i="6"/>
  <c r="I17" i="6"/>
  <c r="H17" i="6"/>
  <c r="G17" i="6"/>
  <c r="F17" i="6"/>
  <c r="E17" i="6"/>
  <c r="D17" i="6"/>
  <c r="C17" i="6"/>
  <c r="B17" i="6"/>
  <c r="V16" i="6"/>
  <c r="X16" i="6" s="1"/>
  <c r="V15" i="6"/>
  <c r="X15" i="6" s="1"/>
  <c r="V14" i="6"/>
  <c r="X14" i="6" s="1"/>
  <c r="V13" i="6"/>
  <c r="X13" i="6" s="1"/>
  <c r="V12" i="6"/>
  <c r="X12" i="6" s="1"/>
  <c r="V11" i="6"/>
  <c r="V10" i="6"/>
  <c r="X10" i="6" s="1"/>
  <c r="X9" i="6"/>
  <c r="V8" i="6"/>
  <c r="V7" i="6"/>
  <c r="X7" i="6" s="1"/>
  <c r="V6" i="6"/>
  <c r="X6" i="6" s="1"/>
  <c r="W17" i="5"/>
  <c r="U17" i="5"/>
  <c r="T17" i="5"/>
  <c r="S17" i="5"/>
  <c r="R17" i="5"/>
  <c r="Q17" i="5"/>
  <c r="K17" i="5"/>
  <c r="J17" i="5"/>
  <c r="I17" i="5"/>
  <c r="H17" i="5"/>
  <c r="G17" i="5"/>
  <c r="F17" i="5"/>
  <c r="E17" i="5"/>
  <c r="D17" i="5"/>
  <c r="C17" i="5"/>
  <c r="B17" i="5"/>
  <c r="V16" i="5"/>
  <c r="X16" i="5" s="1"/>
  <c r="V15" i="5"/>
  <c r="X15" i="5" s="1"/>
  <c r="V14" i="5"/>
  <c r="X14" i="5" s="1"/>
  <c r="V13" i="5"/>
  <c r="X13" i="5" s="1"/>
  <c r="V12" i="5"/>
  <c r="X12" i="5" s="1"/>
  <c r="V11" i="5"/>
  <c r="X11" i="5" s="1"/>
  <c r="V10" i="5"/>
  <c r="X10" i="5" s="1"/>
  <c r="V9" i="5"/>
  <c r="X9" i="5" s="1"/>
  <c r="V8" i="5"/>
  <c r="X8" i="5" s="1"/>
  <c r="V7" i="5"/>
  <c r="X7" i="5" s="1"/>
  <c r="V6" i="5"/>
  <c r="X6" i="5" s="1"/>
  <c r="X8" i="6" l="1"/>
  <c r="X8" i="8"/>
  <c r="X11" i="6"/>
  <c r="V17" i="7"/>
  <c r="X17" i="7" s="1"/>
  <c r="V17" i="6"/>
  <c r="X17" i="6" s="1"/>
  <c r="V17" i="5"/>
  <c r="X17" i="5" s="1"/>
  <c r="J17" i="8"/>
  <c r="H17" i="8"/>
  <c r="V13" i="8"/>
  <c r="X13" i="8" s="1"/>
  <c r="X9" i="8"/>
  <c r="X7" i="8"/>
  <c r="V15" i="8"/>
  <c r="X15" i="8" s="1"/>
  <c r="F17" i="8"/>
  <c r="S17" i="8"/>
  <c r="T17" i="8"/>
  <c r="R17" i="8"/>
  <c r="V16" i="8"/>
  <c r="X16" i="8" s="1"/>
  <c r="V12" i="8"/>
  <c r="X12" i="8" s="1"/>
  <c r="K17" i="8"/>
  <c r="I17" i="8"/>
  <c r="G17" i="8"/>
  <c r="E17" i="8"/>
  <c r="D17" i="8"/>
  <c r="V14" i="8"/>
  <c r="X14" i="8" s="1"/>
  <c r="V10" i="8"/>
  <c r="X10" i="8" s="1"/>
  <c r="C17" i="8"/>
  <c r="B17" i="8"/>
  <c r="V6" i="8"/>
  <c r="V11" i="8" l="1"/>
  <c r="X11" i="8" s="1"/>
  <c r="Q17" i="8"/>
  <c r="C22" i="8" s="1"/>
  <c r="X6" i="8"/>
  <c r="C23" i="8" l="1"/>
  <c r="V17" i="8"/>
  <c r="X17" i="8" s="1"/>
  <c r="C24" i="8"/>
</calcChain>
</file>

<file path=xl/comments1.xml><?xml version="1.0" encoding="utf-8"?>
<comments xmlns="http://schemas.openxmlformats.org/spreadsheetml/2006/main">
  <authors>
    <author>Neang Vanton</author>
  </authors>
  <commentList>
    <comment ref="W8" authorId="0" shapeId="0">
      <text>
        <r>
          <rPr>
            <b/>
            <sz val="9"/>
            <color indexed="81"/>
            <rFont val="Tahoma"/>
            <family val="2"/>
          </rPr>
          <t>Unfinsihed Sewing output by Styly : GPRC393SF  , total =50PCS</t>
        </r>
      </text>
    </comment>
  </commentList>
</comments>
</file>

<file path=xl/comments2.xml><?xml version="1.0" encoding="utf-8"?>
<comments xmlns="http://schemas.openxmlformats.org/spreadsheetml/2006/main">
  <authors>
    <author>Neang Vanton</author>
  </authors>
  <commentList>
    <comment ref="W8" authorId="0" shapeId="0">
      <text>
        <r>
          <rPr>
            <b/>
            <sz val="9"/>
            <color indexed="81"/>
            <rFont val="Tahoma"/>
            <family val="2"/>
          </rPr>
          <t>Style GPPC399 have 75pcs
semi-finish products
NO label pants.</t>
        </r>
      </text>
    </comment>
  </commentList>
</comments>
</file>

<file path=xl/sharedStrings.xml><?xml version="1.0" encoding="utf-8"?>
<sst xmlns="http://schemas.openxmlformats.org/spreadsheetml/2006/main" count="286" uniqueCount="47">
  <si>
    <t>Kinds of Defect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</si>
  <si>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</si>
  <si>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</si>
  <si>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</si>
  <si>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</si>
  <si>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</si>
  <si>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</si>
  <si>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</si>
  <si>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</si>
  <si>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</si>
  <si>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</si>
  <si>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</si>
  <si>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Total Defect</t>
  </si>
  <si>
    <t>Sewing Output</t>
  </si>
  <si>
    <t>Pecentage</t>
  </si>
  <si>
    <t>Ttl</t>
  </si>
  <si>
    <t>Top 3 Defect High Lighted per line</t>
  </si>
  <si>
    <t>Lines</t>
  </si>
  <si>
    <t>Top 3 Defect High Lighted per week</t>
  </si>
  <si>
    <t>DATE</t>
  </si>
  <si>
    <t>TOP 1</t>
  </si>
  <si>
    <t>TOP 2</t>
  </si>
  <si>
    <t>TOP 3</t>
  </si>
  <si>
    <t>TOP 3 DEFECT FOR THE WEEK</t>
  </si>
  <si>
    <r>
      <rPr>
        <b/>
        <sz val="18"/>
        <color theme="1"/>
        <rFont val="Khmer OS Muol Light"/>
      </rPr>
      <t>វ៉ានធីជ រីវើរ ថេកស្ថាយ</t>
    </r>
    <r>
      <rPr>
        <b/>
        <sz val="20"/>
        <color theme="1"/>
        <rFont val="Times New Roman"/>
        <family val="1"/>
      </rPr>
      <t xml:space="preserve">
VANTAGE RIVER TEXTILES CO., LTD.</t>
    </r>
  </si>
  <si>
    <t>Dropped Stitch</t>
  </si>
  <si>
    <t xml:space="preserve">Shading </t>
  </si>
  <si>
    <t xml:space="preserve">Poor Trimming </t>
  </si>
  <si>
    <t>Non Symtric Parts</t>
  </si>
  <si>
    <t>Sweep Bowing</t>
  </si>
  <si>
    <t>Skipped stitch</t>
  </si>
  <si>
    <t>Puckering or twisted</t>
  </si>
  <si>
    <t xml:space="preserve">Broken stitch </t>
  </si>
  <si>
    <t>No Backtack</t>
  </si>
  <si>
    <t>Raw Edges</t>
  </si>
  <si>
    <t>Incorrect stitch count</t>
  </si>
  <si>
    <t>Incorrect seam allowance</t>
  </si>
  <si>
    <t>Missing ops</t>
  </si>
  <si>
    <t>Wrong label</t>
  </si>
  <si>
    <t>Head Prominent</t>
  </si>
  <si>
    <t>Double stitches</t>
  </si>
  <si>
    <t xml:space="preserve">Stain &amp; Dirty from sewing </t>
  </si>
  <si>
    <t xml:space="preserve">Stain &amp; Dirty from dyeing </t>
  </si>
  <si>
    <t>Fabric damage</t>
  </si>
  <si>
    <t>Sewing damage</t>
  </si>
  <si>
    <t>TOP 3 lines with high % of Defect for week 1</t>
  </si>
  <si>
    <t>Week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</si>
</sst>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3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20"/>
      <color theme="1"/>
      <name val="Times New Roman"/>
      <family val="1"/>
    </font>
    <font>
      <sz val="10"/>
      <name val="Arial"/>
      <family val="2"/>
    </font>
    <font>
      <sz val="8"/>
      <color theme="1"/>
      <name val="Times New Roman"/>
      <family val="1"/>
    </font>
    <font>
      <sz val="9"/>
      <name val="Calibri"/>
      <family val="3"/>
      <charset val="134"/>
      <scheme val="minor"/>
    </font>
    <font>
      <b/>
      <sz val="18"/>
      <color theme="1"/>
      <name val="Khmer OS Muol Light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42">
    <xf numFmtId="0" fontId="0" fillId="0" borderId="0" xfId="0"/>
    <xf numFmtId="0" fontId="0" fillId="0" borderId="0" xfId="0"/>
    <xf numFmtId="0" fontId="3" fillId="3" borderId="0" xfId="0" applyFont="1" applyFill="1" applyAlignment="1">
      <alignment vertical="center"/>
    </xf>
    <xf numFmtId="0" fontId="4" fillId="3" borderId="0" xfId="0" applyFont="1" applyFill="1" applyAlignment="1"/>
    <xf numFmtId="0" fontId="3" fillId="3" borderId="2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/>
    <xf numFmtId="0" fontId="1" fillId="3" borderId="6" xfId="0" applyFont="1" applyFill="1" applyBorder="1"/>
    <xf numFmtId="0" fontId="1" fillId="3" borderId="1" xfId="0" applyFont="1" applyFill="1" applyBorder="1" applyAlignment="1"/>
    <xf numFmtId="0" fontId="1" fillId="3" borderId="6" xfId="0" applyFont="1" applyFill="1" applyBorder="1" applyAlignment="1"/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/>
    <xf numFmtId="20" fontId="3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top" wrapText="1"/>
    </xf>
    <xf numFmtId="0" fontId="3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" fillId="2" borderId="7" xfId="0" applyFont="1" applyFill="1" applyBorder="1"/>
    <xf numFmtId="0" fontId="1" fillId="2" borderId="7" xfId="0" applyNumberFormat="1" applyFont="1" applyFill="1" applyBorder="1"/>
    <xf numFmtId="0" fontId="4" fillId="3" borderId="0" xfId="0" applyFont="1" applyFill="1" applyAlignment="1">
      <alignment horizontal="center" vertical="center" wrapText="1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16" fontId="1" fillId="3" borderId="3" xfId="0" applyNumberFormat="1" applyFont="1" applyFill="1" applyBorder="1" applyAlignment="1">
      <alignment horizontal="center"/>
    </xf>
    <xf numFmtId="16" fontId="1" fillId="3" borderId="4" xfId="0" applyNumberFormat="1" applyFont="1" applyFill="1" applyBorder="1" applyAlignment="1">
      <alignment horizontal="center"/>
    </xf>
    <xf numFmtId="16" fontId="1" fillId="3" borderId="5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90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>
                <a:latin typeface="Times New Roman" pitchFamily="18" charset="0"/>
                <a:cs typeface="Times New Roman" pitchFamily="18" charset="0"/>
              </a:rPr>
              <a:t>sewing line defect rate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5258360026545388E-2"/>
          <c:y val="0.10404383802802762"/>
          <c:w val="0.91212256873246478"/>
          <c:h val="0.8320760338888580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'SEP21'!$A$6:$A$16</c:f>
              <c:strCache>
                <c:ptCount val="11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</c:strCache>
            </c:strRef>
          </c:cat>
          <c:val>
            <c:numRef>
              <c:f>'SEP21'!$X$6:$X$16</c:f>
              <c:numCache>
                <c:formatCode>0.0%</c:formatCode>
                <c:ptCount val="11"/>
                <c:pt idx="0">
                  <c:v>5.4545454545454543E-2</c:v>
                </c:pt>
                <c:pt idx="1">
                  <c:v>5.5072463768115941E-2</c:v>
                </c:pt>
                <c:pt idx="2">
                  <c:v>0.192</c:v>
                </c:pt>
                <c:pt idx="3">
                  <c:v>0.21839080459770116</c:v>
                </c:pt>
                <c:pt idx="4">
                  <c:v>4.1666666666666664E-2</c:v>
                </c:pt>
                <c:pt idx="5">
                  <c:v>0.10833333333333334</c:v>
                </c:pt>
                <c:pt idx="6">
                  <c:v>0.27500000000000002</c:v>
                </c:pt>
                <c:pt idx="7">
                  <c:v>0.14000000000000001</c:v>
                </c:pt>
                <c:pt idx="8">
                  <c:v>4.7770700636942678E-2</c:v>
                </c:pt>
                <c:pt idx="9">
                  <c:v>7.4999999999999997E-2</c:v>
                </c:pt>
                <c:pt idx="10">
                  <c:v>6.5789473684210523E-2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76-4486-A6E3-D616952EB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4510128"/>
        <c:axId val="1754521552"/>
      </c:barChart>
      <c:catAx>
        <c:axId val="17545101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54521552"/>
        <c:crosses val="autoZero"/>
        <c:auto val="1"/>
        <c:lblAlgn val="ctr"/>
        <c:lblOffset val="100"/>
        <c:noMultiLvlLbl val="0"/>
      </c:catAx>
      <c:valAx>
        <c:axId val="175452155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754510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3868129280673684"/>
          <c:y val="0.82050509907635549"/>
          <c:w val="5.4282647386754763E-2"/>
          <c:h val="0.14016008495121321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44" l="0.70000000000000062" r="0.70000000000000062" t="0.750000000000003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>
                <a:latin typeface="Times New Roman" pitchFamily="18" charset="0"/>
                <a:cs typeface="Times New Roman" pitchFamily="18" charset="0"/>
              </a:rPr>
              <a:t>sewing line defect rate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5258360026545388E-2"/>
          <c:y val="0.10404383802802762"/>
          <c:w val="0.91212256873246478"/>
          <c:h val="0.8320760338888580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'SEP22'!$A$6:$A$16</c:f>
              <c:strCache>
                <c:ptCount val="11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</c:strCache>
            </c:strRef>
          </c:cat>
          <c:val>
            <c:numRef>
              <c:f>'SEP22'!$X$6:$X$16</c:f>
              <c:numCache>
                <c:formatCode>0.0%</c:formatCode>
                <c:ptCount val="11"/>
                <c:pt idx="0">
                  <c:v>6.5000000000000002E-2</c:v>
                </c:pt>
                <c:pt idx="1">
                  <c:v>5.3623188405797099E-2</c:v>
                </c:pt>
                <c:pt idx="2">
                  <c:v>0.88</c:v>
                </c:pt>
                <c:pt idx="3">
                  <c:v>0.12345679012345678</c:v>
                </c:pt>
                <c:pt idx="4">
                  <c:v>5.6306306306306307E-2</c:v>
                </c:pt>
                <c:pt idx="5">
                  <c:v>0.11666666666666667</c:v>
                </c:pt>
                <c:pt idx="6">
                  <c:v>0.2</c:v>
                </c:pt>
                <c:pt idx="7">
                  <c:v>0.16507936507936508</c:v>
                </c:pt>
                <c:pt idx="8">
                  <c:v>5.3333333333333337E-2</c:v>
                </c:pt>
                <c:pt idx="9">
                  <c:v>5.909090909090909E-2</c:v>
                </c:pt>
                <c:pt idx="10">
                  <c:v>2.9508196721311476E-2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9-4134-9C77-EC5BC5364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4523728"/>
        <c:axId val="1754522096"/>
      </c:barChart>
      <c:catAx>
        <c:axId val="17545237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54522096"/>
        <c:crosses val="autoZero"/>
        <c:auto val="1"/>
        <c:lblAlgn val="ctr"/>
        <c:lblOffset val="100"/>
        <c:noMultiLvlLbl val="0"/>
      </c:catAx>
      <c:valAx>
        <c:axId val="1754522096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75452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3868129280673684"/>
          <c:y val="0.82050509907635549"/>
          <c:w val="5.4282647386754763E-2"/>
          <c:h val="0.14016008495121321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44" l="0.70000000000000062" r="0.70000000000000062" t="0.750000000000003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>
                <a:latin typeface="Times New Roman" pitchFamily="18" charset="0"/>
                <a:cs typeface="Times New Roman" pitchFamily="18" charset="0"/>
              </a:rPr>
              <a:t>sewing line defect rate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5258360026545388E-2"/>
          <c:y val="0.10404383802802762"/>
          <c:w val="0.91212256873246478"/>
          <c:h val="0.8320760338888580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'SEP23'!$A$6:$A$16</c:f>
              <c:strCache>
                <c:ptCount val="11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</c:strCache>
            </c:strRef>
          </c:cat>
          <c:val>
            <c:numRef>
              <c:f>'SEP23'!$X$6:$X$16</c:f>
              <c:numCache>
                <c:formatCode>0.0%</c:formatCode>
                <c:ptCount val="11"/>
                <c:pt idx="0">
                  <c:v>6.8965517241379309E-2</c:v>
                </c:pt>
                <c:pt idx="1">
                  <c:v>5.9829059829059832E-2</c:v>
                </c:pt>
                <c:pt idx="2">
                  <c:v>0.15807560137457044</c:v>
                </c:pt>
                <c:pt idx="3">
                  <c:v>0.1178343949044586</c:v>
                </c:pt>
                <c:pt idx="4">
                  <c:v>3.9855072463768113E-2</c:v>
                </c:pt>
                <c:pt idx="5">
                  <c:v>0.125</c:v>
                </c:pt>
                <c:pt idx="6">
                  <c:v>0.28333333333333333</c:v>
                </c:pt>
                <c:pt idx="7">
                  <c:v>0.17454545454545456</c:v>
                </c:pt>
                <c:pt idx="8">
                  <c:v>0.11796246648793565</c:v>
                </c:pt>
                <c:pt idx="9">
                  <c:v>5.4255319148936172E-2</c:v>
                </c:pt>
                <c:pt idx="10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5C-4D2F-917C-C1113662C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4518288"/>
        <c:axId val="1754524272"/>
      </c:barChart>
      <c:catAx>
        <c:axId val="17545182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54524272"/>
        <c:crosses val="autoZero"/>
        <c:auto val="1"/>
        <c:lblAlgn val="ctr"/>
        <c:lblOffset val="100"/>
        <c:noMultiLvlLbl val="0"/>
      </c:catAx>
      <c:valAx>
        <c:axId val="175452427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754518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3868129280673684"/>
          <c:y val="0.82050509907635549"/>
          <c:w val="5.4282647386754763E-2"/>
          <c:h val="0.14016008495121321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44" l="0.70000000000000062" r="0.70000000000000062" t="0.75000000000000344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>
                <a:latin typeface="Times New Roman" pitchFamily="18" charset="0"/>
                <a:cs typeface="Times New Roman" pitchFamily="18" charset="0"/>
              </a:rPr>
              <a:t>sewing line defect rate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5258360026545388E-2"/>
          <c:y val="0.10404383802802762"/>
          <c:w val="0.91212256873246478"/>
          <c:h val="0.8320760338888580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'SEP24'!$A$6:$A$16</c:f>
              <c:strCache>
                <c:ptCount val="11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</c:strCache>
            </c:strRef>
          </c:cat>
          <c:val>
            <c:numRef>
              <c:f>'SEP24'!$X$6:$X$16</c:f>
              <c:numCache>
                <c:formatCode>0.0%</c:formatCode>
                <c:ptCount val="11"/>
                <c:pt idx="0">
                  <c:v>0.08</c:v>
                </c:pt>
                <c:pt idx="1">
                  <c:v>6.5527065527065526E-2</c:v>
                </c:pt>
                <c:pt idx="2">
                  <c:v>0.109375</c:v>
                </c:pt>
                <c:pt idx="3">
                  <c:v>0.10263157894736842</c:v>
                </c:pt>
                <c:pt idx="4">
                  <c:v>4.96031746031746E-2</c:v>
                </c:pt>
                <c:pt idx="5">
                  <c:v>0.16666666666666666</c:v>
                </c:pt>
                <c:pt idx="6">
                  <c:v>0.36458333333333331</c:v>
                </c:pt>
                <c:pt idx="7">
                  <c:v>0.16119402985074627</c:v>
                </c:pt>
                <c:pt idx="8">
                  <c:v>0.05</c:v>
                </c:pt>
                <c:pt idx="9">
                  <c:v>5.3571428571428568E-2</c:v>
                </c:pt>
                <c:pt idx="10">
                  <c:v>3.0303030303030304E-2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52-4E30-912C-FAE78E831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4514480"/>
        <c:axId val="1754515024"/>
      </c:barChart>
      <c:catAx>
        <c:axId val="17545144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54515024"/>
        <c:crosses val="autoZero"/>
        <c:auto val="1"/>
        <c:lblAlgn val="ctr"/>
        <c:lblOffset val="100"/>
        <c:noMultiLvlLbl val="0"/>
      </c:catAx>
      <c:valAx>
        <c:axId val="1754515024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754514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3868129280673684"/>
          <c:y val="0.82050509907635549"/>
          <c:w val="5.4282647386754763E-2"/>
          <c:h val="0.14016008495121321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44" l="0.70000000000000062" r="0.70000000000000062" t="0.75000000000000344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>
                <a:latin typeface="Times New Roman" pitchFamily="18" charset="0"/>
                <a:cs typeface="Times New Roman" pitchFamily="18" charset="0"/>
              </a:rPr>
              <a:t>sewing line defect rate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5258360026545388E-2"/>
          <c:y val="0.10404383802802762"/>
          <c:w val="0.91212256873246478"/>
          <c:h val="0.8320760338888580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'SEP25'!$A$6:$A$16</c:f>
              <c:strCache>
                <c:ptCount val="11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</c:strCache>
            </c:strRef>
          </c:cat>
          <c:val>
            <c:numRef>
              <c:f>'SEP25'!$X$6:$X$16</c:f>
              <c:numCache>
                <c:formatCode>0.0%</c:formatCode>
                <c:ptCount val="11"/>
                <c:pt idx="0">
                  <c:v>7.9365079365079361E-2</c:v>
                </c:pt>
                <c:pt idx="1">
                  <c:v>5.8035714285714288E-2</c:v>
                </c:pt>
                <c:pt idx="2">
                  <c:v>0.12878787878787878</c:v>
                </c:pt>
                <c:pt idx="3">
                  <c:v>0.11904761904761904</c:v>
                </c:pt>
                <c:pt idx="4">
                  <c:v>4.3749999999999997E-2</c:v>
                </c:pt>
                <c:pt idx="5">
                  <c:v>0.14166666666666666</c:v>
                </c:pt>
                <c:pt idx="6">
                  <c:v>0.31666666666666665</c:v>
                </c:pt>
                <c:pt idx="7">
                  <c:v>0.18181818181818182</c:v>
                </c:pt>
                <c:pt idx="8">
                  <c:v>4.710144927536232E-2</c:v>
                </c:pt>
                <c:pt idx="9">
                  <c:v>5.6372549019607844E-2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2-4A3A-8993-CC7217AA5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3771264"/>
        <c:axId val="1863782144"/>
      </c:barChart>
      <c:catAx>
        <c:axId val="18637712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63782144"/>
        <c:crosses val="autoZero"/>
        <c:auto val="1"/>
        <c:lblAlgn val="ctr"/>
        <c:lblOffset val="100"/>
        <c:noMultiLvlLbl val="0"/>
      </c:catAx>
      <c:valAx>
        <c:axId val="1863782144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863771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3868129280673684"/>
          <c:y val="0.82050509907635549"/>
          <c:w val="5.4282647386754763E-2"/>
          <c:h val="0.14016008495121321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44" l="0.70000000000000062" r="0.70000000000000062" t="0.75000000000000344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>
                <a:latin typeface="Times New Roman" pitchFamily="18" charset="0"/>
                <a:cs typeface="Times New Roman" pitchFamily="18" charset="0"/>
              </a:rPr>
              <a:t>sewing line defect rate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5258360026545388E-2"/>
          <c:y val="0.10404383802802762"/>
          <c:w val="0.91212256873246478"/>
          <c:h val="0.8320760338888580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'SEP26'!$A$6:$A$16</c:f>
              <c:strCache>
                <c:ptCount val="11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</c:strCache>
            </c:strRef>
          </c:cat>
          <c:val>
            <c:numRef>
              <c:f>'SEP26'!$X$6:$X$16</c:f>
              <c:numCache>
                <c:formatCode>0.0%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92-42CD-A3CF-CE95A1FE1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3777792"/>
        <c:axId val="1863769632"/>
      </c:barChart>
      <c:catAx>
        <c:axId val="18637777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63769632"/>
        <c:crosses val="autoZero"/>
        <c:auto val="1"/>
        <c:lblAlgn val="ctr"/>
        <c:lblOffset val="100"/>
        <c:noMultiLvlLbl val="0"/>
      </c:catAx>
      <c:valAx>
        <c:axId val="186376963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863777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3868129280673684"/>
          <c:y val="0.82050509907635549"/>
          <c:w val="5.4282647386754763E-2"/>
          <c:h val="0.14016008495121321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44" l="0.70000000000000062" r="0.70000000000000062" t="0.75000000000000344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'week 12'!$Y$6:$Y$16</c:f>
              <c:strCache>
                <c:ptCount val="11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  <c:pt idx="7">
                  <c:v>L8</c:v>
                </c:pt>
                <c:pt idx="8">
                  <c:v>L9</c:v>
                </c:pt>
                <c:pt idx="9">
                  <c:v>L10</c:v>
                </c:pt>
                <c:pt idx="10">
                  <c:v>L11</c:v>
                </c:pt>
              </c:strCache>
            </c:strRef>
          </c:cat>
          <c:val>
            <c:numRef>
              <c:f>'week 12'!$X$6:$X$16</c:f>
              <c:numCache>
                <c:formatCode>0.0%</c:formatCode>
                <c:ptCount val="11"/>
                <c:pt idx="0">
                  <c:v>6.7218200620475704E-2</c:v>
                </c:pt>
                <c:pt idx="1">
                  <c:v>5.8449074074074077E-2</c:v>
                </c:pt>
                <c:pt idx="2">
                  <c:v>0.15527488855869243</c:v>
                </c:pt>
                <c:pt idx="3">
                  <c:v>0.12742382271468145</c:v>
                </c:pt>
                <c:pt idx="4">
                  <c:v>4.5736434108527131E-2</c:v>
                </c:pt>
                <c:pt idx="5">
                  <c:v>0.13020833333333334</c:v>
                </c:pt>
                <c:pt idx="6">
                  <c:v>0.28472222222222221</c:v>
                </c:pt>
                <c:pt idx="7">
                  <c:v>0.16482758620689655</c:v>
                </c:pt>
                <c:pt idx="8">
                  <c:v>6.5898912348048622E-2</c:v>
                </c:pt>
                <c:pt idx="9">
                  <c:v>6.0398230088495576E-2</c:v>
                </c:pt>
                <c:pt idx="10">
                  <c:v>3.5202086049543675E-2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B0-41BA-9783-712326CD6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3772896"/>
        <c:axId val="1863778336"/>
      </c:barChart>
      <c:catAx>
        <c:axId val="18637728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63778336"/>
        <c:crosses val="autoZero"/>
        <c:auto val="1"/>
        <c:lblAlgn val="ctr"/>
        <c:lblOffset val="100"/>
        <c:noMultiLvlLbl val="0"/>
      </c:catAx>
      <c:valAx>
        <c:axId val="1863778336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8637728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367845230950226E-2"/>
          <c:y val="5.4354496827137111E-2"/>
          <c:w val="0.92583698368761924"/>
          <c:h val="0.63630339878401276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'week 12'!$B$5:$U$5</c:f>
              <c:strCache>
                <c:ptCount val="20"/>
                <c:pt idx="0">
                  <c:v>Dropped Stitch</c:v>
                </c:pt>
                <c:pt idx="1">
                  <c:v>Shading </c:v>
                </c:pt>
                <c:pt idx="2">
                  <c:v>Poor Trimming </c:v>
                </c:pt>
                <c:pt idx="3">
                  <c:v>Non Symtric Parts</c:v>
                </c:pt>
                <c:pt idx="4">
                  <c:v>Sweep Bowing</c:v>
                </c:pt>
                <c:pt idx="5">
                  <c:v>Skipped stitch</c:v>
                </c:pt>
                <c:pt idx="6">
                  <c:v>Puckering or twisted</c:v>
                </c:pt>
                <c:pt idx="7">
                  <c:v>Broken stitch </c:v>
                </c:pt>
                <c:pt idx="8">
                  <c:v>No Backtack</c:v>
                </c:pt>
                <c:pt idx="9">
                  <c:v>Raw Edges</c:v>
                </c:pt>
                <c:pt idx="10">
                  <c:v>Incorrect stitch count</c:v>
                </c:pt>
                <c:pt idx="11">
                  <c:v>Incorrect seam allowance</c:v>
                </c:pt>
                <c:pt idx="12">
                  <c:v>Missing ops</c:v>
                </c:pt>
                <c:pt idx="13">
                  <c:v>Wrong label</c:v>
                </c:pt>
                <c:pt idx="14">
                  <c:v>Head Prominent</c:v>
                </c:pt>
                <c:pt idx="15">
                  <c:v>Double stitches</c:v>
                </c:pt>
                <c:pt idx="16">
                  <c:v>Stain &amp; Dirty from sewing </c:v>
                </c:pt>
                <c:pt idx="17">
                  <c:v>Stain &amp; Dirty from dyeing </c:v>
                </c:pt>
                <c:pt idx="18">
                  <c:v>Fabric damage</c:v>
                </c:pt>
                <c:pt idx="19">
                  <c:v>Sewing damage</c:v>
                </c:pt>
              </c:strCache>
            </c:strRef>
          </c:cat>
          <c:val>
            <c:numRef>
              <c:f>'week 12'!$B$17:$U$17</c:f>
              <c:numCache>
                <c:formatCode>General</c:formatCode>
                <c:ptCount val="20"/>
                <c:pt idx="0">
                  <c:v>209</c:v>
                </c:pt>
                <c:pt idx="1">
                  <c:v>0</c:v>
                </c:pt>
                <c:pt idx="2">
                  <c:v>124</c:v>
                </c:pt>
                <c:pt idx="3">
                  <c:v>104</c:v>
                </c:pt>
                <c:pt idx="4">
                  <c:v>42</c:v>
                </c:pt>
                <c:pt idx="5">
                  <c:v>151</c:v>
                </c:pt>
                <c:pt idx="6">
                  <c:v>72</c:v>
                </c:pt>
                <c:pt idx="7">
                  <c:v>189</c:v>
                </c:pt>
                <c:pt idx="8">
                  <c:v>103</c:v>
                </c:pt>
                <c:pt idx="9">
                  <c:v>103</c:v>
                </c:pt>
                <c:pt idx="10">
                  <c:v>2</c:v>
                </c:pt>
                <c:pt idx="11">
                  <c:v>64</c:v>
                </c:pt>
                <c:pt idx="12">
                  <c:v>18</c:v>
                </c:pt>
                <c:pt idx="13">
                  <c:v>0</c:v>
                </c:pt>
                <c:pt idx="14">
                  <c:v>76</c:v>
                </c:pt>
                <c:pt idx="15">
                  <c:v>155</c:v>
                </c:pt>
                <c:pt idx="16">
                  <c:v>134</c:v>
                </c:pt>
                <c:pt idx="17">
                  <c:v>218</c:v>
                </c:pt>
                <c:pt idx="18">
                  <c:v>22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B-48D9-A655-0B091AC5B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3781056"/>
        <c:axId val="1863784320"/>
      </c:barChart>
      <c:catAx>
        <c:axId val="18637810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63784320"/>
        <c:crosses val="autoZero"/>
        <c:auto val="1"/>
        <c:lblAlgn val="ctr"/>
        <c:lblOffset val="100"/>
        <c:noMultiLvlLbl val="0"/>
      </c:catAx>
      <c:valAx>
        <c:axId val="1863784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637810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22</xdr:row>
      <xdr:rowOff>114300</xdr:rowOff>
    </xdr:from>
    <xdr:to>
      <xdr:col>23</xdr:col>
      <xdr:colOff>238125</xdr:colOff>
      <xdr:row>40</xdr:row>
      <xdr:rowOff>161925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660401</xdr:colOff>
      <xdr:row>0</xdr:row>
      <xdr:rowOff>42333</xdr:rowOff>
    </xdr:from>
    <xdr:to>
      <xdr:col>13</xdr:col>
      <xdr:colOff>423334</xdr:colOff>
      <xdr:row>2</xdr:row>
      <xdr:rowOff>232261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0153A3-B47D-487E-B1AD-9F1457DDF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401" y="42333"/>
          <a:ext cx="7975600" cy="7148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21</xdr:row>
      <xdr:rowOff>38100</xdr:rowOff>
    </xdr:from>
    <xdr:to>
      <xdr:col>22</xdr:col>
      <xdr:colOff>600075</xdr:colOff>
      <xdr:row>40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42333</xdr:colOff>
      <xdr:row>0</xdr:row>
      <xdr:rowOff>0</xdr:rowOff>
    </xdr:from>
    <xdr:to>
      <xdr:col>14</xdr:col>
      <xdr:colOff>550333</xdr:colOff>
      <xdr:row>2</xdr:row>
      <xdr:rowOff>254432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21FAF3-9251-4CDD-81DE-575D2CD12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6666" y="0"/>
          <a:ext cx="8695267" cy="7793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752475</xdr:colOff>
      <xdr:row>21</xdr:row>
      <xdr:rowOff>9525</xdr:rowOff>
    </xdr:from>
    <xdr:to>
      <xdr:col>22</xdr:col>
      <xdr:colOff>571500</xdr:colOff>
      <xdr:row>41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753535</xdr:colOff>
      <xdr:row>0</xdr:row>
      <xdr:rowOff>8467</xdr:rowOff>
    </xdr:from>
    <xdr:to>
      <xdr:col>14</xdr:col>
      <xdr:colOff>406401</xdr:colOff>
      <xdr:row>2</xdr:row>
      <xdr:rowOff>260623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74C491-E39E-4E21-861A-4F95135AD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3535" y="8467"/>
          <a:ext cx="8669866" cy="77708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20</xdr:row>
      <xdr:rowOff>171450</xdr:rowOff>
    </xdr:from>
    <xdr:to>
      <xdr:col>23</xdr:col>
      <xdr:colOff>0</xdr:colOff>
      <xdr:row>40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541866</xdr:colOff>
      <xdr:row>0</xdr:row>
      <xdr:rowOff>25400</xdr:rowOff>
    </xdr:from>
    <xdr:to>
      <xdr:col>13</xdr:col>
      <xdr:colOff>474132</xdr:colOff>
      <xdr:row>2</xdr:row>
      <xdr:rowOff>246442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FF0309-F91A-4577-9B5B-422E08BFC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866" y="25400"/>
          <a:ext cx="8322733" cy="745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21</xdr:row>
      <xdr:rowOff>76200</xdr:rowOff>
    </xdr:from>
    <xdr:to>
      <xdr:col>22</xdr:col>
      <xdr:colOff>581025</xdr:colOff>
      <xdr:row>40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279400</xdr:colOff>
      <xdr:row>0</xdr:row>
      <xdr:rowOff>59267</xdr:rowOff>
    </xdr:from>
    <xdr:to>
      <xdr:col>13</xdr:col>
      <xdr:colOff>372533</xdr:colOff>
      <xdr:row>2</xdr:row>
      <xdr:rowOff>222634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3FBD8D-C3F8-4E28-82B1-EF56B83C2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3733" y="59267"/>
          <a:ext cx="7679267" cy="688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21</xdr:row>
      <xdr:rowOff>38100</xdr:rowOff>
    </xdr:from>
    <xdr:to>
      <xdr:col>22</xdr:col>
      <xdr:colOff>590550</xdr:colOff>
      <xdr:row>41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762000</xdr:colOff>
      <xdr:row>0</xdr:row>
      <xdr:rowOff>25400</xdr:rowOff>
    </xdr:from>
    <xdr:to>
      <xdr:col>14</xdr:col>
      <xdr:colOff>228600</xdr:colOff>
      <xdr:row>2</xdr:row>
      <xdr:rowOff>262378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BAF4B7-58B5-4761-BF1C-905B7B3A5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25400"/>
          <a:ext cx="8500533" cy="7619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552450</xdr:colOff>
      <xdr:row>5</xdr:row>
      <xdr:rowOff>57150</xdr:rowOff>
    </xdr:from>
    <xdr:to>
      <xdr:col>33</xdr:col>
      <xdr:colOff>85725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18</xdr:row>
      <xdr:rowOff>57150</xdr:rowOff>
    </xdr:from>
    <xdr:to>
      <xdr:col>18</xdr:col>
      <xdr:colOff>342900</xdr:colOff>
      <xdr:row>34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723900</xdr:colOff>
      <xdr:row>0</xdr:row>
      <xdr:rowOff>76200</xdr:rowOff>
    </xdr:from>
    <xdr:to>
      <xdr:col>3</xdr:col>
      <xdr:colOff>430794</xdr:colOff>
      <xdr:row>2</xdr:row>
      <xdr:rowOff>213360</xdr:rowOff>
    </xdr:to>
    <xdr:pic>
      <xdr:nvPicPr>
        <xdr:cNvPr id="8" name="Picture 5" descr="D:\VRT Docs\Company Profile\VRT Logo\Vantage Logo Big1.jpg">
          <a:extLst>
            <a:ext uri="{FF2B5EF4-FFF2-40B4-BE49-F238E27FC236}">
              <a16:creationId xmlns:a16="http://schemas.microsoft.com/office/drawing/2014/main" id="{4A4B4DEB-3871-423F-8216-8957EE0E6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76200"/>
          <a:ext cx="1840494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0"/>
  <sheetViews>
    <sheetView tabSelected="1" zoomScale="90" zoomScaleNormal="90" workbookViewId="0">
      <selection activeCell="W7" sqref="W7"/>
    </sheetView>
  </sheetViews>
  <sheetFormatPr defaultRowHeight="15"/>
  <cols>
    <col min="1" max="1" width="11.7109375" style="1" customWidth="1"/>
    <col min="2" max="6" width="9.140625" style="1"/>
    <col min="7" max="7" width="10.28515625" style="1" customWidth="1"/>
    <col min="8" max="16384" width="9.140625" style="1"/>
  </cols>
  <sheetData>
    <row r="1" spans="1:24" ht="26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15" customHeigh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21.7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2" t="s">
        <v>19</v>
      </c>
      <c r="W3" s="23"/>
      <c r="X3" s="24"/>
    </row>
    <row r="4" spans="1:24" ht="21.75" customHeight="1">
      <c r="A4" s="4"/>
      <c r="B4" s="28" t="s">
        <v>0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30"/>
      <c r="V4" s="25">
        <v>46286</v>
      </c>
      <c r="W4" s="26"/>
      <c r="X4" s="27"/>
    </row>
    <row r="5" spans="1:24" ht="51">
      <c r="A5" s="5"/>
      <c r="B5" s="15" t="s">
        <v>25</v>
      </c>
      <c r="C5" s="15" t="s">
        <v>26</v>
      </c>
      <c r="D5" s="15" t="s">
        <v>27</v>
      </c>
      <c r="E5" s="15" t="s">
        <v>28</v>
      </c>
      <c r="F5" s="15" t="s">
        <v>29</v>
      </c>
      <c r="G5" s="15" t="s">
        <v>30</v>
      </c>
      <c r="H5" s="15" t="s">
        <v>31</v>
      </c>
      <c r="I5" s="15" t="s">
        <v>32</v>
      </c>
      <c r="J5" s="15" t="s">
        <v>33</v>
      </c>
      <c r="K5" s="15" t="s">
        <v>34</v>
      </c>
      <c r="L5" s="15" t="s">
        <v>35</v>
      </c>
      <c r="M5" s="15" t="s">
        <v>36</v>
      </c>
      <c r="N5" s="15" t="s">
        <v>37</v>
      </c>
      <c r="O5" s="15" t="s">
        <v>38</v>
      </c>
      <c r="P5" s="15" t="s">
        <v>39</v>
      </c>
      <c r="Q5" s="15" t="s">
        <v>40</v>
      </c>
      <c r="R5" s="15" t="s">
        <v>41</v>
      </c>
      <c r="S5" s="15" t="s">
        <v>42</v>
      </c>
      <c r="T5" s="15" t="s">
        <v>43</v>
      </c>
      <c r="U5" s="15" t="s">
        <v>44</v>
      </c>
      <c r="V5" s="15" t="s">
        <v>12</v>
      </c>
      <c r="W5" s="15" t="s">
        <v>13</v>
      </c>
      <c r="X5" s="15" t="s">
        <v>14</v>
      </c>
    </row>
    <row r="6" spans="1:24" ht="20.25" customHeight="1">
      <c r="A6" s="10" t="s">
        <v>1</v>
      </c>
      <c r="B6" s="6">
        <v>3</v>
      </c>
      <c r="C6" s="6"/>
      <c r="D6" s="6">
        <v>2</v>
      </c>
      <c r="E6" s="6">
        <v>1</v>
      </c>
      <c r="F6" s="6"/>
      <c r="G6" s="6">
        <v>2</v>
      </c>
      <c r="H6" s="6"/>
      <c r="I6" s="6">
        <v>2</v>
      </c>
      <c r="J6" s="6"/>
      <c r="K6" s="6"/>
      <c r="L6" s="6"/>
      <c r="M6" s="6"/>
      <c r="N6" s="6">
        <v>2</v>
      </c>
      <c r="O6" s="6"/>
      <c r="P6" s="6"/>
      <c r="Q6" s="6"/>
      <c r="R6" s="6">
        <v>3</v>
      </c>
      <c r="S6" s="6"/>
      <c r="T6" s="6"/>
      <c r="U6" s="6"/>
      <c r="V6" s="6">
        <f>SUM(B6:U6)</f>
        <v>15</v>
      </c>
      <c r="W6" s="8">
        <v>275</v>
      </c>
      <c r="X6" s="13">
        <f>V6/W6</f>
        <v>5.4545454545454543E-2</v>
      </c>
    </row>
    <row r="7" spans="1:24" ht="20.25" customHeight="1">
      <c r="A7" s="10" t="s">
        <v>2</v>
      </c>
      <c r="B7" s="6">
        <v>2</v>
      </c>
      <c r="C7" s="6"/>
      <c r="D7" s="6">
        <v>7</v>
      </c>
      <c r="E7" s="6">
        <v>6</v>
      </c>
      <c r="F7" s="6">
        <v>1</v>
      </c>
      <c r="G7" s="6">
        <v>3</v>
      </c>
      <c r="H7" s="6">
        <v>1</v>
      </c>
      <c r="I7" s="6">
        <v>1</v>
      </c>
      <c r="J7" s="6">
        <v>1</v>
      </c>
      <c r="K7" s="6"/>
      <c r="L7" s="6"/>
      <c r="M7" s="6"/>
      <c r="N7" s="6"/>
      <c r="O7" s="6"/>
      <c r="P7" s="6">
        <v>6</v>
      </c>
      <c r="Q7" s="6">
        <v>3</v>
      </c>
      <c r="R7" s="6">
        <v>7</v>
      </c>
      <c r="S7" s="6"/>
      <c r="T7" s="6"/>
      <c r="U7" s="6"/>
      <c r="V7" s="6">
        <f t="shared" ref="V7:V16" si="0">SUM(B7:U7)</f>
        <v>38</v>
      </c>
      <c r="W7" s="8">
        <v>690</v>
      </c>
      <c r="X7" s="13">
        <f t="shared" ref="X7:X17" si="1">V7/W7</f>
        <v>5.5072463768115941E-2</v>
      </c>
    </row>
    <row r="8" spans="1:24" ht="20.25" customHeight="1">
      <c r="A8" s="10" t="s">
        <v>3</v>
      </c>
      <c r="B8" s="6">
        <v>9</v>
      </c>
      <c r="C8" s="6"/>
      <c r="D8" s="6">
        <v>12</v>
      </c>
      <c r="E8" s="6">
        <v>1</v>
      </c>
      <c r="F8" s="6"/>
      <c r="G8" s="6">
        <v>5</v>
      </c>
      <c r="H8" s="6">
        <v>2</v>
      </c>
      <c r="I8" s="6">
        <v>4</v>
      </c>
      <c r="J8" s="6"/>
      <c r="K8" s="6">
        <v>1</v>
      </c>
      <c r="L8" s="6"/>
      <c r="M8" s="6"/>
      <c r="N8" s="6"/>
      <c r="O8" s="6"/>
      <c r="P8" s="6">
        <v>2</v>
      </c>
      <c r="Q8" s="6">
        <v>10</v>
      </c>
      <c r="R8" s="6"/>
      <c r="S8" s="6">
        <v>2</v>
      </c>
      <c r="T8" s="6"/>
      <c r="U8" s="6"/>
      <c r="V8" s="6">
        <f t="shared" si="0"/>
        <v>48</v>
      </c>
      <c r="W8" s="8">
        <v>250</v>
      </c>
      <c r="X8" s="13">
        <f t="shared" si="1"/>
        <v>0.192</v>
      </c>
    </row>
    <row r="9" spans="1:24" ht="20.25" customHeight="1">
      <c r="A9" s="14" t="s">
        <v>4</v>
      </c>
      <c r="B9" s="6">
        <v>5</v>
      </c>
      <c r="C9" s="6"/>
      <c r="D9" s="6"/>
      <c r="E9" s="6">
        <v>5</v>
      </c>
      <c r="F9" s="6">
        <v>3</v>
      </c>
      <c r="G9" s="6">
        <v>2</v>
      </c>
      <c r="H9" s="6"/>
      <c r="I9" s="6">
        <v>3</v>
      </c>
      <c r="J9" s="6">
        <v>3</v>
      </c>
      <c r="K9" s="6"/>
      <c r="L9" s="6"/>
      <c r="M9" s="6">
        <v>4</v>
      </c>
      <c r="N9" s="6"/>
      <c r="O9" s="6"/>
      <c r="P9" s="6">
        <v>2</v>
      </c>
      <c r="Q9" s="6">
        <v>4</v>
      </c>
      <c r="R9" s="6">
        <v>7</v>
      </c>
      <c r="S9" s="6"/>
      <c r="T9" s="6"/>
      <c r="U9" s="6"/>
      <c r="V9" s="6">
        <f t="shared" si="0"/>
        <v>38</v>
      </c>
      <c r="W9" s="8">
        <v>174</v>
      </c>
      <c r="X9" s="13">
        <f t="shared" si="1"/>
        <v>0.21839080459770116</v>
      </c>
    </row>
    <row r="10" spans="1:24" ht="20.25" customHeight="1">
      <c r="A10" s="10" t="s">
        <v>5</v>
      </c>
      <c r="B10" s="6">
        <v>4</v>
      </c>
      <c r="C10" s="6"/>
      <c r="D10" s="6">
        <v>1</v>
      </c>
      <c r="E10" s="6">
        <v>3</v>
      </c>
      <c r="F10" s="6">
        <v>2</v>
      </c>
      <c r="G10" s="6">
        <v>3</v>
      </c>
      <c r="H10" s="6">
        <v>1</v>
      </c>
      <c r="I10" s="6">
        <v>3</v>
      </c>
      <c r="J10" s="6">
        <v>3</v>
      </c>
      <c r="K10" s="6">
        <v>1</v>
      </c>
      <c r="L10" s="6"/>
      <c r="M10" s="6"/>
      <c r="N10" s="6"/>
      <c r="O10" s="6"/>
      <c r="P10" s="6"/>
      <c r="Q10" s="6">
        <v>2</v>
      </c>
      <c r="R10" s="6"/>
      <c r="S10" s="6">
        <v>2</v>
      </c>
      <c r="T10" s="6"/>
      <c r="U10" s="6"/>
      <c r="V10" s="6">
        <f t="shared" si="0"/>
        <v>25</v>
      </c>
      <c r="W10" s="8">
        <v>600</v>
      </c>
      <c r="X10" s="13">
        <f t="shared" si="1"/>
        <v>4.1666666666666664E-2</v>
      </c>
    </row>
    <row r="11" spans="1:24" ht="20.25" customHeight="1">
      <c r="A11" s="10" t="s">
        <v>6</v>
      </c>
      <c r="B11" s="6"/>
      <c r="C11" s="6"/>
      <c r="D11" s="6">
        <v>1</v>
      </c>
      <c r="E11" s="6">
        <v>1</v>
      </c>
      <c r="F11" s="6"/>
      <c r="G11" s="6"/>
      <c r="H11" s="6"/>
      <c r="I11" s="6">
        <v>3</v>
      </c>
      <c r="J11" s="6"/>
      <c r="K11" s="6">
        <v>2</v>
      </c>
      <c r="L11" s="6"/>
      <c r="M11" s="6">
        <v>4</v>
      </c>
      <c r="N11" s="6"/>
      <c r="O11" s="6"/>
      <c r="P11" s="6"/>
      <c r="Q11" s="6">
        <v>2</v>
      </c>
      <c r="R11" s="6"/>
      <c r="S11" s="6"/>
      <c r="T11" s="6"/>
      <c r="U11" s="6"/>
      <c r="V11" s="6">
        <f t="shared" si="0"/>
        <v>13</v>
      </c>
      <c r="W11" s="8">
        <v>120</v>
      </c>
      <c r="X11" s="13">
        <f t="shared" si="1"/>
        <v>0.10833333333333334</v>
      </c>
    </row>
    <row r="12" spans="1:24" ht="20.25" customHeight="1">
      <c r="A12" s="10" t="s">
        <v>7</v>
      </c>
      <c r="B12" s="6">
        <v>4</v>
      </c>
      <c r="C12" s="6"/>
      <c r="D12" s="6"/>
      <c r="E12" s="6">
        <v>2</v>
      </c>
      <c r="F12" s="6"/>
      <c r="G12" s="6">
        <v>4</v>
      </c>
      <c r="H12" s="6"/>
      <c r="I12" s="6">
        <v>5</v>
      </c>
      <c r="J12" s="6">
        <v>6</v>
      </c>
      <c r="K12" s="6"/>
      <c r="L12" s="6"/>
      <c r="M12" s="6"/>
      <c r="N12" s="6"/>
      <c r="O12" s="6"/>
      <c r="P12" s="6"/>
      <c r="Q12" s="6">
        <v>5</v>
      </c>
      <c r="R12" s="6">
        <v>3</v>
      </c>
      <c r="S12" s="6">
        <v>3</v>
      </c>
      <c r="T12" s="6">
        <v>1</v>
      </c>
      <c r="U12" s="6"/>
      <c r="V12" s="6">
        <f t="shared" si="0"/>
        <v>33</v>
      </c>
      <c r="W12" s="8">
        <v>120</v>
      </c>
      <c r="X12" s="13">
        <f t="shared" si="1"/>
        <v>0.27500000000000002</v>
      </c>
    </row>
    <row r="13" spans="1:24" ht="20.25" customHeight="1">
      <c r="A13" s="10" t="s">
        <v>8</v>
      </c>
      <c r="B13" s="6">
        <v>7</v>
      </c>
      <c r="C13" s="6"/>
      <c r="D13" s="6"/>
      <c r="E13" s="6"/>
      <c r="F13" s="6"/>
      <c r="G13" s="6">
        <v>2</v>
      </c>
      <c r="H13" s="6"/>
      <c r="I13" s="6">
        <v>9</v>
      </c>
      <c r="J13" s="6"/>
      <c r="K13" s="6"/>
      <c r="L13" s="6"/>
      <c r="M13" s="6"/>
      <c r="N13" s="6">
        <v>3</v>
      </c>
      <c r="O13" s="6"/>
      <c r="P13" s="6"/>
      <c r="Q13" s="6">
        <v>2</v>
      </c>
      <c r="R13" s="6"/>
      <c r="S13" s="6">
        <v>12</v>
      </c>
      <c r="T13" s="6"/>
      <c r="U13" s="6"/>
      <c r="V13" s="6">
        <f t="shared" si="0"/>
        <v>35</v>
      </c>
      <c r="W13" s="8">
        <v>250</v>
      </c>
      <c r="X13" s="13">
        <f t="shared" si="1"/>
        <v>0.14000000000000001</v>
      </c>
    </row>
    <row r="14" spans="1:24" ht="20.25" customHeight="1">
      <c r="A14" s="10" t="s">
        <v>9</v>
      </c>
      <c r="B14" s="6">
        <v>3</v>
      </c>
      <c r="C14" s="6"/>
      <c r="D14" s="6"/>
      <c r="E14" s="6"/>
      <c r="F14" s="6"/>
      <c r="G14" s="6">
        <v>10</v>
      </c>
      <c r="H14" s="6">
        <v>2</v>
      </c>
      <c r="I14" s="6">
        <v>6</v>
      </c>
      <c r="J14" s="6">
        <v>2</v>
      </c>
      <c r="K14" s="6">
        <v>4</v>
      </c>
      <c r="L14" s="6"/>
      <c r="M14" s="6">
        <v>1</v>
      </c>
      <c r="N14" s="6">
        <v>1</v>
      </c>
      <c r="O14" s="6"/>
      <c r="P14" s="6">
        <v>1</v>
      </c>
      <c r="Q14" s="6"/>
      <c r="R14" s="6"/>
      <c r="S14" s="6"/>
      <c r="T14" s="6"/>
      <c r="U14" s="6"/>
      <c r="V14" s="6">
        <f t="shared" si="0"/>
        <v>30</v>
      </c>
      <c r="W14" s="8">
        <v>628</v>
      </c>
      <c r="X14" s="13">
        <f t="shared" si="1"/>
        <v>4.7770700636942678E-2</v>
      </c>
    </row>
    <row r="15" spans="1:24" ht="20.25" customHeight="1">
      <c r="A15" s="10" t="s">
        <v>10</v>
      </c>
      <c r="B15" s="7">
        <v>20</v>
      </c>
      <c r="C15" s="7"/>
      <c r="D15" s="7">
        <v>3</v>
      </c>
      <c r="E15" s="7"/>
      <c r="F15" s="7"/>
      <c r="G15" s="7">
        <v>9</v>
      </c>
      <c r="H15" s="7"/>
      <c r="I15" s="7">
        <v>17</v>
      </c>
      <c r="J15" s="7">
        <v>3</v>
      </c>
      <c r="K15" s="7">
        <v>1</v>
      </c>
      <c r="L15" s="7"/>
      <c r="M15" s="7">
        <v>2</v>
      </c>
      <c r="N15" s="7">
        <v>1</v>
      </c>
      <c r="O15" s="7"/>
      <c r="P15" s="7">
        <v>2</v>
      </c>
      <c r="Q15" s="7">
        <v>9</v>
      </c>
      <c r="R15" s="7"/>
      <c r="S15" s="7">
        <v>3</v>
      </c>
      <c r="T15" s="7">
        <v>2</v>
      </c>
      <c r="U15" s="7"/>
      <c r="V15" s="6">
        <f t="shared" si="0"/>
        <v>72</v>
      </c>
      <c r="W15" s="9">
        <v>960</v>
      </c>
      <c r="X15" s="13">
        <f t="shared" si="1"/>
        <v>7.4999999999999997E-2</v>
      </c>
    </row>
    <row r="16" spans="1:24" ht="20.25" customHeight="1">
      <c r="A16" s="11" t="s">
        <v>11</v>
      </c>
      <c r="B16" s="7">
        <v>3</v>
      </c>
      <c r="C16" s="7"/>
      <c r="D16" s="7"/>
      <c r="E16" s="7"/>
      <c r="F16" s="7"/>
      <c r="G16" s="7"/>
      <c r="H16" s="7"/>
      <c r="I16" s="7"/>
      <c r="J16" s="7">
        <v>2</v>
      </c>
      <c r="K16" s="7">
        <v>1</v>
      </c>
      <c r="L16" s="7"/>
      <c r="M16" s="7"/>
      <c r="N16" s="7"/>
      <c r="O16" s="7"/>
      <c r="P16" s="7"/>
      <c r="Q16" s="7">
        <v>3</v>
      </c>
      <c r="R16" s="7"/>
      <c r="S16" s="7">
        <v>4</v>
      </c>
      <c r="T16" s="7">
        <v>2</v>
      </c>
      <c r="U16" s="7"/>
      <c r="V16" s="6">
        <f t="shared" si="0"/>
        <v>15</v>
      </c>
      <c r="W16" s="9">
        <v>228</v>
      </c>
      <c r="X16" s="13">
        <f t="shared" si="1"/>
        <v>6.5789473684210523E-2</v>
      </c>
    </row>
    <row r="17" spans="1:24" ht="20.25" customHeight="1">
      <c r="A17" s="12" t="s">
        <v>15</v>
      </c>
      <c r="B17" s="8">
        <f t="shared" ref="B17:J17" si="2">SUM(B6:B16)</f>
        <v>60</v>
      </c>
      <c r="C17" s="8">
        <f t="shared" si="2"/>
        <v>0</v>
      </c>
      <c r="D17" s="8">
        <f t="shared" si="2"/>
        <v>26</v>
      </c>
      <c r="E17" s="8">
        <f t="shared" si="2"/>
        <v>19</v>
      </c>
      <c r="F17" s="8">
        <f t="shared" si="2"/>
        <v>6</v>
      </c>
      <c r="G17" s="8">
        <f t="shared" si="2"/>
        <v>40</v>
      </c>
      <c r="H17" s="8">
        <f t="shared" si="2"/>
        <v>6</v>
      </c>
      <c r="I17" s="8">
        <f t="shared" si="2"/>
        <v>53</v>
      </c>
      <c r="J17" s="8">
        <f t="shared" si="2"/>
        <v>20</v>
      </c>
      <c r="K17" s="8">
        <f t="shared" ref="K17:O17" si="3">SUM(K6:K16)</f>
        <v>10</v>
      </c>
      <c r="L17" s="8">
        <f t="shared" si="3"/>
        <v>0</v>
      </c>
      <c r="M17" s="8">
        <f t="shared" si="3"/>
        <v>11</v>
      </c>
      <c r="N17" s="8">
        <f t="shared" si="3"/>
        <v>7</v>
      </c>
      <c r="O17" s="8">
        <f t="shared" si="3"/>
        <v>0</v>
      </c>
      <c r="P17" s="8">
        <f t="shared" ref="P17:W17" si="4">SUM(P6:P16)</f>
        <v>13</v>
      </c>
      <c r="Q17" s="8">
        <f t="shared" si="4"/>
        <v>40</v>
      </c>
      <c r="R17" s="8">
        <f t="shared" si="4"/>
        <v>20</v>
      </c>
      <c r="S17" s="8">
        <f t="shared" si="4"/>
        <v>26</v>
      </c>
      <c r="T17" s="8">
        <f t="shared" si="4"/>
        <v>5</v>
      </c>
      <c r="U17" s="8">
        <f t="shared" si="4"/>
        <v>0</v>
      </c>
      <c r="V17" s="8">
        <f t="shared" si="4"/>
        <v>362</v>
      </c>
      <c r="W17" s="8">
        <f t="shared" si="4"/>
        <v>4295</v>
      </c>
      <c r="X17" s="13">
        <f t="shared" si="1"/>
        <v>8.4284051222351566E-2</v>
      </c>
    </row>
    <row r="20" spans="1:24">
      <c r="A20" s="16" t="s">
        <v>16</v>
      </c>
    </row>
  </sheetData>
  <mergeCells count="5">
    <mergeCell ref="A2:X2"/>
    <mergeCell ref="V3:X3"/>
    <mergeCell ref="V4:X4"/>
    <mergeCell ref="B4:U4"/>
    <mergeCell ref="A1:X1"/>
  </mergeCells>
  <phoneticPr fontId="10" type="noConversion"/>
  <conditionalFormatting sqref="B6:U6">
    <cfRule type="top10" dxfId="89" priority="39" rank="3"/>
    <cfRule type="top10" dxfId="88" priority="42" rank="3"/>
    <cfRule type="top10" priority="43" rank="3"/>
  </conditionalFormatting>
  <conditionalFormatting sqref="B7:U7">
    <cfRule type="top10" dxfId="87" priority="40" rank="3"/>
    <cfRule type="top10" dxfId="86" priority="41" rank="3"/>
  </conditionalFormatting>
  <conditionalFormatting sqref="B8:U8">
    <cfRule type="top10" dxfId="85" priority="38" rank="3"/>
  </conditionalFormatting>
  <conditionalFormatting sqref="B9:U9">
    <cfRule type="top10" dxfId="84" priority="37" rank="3"/>
  </conditionalFormatting>
  <conditionalFormatting sqref="B10:U10">
    <cfRule type="top10" dxfId="83" priority="36" rank="3"/>
  </conditionalFormatting>
  <conditionalFormatting sqref="B11:U11">
    <cfRule type="top10" dxfId="82" priority="34" rank="3"/>
    <cfRule type="top10" priority="35" rank="3"/>
  </conditionalFormatting>
  <conditionalFormatting sqref="B12:U12">
    <cfRule type="top10" dxfId="81" priority="33" rank="3"/>
  </conditionalFormatting>
  <conditionalFormatting sqref="B13:U13">
    <cfRule type="top10" dxfId="80" priority="32" rank="3"/>
  </conditionalFormatting>
  <conditionalFormatting sqref="B14:U14">
    <cfRule type="top10" dxfId="79" priority="31" rank="3"/>
  </conditionalFormatting>
  <conditionalFormatting sqref="B15:U15">
    <cfRule type="top10" dxfId="78" priority="30" rank="3"/>
  </conditionalFormatting>
  <conditionalFormatting sqref="B16:U16">
    <cfRule type="top10" dxfId="77" priority="29" rank="3"/>
  </conditionalFormatting>
  <conditionalFormatting sqref="B17:U17">
    <cfRule type="top10" dxfId="76" priority="13" rank="3"/>
  </conditionalFormatting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9"/>
  <sheetViews>
    <sheetView zoomScale="90" zoomScaleNormal="90" workbookViewId="0">
      <selection activeCell="O11" sqref="O11:O12"/>
    </sheetView>
  </sheetViews>
  <sheetFormatPr defaultColWidth="9.140625" defaultRowHeight="15"/>
  <cols>
    <col min="1" max="1" width="11.7109375" style="1" customWidth="1"/>
    <col min="2" max="6" width="9.140625" style="1"/>
    <col min="7" max="7" width="9.7109375" style="1" customWidth="1"/>
    <col min="8" max="16384" width="9.140625" style="1"/>
  </cols>
  <sheetData>
    <row r="1" spans="1:24" ht="26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15" customHeigh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21.7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2" t="s">
        <v>19</v>
      </c>
      <c r="W3" s="23"/>
      <c r="X3" s="24"/>
    </row>
    <row r="4" spans="1:24" ht="21.75" customHeight="1">
      <c r="A4" s="4"/>
      <c r="B4" s="32" t="s">
        <v>0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4"/>
      <c r="V4" s="25">
        <v>46287</v>
      </c>
      <c r="W4" s="26"/>
      <c r="X4" s="27"/>
    </row>
    <row r="5" spans="1:24" ht="51">
      <c r="A5" s="5"/>
      <c r="B5" s="15" t="s">
        <v>25</v>
      </c>
      <c r="C5" s="15" t="s">
        <v>26</v>
      </c>
      <c r="D5" s="15" t="s">
        <v>27</v>
      </c>
      <c r="E5" s="15" t="s">
        <v>28</v>
      </c>
      <c r="F5" s="15" t="s">
        <v>29</v>
      </c>
      <c r="G5" s="15" t="s">
        <v>30</v>
      </c>
      <c r="H5" s="15" t="s">
        <v>31</v>
      </c>
      <c r="I5" s="15" t="s">
        <v>32</v>
      </c>
      <c r="J5" s="15" t="s">
        <v>33</v>
      </c>
      <c r="K5" s="15" t="s">
        <v>34</v>
      </c>
      <c r="L5" s="15" t="s">
        <v>35</v>
      </c>
      <c r="M5" s="15" t="s">
        <v>36</v>
      </c>
      <c r="N5" s="15" t="s">
        <v>37</v>
      </c>
      <c r="O5" s="15" t="s">
        <v>38</v>
      </c>
      <c r="P5" s="15" t="s">
        <v>39</v>
      </c>
      <c r="Q5" s="15" t="s">
        <v>40</v>
      </c>
      <c r="R5" s="15" t="s">
        <v>41</v>
      </c>
      <c r="S5" s="15" t="s">
        <v>42</v>
      </c>
      <c r="T5" s="15" t="s">
        <v>43</v>
      </c>
      <c r="U5" s="15" t="s">
        <v>44</v>
      </c>
      <c r="V5" s="15" t="s">
        <v>12</v>
      </c>
      <c r="W5" s="15" t="s">
        <v>13</v>
      </c>
      <c r="X5" s="15" t="s">
        <v>14</v>
      </c>
    </row>
    <row r="6" spans="1:24" ht="20.25" customHeight="1">
      <c r="A6" s="10" t="s">
        <v>1</v>
      </c>
      <c r="B6" s="6">
        <v>1</v>
      </c>
      <c r="C6" s="6"/>
      <c r="D6" s="6">
        <v>2</v>
      </c>
      <c r="E6" s="6"/>
      <c r="F6" s="6"/>
      <c r="G6" s="6"/>
      <c r="H6" s="6"/>
      <c r="I6" s="6">
        <v>1</v>
      </c>
      <c r="J6" s="6">
        <v>2</v>
      </c>
      <c r="K6" s="6"/>
      <c r="L6" s="6"/>
      <c r="M6" s="6"/>
      <c r="N6" s="6"/>
      <c r="O6" s="6"/>
      <c r="P6" s="6">
        <v>2</v>
      </c>
      <c r="Q6" s="6">
        <v>2</v>
      </c>
      <c r="R6" s="6">
        <v>2</v>
      </c>
      <c r="S6" s="6">
        <v>1</v>
      </c>
      <c r="T6" s="6"/>
      <c r="U6" s="6"/>
      <c r="V6" s="6">
        <f>SUM(B6:U6)</f>
        <v>13</v>
      </c>
      <c r="W6" s="8">
        <v>200</v>
      </c>
      <c r="X6" s="13">
        <f>V6/W6</f>
        <v>6.5000000000000002E-2</v>
      </c>
    </row>
    <row r="7" spans="1:24" ht="20.25" customHeight="1">
      <c r="A7" s="10" t="s">
        <v>2</v>
      </c>
      <c r="B7" s="6">
        <v>4</v>
      </c>
      <c r="C7" s="6"/>
      <c r="D7" s="6">
        <v>8</v>
      </c>
      <c r="E7" s="6">
        <v>2</v>
      </c>
      <c r="F7" s="6"/>
      <c r="G7" s="6">
        <v>1</v>
      </c>
      <c r="H7" s="6">
        <v>6</v>
      </c>
      <c r="I7" s="6">
        <v>1</v>
      </c>
      <c r="J7" s="6">
        <v>3</v>
      </c>
      <c r="K7" s="6">
        <v>2</v>
      </c>
      <c r="L7" s="6"/>
      <c r="M7" s="6"/>
      <c r="N7" s="6"/>
      <c r="O7" s="6"/>
      <c r="P7" s="6"/>
      <c r="Q7" s="6">
        <v>2</v>
      </c>
      <c r="R7" s="6">
        <v>8</v>
      </c>
      <c r="S7" s="6"/>
      <c r="T7" s="6"/>
      <c r="U7" s="6"/>
      <c r="V7" s="6">
        <f t="shared" ref="V7:V16" si="0">SUM(B7:U7)</f>
        <v>37</v>
      </c>
      <c r="W7" s="8">
        <v>690</v>
      </c>
      <c r="X7" s="13">
        <f t="shared" ref="X7:X17" si="1">V7/W7</f>
        <v>5.3623188405797099E-2</v>
      </c>
    </row>
    <row r="8" spans="1:24" ht="20.25" customHeight="1">
      <c r="A8" s="10" t="s">
        <v>3</v>
      </c>
      <c r="B8" s="6">
        <v>2</v>
      </c>
      <c r="C8" s="6"/>
      <c r="D8" s="6">
        <v>6</v>
      </c>
      <c r="E8" s="6"/>
      <c r="F8" s="6"/>
      <c r="G8" s="6">
        <v>6</v>
      </c>
      <c r="H8" s="6"/>
      <c r="I8" s="6">
        <v>3</v>
      </c>
      <c r="J8" s="6"/>
      <c r="K8" s="6"/>
      <c r="L8" s="6"/>
      <c r="M8" s="6"/>
      <c r="N8" s="6"/>
      <c r="O8" s="6"/>
      <c r="P8" s="6"/>
      <c r="Q8" s="6">
        <v>5</v>
      </c>
      <c r="R8" s="6"/>
      <c r="S8" s="6"/>
      <c r="T8" s="6"/>
      <c r="U8" s="6"/>
      <c r="V8" s="6">
        <f t="shared" si="0"/>
        <v>22</v>
      </c>
      <c r="W8" s="8">
        <v>25</v>
      </c>
      <c r="X8" s="13">
        <f t="shared" si="1"/>
        <v>0.88</v>
      </c>
    </row>
    <row r="9" spans="1:24" ht="20.25" customHeight="1">
      <c r="A9" s="14" t="s">
        <v>4</v>
      </c>
      <c r="B9" s="6">
        <v>6</v>
      </c>
      <c r="C9" s="6"/>
      <c r="D9" s="6"/>
      <c r="E9" s="6">
        <v>6</v>
      </c>
      <c r="F9" s="6"/>
      <c r="G9" s="6">
        <v>3</v>
      </c>
      <c r="H9" s="6">
        <v>1</v>
      </c>
      <c r="I9" s="6">
        <v>5</v>
      </c>
      <c r="J9" s="6"/>
      <c r="K9" s="6">
        <v>4</v>
      </c>
      <c r="L9" s="6"/>
      <c r="M9" s="6">
        <v>1</v>
      </c>
      <c r="N9" s="6"/>
      <c r="O9" s="6"/>
      <c r="P9" s="6">
        <v>3</v>
      </c>
      <c r="Q9" s="6">
        <v>5</v>
      </c>
      <c r="R9" s="6">
        <v>6</v>
      </c>
      <c r="S9" s="6"/>
      <c r="T9" s="6"/>
      <c r="U9" s="6"/>
      <c r="V9" s="6">
        <f t="shared" si="0"/>
        <v>40</v>
      </c>
      <c r="W9" s="8">
        <v>324</v>
      </c>
      <c r="X9" s="13">
        <f t="shared" si="1"/>
        <v>0.12345679012345678</v>
      </c>
    </row>
    <row r="10" spans="1:24" ht="20.25" customHeight="1">
      <c r="A10" s="10" t="s">
        <v>5</v>
      </c>
      <c r="B10" s="6">
        <v>3</v>
      </c>
      <c r="C10" s="6"/>
      <c r="D10" s="6">
        <v>2</v>
      </c>
      <c r="E10" s="6">
        <v>2</v>
      </c>
      <c r="F10" s="6">
        <v>4</v>
      </c>
      <c r="G10" s="6">
        <v>2</v>
      </c>
      <c r="H10" s="6"/>
      <c r="I10" s="6"/>
      <c r="J10" s="6">
        <v>3</v>
      </c>
      <c r="K10" s="6"/>
      <c r="L10" s="6"/>
      <c r="M10" s="6"/>
      <c r="N10" s="6"/>
      <c r="O10" s="6"/>
      <c r="P10" s="6"/>
      <c r="Q10" s="6">
        <v>4</v>
      </c>
      <c r="R10" s="6"/>
      <c r="S10" s="6">
        <v>5</v>
      </c>
      <c r="T10" s="6"/>
      <c r="U10" s="6"/>
      <c r="V10" s="6">
        <f t="shared" si="0"/>
        <v>25</v>
      </c>
      <c r="W10" s="8">
        <v>444</v>
      </c>
      <c r="X10" s="13">
        <f t="shared" si="1"/>
        <v>5.6306306306306307E-2</v>
      </c>
    </row>
    <row r="11" spans="1:24" ht="20.25" customHeight="1">
      <c r="A11" s="10" t="s">
        <v>6</v>
      </c>
      <c r="B11" s="6"/>
      <c r="C11" s="6"/>
      <c r="D11" s="6">
        <v>2</v>
      </c>
      <c r="E11" s="6">
        <v>3</v>
      </c>
      <c r="F11" s="6"/>
      <c r="G11" s="6">
        <v>3</v>
      </c>
      <c r="H11" s="6">
        <v>2</v>
      </c>
      <c r="I11" s="6"/>
      <c r="J11" s="6"/>
      <c r="K11" s="6"/>
      <c r="L11" s="6"/>
      <c r="M11" s="6"/>
      <c r="N11" s="6"/>
      <c r="O11" s="6"/>
      <c r="P11" s="6">
        <v>2</v>
      </c>
      <c r="Q11" s="6"/>
      <c r="R11" s="6"/>
      <c r="S11" s="6">
        <v>2</v>
      </c>
      <c r="T11" s="6"/>
      <c r="U11" s="6"/>
      <c r="V11" s="6">
        <f t="shared" si="0"/>
        <v>14</v>
      </c>
      <c r="W11" s="8">
        <v>120</v>
      </c>
      <c r="X11" s="13">
        <f t="shared" si="1"/>
        <v>0.11666666666666667</v>
      </c>
    </row>
    <row r="12" spans="1:24" ht="20.25" customHeight="1">
      <c r="A12" s="10" t="s">
        <v>7</v>
      </c>
      <c r="B12" s="6">
        <v>3</v>
      </c>
      <c r="C12" s="6"/>
      <c r="D12" s="6"/>
      <c r="E12" s="6">
        <v>2</v>
      </c>
      <c r="F12" s="6"/>
      <c r="G12" s="6">
        <v>2</v>
      </c>
      <c r="H12" s="6"/>
      <c r="I12" s="6">
        <v>4</v>
      </c>
      <c r="J12" s="6">
        <v>4</v>
      </c>
      <c r="K12" s="6"/>
      <c r="L12" s="6"/>
      <c r="M12" s="6"/>
      <c r="N12" s="6"/>
      <c r="O12" s="6"/>
      <c r="P12" s="6"/>
      <c r="Q12" s="6">
        <v>4</v>
      </c>
      <c r="R12" s="6">
        <v>1</v>
      </c>
      <c r="S12" s="6">
        <v>3</v>
      </c>
      <c r="T12" s="6">
        <v>1</v>
      </c>
      <c r="U12" s="6"/>
      <c r="V12" s="6">
        <f t="shared" si="0"/>
        <v>24</v>
      </c>
      <c r="W12" s="8">
        <v>120</v>
      </c>
      <c r="X12" s="13">
        <f t="shared" si="1"/>
        <v>0.2</v>
      </c>
    </row>
    <row r="13" spans="1:24" ht="20.25" customHeight="1">
      <c r="A13" s="10" t="s">
        <v>8</v>
      </c>
      <c r="B13" s="6">
        <v>9</v>
      </c>
      <c r="C13" s="6"/>
      <c r="D13" s="6"/>
      <c r="E13" s="6">
        <v>5</v>
      </c>
      <c r="F13" s="6"/>
      <c r="G13" s="6">
        <v>8</v>
      </c>
      <c r="H13" s="6">
        <v>3</v>
      </c>
      <c r="I13" s="6">
        <v>4</v>
      </c>
      <c r="J13" s="6"/>
      <c r="K13" s="6">
        <v>1</v>
      </c>
      <c r="L13" s="6"/>
      <c r="M13" s="6">
        <v>2</v>
      </c>
      <c r="N13" s="6">
        <v>2</v>
      </c>
      <c r="O13" s="6"/>
      <c r="P13" s="6">
        <v>1</v>
      </c>
      <c r="Q13" s="6"/>
      <c r="R13" s="6"/>
      <c r="S13" s="6">
        <v>17</v>
      </c>
      <c r="T13" s="6"/>
      <c r="U13" s="6"/>
      <c r="V13" s="6">
        <f t="shared" si="0"/>
        <v>52</v>
      </c>
      <c r="W13" s="8">
        <v>315</v>
      </c>
      <c r="X13" s="13">
        <f t="shared" si="1"/>
        <v>0.16507936507936508</v>
      </c>
    </row>
    <row r="14" spans="1:24" ht="20.25" customHeight="1">
      <c r="A14" s="10" t="s">
        <v>9</v>
      </c>
      <c r="B14" s="6">
        <v>1</v>
      </c>
      <c r="C14" s="6"/>
      <c r="D14" s="6"/>
      <c r="E14" s="6"/>
      <c r="F14" s="6">
        <v>1</v>
      </c>
      <c r="G14" s="6">
        <v>1</v>
      </c>
      <c r="H14" s="6"/>
      <c r="I14" s="6">
        <v>7</v>
      </c>
      <c r="J14" s="6">
        <v>2</v>
      </c>
      <c r="K14" s="6">
        <v>5</v>
      </c>
      <c r="L14" s="6"/>
      <c r="M14" s="6">
        <v>2</v>
      </c>
      <c r="N14" s="6"/>
      <c r="O14" s="6"/>
      <c r="P14" s="6"/>
      <c r="Q14" s="6"/>
      <c r="R14" s="6">
        <v>4</v>
      </c>
      <c r="S14" s="6">
        <v>9</v>
      </c>
      <c r="T14" s="6"/>
      <c r="U14" s="6"/>
      <c r="V14" s="6">
        <f t="shared" si="0"/>
        <v>32</v>
      </c>
      <c r="W14" s="8">
        <v>600</v>
      </c>
      <c r="X14" s="13">
        <f t="shared" si="1"/>
        <v>5.3333333333333337E-2</v>
      </c>
    </row>
    <row r="15" spans="1:24" ht="20.25" customHeight="1">
      <c r="A15" s="10" t="s">
        <v>10</v>
      </c>
      <c r="B15" s="7">
        <v>11</v>
      </c>
      <c r="C15" s="7"/>
      <c r="D15" s="7">
        <v>3</v>
      </c>
      <c r="E15" s="7"/>
      <c r="F15" s="7"/>
      <c r="G15" s="7">
        <v>8</v>
      </c>
      <c r="H15" s="7"/>
      <c r="I15" s="7">
        <v>10</v>
      </c>
      <c r="J15" s="7">
        <v>8</v>
      </c>
      <c r="K15" s="7">
        <v>11</v>
      </c>
      <c r="L15" s="7"/>
      <c r="M15" s="7">
        <v>3</v>
      </c>
      <c r="N15" s="7"/>
      <c r="O15" s="7"/>
      <c r="P15" s="7">
        <v>2</v>
      </c>
      <c r="Q15" s="7">
        <v>6</v>
      </c>
      <c r="R15" s="7">
        <v>10</v>
      </c>
      <c r="S15" s="7">
        <v>15</v>
      </c>
      <c r="T15" s="7">
        <v>4</v>
      </c>
      <c r="U15" s="7"/>
      <c r="V15" s="6">
        <f t="shared" si="0"/>
        <v>91</v>
      </c>
      <c r="W15" s="9">
        <v>1540</v>
      </c>
      <c r="X15" s="13">
        <f t="shared" si="1"/>
        <v>5.909090909090909E-2</v>
      </c>
    </row>
    <row r="16" spans="1:24" ht="20.25" customHeight="1">
      <c r="A16" s="11" t="s">
        <v>11</v>
      </c>
      <c r="B16" s="7">
        <v>2</v>
      </c>
      <c r="C16" s="7"/>
      <c r="D16" s="7"/>
      <c r="E16" s="7"/>
      <c r="F16" s="7"/>
      <c r="G16" s="7"/>
      <c r="H16" s="7"/>
      <c r="I16" s="7"/>
      <c r="J16" s="7">
        <v>2</v>
      </c>
      <c r="K16" s="7"/>
      <c r="L16" s="7"/>
      <c r="M16" s="7"/>
      <c r="N16" s="7"/>
      <c r="O16" s="7"/>
      <c r="P16" s="7">
        <v>2</v>
      </c>
      <c r="Q16" s="7">
        <v>3</v>
      </c>
      <c r="R16" s="7"/>
      <c r="S16" s="7">
        <v>5</v>
      </c>
      <c r="T16" s="7">
        <v>4</v>
      </c>
      <c r="U16" s="7"/>
      <c r="V16" s="6">
        <f t="shared" si="0"/>
        <v>18</v>
      </c>
      <c r="W16" s="9">
        <v>610</v>
      </c>
      <c r="X16" s="13">
        <f t="shared" si="1"/>
        <v>2.9508196721311476E-2</v>
      </c>
    </row>
    <row r="17" spans="1:24" ht="20.25" customHeight="1">
      <c r="A17" s="12" t="s">
        <v>15</v>
      </c>
      <c r="B17" s="8">
        <f t="shared" ref="B17:W17" si="2">SUM(B6:B16)</f>
        <v>42</v>
      </c>
      <c r="C17" s="8">
        <f t="shared" si="2"/>
        <v>0</v>
      </c>
      <c r="D17" s="8">
        <f t="shared" si="2"/>
        <v>23</v>
      </c>
      <c r="E17" s="8">
        <f t="shared" si="2"/>
        <v>20</v>
      </c>
      <c r="F17" s="8">
        <f t="shared" si="2"/>
        <v>5</v>
      </c>
      <c r="G17" s="8">
        <f t="shared" si="2"/>
        <v>34</v>
      </c>
      <c r="H17" s="8">
        <f t="shared" si="2"/>
        <v>12</v>
      </c>
      <c r="I17" s="8">
        <f t="shared" si="2"/>
        <v>35</v>
      </c>
      <c r="J17" s="8">
        <f t="shared" si="2"/>
        <v>24</v>
      </c>
      <c r="K17" s="8">
        <f t="shared" si="2"/>
        <v>23</v>
      </c>
      <c r="L17" s="8">
        <f t="shared" ref="L17" si="3">SUM(L6:L16)</f>
        <v>0</v>
      </c>
      <c r="M17" s="8">
        <f t="shared" ref="M17" si="4">SUM(M6:M16)</f>
        <v>8</v>
      </c>
      <c r="N17" s="8">
        <f t="shared" ref="N17" si="5">SUM(N6:N16)</f>
        <v>2</v>
      </c>
      <c r="O17" s="8">
        <f t="shared" ref="O17" si="6">SUM(O6:O16)</f>
        <v>0</v>
      </c>
      <c r="P17" s="8">
        <f t="shared" ref="P17" si="7">SUM(P6:P16)</f>
        <v>12</v>
      </c>
      <c r="Q17" s="8">
        <f t="shared" ref="Q17" si="8">SUM(Q6:Q16)</f>
        <v>31</v>
      </c>
      <c r="R17" s="8">
        <f t="shared" si="2"/>
        <v>31</v>
      </c>
      <c r="S17" s="8">
        <f t="shared" si="2"/>
        <v>57</v>
      </c>
      <c r="T17" s="8">
        <f t="shared" si="2"/>
        <v>9</v>
      </c>
      <c r="U17" s="8">
        <f t="shared" si="2"/>
        <v>0</v>
      </c>
      <c r="V17" s="8">
        <f t="shared" si="2"/>
        <v>368</v>
      </c>
      <c r="W17" s="8">
        <f t="shared" si="2"/>
        <v>4988</v>
      </c>
      <c r="X17" s="13">
        <f t="shared" si="1"/>
        <v>7.3777064955894145E-2</v>
      </c>
    </row>
    <row r="19" spans="1:24">
      <c r="A19" s="16" t="s">
        <v>16</v>
      </c>
    </row>
  </sheetData>
  <mergeCells count="5">
    <mergeCell ref="A1:X1"/>
    <mergeCell ref="A2:X2"/>
    <mergeCell ref="V3:X3"/>
    <mergeCell ref="B4:U4"/>
    <mergeCell ref="V4:X4"/>
  </mergeCells>
  <phoneticPr fontId="10" type="noConversion"/>
  <conditionalFormatting sqref="B6:U6">
    <cfRule type="top10" dxfId="75" priority="29" rank="3"/>
    <cfRule type="top10" dxfId="74" priority="32" rank="3"/>
    <cfRule type="top10" priority="33" rank="3"/>
  </conditionalFormatting>
  <conditionalFormatting sqref="B7:U7">
    <cfRule type="top10" dxfId="73" priority="30" rank="3"/>
    <cfRule type="top10" dxfId="72" priority="31" rank="3"/>
  </conditionalFormatting>
  <conditionalFormatting sqref="B8:U8">
    <cfRule type="top10" dxfId="71" priority="28" rank="3"/>
  </conditionalFormatting>
  <conditionalFormatting sqref="B9:U9">
    <cfRule type="top10" dxfId="70" priority="27" rank="3"/>
  </conditionalFormatting>
  <conditionalFormatting sqref="B10:U10">
    <cfRule type="top10" dxfId="69" priority="26" rank="3"/>
  </conditionalFormatting>
  <conditionalFormatting sqref="B11:U11">
    <cfRule type="top10" dxfId="68" priority="24" rank="3"/>
    <cfRule type="top10" priority="25" rank="3"/>
  </conditionalFormatting>
  <conditionalFormatting sqref="B12:U12">
    <cfRule type="top10" dxfId="67" priority="23" rank="3"/>
  </conditionalFormatting>
  <conditionalFormatting sqref="B13:U13">
    <cfRule type="top10" dxfId="66" priority="22" rank="3"/>
  </conditionalFormatting>
  <conditionalFormatting sqref="B14:U14">
    <cfRule type="top10" dxfId="65" priority="21" rank="3"/>
  </conditionalFormatting>
  <conditionalFormatting sqref="B15:U15">
    <cfRule type="top10" dxfId="64" priority="20" rank="3"/>
  </conditionalFormatting>
  <conditionalFormatting sqref="B16:U16">
    <cfRule type="top10" dxfId="63" priority="19" rank="3"/>
  </conditionalFormatting>
  <conditionalFormatting sqref="B17:U17">
    <cfRule type="top10" dxfId="62" priority="3" rank="3"/>
  </conditionalFormatting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"/>
  <sheetViews>
    <sheetView zoomScale="90" zoomScaleNormal="90" workbookViewId="0">
      <selection activeCell="N11" sqref="N11"/>
    </sheetView>
  </sheetViews>
  <sheetFormatPr defaultColWidth="9.140625" defaultRowHeight="15"/>
  <cols>
    <col min="1" max="1" width="11.7109375" style="1" customWidth="1"/>
    <col min="2" max="6" width="9.140625" style="1"/>
    <col min="7" max="7" width="10.140625" style="1" customWidth="1"/>
    <col min="8" max="16384" width="9.140625" style="1"/>
  </cols>
  <sheetData>
    <row r="1" spans="1:24" ht="26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15" customHeigh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21.7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2" t="s">
        <v>19</v>
      </c>
      <c r="W3" s="23"/>
      <c r="X3" s="24"/>
    </row>
    <row r="4" spans="1:24" ht="21.75" customHeight="1">
      <c r="A4" s="4"/>
      <c r="B4" s="32" t="s">
        <v>0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25">
        <v>46288</v>
      </c>
      <c r="W4" s="26"/>
      <c r="X4" s="27"/>
    </row>
    <row r="5" spans="1:24" ht="51">
      <c r="A5" s="5"/>
      <c r="B5" s="15" t="s">
        <v>25</v>
      </c>
      <c r="C5" s="15" t="s">
        <v>26</v>
      </c>
      <c r="D5" s="15" t="s">
        <v>27</v>
      </c>
      <c r="E5" s="15" t="s">
        <v>28</v>
      </c>
      <c r="F5" s="15" t="s">
        <v>29</v>
      </c>
      <c r="G5" s="15" t="s">
        <v>30</v>
      </c>
      <c r="H5" s="15" t="s">
        <v>31</v>
      </c>
      <c r="I5" s="15" t="s">
        <v>32</v>
      </c>
      <c r="J5" s="15" t="s">
        <v>33</v>
      </c>
      <c r="K5" s="15" t="s">
        <v>34</v>
      </c>
      <c r="L5" s="15" t="s">
        <v>35</v>
      </c>
      <c r="M5" s="15" t="s">
        <v>36</v>
      </c>
      <c r="N5" s="15" t="s">
        <v>37</v>
      </c>
      <c r="O5" s="15" t="s">
        <v>38</v>
      </c>
      <c r="P5" s="15" t="s">
        <v>39</v>
      </c>
      <c r="Q5" s="15" t="s">
        <v>40</v>
      </c>
      <c r="R5" s="15" t="s">
        <v>41</v>
      </c>
      <c r="S5" s="15" t="s">
        <v>42</v>
      </c>
      <c r="T5" s="15" t="s">
        <v>43</v>
      </c>
      <c r="U5" s="15" t="s">
        <v>44</v>
      </c>
      <c r="V5" s="15" t="s">
        <v>12</v>
      </c>
      <c r="W5" s="15" t="s">
        <v>13</v>
      </c>
      <c r="X5" s="15" t="s">
        <v>14</v>
      </c>
    </row>
    <row r="6" spans="1:24" ht="20.25" customHeight="1">
      <c r="A6" s="10" t="s">
        <v>1</v>
      </c>
      <c r="B6" s="6">
        <v>3</v>
      </c>
      <c r="C6" s="6"/>
      <c r="D6" s="6">
        <v>1</v>
      </c>
      <c r="E6" s="6"/>
      <c r="F6" s="6">
        <v>2</v>
      </c>
      <c r="G6" s="6">
        <v>1</v>
      </c>
      <c r="H6" s="6"/>
      <c r="I6" s="6">
        <v>2</v>
      </c>
      <c r="J6" s="6"/>
      <c r="K6" s="6"/>
      <c r="L6" s="6"/>
      <c r="M6" s="6">
        <v>2</v>
      </c>
      <c r="N6" s="6">
        <v>1</v>
      </c>
      <c r="O6" s="6"/>
      <c r="P6" s="6">
        <v>1</v>
      </c>
      <c r="Q6" s="6"/>
      <c r="R6" s="6">
        <v>1</v>
      </c>
      <c r="S6" s="6"/>
      <c r="T6" s="6"/>
      <c r="U6" s="6"/>
      <c r="V6" s="6">
        <f>SUM(B6:U6)</f>
        <v>14</v>
      </c>
      <c r="W6" s="8">
        <v>203</v>
      </c>
      <c r="X6" s="13">
        <f>V6/W6</f>
        <v>6.8965517241379309E-2</v>
      </c>
    </row>
    <row r="7" spans="1:24" ht="20.25" customHeight="1">
      <c r="A7" s="10" t="s">
        <v>2</v>
      </c>
      <c r="B7" s="6">
        <v>2</v>
      </c>
      <c r="C7" s="6"/>
      <c r="D7" s="6">
        <v>8</v>
      </c>
      <c r="E7" s="6">
        <v>3</v>
      </c>
      <c r="F7" s="6">
        <v>5</v>
      </c>
      <c r="G7" s="6">
        <v>2</v>
      </c>
      <c r="H7" s="6">
        <v>2</v>
      </c>
      <c r="I7" s="6">
        <v>4</v>
      </c>
      <c r="J7" s="6">
        <v>1</v>
      </c>
      <c r="K7" s="6">
        <v>4</v>
      </c>
      <c r="L7" s="6"/>
      <c r="M7" s="6"/>
      <c r="N7" s="6"/>
      <c r="O7" s="6"/>
      <c r="P7" s="6">
        <v>1</v>
      </c>
      <c r="Q7" s="6">
        <v>2</v>
      </c>
      <c r="R7" s="6">
        <v>8</v>
      </c>
      <c r="S7" s="6"/>
      <c r="T7" s="6"/>
      <c r="U7" s="6"/>
      <c r="V7" s="6">
        <f t="shared" ref="V7:V16" si="0">SUM(B7:U7)</f>
        <v>42</v>
      </c>
      <c r="W7" s="8">
        <v>702</v>
      </c>
      <c r="X7" s="13">
        <f t="shared" ref="X7:X17" si="1">V7/W7</f>
        <v>5.9829059829059832E-2</v>
      </c>
    </row>
    <row r="8" spans="1:24" ht="20.25" customHeight="1">
      <c r="A8" s="10" t="s">
        <v>3</v>
      </c>
      <c r="B8" s="6">
        <v>5</v>
      </c>
      <c r="C8" s="6"/>
      <c r="D8" s="6">
        <v>10</v>
      </c>
      <c r="E8" s="6">
        <v>1</v>
      </c>
      <c r="F8" s="6"/>
      <c r="G8" s="6">
        <v>3</v>
      </c>
      <c r="H8" s="6">
        <v>6</v>
      </c>
      <c r="I8" s="6">
        <v>5</v>
      </c>
      <c r="J8" s="6">
        <v>3</v>
      </c>
      <c r="K8" s="6">
        <v>7</v>
      </c>
      <c r="L8" s="6"/>
      <c r="M8" s="6"/>
      <c r="N8" s="6"/>
      <c r="O8" s="6"/>
      <c r="P8" s="6">
        <v>2</v>
      </c>
      <c r="Q8" s="6">
        <v>4</v>
      </c>
      <c r="R8" s="6"/>
      <c r="S8" s="6"/>
      <c r="T8" s="6"/>
      <c r="U8" s="6"/>
      <c r="V8" s="6">
        <f t="shared" si="0"/>
        <v>46</v>
      </c>
      <c r="W8" s="8">
        <v>291</v>
      </c>
      <c r="X8" s="13">
        <f t="shared" si="1"/>
        <v>0.15807560137457044</v>
      </c>
    </row>
    <row r="9" spans="1:24" ht="20.25" customHeight="1">
      <c r="A9" s="14" t="s">
        <v>4</v>
      </c>
      <c r="B9" s="6"/>
      <c r="C9" s="6"/>
      <c r="D9" s="6"/>
      <c r="E9" s="6">
        <v>6</v>
      </c>
      <c r="F9" s="6">
        <v>3</v>
      </c>
      <c r="G9" s="6">
        <v>2</v>
      </c>
      <c r="H9" s="6">
        <v>3</v>
      </c>
      <c r="I9" s="6"/>
      <c r="J9" s="6">
        <v>5</v>
      </c>
      <c r="K9" s="6">
        <v>1</v>
      </c>
      <c r="L9" s="6"/>
      <c r="M9" s="6">
        <v>4</v>
      </c>
      <c r="N9" s="6"/>
      <c r="O9" s="6"/>
      <c r="P9" s="6">
        <v>4</v>
      </c>
      <c r="Q9" s="6">
        <v>4</v>
      </c>
      <c r="R9" s="6">
        <v>5</v>
      </c>
      <c r="S9" s="6"/>
      <c r="T9" s="6"/>
      <c r="U9" s="6"/>
      <c r="V9" s="6">
        <f t="shared" si="0"/>
        <v>37</v>
      </c>
      <c r="W9" s="8">
        <v>314</v>
      </c>
      <c r="X9" s="13">
        <f t="shared" si="1"/>
        <v>0.1178343949044586</v>
      </c>
    </row>
    <row r="10" spans="1:24" ht="20.25" customHeight="1">
      <c r="A10" s="10" t="s">
        <v>5</v>
      </c>
      <c r="B10" s="6">
        <v>2</v>
      </c>
      <c r="C10" s="6"/>
      <c r="D10" s="6">
        <v>1</v>
      </c>
      <c r="E10" s="6"/>
      <c r="F10" s="6">
        <v>1</v>
      </c>
      <c r="G10" s="6">
        <v>2</v>
      </c>
      <c r="H10" s="6"/>
      <c r="I10" s="6">
        <v>5</v>
      </c>
      <c r="J10" s="6"/>
      <c r="K10" s="6">
        <v>4</v>
      </c>
      <c r="L10" s="6"/>
      <c r="M10" s="6"/>
      <c r="N10" s="6"/>
      <c r="O10" s="6"/>
      <c r="P10" s="6">
        <v>3</v>
      </c>
      <c r="Q10" s="6"/>
      <c r="R10" s="6"/>
      <c r="S10" s="6">
        <v>4</v>
      </c>
      <c r="T10" s="6"/>
      <c r="U10" s="6"/>
      <c r="V10" s="6">
        <f t="shared" si="0"/>
        <v>22</v>
      </c>
      <c r="W10" s="8">
        <v>552</v>
      </c>
      <c r="X10" s="13">
        <f t="shared" si="1"/>
        <v>3.9855072463768113E-2</v>
      </c>
    </row>
    <row r="11" spans="1:24" ht="20.25" customHeight="1">
      <c r="A11" s="10" t="s">
        <v>6</v>
      </c>
      <c r="B11" s="6">
        <v>3</v>
      </c>
      <c r="C11" s="6"/>
      <c r="D11" s="6">
        <v>1</v>
      </c>
      <c r="E11" s="6">
        <v>1</v>
      </c>
      <c r="F11" s="6"/>
      <c r="G11" s="6"/>
      <c r="H11" s="6"/>
      <c r="I11" s="6">
        <v>4</v>
      </c>
      <c r="J11" s="6"/>
      <c r="K11" s="6"/>
      <c r="L11" s="6"/>
      <c r="M11" s="6"/>
      <c r="N11" s="6"/>
      <c r="O11" s="6"/>
      <c r="P11" s="6">
        <v>2</v>
      </c>
      <c r="Q11" s="6">
        <v>2</v>
      </c>
      <c r="R11" s="6"/>
      <c r="S11" s="6">
        <v>2</v>
      </c>
      <c r="T11" s="6"/>
      <c r="U11" s="6"/>
      <c r="V11" s="6">
        <f t="shared" si="0"/>
        <v>15</v>
      </c>
      <c r="W11" s="8">
        <v>120</v>
      </c>
      <c r="X11" s="13">
        <f t="shared" si="1"/>
        <v>0.125</v>
      </c>
    </row>
    <row r="12" spans="1:24" ht="20.25" customHeight="1">
      <c r="A12" s="10" t="s">
        <v>7</v>
      </c>
      <c r="B12" s="6">
        <v>2</v>
      </c>
      <c r="C12" s="6"/>
      <c r="D12" s="6"/>
      <c r="E12" s="6">
        <v>2</v>
      </c>
      <c r="F12" s="6"/>
      <c r="G12" s="6">
        <v>1</v>
      </c>
      <c r="H12" s="6">
        <v>1</v>
      </c>
      <c r="I12" s="6">
        <v>8</v>
      </c>
      <c r="J12" s="6">
        <v>4</v>
      </c>
      <c r="K12" s="6">
        <v>3</v>
      </c>
      <c r="L12" s="6"/>
      <c r="M12" s="6"/>
      <c r="N12" s="6"/>
      <c r="O12" s="6"/>
      <c r="P12" s="6"/>
      <c r="Q12" s="6">
        <v>8</v>
      </c>
      <c r="R12" s="6">
        <v>3</v>
      </c>
      <c r="S12" s="6">
        <v>2</v>
      </c>
      <c r="T12" s="6"/>
      <c r="U12" s="6"/>
      <c r="V12" s="6">
        <f t="shared" si="0"/>
        <v>34</v>
      </c>
      <c r="W12" s="8">
        <v>120</v>
      </c>
      <c r="X12" s="13">
        <f t="shared" si="1"/>
        <v>0.28333333333333333</v>
      </c>
    </row>
    <row r="13" spans="1:24" ht="20.25" customHeight="1">
      <c r="A13" s="10" t="s">
        <v>8</v>
      </c>
      <c r="B13" s="6">
        <v>8</v>
      </c>
      <c r="C13" s="6"/>
      <c r="D13" s="6"/>
      <c r="E13" s="6">
        <v>7</v>
      </c>
      <c r="F13" s="6"/>
      <c r="G13" s="6">
        <v>6</v>
      </c>
      <c r="H13" s="6">
        <v>1</v>
      </c>
      <c r="I13" s="6">
        <v>8</v>
      </c>
      <c r="J13" s="6">
        <v>4</v>
      </c>
      <c r="K13" s="6"/>
      <c r="L13" s="6"/>
      <c r="M13" s="6"/>
      <c r="N13" s="6">
        <v>3</v>
      </c>
      <c r="O13" s="6"/>
      <c r="P13" s="6"/>
      <c r="Q13" s="6">
        <v>1</v>
      </c>
      <c r="R13" s="6"/>
      <c r="S13" s="6">
        <v>10</v>
      </c>
      <c r="T13" s="6"/>
      <c r="U13" s="6"/>
      <c r="V13" s="6">
        <f t="shared" si="0"/>
        <v>48</v>
      </c>
      <c r="W13" s="8">
        <v>275</v>
      </c>
      <c r="X13" s="13">
        <f t="shared" si="1"/>
        <v>0.17454545454545456</v>
      </c>
    </row>
    <row r="14" spans="1:24" ht="20.25" customHeight="1">
      <c r="A14" s="10" t="s">
        <v>9</v>
      </c>
      <c r="B14" s="6">
        <v>4</v>
      </c>
      <c r="C14" s="6"/>
      <c r="D14" s="6">
        <v>1</v>
      </c>
      <c r="E14" s="6"/>
      <c r="F14" s="6">
        <v>1</v>
      </c>
      <c r="G14" s="6">
        <v>4</v>
      </c>
      <c r="H14" s="6">
        <v>1</v>
      </c>
      <c r="I14" s="6">
        <v>7</v>
      </c>
      <c r="J14" s="6">
        <v>6</v>
      </c>
      <c r="K14" s="6">
        <v>2</v>
      </c>
      <c r="L14" s="6"/>
      <c r="M14" s="6">
        <v>2</v>
      </c>
      <c r="N14" s="6"/>
      <c r="O14" s="6"/>
      <c r="P14" s="6">
        <v>3</v>
      </c>
      <c r="Q14" s="6">
        <v>2</v>
      </c>
      <c r="R14" s="6">
        <v>20</v>
      </c>
      <c r="S14" s="6">
        <v>35</v>
      </c>
      <c r="T14" s="6"/>
      <c r="U14" s="6"/>
      <c r="V14" s="6">
        <f t="shared" si="0"/>
        <v>88</v>
      </c>
      <c r="W14" s="8">
        <v>746</v>
      </c>
      <c r="X14" s="13">
        <f t="shared" si="1"/>
        <v>0.11796246648793565</v>
      </c>
    </row>
    <row r="15" spans="1:24" ht="20.25" customHeight="1">
      <c r="A15" s="10" t="s">
        <v>10</v>
      </c>
      <c r="B15" s="7">
        <v>5</v>
      </c>
      <c r="C15" s="7"/>
      <c r="D15" s="7"/>
      <c r="E15" s="7"/>
      <c r="F15" s="7"/>
      <c r="G15" s="7">
        <v>10</v>
      </c>
      <c r="H15" s="7"/>
      <c r="I15" s="7"/>
      <c r="J15" s="7">
        <v>8</v>
      </c>
      <c r="K15" s="7">
        <v>3</v>
      </c>
      <c r="L15" s="7"/>
      <c r="M15" s="7"/>
      <c r="N15" s="7"/>
      <c r="O15" s="7"/>
      <c r="P15" s="7">
        <v>2</v>
      </c>
      <c r="Q15" s="7">
        <v>7</v>
      </c>
      <c r="R15" s="7">
        <v>6</v>
      </c>
      <c r="S15" s="7">
        <v>8</v>
      </c>
      <c r="T15" s="7">
        <v>2</v>
      </c>
      <c r="U15" s="7"/>
      <c r="V15" s="6">
        <f t="shared" si="0"/>
        <v>51</v>
      </c>
      <c r="W15" s="9">
        <v>940</v>
      </c>
      <c r="X15" s="13">
        <f t="shared" si="1"/>
        <v>5.4255319148936172E-2</v>
      </c>
    </row>
    <row r="16" spans="1:24" ht="20.25" customHeight="1">
      <c r="A16" s="11" t="s">
        <v>11</v>
      </c>
      <c r="B16" s="7">
        <v>2</v>
      </c>
      <c r="C16" s="7"/>
      <c r="D16" s="7"/>
      <c r="E16" s="7"/>
      <c r="F16" s="7"/>
      <c r="G16" s="7"/>
      <c r="H16" s="7"/>
      <c r="I16" s="7"/>
      <c r="J16" s="7">
        <v>3</v>
      </c>
      <c r="K16" s="7"/>
      <c r="L16" s="7"/>
      <c r="M16" s="7"/>
      <c r="N16" s="7"/>
      <c r="O16" s="7"/>
      <c r="P16" s="7"/>
      <c r="Q16" s="7">
        <v>2</v>
      </c>
      <c r="R16" s="7"/>
      <c r="S16" s="7">
        <v>2</v>
      </c>
      <c r="T16" s="7"/>
      <c r="U16" s="7"/>
      <c r="V16" s="6">
        <f t="shared" si="0"/>
        <v>9</v>
      </c>
      <c r="W16" s="9">
        <v>300</v>
      </c>
      <c r="X16" s="13">
        <f t="shared" si="1"/>
        <v>0.03</v>
      </c>
    </row>
    <row r="17" spans="1:24" ht="20.25" customHeight="1">
      <c r="A17" s="12" t="s">
        <v>15</v>
      </c>
      <c r="B17" s="8">
        <f t="shared" ref="B17:K17" si="2">SUM(B6:B16)</f>
        <v>36</v>
      </c>
      <c r="C17" s="8">
        <f t="shared" si="2"/>
        <v>0</v>
      </c>
      <c r="D17" s="8">
        <f t="shared" si="2"/>
        <v>22</v>
      </c>
      <c r="E17" s="8">
        <f t="shared" si="2"/>
        <v>20</v>
      </c>
      <c r="F17" s="8">
        <f t="shared" si="2"/>
        <v>12</v>
      </c>
      <c r="G17" s="8">
        <f t="shared" si="2"/>
        <v>31</v>
      </c>
      <c r="H17" s="8">
        <f t="shared" si="2"/>
        <v>14</v>
      </c>
      <c r="I17" s="8">
        <f t="shared" si="2"/>
        <v>43</v>
      </c>
      <c r="J17" s="8">
        <f t="shared" si="2"/>
        <v>34</v>
      </c>
      <c r="K17" s="8">
        <f t="shared" si="2"/>
        <v>24</v>
      </c>
      <c r="L17" s="8">
        <f t="shared" ref="L17:P17" si="3">SUM(L6:L16)</f>
        <v>0</v>
      </c>
      <c r="M17" s="8">
        <f t="shared" si="3"/>
        <v>8</v>
      </c>
      <c r="N17" s="8">
        <f t="shared" si="3"/>
        <v>4</v>
      </c>
      <c r="O17" s="8">
        <f t="shared" si="3"/>
        <v>0</v>
      </c>
      <c r="P17" s="8">
        <f t="shared" si="3"/>
        <v>18</v>
      </c>
      <c r="Q17" s="8">
        <f t="shared" ref="Q17:W17" si="4">SUM(Q6:Q16)</f>
        <v>32</v>
      </c>
      <c r="R17" s="8">
        <f t="shared" si="4"/>
        <v>43</v>
      </c>
      <c r="S17" s="8">
        <f t="shared" si="4"/>
        <v>63</v>
      </c>
      <c r="T17" s="8">
        <f t="shared" si="4"/>
        <v>2</v>
      </c>
      <c r="U17" s="8">
        <f t="shared" si="4"/>
        <v>0</v>
      </c>
      <c r="V17" s="8">
        <f t="shared" si="4"/>
        <v>406</v>
      </c>
      <c r="W17" s="8">
        <f t="shared" si="4"/>
        <v>4563</v>
      </c>
      <c r="X17" s="13">
        <f t="shared" si="1"/>
        <v>8.8976550515012048E-2</v>
      </c>
    </row>
    <row r="19" spans="1:24">
      <c r="A19" s="16" t="s">
        <v>16</v>
      </c>
    </row>
  </sheetData>
  <mergeCells count="5">
    <mergeCell ref="A1:X1"/>
    <mergeCell ref="A2:X2"/>
    <mergeCell ref="V3:X3"/>
    <mergeCell ref="B4:U4"/>
    <mergeCell ref="V4:X4"/>
  </mergeCells>
  <phoneticPr fontId="10" type="noConversion"/>
  <conditionalFormatting sqref="B6:U6">
    <cfRule type="top10" dxfId="61" priority="27" rank="3"/>
    <cfRule type="top10" dxfId="60" priority="30" rank="3"/>
    <cfRule type="top10" priority="31" rank="3"/>
  </conditionalFormatting>
  <conditionalFormatting sqref="B7:U7">
    <cfRule type="top10" dxfId="59" priority="28" rank="3"/>
    <cfRule type="top10" dxfId="58" priority="29" rank="3"/>
  </conditionalFormatting>
  <conditionalFormatting sqref="B8:U8">
    <cfRule type="top10" dxfId="57" priority="26" rank="3"/>
  </conditionalFormatting>
  <conditionalFormatting sqref="B9:U9">
    <cfRule type="top10" dxfId="56" priority="25" rank="3"/>
  </conditionalFormatting>
  <conditionalFormatting sqref="B10:U10">
    <cfRule type="top10" dxfId="55" priority="24" rank="3"/>
  </conditionalFormatting>
  <conditionalFormatting sqref="B11:U11">
    <cfRule type="top10" dxfId="54" priority="22" rank="3"/>
    <cfRule type="top10" priority="23" rank="3"/>
  </conditionalFormatting>
  <conditionalFormatting sqref="B12:U12">
    <cfRule type="top10" dxfId="53" priority="21" rank="3"/>
  </conditionalFormatting>
  <conditionalFormatting sqref="B13:U13">
    <cfRule type="top10" dxfId="52" priority="20" rank="3"/>
  </conditionalFormatting>
  <conditionalFormatting sqref="B14:U14">
    <cfRule type="top10" dxfId="51" priority="19" rank="3"/>
  </conditionalFormatting>
  <conditionalFormatting sqref="B15:U15">
    <cfRule type="top10" dxfId="50" priority="18" rank="3"/>
  </conditionalFormatting>
  <conditionalFormatting sqref="B16:U16">
    <cfRule type="top10" dxfId="49" priority="17" rank="3"/>
  </conditionalFormatting>
  <conditionalFormatting sqref="B17:U17">
    <cfRule type="top10" dxfId="48" priority="1" rank="3"/>
  </conditionalFormatting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"/>
  <sheetViews>
    <sheetView zoomScale="90" zoomScaleNormal="90" workbookViewId="0">
      <selection activeCell="N12" sqref="N12"/>
    </sheetView>
  </sheetViews>
  <sheetFormatPr defaultColWidth="9.140625" defaultRowHeight="15"/>
  <cols>
    <col min="1" max="1" width="11.7109375" style="1" customWidth="1"/>
    <col min="2" max="6" width="9.140625" style="1"/>
    <col min="7" max="7" width="10.140625" style="1" customWidth="1"/>
    <col min="8" max="16384" width="9.140625" style="1"/>
  </cols>
  <sheetData>
    <row r="1" spans="1:24" ht="26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15" customHeigh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21.7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2" t="s">
        <v>19</v>
      </c>
      <c r="W3" s="23"/>
      <c r="X3" s="24"/>
    </row>
    <row r="4" spans="1:24" ht="21.75" customHeight="1">
      <c r="A4" s="4"/>
      <c r="B4" s="32" t="s">
        <v>0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25">
        <v>46289</v>
      </c>
      <c r="W4" s="26"/>
      <c r="X4" s="27"/>
    </row>
    <row r="5" spans="1:24" ht="51">
      <c r="A5" s="5"/>
      <c r="B5" s="15" t="s">
        <v>25</v>
      </c>
      <c r="C5" s="15" t="s">
        <v>26</v>
      </c>
      <c r="D5" s="15" t="s">
        <v>27</v>
      </c>
      <c r="E5" s="15" t="s">
        <v>28</v>
      </c>
      <c r="F5" s="15" t="s">
        <v>29</v>
      </c>
      <c r="G5" s="15" t="s">
        <v>30</v>
      </c>
      <c r="H5" s="15" t="s">
        <v>31</v>
      </c>
      <c r="I5" s="15" t="s">
        <v>32</v>
      </c>
      <c r="J5" s="15" t="s">
        <v>33</v>
      </c>
      <c r="K5" s="15" t="s">
        <v>34</v>
      </c>
      <c r="L5" s="15" t="s">
        <v>35</v>
      </c>
      <c r="M5" s="15" t="s">
        <v>36</v>
      </c>
      <c r="N5" s="15" t="s">
        <v>37</v>
      </c>
      <c r="O5" s="15" t="s">
        <v>38</v>
      </c>
      <c r="P5" s="15" t="s">
        <v>39</v>
      </c>
      <c r="Q5" s="15" t="s">
        <v>40</v>
      </c>
      <c r="R5" s="15" t="s">
        <v>41</v>
      </c>
      <c r="S5" s="15" t="s">
        <v>42</v>
      </c>
      <c r="T5" s="15" t="s">
        <v>43</v>
      </c>
      <c r="U5" s="15" t="s">
        <v>44</v>
      </c>
      <c r="V5" s="15" t="s">
        <v>12</v>
      </c>
      <c r="W5" s="15" t="s">
        <v>13</v>
      </c>
      <c r="X5" s="15" t="s">
        <v>14</v>
      </c>
    </row>
    <row r="6" spans="1:24" ht="20.25" customHeight="1">
      <c r="A6" s="10" t="s">
        <v>1</v>
      </c>
      <c r="B6" s="6">
        <v>1</v>
      </c>
      <c r="C6" s="6"/>
      <c r="D6" s="6"/>
      <c r="E6" s="6"/>
      <c r="F6" s="6"/>
      <c r="G6" s="6">
        <v>1</v>
      </c>
      <c r="H6" s="6"/>
      <c r="I6" s="6">
        <v>1</v>
      </c>
      <c r="J6" s="6">
        <v>1</v>
      </c>
      <c r="K6" s="6"/>
      <c r="L6" s="6"/>
      <c r="M6" s="6"/>
      <c r="N6" s="6">
        <v>1</v>
      </c>
      <c r="O6" s="6"/>
      <c r="P6" s="6">
        <v>1</v>
      </c>
      <c r="Q6" s="6">
        <v>1</v>
      </c>
      <c r="R6" s="6">
        <v>1</v>
      </c>
      <c r="S6" s="6"/>
      <c r="T6" s="6"/>
      <c r="U6" s="6"/>
      <c r="V6" s="6">
        <f>SUM(B6:U6)</f>
        <v>8</v>
      </c>
      <c r="W6" s="8">
        <v>100</v>
      </c>
      <c r="X6" s="13">
        <f>V6/W6</f>
        <v>0.08</v>
      </c>
    </row>
    <row r="7" spans="1:24" ht="20.25" customHeight="1">
      <c r="A7" s="10" t="s">
        <v>2</v>
      </c>
      <c r="B7" s="6">
        <v>4</v>
      </c>
      <c r="C7" s="6"/>
      <c r="D7" s="6">
        <v>10</v>
      </c>
      <c r="E7" s="6">
        <v>6</v>
      </c>
      <c r="F7" s="6">
        <v>1</v>
      </c>
      <c r="G7" s="6">
        <v>4</v>
      </c>
      <c r="H7" s="6">
        <v>3</v>
      </c>
      <c r="I7" s="6">
        <v>1</v>
      </c>
      <c r="J7" s="6">
        <v>2</v>
      </c>
      <c r="K7" s="6">
        <v>1</v>
      </c>
      <c r="L7" s="6"/>
      <c r="M7" s="6">
        <v>2</v>
      </c>
      <c r="N7" s="6"/>
      <c r="O7" s="6"/>
      <c r="P7" s="6">
        <v>2</v>
      </c>
      <c r="Q7" s="6">
        <v>2</v>
      </c>
      <c r="R7" s="6">
        <v>8</v>
      </c>
      <c r="S7" s="6"/>
      <c r="T7" s="6"/>
      <c r="U7" s="6"/>
      <c r="V7" s="6">
        <f t="shared" ref="V7:V16" si="0">SUM(B7:U7)</f>
        <v>46</v>
      </c>
      <c r="W7" s="8">
        <v>702</v>
      </c>
      <c r="X7" s="13">
        <f t="shared" ref="X7:X17" si="1">V7/W7</f>
        <v>6.5527065527065526E-2</v>
      </c>
    </row>
    <row r="8" spans="1:24" ht="20.25" customHeight="1">
      <c r="A8" s="10" t="s">
        <v>3</v>
      </c>
      <c r="B8" s="6">
        <v>3</v>
      </c>
      <c r="C8" s="6"/>
      <c r="D8" s="6">
        <v>9</v>
      </c>
      <c r="E8" s="6">
        <v>2</v>
      </c>
      <c r="F8" s="6">
        <v>1</v>
      </c>
      <c r="G8" s="6"/>
      <c r="H8" s="6">
        <v>10</v>
      </c>
      <c r="I8" s="6"/>
      <c r="J8" s="6"/>
      <c r="K8" s="6">
        <v>9</v>
      </c>
      <c r="L8" s="6"/>
      <c r="M8" s="6"/>
      <c r="N8" s="6"/>
      <c r="O8" s="6"/>
      <c r="P8" s="6">
        <v>3</v>
      </c>
      <c r="Q8" s="6">
        <v>4</v>
      </c>
      <c r="R8" s="6">
        <v>1</v>
      </c>
      <c r="S8" s="6"/>
      <c r="T8" s="6"/>
      <c r="U8" s="6"/>
      <c r="V8" s="6">
        <f t="shared" si="0"/>
        <v>42</v>
      </c>
      <c r="W8" s="8">
        <v>384</v>
      </c>
      <c r="X8" s="13">
        <f t="shared" si="1"/>
        <v>0.109375</v>
      </c>
    </row>
    <row r="9" spans="1:24" ht="20.25" customHeight="1">
      <c r="A9" s="14" t="s">
        <v>4</v>
      </c>
      <c r="B9" s="6">
        <v>6</v>
      </c>
      <c r="C9" s="6"/>
      <c r="D9" s="6">
        <v>3</v>
      </c>
      <c r="E9" s="6">
        <v>4</v>
      </c>
      <c r="F9" s="6">
        <v>4</v>
      </c>
      <c r="G9" s="6"/>
      <c r="H9" s="6">
        <v>3</v>
      </c>
      <c r="I9" s="6">
        <v>5</v>
      </c>
      <c r="J9" s="6"/>
      <c r="K9" s="6">
        <v>4</v>
      </c>
      <c r="L9" s="6"/>
      <c r="M9" s="6">
        <v>3</v>
      </c>
      <c r="N9" s="6"/>
      <c r="O9" s="6"/>
      <c r="P9" s="6">
        <v>1</v>
      </c>
      <c r="Q9" s="6">
        <v>5</v>
      </c>
      <c r="R9" s="6">
        <v>1</v>
      </c>
      <c r="S9" s="6"/>
      <c r="T9" s="6"/>
      <c r="U9" s="6"/>
      <c r="V9" s="6">
        <f t="shared" si="0"/>
        <v>39</v>
      </c>
      <c r="W9" s="8">
        <v>380</v>
      </c>
      <c r="X9" s="13">
        <f t="shared" si="1"/>
        <v>0.10263157894736842</v>
      </c>
    </row>
    <row r="10" spans="1:24" ht="20.25" customHeight="1">
      <c r="A10" s="10" t="s">
        <v>5</v>
      </c>
      <c r="B10" s="6">
        <v>3</v>
      </c>
      <c r="C10" s="6"/>
      <c r="D10" s="6">
        <v>2</v>
      </c>
      <c r="E10" s="6">
        <v>5</v>
      </c>
      <c r="F10" s="6"/>
      <c r="G10" s="6"/>
      <c r="H10" s="6">
        <v>2</v>
      </c>
      <c r="I10" s="6"/>
      <c r="J10" s="6"/>
      <c r="K10" s="6"/>
      <c r="L10" s="6"/>
      <c r="M10" s="6">
        <v>2</v>
      </c>
      <c r="N10" s="6">
        <v>4</v>
      </c>
      <c r="O10" s="6"/>
      <c r="P10" s="6"/>
      <c r="Q10" s="6">
        <v>2</v>
      </c>
      <c r="R10" s="6"/>
      <c r="S10" s="6">
        <v>5</v>
      </c>
      <c r="T10" s="6"/>
      <c r="U10" s="6"/>
      <c r="V10" s="6">
        <f t="shared" si="0"/>
        <v>25</v>
      </c>
      <c r="W10" s="8">
        <v>504</v>
      </c>
      <c r="X10" s="13">
        <f t="shared" si="1"/>
        <v>4.96031746031746E-2</v>
      </c>
    </row>
    <row r="11" spans="1:24" ht="20.25" customHeight="1">
      <c r="A11" s="10" t="s">
        <v>6</v>
      </c>
      <c r="B11" s="6"/>
      <c r="C11" s="6"/>
      <c r="D11" s="6">
        <v>2</v>
      </c>
      <c r="E11" s="6">
        <v>1</v>
      </c>
      <c r="F11" s="6">
        <v>1</v>
      </c>
      <c r="G11" s="6"/>
      <c r="H11" s="6">
        <v>2</v>
      </c>
      <c r="I11" s="6"/>
      <c r="J11" s="6"/>
      <c r="K11" s="6">
        <v>3</v>
      </c>
      <c r="L11" s="6"/>
      <c r="M11" s="6">
        <v>2</v>
      </c>
      <c r="N11" s="6">
        <v>2</v>
      </c>
      <c r="O11" s="6"/>
      <c r="P11" s="6">
        <v>2</v>
      </c>
      <c r="Q11" s="6"/>
      <c r="R11" s="6"/>
      <c r="S11" s="6">
        <v>1</v>
      </c>
      <c r="T11" s="6"/>
      <c r="U11" s="6"/>
      <c r="V11" s="6">
        <f t="shared" si="0"/>
        <v>16</v>
      </c>
      <c r="W11" s="8">
        <v>96</v>
      </c>
      <c r="X11" s="13">
        <f t="shared" si="1"/>
        <v>0.16666666666666666</v>
      </c>
    </row>
    <row r="12" spans="1:24" ht="20.25" customHeight="1">
      <c r="A12" s="10" t="s">
        <v>7</v>
      </c>
      <c r="B12" s="6">
        <v>4</v>
      </c>
      <c r="C12" s="6"/>
      <c r="D12" s="6"/>
      <c r="E12" s="6">
        <v>1</v>
      </c>
      <c r="F12" s="6"/>
      <c r="G12" s="6">
        <v>11</v>
      </c>
      <c r="H12" s="6"/>
      <c r="I12" s="6">
        <v>5</v>
      </c>
      <c r="J12" s="6">
        <v>4</v>
      </c>
      <c r="K12" s="6"/>
      <c r="L12" s="6"/>
      <c r="M12" s="6"/>
      <c r="N12" s="6"/>
      <c r="O12" s="6"/>
      <c r="P12" s="6"/>
      <c r="Q12" s="6">
        <v>4</v>
      </c>
      <c r="R12" s="6">
        <v>2</v>
      </c>
      <c r="S12" s="6">
        <v>2</v>
      </c>
      <c r="T12" s="6"/>
      <c r="U12" s="6">
        <v>2</v>
      </c>
      <c r="V12" s="6">
        <f t="shared" si="0"/>
        <v>35</v>
      </c>
      <c r="W12" s="8">
        <v>96</v>
      </c>
      <c r="X12" s="13">
        <f t="shared" si="1"/>
        <v>0.36458333333333331</v>
      </c>
    </row>
    <row r="13" spans="1:24" ht="20.25" customHeight="1">
      <c r="A13" s="10" t="s">
        <v>8</v>
      </c>
      <c r="B13" s="6">
        <v>13</v>
      </c>
      <c r="C13" s="6"/>
      <c r="D13" s="6"/>
      <c r="E13" s="6">
        <v>6</v>
      </c>
      <c r="F13" s="6"/>
      <c r="G13" s="6"/>
      <c r="H13" s="6"/>
      <c r="I13" s="6">
        <v>12</v>
      </c>
      <c r="J13" s="6"/>
      <c r="K13" s="6"/>
      <c r="L13" s="6"/>
      <c r="M13" s="6">
        <v>3</v>
      </c>
      <c r="N13" s="6"/>
      <c r="O13" s="6"/>
      <c r="P13" s="6"/>
      <c r="Q13" s="6">
        <v>4</v>
      </c>
      <c r="R13" s="6"/>
      <c r="S13" s="6">
        <v>16</v>
      </c>
      <c r="T13" s="6"/>
      <c r="U13" s="6"/>
      <c r="V13" s="6">
        <f t="shared" si="0"/>
        <v>54</v>
      </c>
      <c r="W13" s="8">
        <v>335</v>
      </c>
      <c r="X13" s="13">
        <f t="shared" si="1"/>
        <v>0.16119402985074627</v>
      </c>
    </row>
    <row r="14" spans="1:24" ht="20.25" customHeight="1">
      <c r="A14" s="10" t="s">
        <v>9</v>
      </c>
      <c r="B14" s="6">
        <v>6</v>
      </c>
      <c r="C14" s="6"/>
      <c r="D14" s="6">
        <v>3</v>
      </c>
      <c r="E14" s="6"/>
      <c r="F14" s="6">
        <v>2</v>
      </c>
      <c r="G14" s="6">
        <v>2</v>
      </c>
      <c r="H14" s="6"/>
      <c r="I14" s="6">
        <v>3</v>
      </c>
      <c r="J14" s="6"/>
      <c r="K14" s="6">
        <v>3</v>
      </c>
      <c r="L14" s="6"/>
      <c r="M14" s="6">
        <v>2</v>
      </c>
      <c r="N14" s="6"/>
      <c r="O14" s="6"/>
      <c r="P14" s="6">
        <v>3</v>
      </c>
      <c r="Q14" s="6"/>
      <c r="R14" s="6"/>
      <c r="S14" s="6">
        <v>6</v>
      </c>
      <c r="T14" s="6"/>
      <c r="U14" s="6"/>
      <c r="V14" s="6">
        <f t="shared" si="0"/>
        <v>30</v>
      </c>
      <c r="W14" s="8">
        <v>600</v>
      </c>
      <c r="X14" s="13">
        <f t="shared" si="1"/>
        <v>0.05</v>
      </c>
    </row>
    <row r="15" spans="1:24" ht="20.25" customHeight="1">
      <c r="A15" s="10" t="s">
        <v>10</v>
      </c>
      <c r="B15" s="7">
        <v>4</v>
      </c>
      <c r="C15" s="7"/>
      <c r="D15" s="7"/>
      <c r="E15" s="7"/>
      <c r="F15" s="7"/>
      <c r="G15" s="7">
        <v>5</v>
      </c>
      <c r="H15" s="7"/>
      <c r="I15" s="7"/>
      <c r="J15" s="7">
        <v>1</v>
      </c>
      <c r="K15" s="7">
        <v>4</v>
      </c>
      <c r="L15" s="7"/>
      <c r="M15" s="7">
        <v>6</v>
      </c>
      <c r="N15" s="7"/>
      <c r="O15" s="7"/>
      <c r="P15" s="7">
        <v>1</v>
      </c>
      <c r="Q15" s="7">
        <v>3</v>
      </c>
      <c r="R15" s="7">
        <v>4</v>
      </c>
      <c r="S15" s="7">
        <v>6</v>
      </c>
      <c r="T15" s="7">
        <v>2</v>
      </c>
      <c r="U15" s="7"/>
      <c r="V15" s="6">
        <f t="shared" si="0"/>
        <v>36</v>
      </c>
      <c r="W15" s="9">
        <v>672</v>
      </c>
      <c r="X15" s="13">
        <f t="shared" si="1"/>
        <v>5.3571428571428568E-2</v>
      </c>
    </row>
    <row r="16" spans="1:24" ht="20.25" customHeight="1">
      <c r="A16" s="11" t="s">
        <v>11</v>
      </c>
      <c r="B16" s="7">
        <v>1</v>
      </c>
      <c r="C16" s="7"/>
      <c r="D16" s="7"/>
      <c r="E16" s="7"/>
      <c r="F16" s="7"/>
      <c r="G16" s="7"/>
      <c r="H16" s="7"/>
      <c r="I16" s="7"/>
      <c r="J16" s="7">
        <v>1</v>
      </c>
      <c r="K16" s="7">
        <v>2</v>
      </c>
      <c r="L16" s="7"/>
      <c r="M16" s="7"/>
      <c r="N16" s="7"/>
      <c r="O16" s="7"/>
      <c r="P16" s="7">
        <v>2</v>
      </c>
      <c r="Q16" s="7"/>
      <c r="R16" s="7">
        <v>2</v>
      </c>
      <c r="S16" s="7">
        <v>3</v>
      </c>
      <c r="T16" s="7">
        <v>1</v>
      </c>
      <c r="U16" s="7"/>
      <c r="V16" s="6">
        <f t="shared" si="0"/>
        <v>12</v>
      </c>
      <c r="W16" s="9">
        <v>396</v>
      </c>
      <c r="X16" s="13">
        <f t="shared" si="1"/>
        <v>3.0303030303030304E-2</v>
      </c>
    </row>
    <row r="17" spans="1:24" ht="20.25" customHeight="1">
      <c r="A17" s="12" t="s">
        <v>15</v>
      </c>
      <c r="B17" s="8">
        <f t="shared" ref="B17:J17" si="2">SUM(B6:B16)</f>
        <v>45</v>
      </c>
      <c r="C17" s="8">
        <f t="shared" si="2"/>
        <v>0</v>
      </c>
      <c r="D17" s="8">
        <f t="shared" si="2"/>
        <v>29</v>
      </c>
      <c r="E17" s="8">
        <f t="shared" si="2"/>
        <v>25</v>
      </c>
      <c r="F17" s="8">
        <f t="shared" si="2"/>
        <v>9</v>
      </c>
      <c r="G17" s="8">
        <f t="shared" si="2"/>
        <v>23</v>
      </c>
      <c r="H17" s="8">
        <f t="shared" si="2"/>
        <v>20</v>
      </c>
      <c r="I17" s="8">
        <f t="shared" si="2"/>
        <v>27</v>
      </c>
      <c r="J17" s="8">
        <f t="shared" si="2"/>
        <v>9</v>
      </c>
      <c r="K17" s="8">
        <f t="shared" ref="K17:O17" si="3">SUM(K6:K16)</f>
        <v>26</v>
      </c>
      <c r="L17" s="8">
        <f t="shared" si="3"/>
        <v>0</v>
      </c>
      <c r="M17" s="8">
        <f t="shared" si="3"/>
        <v>20</v>
      </c>
      <c r="N17" s="8">
        <f t="shared" si="3"/>
        <v>7</v>
      </c>
      <c r="O17" s="8">
        <f t="shared" si="3"/>
        <v>0</v>
      </c>
      <c r="P17" s="8">
        <f t="shared" ref="P17:W17" si="4">SUM(P6:P16)</f>
        <v>15</v>
      </c>
      <c r="Q17" s="8">
        <f t="shared" si="4"/>
        <v>25</v>
      </c>
      <c r="R17" s="8">
        <f t="shared" si="4"/>
        <v>19</v>
      </c>
      <c r="S17" s="8">
        <f t="shared" si="4"/>
        <v>39</v>
      </c>
      <c r="T17" s="8">
        <f t="shared" si="4"/>
        <v>3</v>
      </c>
      <c r="U17" s="8">
        <f t="shared" si="4"/>
        <v>2</v>
      </c>
      <c r="V17" s="8">
        <f t="shared" si="4"/>
        <v>343</v>
      </c>
      <c r="W17" s="8">
        <f t="shared" si="4"/>
        <v>4265</v>
      </c>
      <c r="X17" s="13">
        <f t="shared" si="1"/>
        <v>8.0422039859320046E-2</v>
      </c>
    </row>
    <row r="19" spans="1:24">
      <c r="A19" s="16" t="s">
        <v>16</v>
      </c>
    </row>
  </sheetData>
  <mergeCells count="5">
    <mergeCell ref="A1:X1"/>
    <mergeCell ref="A2:X2"/>
    <mergeCell ref="V3:X3"/>
    <mergeCell ref="B4:U4"/>
    <mergeCell ref="V4:X4"/>
  </mergeCells>
  <phoneticPr fontId="10" type="noConversion"/>
  <conditionalFormatting sqref="B6:U6">
    <cfRule type="top10" dxfId="47" priority="27" rank="3"/>
    <cfRule type="top10" dxfId="46" priority="30" rank="3"/>
    <cfRule type="top10" priority="31" rank="3"/>
  </conditionalFormatting>
  <conditionalFormatting sqref="B7:U7">
    <cfRule type="top10" dxfId="45" priority="28" rank="3"/>
    <cfRule type="top10" dxfId="44" priority="29" rank="3"/>
  </conditionalFormatting>
  <conditionalFormatting sqref="B8:U8">
    <cfRule type="top10" dxfId="43" priority="26" rank="3"/>
  </conditionalFormatting>
  <conditionalFormatting sqref="B9:U9">
    <cfRule type="top10" dxfId="42" priority="25" rank="3"/>
  </conditionalFormatting>
  <conditionalFormatting sqref="B10:U10">
    <cfRule type="top10" dxfId="41" priority="24" rank="3"/>
  </conditionalFormatting>
  <conditionalFormatting sqref="B11:U11">
    <cfRule type="top10" dxfId="40" priority="22" rank="3"/>
    <cfRule type="top10" priority="23" rank="3"/>
  </conditionalFormatting>
  <conditionalFormatting sqref="B12:U12">
    <cfRule type="top10" dxfId="39" priority="21" rank="3"/>
  </conditionalFormatting>
  <conditionalFormatting sqref="B13:U13">
    <cfRule type="top10" dxfId="38" priority="20" rank="3"/>
  </conditionalFormatting>
  <conditionalFormatting sqref="B14:U14">
    <cfRule type="top10" dxfId="37" priority="19" rank="3"/>
  </conditionalFormatting>
  <conditionalFormatting sqref="B15:U15">
    <cfRule type="top10" dxfId="36" priority="18" rank="3"/>
  </conditionalFormatting>
  <conditionalFormatting sqref="B16:U16">
    <cfRule type="top10" dxfId="35" priority="17" rank="3"/>
  </conditionalFormatting>
  <conditionalFormatting sqref="B17:U17">
    <cfRule type="top10" dxfId="34" priority="1" rank="3"/>
  </conditionalFormatting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"/>
  <sheetViews>
    <sheetView zoomScale="90" zoomScaleNormal="90" workbookViewId="0">
      <selection activeCell="U11" sqref="U11"/>
    </sheetView>
  </sheetViews>
  <sheetFormatPr defaultColWidth="9.140625" defaultRowHeight="15"/>
  <cols>
    <col min="1" max="1" width="11.7109375" style="1" customWidth="1"/>
    <col min="2" max="6" width="9.140625" style="1"/>
    <col min="7" max="7" width="10.140625" style="1" customWidth="1"/>
    <col min="8" max="16384" width="9.140625" style="1"/>
  </cols>
  <sheetData>
    <row r="1" spans="1:24" ht="26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15" customHeigh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21.7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2" t="s">
        <v>19</v>
      </c>
      <c r="W3" s="23"/>
      <c r="X3" s="24"/>
    </row>
    <row r="4" spans="1:24" ht="21.75" customHeight="1">
      <c r="A4" s="4"/>
      <c r="B4" s="32" t="s">
        <v>0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25">
        <v>46290</v>
      </c>
      <c r="W4" s="26"/>
      <c r="X4" s="27"/>
    </row>
    <row r="5" spans="1:24" ht="51">
      <c r="A5" s="5"/>
      <c r="B5" s="15" t="s">
        <v>25</v>
      </c>
      <c r="C5" s="15" t="s">
        <v>26</v>
      </c>
      <c r="D5" s="15" t="s">
        <v>27</v>
      </c>
      <c r="E5" s="15" t="s">
        <v>28</v>
      </c>
      <c r="F5" s="15" t="s">
        <v>29</v>
      </c>
      <c r="G5" s="15" t="s">
        <v>30</v>
      </c>
      <c r="H5" s="15" t="s">
        <v>31</v>
      </c>
      <c r="I5" s="15" t="s">
        <v>32</v>
      </c>
      <c r="J5" s="15" t="s">
        <v>33</v>
      </c>
      <c r="K5" s="15" t="s">
        <v>34</v>
      </c>
      <c r="L5" s="15" t="s">
        <v>35</v>
      </c>
      <c r="M5" s="15" t="s">
        <v>36</v>
      </c>
      <c r="N5" s="15" t="s">
        <v>37</v>
      </c>
      <c r="O5" s="15" t="s">
        <v>38</v>
      </c>
      <c r="P5" s="15" t="s">
        <v>39</v>
      </c>
      <c r="Q5" s="15" t="s">
        <v>40</v>
      </c>
      <c r="R5" s="15" t="s">
        <v>41</v>
      </c>
      <c r="S5" s="15" t="s">
        <v>42</v>
      </c>
      <c r="T5" s="15" t="s">
        <v>43</v>
      </c>
      <c r="U5" s="15" t="s">
        <v>44</v>
      </c>
      <c r="V5" s="15" t="s">
        <v>12</v>
      </c>
      <c r="W5" s="15" t="s">
        <v>13</v>
      </c>
      <c r="X5" s="15" t="s">
        <v>14</v>
      </c>
    </row>
    <row r="6" spans="1:24" ht="20.25" customHeight="1">
      <c r="A6" s="10" t="s">
        <v>1</v>
      </c>
      <c r="B6" s="6">
        <v>2</v>
      </c>
      <c r="C6" s="6"/>
      <c r="D6" s="6"/>
      <c r="E6" s="6">
        <v>1</v>
      </c>
      <c r="F6" s="6">
        <v>1</v>
      </c>
      <c r="G6" s="6">
        <v>1</v>
      </c>
      <c r="H6" s="6"/>
      <c r="I6" s="6">
        <v>3</v>
      </c>
      <c r="J6" s="6"/>
      <c r="K6" s="6">
        <v>2</v>
      </c>
      <c r="L6" s="6"/>
      <c r="M6" s="6">
        <v>1</v>
      </c>
      <c r="N6" s="6">
        <v>1</v>
      </c>
      <c r="O6" s="6"/>
      <c r="P6" s="6">
        <v>1</v>
      </c>
      <c r="Q6" s="6"/>
      <c r="R6" s="6">
        <v>1</v>
      </c>
      <c r="S6" s="6">
        <v>1</v>
      </c>
      <c r="T6" s="6"/>
      <c r="U6" s="6"/>
      <c r="V6" s="6">
        <f>SUM(B6:U6)</f>
        <v>15</v>
      </c>
      <c r="W6" s="8">
        <v>189</v>
      </c>
      <c r="X6" s="13">
        <f>V6/W6</f>
        <v>7.9365079365079361E-2</v>
      </c>
    </row>
    <row r="7" spans="1:24" ht="20.25" customHeight="1">
      <c r="A7" s="10" t="s">
        <v>2</v>
      </c>
      <c r="B7" s="6">
        <v>1</v>
      </c>
      <c r="C7" s="6"/>
      <c r="D7" s="6">
        <v>8</v>
      </c>
      <c r="E7" s="6">
        <v>1</v>
      </c>
      <c r="F7" s="6">
        <v>2</v>
      </c>
      <c r="G7" s="6">
        <v>1</v>
      </c>
      <c r="H7" s="6">
        <v>5</v>
      </c>
      <c r="I7" s="6"/>
      <c r="J7" s="6">
        <v>3</v>
      </c>
      <c r="K7" s="6">
        <v>1</v>
      </c>
      <c r="L7" s="6">
        <v>1</v>
      </c>
      <c r="M7" s="6">
        <v>1</v>
      </c>
      <c r="N7" s="6"/>
      <c r="O7" s="6"/>
      <c r="P7" s="6">
        <v>6</v>
      </c>
      <c r="Q7" s="6">
        <v>2</v>
      </c>
      <c r="R7" s="6">
        <v>7</v>
      </c>
      <c r="S7" s="6"/>
      <c r="T7" s="6"/>
      <c r="U7" s="6"/>
      <c r="V7" s="6">
        <f>SUM(B7:U7)</f>
        <v>39</v>
      </c>
      <c r="W7" s="8">
        <v>672</v>
      </c>
      <c r="X7" s="13">
        <f>V7/W7</f>
        <v>5.8035714285714288E-2</v>
      </c>
    </row>
    <row r="8" spans="1:24" ht="20.25" customHeight="1">
      <c r="A8" s="10" t="s">
        <v>3</v>
      </c>
      <c r="B8" s="6">
        <v>3</v>
      </c>
      <c r="C8" s="6"/>
      <c r="D8" s="6">
        <v>8</v>
      </c>
      <c r="E8" s="6">
        <v>1</v>
      </c>
      <c r="F8" s="6">
        <v>1</v>
      </c>
      <c r="G8" s="6">
        <v>4</v>
      </c>
      <c r="H8" s="6">
        <v>6</v>
      </c>
      <c r="I8" s="6">
        <v>5</v>
      </c>
      <c r="J8" s="6"/>
      <c r="K8" s="6">
        <v>10</v>
      </c>
      <c r="L8" s="6"/>
      <c r="M8" s="6"/>
      <c r="N8" s="6"/>
      <c r="O8" s="6"/>
      <c r="P8" s="6">
        <v>2</v>
      </c>
      <c r="Q8" s="6">
        <v>4</v>
      </c>
      <c r="R8" s="6">
        <v>6</v>
      </c>
      <c r="S8" s="6">
        <v>1</v>
      </c>
      <c r="T8" s="6"/>
      <c r="U8" s="6"/>
      <c r="V8" s="6">
        <f t="shared" ref="V8" si="0">SUM(B8:U8)</f>
        <v>51</v>
      </c>
      <c r="W8" s="8">
        <v>396</v>
      </c>
      <c r="X8" s="13">
        <f t="shared" ref="X8" si="1">V8/W8</f>
        <v>0.12878787878787878</v>
      </c>
    </row>
    <row r="9" spans="1:24" ht="20.25" customHeight="1">
      <c r="A9" s="14" t="s">
        <v>4</v>
      </c>
      <c r="B9" s="6"/>
      <c r="C9" s="6"/>
      <c r="D9" s="6">
        <v>4</v>
      </c>
      <c r="E9" s="6">
        <v>4</v>
      </c>
      <c r="F9" s="6">
        <v>2</v>
      </c>
      <c r="G9" s="6">
        <v>2</v>
      </c>
      <c r="H9" s="6">
        <v>2</v>
      </c>
      <c r="I9" s="6"/>
      <c r="J9" s="6">
        <v>3</v>
      </c>
      <c r="K9" s="6">
        <v>2</v>
      </c>
      <c r="L9" s="6"/>
      <c r="M9" s="6">
        <v>3</v>
      </c>
      <c r="N9" s="6"/>
      <c r="O9" s="6"/>
      <c r="P9" s="6">
        <v>3</v>
      </c>
      <c r="Q9" s="6">
        <v>4</v>
      </c>
      <c r="R9" s="6"/>
      <c r="S9" s="6"/>
      <c r="T9" s="6">
        <v>1</v>
      </c>
      <c r="U9" s="6"/>
      <c r="V9" s="6">
        <f t="shared" ref="V9:V16" si="2">SUM(B9:U9)</f>
        <v>30</v>
      </c>
      <c r="W9" s="8">
        <v>252</v>
      </c>
      <c r="X9" s="13">
        <f t="shared" ref="X9:X17" si="3">V9/W9</f>
        <v>0.11904761904761904</v>
      </c>
    </row>
    <row r="10" spans="1:24" ht="20.25" customHeight="1">
      <c r="A10" s="10" t="s">
        <v>5</v>
      </c>
      <c r="B10" s="6">
        <v>2</v>
      </c>
      <c r="C10" s="6"/>
      <c r="D10" s="6"/>
      <c r="E10" s="6">
        <v>3</v>
      </c>
      <c r="F10" s="6"/>
      <c r="G10" s="6">
        <v>1</v>
      </c>
      <c r="H10" s="6">
        <v>1</v>
      </c>
      <c r="I10" s="6"/>
      <c r="J10" s="6"/>
      <c r="K10" s="6"/>
      <c r="L10" s="6"/>
      <c r="M10" s="6">
        <v>3</v>
      </c>
      <c r="N10" s="6"/>
      <c r="O10" s="6"/>
      <c r="P10" s="6">
        <v>2</v>
      </c>
      <c r="Q10" s="6">
        <v>2</v>
      </c>
      <c r="R10" s="6">
        <v>1</v>
      </c>
      <c r="S10" s="6">
        <v>6</v>
      </c>
      <c r="T10" s="6"/>
      <c r="U10" s="6"/>
      <c r="V10" s="6">
        <f t="shared" si="2"/>
        <v>21</v>
      </c>
      <c r="W10" s="8">
        <v>480</v>
      </c>
      <c r="X10" s="13">
        <f t="shared" si="3"/>
        <v>4.3749999999999997E-2</v>
      </c>
    </row>
    <row r="11" spans="1:24" ht="20.25" customHeight="1">
      <c r="A11" s="10" t="s">
        <v>6</v>
      </c>
      <c r="B11" s="6">
        <v>3</v>
      </c>
      <c r="C11" s="6"/>
      <c r="D11" s="6">
        <v>2</v>
      </c>
      <c r="E11" s="6">
        <v>2</v>
      </c>
      <c r="F11" s="6">
        <v>2</v>
      </c>
      <c r="G11" s="6"/>
      <c r="H11" s="6">
        <v>2</v>
      </c>
      <c r="I11" s="6"/>
      <c r="J11" s="6"/>
      <c r="K11" s="6"/>
      <c r="L11" s="6"/>
      <c r="M11" s="6"/>
      <c r="N11" s="6"/>
      <c r="O11" s="6"/>
      <c r="P11" s="6">
        <v>4</v>
      </c>
      <c r="Q11" s="6"/>
      <c r="R11" s="6"/>
      <c r="S11" s="6">
        <v>2</v>
      </c>
      <c r="T11" s="6"/>
      <c r="U11" s="6"/>
      <c r="V11" s="6">
        <f t="shared" si="2"/>
        <v>17</v>
      </c>
      <c r="W11" s="8">
        <v>120</v>
      </c>
      <c r="X11" s="13">
        <f t="shared" si="3"/>
        <v>0.14166666666666666</v>
      </c>
    </row>
    <row r="12" spans="1:24" ht="20.25" customHeight="1">
      <c r="A12" s="10" t="s">
        <v>7</v>
      </c>
      <c r="B12" s="6">
        <v>4</v>
      </c>
      <c r="C12" s="6"/>
      <c r="D12" s="6"/>
      <c r="E12" s="6">
        <v>3</v>
      </c>
      <c r="F12" s="6"/>
      <c r="G12" s="6">
        <v>8</v>
      </c>
      <c r="H12" s="6"/>
      <c r="I12" s="6">
        <v>9</v>
      </c>
      <c r="J12" s="6">
        <v>1</v>
      </c>
      <c r="K12" s="6">
        <v>2</v>
      </c>
      <c r="L12" s="6"/>
      <c r="M12" s="6"/>
      <c r="N12" s="6"/>
      <c r="O12" s="6"/>
      <c r="P12" s="6"/>
      <c r="Q12" s="6">
        <v>5</v>
      </c>
      <c r="R12" s="6">
        <v>4</v>
      </c>
      <c r="S12" s="6"/>
      <c r="T12" s="6">
        <v>1</v>
      </c>
      <c r="U12" s="6">
        <v>1</v>
      </c>
      <c r="V12" s="6">
        <f t="shared" si="2"/>
        <v>38</v>
      </c>
      <c r="W12" s="8">
        <v>120</v>
      </c>
      <c r="X12" s="13">
        <f t="shared" si="3"/>
        <v>0.31666666666666665</v>
      </c>
    </row>
    <row r="13" spans="1:24" ht="20.25" customHeight="1">
      <c r="A13" s="10" t="s">
        <v>8</v>
      </c>
      <c r="B13" s="6">
        <v>7</v>
      </c>
      <c r="C13" s="6"/>
      <c r="D13" s="6"/>
      <c r="E13" s="6">
        <v>5</v>
      </c>
      <c r="F13" s="6"/>
      <c r="G13" s="6"/>
      <c r="H13" s="6">
        <v>4</v>
      </c>
      <c r="I13" s="6">
        <v>7</v>
      </c>
      <c r="J13" s="6">
        <v>3</v>
      </c>
      <c r="K13" s="6"/>
      <c r="L13" s="6"/>
      <c r="M13" s="6">
        <v>3</v>
      </c>
      <c r="N13" s="6"/>
      <c r="O13" s="6"/>
      <c r="P13" s="6"/>
      <c r="Q13" s="6">
        <v>6</v>
      </c>
      <c r="R13" s="6"/>
      <c r="S13" s="6">
        <v>15</v>
      </c>
      <c r="T13" s="6"/>
      <c r="U13" s="6"/>
      <c r="V13" s="6">
        <f t="shared" si="2"/>
        <v>50</v>
      </c>
      <c r="W13" s="8">
        <v>275</v>
      </c>
      <c r="X13" s="13">
        <f t="shared" si="3"/>
        <v>0.18181818181818182</v>
      </c>
    </row>
    <row r="14" spans="1:24" ht="20.25" customHeight="1">
      <c r="A14" s="10" t="s">
        <v>9</v>
      </c>
      <c r="B14" s="6">
        <v>2</v>
      </c>
      <c r="C14" s="6"/>
      <c r="D14" s="6">
        <v>2</v>
      </c>
      <c r="E14" s="6"/>
      <c r="F14" s="6">
        <v>2</v>
      </c>
      <c r="G14" s="6">
        <v>2</v>
      </c>
      <c r="H14" s="6"/>
      <c r="I14" s="6">
        <v>3</v>
      </c>
      <c r="J14" s="6">
        <v>3</v>
      </c>
      <c r="K14" s="6">
        <v>2</v>
      </c>
      <c r="L14" s="6"/>
      <c r="M14" s="6">
        <v>2</v>
      </c>
      <c r="N14" s="6"/>
      <c r="O14" s="6"/>
      <c r="P14" s="6">
        <v>2</v>
      </c>
      <c r="Q14" s="6">
        <v>2</v>
      </c>
      <c r="R14" s="6">
        <v>1</v>
      </c>
      <c r="S14" s="6">
        <v>3</v>
      </c>
      <c r="T14" s="6"/>
      <c r="U14" s="6"/>
      <c r="V14" s="6">
        <f t="shared" si="2"/>
        <v>26</v>
      </c>
      <c r="W14" s="8">
        <v>552</v>
      </c>
      <c r="X14" s="13">
        <f t="shared" si="3"/>
        <v>4.710144927536232E-2</v>
      </c>
    </row>
    <row r="15" spans="1:24" ht="20.25" customHeight="1">
      <c r="A15" s="10" t="s">
        <v>10</v>
      </c>
      <c r="B15" s="7">
        <v>2</v>
      </c>
      <c r="C15" s="7"/>
      <c r="D15" s="7"/>
      <c r="E15" s="7"/>
      <c r="F15" s="7"/>
      <c r="G15" s="7">
        <v>4</v>
      </c>
      <c r="H15" s="7"/>
      <c r="I15" s="7">
        <v>4</v>
      </c>
      <c r="J15" s="7">
        <v>3</v>
      </c>
      <c r="K15" s="7">
        <v>1</v>
      </c>
      <c r="L15" s="7"/>
      <c r="M15" s="7"/>
      <c r="N15" s="7"/>
      <c r="O15" s="7"/>
      <c r="P15" s="7"/>
      <c r="Q15" s="7">
        <v>2</v>
      </c>
      <c r="R15" s="7">
        <v>1</v>
      </c>
      <c r="S15" s="7">
        <v>5</v>
      </c>
      <c r="T15" s="7">
        <v>1</v>
      </c>
      <c r="U15" s="7"/>
      <c r="V15" s="6">
        <f t="shared" si="2"/>
        <v>23</v>
      </c>
      <c r="W15" s="9">
        <v>408</v>
      </c>
      <c r="X15" s="13">
        <f t="shared" si="3"/>
        <v>5.6372549019607844E-2</v>
      </c>
    </row>
    <row r="16" spans="1:24" ht="20.25" customHeight="1">
      <c r="A16" s="11" t="s">
        <v>11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6">
        <f t="shared" si="2"/>
        <v>0</v>
      </c>
      <c r="W16" s="9"/>
      <c r="X16" s="13" t="e">
        <f t="shared" si="3"/>
        <v>#DIV/0!</v>
      </c>
    </row>
    <row r="17" spans="1:24" ht="20.25" customHeight="1">
      <c r="A17" s="12" t="s">
        <v>15</v>
      </c>
      <c r="B17" s="8">
        <f t="shared" ref="B17:J17" si="4">SUM(B6:B16)</f>
        <v>26</v>
      </c>
      <c r="C17" s="8">
        <f t="shared" si="4"/>
        <v>0</v>
      </c>
      <c r="D17" s="8">
        <f t="shared" si="4"/>
        <v>24</v>
      </c>
      <c r="E17" s="8">
        <f t="shared" si="4"/>
        <v>20</v>
      </c>
      <c r="F17" s="8">
        <f t="shared" si="4"/>
        <v>10</v>
      </c>
      <c r="G17" s="8">
        <f t="shared" si="4"/>
        <v>23</v>
      </c>
      <c r="H17" s="8">
        <f t="shared" si="4"/>
        <v>20</v>
      </c>
      <c r="I17" s="8">
        <f t="shared" si="4"/>
        <v>31</v>
      </c>
      <c r="J17" s="8">
        <f t="shared" si="4"/>
        <v>16</v>
      </c>
      <c r="K17" s="8">
        <f t="shared" ref="K17:O17" si="5">SUM(K6:K16)</f>
        <v>20</v>
      </c>
      <c r="L17" s="8">
        <f t="shared" si="5"/>
        <v>1</v>
      </c>
      <c r="M17" s="8">
        <f t="shared" si="5"/>
        <v>13</v>
      </c>
      <c r="N17" s="8">
        <f t="shared" si="5"/>
        <v>1</v>
      </c>
      <c r="O17" s="8">
        <f t="shared" si="5"/>
        <v>0</v>
      </c>
      <c r="P17" s="8">
        <f t="shared" ref="P17:W17" si="6">SUM(P6:P16)</f>
        <v>20</v>
      </c>
      <c r="Q17" s="8">
        <f t="shared" si="6"/>
        <v>27</v>
      </c>
      <c r="R17" s="8">
        <f t="shared" si="6"/>
        <v>21</v>
      </c>
      <c r="S17" s="8">
        <f t="shared" si="6"/>
        <v>33</v>
      </c>
      <c r="T17" s="8">
        <f t="shared" si="6"/>
        <v>3</v>
      </c>
      <c r="U17" s="8">
        <f t="shared" si="6"/>
        <v>1</v>
      </c>
      <c r="V17" s="8">
        <f t="shared" si="6"/>
        <v>310</v>
      </c>
      <c r="W17" s="8">
        <f t="shared" si="6"/>
        <v>3464</v>
      </c>
      <c r="X17" s="13">
        <f t="shared" si="3"/>
        <v>8.9491916859122403E-2</v>
      </c>
    </row>
    <row r="19" spans="1:24">
      <c r="A19" s="16" t="s">
        <v>16</v>
      </c>
    </row>
  </sheetData>
  <mergeCells count="5">
    <mergeCell ref="A1:X1"/>
    <mergeCell ref="A2:X2"/>
    <mergeCell ref="V3:X3"/>
    <mergeCell ref="B4:U4"/>
    <mergeCell ref="V4:X4"/>
  </mergeCells>
  <phoneticPr fontId="10" type="noConversion"/>
  <conditionalFormatting sqref="B6:U6">
    <cfRule type="top10" dxfId="33" priority="32" rank="3"/>
    <cfRule type="top10" dxfId="32" priority="35" rank="3"/>
    <cfRule type="top10" priority="36" rank="3"/>
  </conditionalFormatting>
  <conditionalFormatting sqref="B7:U7">
    <cfRule type="top10" dxfId="31" priority="33" rank="3"/>
    <cfRule type="top10" dxfId="30" priority="34" rank="3"/>
  </conditionalFormatting>
  <conditionalFormatting sqref="B8:U8">
    <cfRule type="top10" dxfId="29" priority="31" rank="3"/>
  </conditionalFormatting>
  <conditionalFormatting sqref="B9:U9">
    <cfRule type="top10" dxfId="28" priority="30" rank="3"/>
  </conditionalFormatting>
  <conditionalFormatting sqref="B10:U10">
    <cfRule type="top10" dxfId="27" priority="29" rank="3"/>
  </conditionalFormatting>
  <conditionalFormatting sqref="B11:U11">
    <cfRule type="top10" dxfId="26" priority="27" rank="3"/>
    <cfRule type="top10" priority="28" rank="3"/>
  </conditionalFormatting>
  <conditionalFormatting sqref="B12:U12">
    <cfRule type="top10" dxfId="25" priority="26" rank="3"/>
  </conditionalFormatting>
  <conditionalFormatting sqref="B13:U13">
    <cfRule type="top10" dxfId="24" priority="25" rank="3"/>
  </conditionalFormatting>
  <conditionalFormatting sqref="B14:U14">
    <cfRule type="top10" dxfId="23" priority="24" rank="3"/>
  </conditionalFormatting>
  <conditionalFormatting sqref="B15:U15">
    <cfRule type="top10" dxfId="22" priority="23" rank="3"/>
  </conditionalFormatting>
  <conditionalFormatting sqref="B16:U16">
    <cfRule type="top10" dxfId="21" priority="22" rank="3"/>
  </conditionalFormatting>
  <conditionalFormatting sqref="B17:U17">
    <cfRule type="top10" dxfId="20" priority="6" rank="3"/>
  </conditionalFormatting>
  <conditionalFormatting sqref="B7:U7">
    <cfRule type="top10" dxfId="19" priority="1" rank="3"/>
    <cfRule type="top10" dxfId="18" priority="4" rank="3"/>
    <cfRule type="top10" priority="5" rank="3"/>
  </conditionalFormatting>
  <conditionalFormatting sqref="B8:U8">
    <cfRule type="top10" dxfId="17" priority="2" rank="3"/>
    <cfRule type="top10" dxfId="16" priority="3" rank="3"/>
  </conditionalFormatting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"/>
  <sheetViews>
    <sheetView zoomScale="90" zoomScaleNormal="90" workbookViewId="0">
      <selection activeCell="G13" sqref="G13"/>
    </sheetView>
  </sheetViews>
  <sheetFormatPr defaultColWidth="9.140625" defaultRowHeight="15"/>
  <cols>
    <col min="1" max="1" width="11.7109375" style="1" customWidth="1"/>
    <col min="2" max="6" width="9.140625" style="1"/>
    <col min="7" max="7" width="10.28515625" style="1" customWidth="1"/>
    <col min="8" max="16384" width="9.140625" style="1"/>
  </cols>
  <sheetData>
    <row r="1" spans="1:24" ht="26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15" customHeigh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21.7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2"/>
      <c r="W3" s="23"/>
      <c r="X3" s="24"/>
    </row>
    <row r="4" spans="1:24" ht="21.75" customHeight="1">
      <c r="A4" s="4"/>
      <c r="B4" s="32" t="s">
        <v>0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25">
        <v>46284</v>
      </c>
      <c r="W4" s="26"/>
      <c r="X4" s="27"/>
    </row>
    <row r="5" spans="1:24" ht="51">
      <c r="A5" s="5"/>
      <c r="B5" s="15" t="s">
        <v>25</v>
      </c>
      <c r="C5" s="15" t="s">
        <v>26</v>
      </c>
      <c r="D5" s="15" t="s">
        <v>27</v>
      </c>
      <c r="E5" s="15" t="s">
        <v>28</v>
      </c>
      <c r="F5" s="15" t="s">
        <v>29</v>
      </c>
      <c r="G5" s="15" t="s">
        <v>30</v>
      </c>
      <c r="H5" s="15" t="s">
        <v>31</v>
      </c>
      <c r="I5" s="15" t="s">
        <v>32</v>
      </c>
      <c r="J5" s="15" t="s">
        <v>33</v>
      </c>
      <c r="K5" s="15" t="s">
        <v>34</v>
      </c>
      <c r="L5" s="15" t="s">
        <v>35</v>
      </c>
      <c r="M5" s="15" t="s">
        <v>36</v>
      </c>
      <c r="N5" s="15" t="s">
        <v>37</v>
      </c>
      <c r="O5" s="15" t="s">
        <v>38</v>
      </c>
      <c r="P5" s="15" t="s">
        <v>39</v>
      </c>
      <c r="Q5" s="15" t="s">
        <v>40</v>
      </c>
      <c r="R5" s="15" t="s">
        <v>41</v>
      </c>
      <c r="S5" s="15" t="s">
        <v>42</v>
      </c>
      <c r="T5" s="15" t="s">
        <v>43</v>
      </c>
      <c r="U5" s="15" t="s">
        <v>44</v>
      </c>
      <c r="V5" s="15" t="s">
        <v>12</v>
      </c>
      <c r="W5" s="15" t="s">
        <v>13</v>
      </c>
      <c r="X5" s="15" t="s">
        <v>14</v>
      </c>
    </row>
    <row r="6" spans="1:24" ht="20.25" customHeight="1">
      <c r="A6" s="10" t="s">
        <v>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>
        <f>SUM(B6:U6)</f>
        <v>0</v>
      </c>
      <c r="W6" s="8"/>
      <c r="X6" s="13" t="e">
        <f>V6/W6</f>
        <v>#DIV/0!</v>
      </c>
    </row>
    <row r="7" spans="1:24" ht="20.25" customHeight="1">
      <c r="A7" s="10" t="s">
        <v>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>
        <f t="shared" ref="V7:V16" si="0">SUM(B7:U7)</f>
        <v>0</v>
      </c>
      <c r="W7" s="8"/>
      <c r="X7" s="13" t="e">
        <f t="shared" ref="X7:X17" si="1">V7/W7</f>
        <v>#DIV/0!</v>
      </c>
    </row>
    <row r="8" spans="1:24" ht="20.25" customHeight="1">
      <c r="A8" s="10" t="s">
        <v>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>
        <f t="shared" si="0"/>
        <v>0</v>
      </c>
      <c r="W8" s="8"/>
      <c r="X8" s="13" t="e">
        <f t="shared" si="1"/>
        <v>#DIV/0!</v>
      </c>
    </row>
    <row r="9" spans="1:24" ht="20.25" customHeight="1">
      <c r="A9" s="14" t="s">
        <v>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f t="shared" si="0"/>
        <v>0</v>
      </c>
      <c r="W9" s="8"/>
      <c r="X9" s="13" t="e">
        <f t="shared" si="1"/>
        <v>#DIV/0!</v>
      </c>
    </row>
    <row r="10" spans="1:24" ht="20.25" customHeight="1">
      <c r="A10" s="10" t="s">
        <v>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f t="shared" si="0"/>
        <v>0</v>
      </c>
      <c r="W10" s="8"/>
      <c r="X10" s="13" t="e">
        <f t="shared" si="1"/>
        <v>#DIV/0!</v>
      </c>
    </row>
    <row r="11" spans="1:24" ht="20.25" customHeight="1">
      <c r="A11" s="10" t="s">
        <v>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f t="shared" si="0"/>
        <v>0</v>
      </c>
      <c r="W11" s="8"/>
      <c r="X11" s="13" t="e">
        <f t="shared" si="1"/>
        <v>#DIV/0!</v>
      </c>
    </row>
    <row r="12" spans="1:24" ht="20.25" customHeight="1">
      <c r="A12" s="10" t="s">
        <v>7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f t="shared" si="0"/>
        <v>0</v>
      </c>
      <c r="W12" s="8"/>
      <c r="X12" s="13" t="e">
        <f t="shared" si="1"/>
        <v>#DIV/0!</v>
      </c>
    </row>
    <row r="13" spans="1:24" ht="20.25" customHeight="1">
      <c r="A13" s="10" t="s">
        <v>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f t="shared" si="0"/>
        <v>0</v>
      </c>
      <c r="W13" s="8"/>
      <c r="X13" s="13" t="e">
        <f t="shared" si="1"/>
        <v>#DIV/0!</v>
      </c>
    </row>
    <row r="14" spans="1:24" ht="20.25" customHeight="1">
      <c r="A14" s="10" t="s">
        <v>9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f t="shared" si="0"/>
        <v>0</v>
      </c>
      <c r="W14" s="8"/>
      <c r="X14" s="13" t="e">
        <f t="shared" si="1"/>
        <v>#DIV/0!</v>
      </c>
    </row>
    <row r="15" spans="1:24" ht="20.25" customHeight="1">
      <c r="A15" s="10" t="s">
        <v>10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6">
        <f t="shared" si="0"/>
        <v>0</v>
      </c>
      <c r="W15" s="9"/>
      <c r="X15" s="13" t="e">
        <f t="shared" si="1"/>
        <v>#DIV/0!</v>
      </c>
    </row>
    <row r="16" spans="1:24" ht="20.25" customHeight="1">
      <c r="A16" s="11" t="s">
        <v>11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6">
        <f t="shared" si="0"/>
        <v>0</v>
      </c>
      <c r="W16" s="9"/>
      <c r="X16" s="13" t="e">
        <f t="shared" si="1"/>
        <v>#DIV/0!</v>
      </c>
    </row>
    <row r="17" spans="1:24" ht="20.25" customHeight="1">
      <c r="A17" s="12" t="s">
        <v>15</v>
      </c>
      <c r="B17" s="8">
        <f t="shared" ref="B17:W17" si="2">SUM(B6:B16)</f>
        <v>0</v>
      </c>
      <c r="C17" s="8">
        <f t="shared" si="2"/>
        <v>0</v>
      </c>
      <c r="D17" s="8">
        <f t="shared" si="2"/>
        <v>0</v>
      </c>
      <c r="E17" s="8">
        <f t="shared" si="2"/>
        <v>0</v>
      </c>
      <c r="F17" s="8">
        <f t="shared" si="2"/>
        <v>0</v>
      </c>
      <c r="G17" s="8">
        <f t="shared" si="2"/>
        <v>0</v>
      </c>
      <c r="H17" s="8">
        <f t="shared" si="2"/>
        <v>0</v>
      </c>
      <c r="I17" s="8">
        <f t="shared" si="2"/>
        <v>0</v>
      </c>
      <c r="J17" s="8">
        <f t="shared" si="2"/>
        <v>0</v>
      </c>
      <c r="K17" s="8">
        <f t="shared" si="2"/>
        <v>0</v>
      </c>
      <c r="L17" s="8">
        <f t="shared" si="2"/>
        <v>0</v>
      </c>
      <c r="M17" s="8">
        <f t="shared" si="2"/>
        <v>0</v>
      </c>
      <c r="N17" s="8">
        <f t="shared" si="2"/>
        <v>0</v>
      </c>
      <c r="O17" s="8">
        <f t="shared" si="2"/>
        <v>0</v>
      </c>
      <c r="P17" s="8">
        <f t="shared" si="2"/>
        <v>0</v>
      </c>
      <c r="Q17" s="8">
        <f t="shared" si="2"/>
        <v>0</v>
      </c>
      <c r="R17" s="8">
        <f t="shared" si="2"/>
        <v>0</v>
      </c>
      <c r="S17" s="8">
        <f t="shared" si="2"/>
        <v>0</v>
      </c>
      <c r="T17" s="8">
        <f t="shared" si="2"/>
        <v>0</v>
      </c>
      <c r="U17" s="8">
        <f t="shared" si="2"/>
        <v>0</v>
      </c>
      <c r="V17" s="8">
        <f t="shared" si="2"/>
        <v>0</v>
      </c>
      <c r="W17" s="8">
        <f t="shared" si="2"/>
        <v>0</v>
      </c>
      <c r="X17" s="13" t="e">
        <f t="shared" si="1"/>
        <v>#DIV/0!</v>
      </c>
    </row>
    <row r="19" spans="1:24">
      <c r="A19" s="16" t="s">
        <v>16</v>
      </c>
    </row>
  </sheetData>
  <mergeCells count="5">
    <mergeCell ref="A1:X1"/>
    <mergeCell ref="A2:X2"/>
    <mergeCell ref="V3:X3"/>
    <mergeCell ref="B4:U4"/>
    <mergeCell ref="V4:X4"/>
  </mergeCells>
  <phoneticPr fontId="10" type="noConversion"/>
  <conditionalFormatting sqref="B6:U6">
    <cfRule type="top10" dxfId="15" priority="27" rank="3"/>
    <cfRule type="top10" dxfId="14" priority="30" rank="3"/>
    <cfRule type="top10" priority="31" rank="3"/>
  </conditionalFormatting>
  <conditionalFormatting sqref="B7:U7">
    <cfRule type="top10" dxfId="13" priority="28" rank="3"/>
    <cfRule type="top10" dxfId="12" priority="29" rank="3"/>
  </conditionalFormatting>
  <conditionalFormatting sqref="B8:U8">
    <cfRule type="top10" dxfId="11" priority="26" rank="3"/>
  </conditionalFormatting>
  <conditionalFormatting sqref="B9:U9">
    <cfRule type="top10" dxfId="10" priority="25" rank="3"/>
  </conditionalFormatting>
  <conditionalFormatting sqref="B10:U10">
    <cfRule type="top10" dxfId="9" priority="24" rank="3"/>
  </conditionalFormatting>
  <conditionalFormatting sqref="B11:U11">
    <cfRule type="top10" dxfId="8" priority="22" rank="3"/>
    <cfRule type="top10" priority="23" rank="3"/>
  </conditionalFormatting>
  <conditionalFormatting sqref="B12:U12">
    <cfRule type="top10" dxfId="7" priority="21" rank="3"/>
  </conditionalFormatting>
  <conditionalFormatting sqref="B13:U13">
    <cfRule type="top10" dxfId="6" priority="20" rank="3"/>
  </conditionalFormatting>
  <conditionalFormatting sqref="B14:U14">
    <cfRule type="top10" dxfId="5" priority="19" rank="3"/>
  </conditionalFormatting>
  <conditionalFormatting sqref="B15:U15">
    <cfRule type="top10" dxfId="4" priority="18" rank="3"/>
  </conditionalFormatting>
  <conditionalFormatting sqref="B16:U16">
    <cfRule type="top10" dxfId="3" priority="17" rank="3"/>
  </conditionalFormatting>
  <conditionalFormatting sqref="B17:U17">
    <cfRule type="top10" dxfId="2" priority="1" rank="3"/>
  </conditionalFormatting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4"/>
  <sheetViews>
    <sheetView topLeftCell="B1" zoomScale="85" zoomScaleNormal="85" workbookViewId="0">
      <selection activeCell="W29" sqref="W29"/>
    </sheetView>
  </sheetViews>
  <sheetFormatPr defaultColWidth="9.140625" defaultRowHeight="15"/>
  <cols>
    <col min="1" max="1" width="11.7109375" style="1" customWidth="1"/>
    <col min="2" max="2" width="9.140625" style="1"/>
    <col min="3" max="3" width="10.28515625" style="1" bestFit="1" customWidth="1"/>
    <col min="4" max="6" width="9.140625" style="1"/>
    <col min="7" max="7" width="10.7109375" style="1" customWidth="1"/>
    <col min="8" max="26" width="9.140625" style="1"/>
    <col min="27" max="29" width="13.7109375" style="1" customWidth="1"/>
    <col min="30" max="16384" width="9.140625" style="1"/>
  </cols>
  <sheetData>
    <row r="1" spans="1:33" ht="26.25" customHeight="1">
      <c r="A1" s="35" t="s">
        <v>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33" ht="15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 spans="1:33" ht="21.7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</row>
    <row r="4" spans="1:33" ht="21.75" customHeight="1">
      <c r="A4" s="4"/>
      <c r="B4" s="32" t="s">
        <v>0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25" t="s">
        <v>46</v>
      </c>
      <c r="W4" s="40"/>
      <c r="X4" s="41"/>
    </row>
    <row r="5" spans="1:33" ht="51">
      <c r="A5" s="5"/>
      <c r="B5" s="15" t="s">
        <v>25</v>
      </c>
      <c r="C5" s="15" t="s">
        <v>26</v>
      </c>
      <c r="D5" s="15" t="s">
        <v>27</v>
      </c>
      <c r="E5" s="15" t="s">
        <v>28</v>
      </c>
      <c r="F5" s="15" t="s">
        <v>29</v>
      </c>
      <c r="G5" s="15" t="s">
        <v>30</v>
      </c>
      <c r="H5" s="15" t="s">
        <v>31</v>
      </c>
      <c r="I5" s="15" t="s">
        <v>32</v>
      </c>
      <c r="J5" s="15" t="s">
        <v>33</v>
      </c>
      <c r="K5" s="15" t="s">
        <v>34</v>
      </c>
      <c r="L5" s="15" t="s">
        <v>35</v>
      </c>
      <c r="M5" s="15" t="s">
        <v>36</v>
      </c>
      <c r="N5" s="15" t="s">
        <v>37</v>
      </c>
      <c r="O5" s="15" t="s">
        <v>38</v>
      </c>
      <c r="P5" s="15" t="s">
        <v>39</v>
      </c>
      <c r="Q5" s="15" t="s">
        <v>40</v>
      </c>
      <c r="R5" s="15" t="s">
        <v>41</v>
      </c>
      <c r="S5" s="15" t="s">
        <v>42</v>
      </c>
      <c r="T5" s="15" t="s">
        <v>43</v>
      </c>
      <c r="U5" s="15" t="s">
        <v>44</v>
      </c>
      <c r="V5" s="15" t="s">
        <v>12</v>
      </c>
      <c r="W5" s="15" t="s">
        <v>13</v>
      </c>
      <c r="X5" s="15" t="s">
        <v>14</v>
      </c>
      <c r="Y5" s="17" t="s">
        <v>17</v>
      </c>
      <c r="AA5" s="39" t="s">
        <v>45</v>
      </c>
      <c r="AB5" s="39"/>
      <c r="AC5" s="39"/>
      <c r="AD5" s="39"/>
      <c r="AE5" s="39"/>
      <c r="AF5" s="39"/>
      <c r="AG5" s="39"/>
    </row>
    <row r="6" spans="1:33" ht="20.25" customHeight="1">
      <c r="A6" s="10" t="s">
        <v>1</v>
      </c>
      <c r="B6" s="6">
        <f>'SEP21'!B6+'SEP22'!B6+'SEP23'!B6+'SEP24'!B6+'SEP25'!B6+'SEP26'!B6</f>
        <v>10</v>
      </c>
      <c r="C6" s="6">
        <f>'SEP21'!C6+'SEP22'!C6+'SEP23'!C6+'SEP24'!C6+'SEP25'!C6+'SEP26'!C6</f>
        <v>0</v>
      </c>
      <c r="D6" s="6">
        <f>'SEP21'!D6+'SEP22'!D6+'SEP23'!D6+'SEP24'!D6+'SEP25'!D6+'SEP26'!D6</f>
        <v>5</v>
      </c>
      <c r="E6" s="6">
        <f>'SEP21'!E6+'SEP22'!E6+'SEP23'!E6+'SEP24'!E6+'SEP25'!E6+'SEP26'!E6</f>
        <v>2</v>
      </c>
      <c r="F6" s="6">
        <f>'SEP21'!F6+'SEP22'!F6+'SEP23'!F6+'SEP24'!F6+'SEP25'!F6+'SEP26'!F6</f>
        <v>3</v>
      </c>
      <c r="G6" s="6">
        <f>'SEP21'!G6+'SEP22'!G6+'SEP23'!G6+'SEP24'!G6+'SEP25'!G6+'SEP26'!G6</f>
        <v>5</v>
      </c>
      <c r="H6" s="6">
        <f>'SEP21'!H6+'SEP22'!H6+'SEP23'!H6+'SEP24'!H6+'SEP25'!H6+'SEP26'!H6</f>
        <v>0</v>
      </c>
      <c r="I6" s="6">
        <f>'SEP21'!I6+'SEP22'!I6+'SEP23'!I6+'SEP24'!I6+'SEP25'!I6+'SEP26'!I6</f>
        <v>9</v>
      </c>
      <c r="J6" s="6">
        <f>'SEP21'!J6+'SEP22'!J6+'SEP23'!J6+'SEP24'!J6+'SEP25'!J6+'SEP26'!J6</f>
        <v>3</v>
      </c>
      <c r="K6" s="6">
        <f>'SEP21'!P6+'SEP22'!K6+'SEP23'!K6+'SEP24'!P6+'SEP25'!P6+'SEP26'!K6</f>
        <v>2</v>
      </c>
      <c r="L6" s="6">
        <f>'SEP21'!Q6+'SEP22'!L6+'SEP23'!L6+'SEP24'!Q6+'SEP25'!Q6+'SEP26'!L6</f>
        <v>1</v>
      </c>
      <c r="M6" s="6">
        <f>'SEP21'!R6+'SEP22'!M6+'SEP23'!M6+'SEP24'!R6+'SEP25'!R6+'SEP26'!M6</f>
        <v>7</v>
      </c>
      <c r="N6" s="6">
        <f>'SEP21'!S6+'SEP22'!N6+'SEP23'!N6+'SEP24'!S6+'SEP25'!S6+'SEP26'!N6</f>
        <v>2</v>
      </c>
      <c r="O6" s="6">
        <f>'SEP21'!T6+'SEP22'!O6+'SEP23'!O6+'SEP24'!T6+'SEP25'!T6+'SEP26'!O6</f>
        <v>0</v>
      </c>
      <c r="P6" s="6">
        <f>'SEP21'!U6+'SEP22'!P6+'SEP23'!P6+'SEP24'!U6+'SEP25'!U6+'SEP26'!P6</f>
        <v>3</v>
      </c>
      <c r="Q6" s="6">
        <f>'SEP21'!Q6+'SEP22'!Q6+'SEP23'!Q6+'SEP24'!Q6+'SEP25'!Q6+'SEP26'!L6</f>
        <v>3</v>
      </c>
      <c r="R6" s="6">
        <f>'SEP21'!R6+'SEP22'!R6+'SEP23'!R6+'SEP24'!R6+'SEP25'!R6+'SEP26'!Q6</f>
        <v>8</v>
      </c>
      <c r="S6" s="6">
        <f>'SEP21'!S6+'SEP22'!S6+'SEP23'!S6+'SEP24'!S6+'SEP25'!S6+'SEP26'!R6</f>
        <v>2</v>
      </c>
      <c r="T6" s="6">
        <f>'SEP21'!T6+'SEP22'!T6+'SEP23'!T6+'SEP24'!T6+'SEP25'!T6+'SEP26'!S6</f>
        <v>0</v>
      </c>
      <c r="U6" s="6">
        <f>'SEP21'!U6+'SEP22'!U6+'SEP23'!U6+'SEP24'!U6+'SEP25'!U6+'SEP26'!U6</f>
        <v>0</v>
      </c>
      <c r="V6" s="6">
        <f>SUM(B6:U6)</f>
        <v>65</v>
      </c>
      <c r="W6" s="8">
        <f>'SEP21'!W6+'SEP22'!W6+'SEP23'!W6+'SEP24'!W6+'SEP25'!W6+'SEP26'!W6</f>
        <v>967</v>
      </c>
      <c r="X6" s="13">
        <f>V6/W6</f>
        <v>6.7218200620475704E-2</v>
      </c>
      <c r="Y6" s="10" t="s">
        <v>1</v>
      </c>
    </row>
    <row r="7" spans="1:33" ht="20.25" customHeight="1">
      <c r="A7" s="10" t="s">
        <v>2</v>
      </c>
      <c r="B7" s="6">
        <f>'SEP21'!B7+'SEP22'!B7+'SEP23'!B7+'SEP24'!B7+'SEP25'!B7+'SEP26'!B7</f>
        <v>13</v>
      </c>
      <c r="C7" s="6">
        <f>'SEP21'!C7+'SEP22'!C7+'SEP23'!C7+'SEP24'!C7+'SEP25'!C7+'SEP26'!C7</f>
        <v>0</v>
      </c>
      <c r="D7" s="6">
        <f>'SEP21'!D7+'SEP22'!D7+'SEP23'!D7+'SEP24'!D7+'SEP25'!D7+'SEP26'!D7</f>
        <v>41</v>
      </c>
      <c r="E7" s="6">
        <f>'SEP21'!E7+'SEP22'!E7+'SEP23'!E7+'SEP24'!E7+'SEP25'!E7+'SEP26'!E7</f>
        <v>18</v>
      </c>
      <c r="F7" s="6">
        <f>'SEP21'!F7+'SEP22'!F7+'SEP23'!F7+'SEP24'!F7+'SEP25'!F7+'SEP26'!F7</f>
        <v>9</v>
      </c>
      <c r="G7" s="6">
        <f>'SEP21'!G7+'SEP22'!G7+'SEP23'!G7+'SEP24'!G7+'SEP25'!G7+'SEP26'!G7</f>
        <v>11</v>
      </c>
      <c r="H7" s="6">
        <f>'SEP21'!H7+'SEP22'!H7+'SEP23'!H7+'SEP24'!H7+'SEP25'!H7+'SEP26'!H7</f>
        <v>17</v>
      </c>
      <c r="I7" s="6">
        <f>'SEP21'!I7+'SEP22'!I7+'SEP23'!I7+'SEP24'!I7+'SEP25'!I7+'SEP26'!I7</f>
        <v>7</v>
      </c>
      <c r="J7" s="6">
        <f>'SEP21'!J7+'SEP22'!J7+'SEP23'!J7+'SEP24'!J7+'SEP25'!J7+'SEP26'!J7</f>
        <v>10</v>
      </c>
      <c r="K7" s="6">
        <f>'SEP21'!K7+'SEP22'!K7+'SEP23'!K7+'SEP24'!K7+'SEP25'!K7</f>
        <v>8</v>
      </c>
      <c r="L7" s="6">
        <f>'SEP21'!L7+'SEP22'!L7+'SEP23'!L7+'SEP24'!L7+'SEP25'!L7</f>
        <v>1</v>
      </c>
      <c r="M7" s="6">
        <f>'SEP21'!M7+'SEP22'!M7+'SEP23'!M7+'SEP24'!M7+'SEP25'!M7</f>
        <v>3</v>
      </c>
      <c r="N7" s="6">
        <f>'SEP21'!S7+'SEP22'!N7+'SEP23'!N7+'SEP24'!S7+'SEP25'!S7+'SEP26'!N7</f>
        <v>0</v>
      </c>
      <c r="O7" s="6">
        <f>'SEP21'!T7+'SEP22'!O7+'SEP23'!O7+'SEP24'!T7+'SEP25'!T7+'SEP26'!O7</f>
        <v>0</v>
      </c>
      <c r="P7" s="6">
        <f>'SEP21'!P7+'SEP22'!P7+'SEP23'!P7+'SEP24'!P7+'SEP25'!P7</f>
        <v>15</v>
      </c>
      <c r="Q7" s="6">
        <f>'SEP21'!Q7+'SEP22'!Q7+'SEP23'!Q7+'SEP24'!Q7+'SEP25'!Q7+'SEP26'!L7</f>
        <v>11</v>
      </c>
      <c r="R7" s="6">
        <f>'SEP21'!R7+'SEP22'!R7+'SEP23'!R7+'SEP24'!R7+'SEP25'!R7+'SEP26'!Q7</f>
        <v>38</v>
      </c>
      <c r="S7" s="6">
        <f>'SEP21'!S7+'SEP22'!S7+'SEP23'!S7+'SEP24'!S7+'SEP25'!S7+'SEP26'!R7</f>
        <v>0</v>
      </c>
      <c r="T7" s="6">
        <f>'SEP21'!T7+'SEP22'!T7+'SEP23'!T7+'SEP24'!T7+'SEP25'!T7+'SEP26'!S7</f>
        <v>0</v>
      </c>
      <c r="U7" s="6">
        <f>'SEP21'!U7+'SEP22'!U7+'SEP23'!U7+'SEP24'!U7+'SEP25'!U7+'SEP26'!U7</f>
        <v>0</v>
      </c>
      <c r="V7" s="6">
        <f>SUM(B7:U7)</f>
        <v>202</v>
      </c>
      <c r="W7" s="8">
        <f>'SEP21'!W7+'SEP22'!W7+'SEP23'!W7+'SEP24'!W7+'SEP25'!W7+'SEP26'!W7</f>
        <v>3456</v>
      </c>
      <c r="X7" s="13">
        <f t="shared" ref="X7:X17" si="0">V7/W7</f>
        <v>5.8449074074074077E-2</v>
      </c>
      <c r="Y7" s="10" t="s">
        <v>2</v>
      </c>
    </row>
    <row r="8" spans="1:33" ht="20.25" customHeight="1">
      <c r="A8" s="10" t="s">
        <v>3</v>
      </c>
      <c r="B8" s="6">
        <f>'SEP21'!B8+'SEP22'!B8+'SEP23'!B8+'SEP24'!B8+'SEP25'!B8+'SEP26'!B8</f>
        <v>22</v>
      </c>
      <c r="C8" s="6">
        <f>'SEP21'!C8+'SEP22'!C8+'SEP23'!C8+'SEP24'!C8+'SEP25'!C8+'SEP26'!C8</f>
        <v>0</v>
      </c>
      <c r="D8" s="6">
        <f>'SEP21'!D8+'SEP22'!D8+'SEP23'!D8+'SEP24'!D8+'SEP25'!D8+'SEP26'!D8</f>
        <v>45</v>
      </c>
      <c r="E8" s="6">
        <f>'SEP21'!E8+'SEP22'!E8+'SEP23'!E8+'SEP24'!E8+'SEP25'!E8+'SEP26'!E8</f>
        <v>5</v>
      </c>
      <c r="F8" s="6">
        <f>'SEP21'!F8+'SEP22'!F8+'SEP23'!F8+'SEP24'!F8+'SEP25'!F8+'SEP26'!F8</f>
        <v>2</v>
      </c>
      <c r="G8" s="6">
        <f>'SEP21'!G8+'SEP22'!G8+'SEP23'!G8+'SEP24'!G8+'SEP25'!G8+'SEP26'!G8</f>
        <v>18</v>
      </c>
      <c r="H8" s="6">
        <f>'SEP21'!H8+'SEP22'!H8+'SEP23'!H8+'SEP24'!H8+'SEP25'!H8+'SEP26'!H8</f>
        <v>24</v>
      </c>
      <c r="I8" s="6">
        <f>'SEP21'!I8+'SEP22'!I8+'SEP23'!I8+'SEP24'!I8+'SEP25'!I8+'SEP26'!I8</f>
        <v>17</v>
      </c>
      <c r="J8" s="6">
        <f>'SEP21'!J8+'SEP22'!J8+'SEP23'!J8+'SEP24'!J8+'SEP25'!J8+'SEP26'!J8</f>
        <v>3</v>
      </c>
      <c r="K8" s="6">
        <f>'SEP21'!K8+'SEP22'!K8+'SEP23'!K8+'SEP24'!K8+'SEP25'!K8</f>
        <v>27</v>
      </c>
      <c r="L8" s="6">
        <f>'SEP21'!L8+'SEP22'!L8+'SEP23'!L8</f>
        <v>0</v>
      </c>
      <c r="M8" s="6">
        <f>'SEP21'!M8+'SEP22'!M8+'SEP23'!M8+'SEP24'!M8+'SEP25'!M8</f>
        <v>0</v>
      </c>
      <c r="N8" s="6">
        <f>'SEP21'!N8+'SEP22'!N8+'SEP23'!N8+'SEP24'!N8+'SEP25'!N8</f>
        <v>0</v>
      </c>
      <c r="O8" s="6">
        <f>'SEP21'!T8+'SEP22'!O8+'SEP23'!O8+'SEP24'!T8+'SEP25'!T8+'SEP26'!O8</f>
        <v>0</v>
      </c>
      <c r="P8" s="6">
        <f>'SEP21'!P8+'SEP22'!P8+'SEP23'!P8+'SEP24'!P8+'SEP25'!P8</f>
        <v>9</v>
      </c>
      <c r="Q8" s="6">
        <f>'SEP21'!Q8+'SEP22'!Q8+'SEP23'!Q8+'SEP24'!Q8+'SEP25'!Q8</f>
        <v>27</v>
      </c>
      <c r="R8" s="6">
        <f>'SEP21'!R8+'SEP22'!R8+'SEP23'!R8+'SEP24'!R8+'SEP25'!R8+'SEP26'!Q8</f>
        <v>7</v>
      </c>
      <c r="S8" s="6">
        <f>'SEP21'!S8+'SEP22'!S8+'SEP23'!S8+'SEP24'!S8+'SEP25'!S8+'SEP26'!R8</f>
        <v>3</v>
      </c>
      <c r="T8" s="6">
        <f>'SEP21'!T8+'SEP22'!T8+'SEP23'!T8+'SEP24'!T8+'SEP25'!T8+'SEP26'!S8</f>
        <v>0</v>
      </c>
      <c r="U8" s="6">
        <f>'SEP21'!U8+'SEP22'!U8+'SEP23'!U8+'SEP24'!U8+'SEP25'!U8+'SEP26'!U8</f>
        <v>0</v>
      </c>
      <c r="V8" s="6">
        <f>SUM(B8:U8)</f>
        <v>209</v>
      </c>
      <c r="W8" s="8">
        <f>'SEP21'!W8+'SEP22'!W8+'SEP23'!W8+'SEP24'!W8+'SEP25'!W8+'SEP26'!W8</f>
        <v>1346</v>
      </c>
      <c r="X8" s="13">
        <f t="shared" si="0"/>
        <v>0.15527488855869243</v>
      </c>
      <c r="Y8" s="10" t="s">
        <v>3</v>
      </c>
    </row>
    <row r="9" spans="1:33" ht="20.25" customHeight="1">
      <c r="A9" s="14" t="s">
        <v>4</v>
      </c>
      <c r="B9" s="6">
        <f>'SEP21'!B9+'SEP22'!B9+'SEP23'!B9+'SEP24'!B9+'SEP25'!B9+'SEP26'!B9</f>
        <v>17</v>
      </c>
      <c r="C9" s="6">
        <f>'SEP21'!C9+'SEP22'!C9+'SEP23'!C9+'SEP24'!C9+'SEP25'!C9+'SEP26'!C9</f>
        <v>0</v>
      </c>
      <c r="D9" s="6">
        <f>'SEP21'!D9+'SEP22'!D9+'SEP23'!D9+'SEP24'!D9+'SEP25'!D9+'SEP26'!D9</f>
        <v>7</v>
      </c>
      <c r="E9" s="6">
        <f>'SEP21'!E9+'SEP22'!E9+'SEP23'!E9+'SEP24'!E9+'SEP25'!E9+'SEP26'!E9</f>
        <v>25</v>
      </c>
      <c r="F9" s="6">
        <f>'SEP21'!F9+'SEP22'!F9+'SEP23'!F9+'SEP24'!F9+'SEP25'!F9+'SEP26'!F9</f>
        <v>12</v>
      </c>
      <c r="G9" s="6">
        <f>'SEP21'!G9+'SEP22'!G9+'SEP23'!G9+'SEP24'!G9+'SEP25'!G9+'SEP26'!G9</f>
        <v>9</v>
      </c>
      <c r="H9" s="6">
        <f>'SEP21'!H9+'SEP22'!H9+'SEP23'!H9+'SEP24'!H9+'SEP25'!H9+'SEP26'!H9</f>
        <v>9</v>
      </c>
      <c r="I9" s="6">
        <f>'SEP21'!I9+'SEP22'!I9+'SEP23'!I9+'SEP24'!I9+'SEP25'!I9+'SEP26'!I9</f>
        <v>13</v>
      </c>
      <c r="J9" s="6">
        <f>'SEP21'!J9+'SEP22'!J9+'SEP23'!J9+'SEP24'!J9+'SEP25'!J9+'SEP26'!J9</f>
        <v>11</v>
      </c>
      <c r="K9" s="6">
        <f>'SEP21'!P9+'SEP22'!K9+'SEP23'!K9+'SEP24'!P9+'SEP25'!P9+'SEP26'!K9</f>
        <v>11</v>
      </c>
      <c r="L9" s="6">
        <f>'SEP21'!L9+'SEP22'!L9+'SEP23'!L9+'SEP24'!L9+'SEP25'!L9</f>
        <v>0</v>
      </c>
      <c r="M9" s="6">
        <f>'SEP21'!M9+'SEP22'!M9+'SEP23'!M9+'SEP24'!M9+'SEP25'!M9</f>
        <v>15</v>
      </c>
      <c r="N9" s="6">
        <f>'SEP21'!S9+'SEP22'!N9+'SEP23'!N9+'SEP24'!S9+'SEP25'!S9+'SEP26'!N9</f>
        <v>0</v>
      </c>
      <c r="O9" s="6">
        <f>'SEP21'!O9+'SEP22'!O9+'SEP23'!O9+'SEP24'!O9+'SEP25'!O9</f>
        <v>0</v>
      </c>
      <c r="P9" s="6">
        <f>'SEP21'!P9+'SEP22'!P9+'SEP23'!P9+'SEP24'!P9+'SEP25'!P9</f>
        <v>13</v>
      </c>
      <c r="Q9" s="6">
        <f>'SEP21'!Q9+'SEP22'!Q9+'SEP23'!Q9+'SEP24'!Q9+'SEP25'!Q9+'SEP26'!L9</f>
        <v>22</v>
      </c>
      <c r="R9" s="6">
        <f>'SEP21'!R9+'SEP22'!R9+'SEP23'!R9+'SEP24'!R9+'SEP25'!R9+'SEP26'!Q9</f>
        <v>19</v>
      </c>
      <c r="S9" s="6">
        <f>'SEP21'!S9+'SEP22'!S9+'SEP23'!S9+'SEP24'!S9+'SEP25'!S9+'SEP26'!R9</f>
        <v>0</v>
      </c>
      <c r="T9" s="6">
        <f>'SEP21'!T9+'SEP22'!T9+'SEP23'!T9+'SEP24'!T9+'SEP25'!T9+'SEP26'!S9</f>
        <v>1</v>
      </c>
      <c r="U9" s="6">
        <f>'SEP21'!U9+'SEP22'!U9+'SEP23'!U9+'SEP24'!U9+'SEP25'!U9+'SEP26'!U9</f>
        <v>0</v>
      </c>
      <c r="V9" s="6">
        <f>SUM(B9:U9)</f>
        <v>184</v>
      </c>
      <c r="W9" s="8">
        <f>'SEP21'!W9+'SEP22'!W9+'SEP23'!W9+'SEP24'!W9+'SEP25'!W9+'SEP26'!W9</f>
        <v>1444</v>
      </c>
      <c r="X9" s="13">
        <f t="shared" si="0"/>
        <v>0.12742382271468145</v>
      </c>
      <c r="Y9" s="14" t="s">
        <v>4</v>
      </c>
    </row>
    <row r="10" spans="1:33" ht="20.25" customHeight="1">
      <c r="A10" s="10" t="s">
        <v>5</v>
      </c>
      <c r="B10" s="6">
        <f>'SEP21'!B10+'SEP22'!B10+'SEP23'!B10+'SEP24'!B10+'SEP25'!B10+'SEP26'!B10</f>
        <v>14</v>
      </c>
      <c r="C10" s="6">
        <f>'SEP21'!C10+'SEP22'!C10+'SEP23'!C10+'SEP24'!C10+'SEP25'!C10+'SEP26'!C10</f>
        <v>0</v>
      </c>
      <c r="D10" s="6">
        <f>'SEP21'!D10+'SEP22'!D10+'SEP23'!D10+'SEP24'!D10+'SEP25'!D10+'SEP26'!D10</f>
        <v>6</v>
      </c>
      <c r="E10" s="6">
        <f>'SEP21'!E10+'SEP22'!E10+'SEP23'!E10+'SEP24'!E10+'SEP25'!E10+'SEP26'!E10</f>
        <v>13</v>
      </c>
      <c r="F10" s="6">
        <f>'SEP21'!F10+'SEP22'!F10+'SEP23'!F10+'SEP24'!F10+'SEP25'!F10+'SEP26'!F10</f>
        <v>7</v>
      </c>
      <c r="G10" s="6">
        <f>'SEP21'!G10+'SEP22'!G10+'SEP23'!G10+'SEP24'!G10+'SEP25'!G10+'SEP26'!G10</f>
        <v>8</v>
      </c>
      <c r="H10" s="6">
        <f>'SEP21'!H10+'SEP22'!H10+'SEP23'!H10+'SEP24'!H10+'SEP25'!H10+'SEP26'!H10</f>
        <v>4</v>
      </c>
      <c r="I10" s="6">
        <f>'SEP21'!I10+'SEP22'!I10+'SEP23'!I10+'SEP24'!I10+'SEP25'!I10+'SEP26'!I10</f>
        <v>8</v>
      </c>
      <c r="J10" s="6">
        <f>'SEP21'!J10+'SEP22'!J10+'SEP23'!J10+'SEP24'!J10+'SEP25'!J10+'SEP26'!J10</f>
        <v>6</v>
      </c>
      <c r="K10" s="6">
        <f>'SEP21'!K10+'SEP22'!K10+'SEP23'!K10+'SEP24'!K10+'SEP25'!K10</f>
        <v>5</v>
      </c>
      <c r="L10" s="6">
        <f>'SEP21'!L10+'SEP22'!L10+'SEP23'!L10+'SEP24'!L10+'SEP25'!L10</f>
        <v>0</v>
      </c>
      <c r="M10" s="6">
        <f>'SEP21'!M10+'SEP22'!M10+'SEP23'!M10+'SEP24'!M10+'SEP25'!M9</f>
        <v>5</v>
      </c>
      <c r="N10" s="6">
        <f>'SEP21'!N10+'SEP22'!N10+'SEP23'!N10+'SEP24'!N10+'SEP25'!N10</f>
        <v>4</v>
      </c>
      <c r="O10" s="6">
        <f>'SEP21'!T10+'SEP22'!O10+'SEP23'!O10+'SEP24'!T10+'SEP25'!T10+'SEP26'!O10</f>
        <v>0</v>
      </c>
      <c r="P10" s="6">
        <f>'SEP21'!P10+'SEP22'!P10+'SEP23'!P10+'SEP24'!P10+'SEP25'!P10</f>
        <v>5</v>
      </c>
      <c r="Q10" s="6">
        <f>'SEP21'!Q10+'SEP22'!Q10+'SEP23'!Q10+'SEP24'!Q10+'SEP25'!Q10+'SEP26'!L10</f>
        <v>10</v>
      </c>
      <c r="R10" s="6">
        <f>'SEP21'!R10+'SEP22'!R10+'SEP23'!R10+'SEP24'!R10+'SEP25'!R10+'SEP26'!Q10</f>
        <v>1</v>
      </c>
      <c r="S10" s="6">
        <f>'SEP21'!S10+'SEP22'!S10+'SEP23'!S10+'SEP24'!S10+'SEP25'!S10+'SEP26'!R10</f>
        <v>22</v>
      </c>
      <c r="T10" s="6">
        <f>'SEP21'!T10+'SEP22'!T10+'SEP23'!T10+'SEP24'!T10+'SEP25'!T10+'SEP26'!S10</f>
        <v>0</v>
      </c>
      <c r="U10" s="6">
        <f>'SEP21'!U10+'SEP22'!U10+'SEP23'!U10+'SEP24'!U10+'SEP25'!U10+'SEP26'!U10</f>
        <v>0</v>
      </c>
      <c r="V10" s="6">
        <f t="shared" ref="V10:V16" si="1">SUM(B10:U10)</f>
        <v>118</v>
      </c>
      <c r="W10" s="8">
        <f>'SEP21'!W10+'SEP22'!W10+'SEP23'!W10+'SEP24'!W10+'SEP25'!W10+'SEP26'!W10</f>
        <v>2580</v>
      </c>
      <c r="X10" s="13">
        <f t="shared" si="0"/>
        <v>4.5736434108527131E-2</v>
      </c>
      <c r="Y10" s="10" t="s">
        <v>5</v>
      </c>
    </row>
    <row r="11" spans="1:33" ht="20.25" customHeight="1">
      <c r="A11" s="10" t="s">
        <v>6</v>
      </c>
      <c r="B11" s="6">
        <f>'SEP21'!B11+'SEP22'!B11+'SEP23'!B11+'SEP24'!B11+'SEP25'!B11+'SEP26'!B11</f>
        <v>6</v>
      </c>
      <c r="C11" s="6">
        <f>'SEP21'!C11+'SEP22'!C11+'SEP23'!C11+'SEP24'!C11+'SEP25'!C11+'SEP26'!C11</f>
        <v>0</v>
      </c>
      <c r="D11" s="6">
        <f>'SEP21'!D11+'SEP22'!D11+'SEP23'!D11+'SEP24'!D11+'SEP25'!D11+'SEP26'!D11</f>
        <v>8</v>
      </c>
      <c r="E11" s="6">
        <f>'SEP21'!E11+'SEP22'!E11+'SEP23'!E11+'SEP24'!E11+'SEP25'!E11+'SEP26'!E11</f>
        <v>8</v>
      </c>
      <c r="F11" s="6">
        <f>'SEP21'!F11+'SEP22'!F11+'SEP23'!F11+'SEP24'!F11+'SEP25'!F11+'SEP26'!F11</f>
        <v>3</v>
      </c>
      <c r="G11" s="6">
        <f>'SEP21'!G11+'SEP22'!G11+'SEP23'!G11+'SEP24'!G11+'SEP25'!G11+'SEP26'!G11</f>
        <v>3</v>
      </c>
      <c r="H11" s="6">
        <f>'SEP21'!H11+'SEP22'!H11+'SEP23'!H11+'SEP24'!H11+'SEP25'!H11+'SEP26'!H11</f>
        <v>6</v>
      </c>
      <c r="I11" s="6">
        <f>'SEP21'!I11+'SEP22'!I11+'SEP23'!I11+'SEP24'!I11+'SEP25'!I11+'SEP26'!I11</f>
        <v>7</v>
      </c>
      <c r="J11" s="6">
        <f>'SEP21'!J11+'SEP22'!J11+'SEP23'!J11+'SEP24'!J11+'SEP25'!J11+'SEP26'!J11</f>
        <v>0</v>
      </c>
      <c r="K11" s="6">
        <f>'SEP21'!K11+'SEP22'!K11+'SEP23'!K11+'SEP24'!K11+'SEP25'!K11</f>
        <v>5</v>
      </c>
      <c r="L11" s="6">
        <f>'SEP21'!L11+'SEP22'!L11+'SEP23'!L11+'SEP24'!L11+'SEP25'!L11</f>
        <v>0</v>
      </c>
      <c r="M11" s="6">
        <f>'SEP21'!M11+'SEP22'!M11+'SEP23'!M11+'SEP24'!M11+'SEP25'!M11</f>
        <v>6</v>
      </c>
      <c r="N11" s="6">
        <f>'SEP21'!N11+'SEP22'!N11+'SEP23'!N11+'SEP24'!N11+'SEP25'!N11</f>
        <v>2</v>
      </c>
      <c r="O11" s="6">
        <f>'SEP21'!T11+'SEP22'!O11+'SEP23'!O11+'SEP24'!T11+'SEP25'!T11+'SEP26'!O11</f>
        <v>0</v>
      </c>
      <c r="P11" s="6">
        <f>'SEP21'!P11+'SEP22'!P11+'SEP23'!P11+'SEP24'!P11+'SEP25'!P11</f>
        <v>10</v>
      </c>
      <c r="Q11" s="6">
        <f>'SEP21'!Q11+'SEP22'!Q11+'SEP23'!Q11+'SEP24'!Q11+'SEP25'!Q11</f>
        <v>4</v>
      </c>
      <c r="R11" s="6">
        <f>'SEP21'!R11+'SEP22'!R11+'SEP23'!R11+'SEP24'!R11+'SEP25'!R11+'SEP26'!Q11</f>
        <v>0</v>
      </c>
      <c r="S11" s="6">
        <f>'SEP21'!S11+'SEP22'!S11+'SEP23'!S11+'SEP24'!S11+'SEP25'!S11+'SEP26'!R11</f>
        <v>7</v>
      </c>
      <c r="T11" s="6">
        <f>'SEP21'!T11+'SEP22'!T11+'SEP23'!T11+'SEP24'!T11+'SEP25'!T11+'SEP26'!S11</f>
        <v>0</v>
      </c>
      <c r="U11" s="6">
        <f>'SEP21'!U11+'SEP22'!U11+'SEP23'!U11+'SEP24'!U11+'SEP25'!U11+'SEP26'!U11</f>
        <v>0</v>
      </c>
      <c r="V11" s="6">
        <f t="shared" si="1"/>
        <v>75</v>
      </c>
      <c r="W11" s="8">
        <f>'SEP21'!W11+'SEP22'!W11+'SEP23'!W11+'SEP24'!W11+'SEP25'!W11+'SEP26'!W11</f>
        <v>576</v>
      </c>
      <c r="X11" s="13">
        <f t="shared" si="0"/>
        <v>0.13020833333333334</v>
      </c>
      <c r="Y11" s="10" t="s">
        <v>6</v>
      </c>
    </row>
    <row r="12" spans="1:33" ht="20.25" customHeight="1">
      <c r="A12" s="10" t="s">
        <v>7</v>
      </c>
      <c r="B12" s="6">
        <f>'SEP21'!B12+'SEP22'!B12+'SEP23'!B12+'SEP24'!B12+'SEP25'!B12+'SEP26'!B12</f>
        <v>17</v>
      </c>
      <c r="C12" s="6">
        <f>'SEP21'!C12+'SEP22'!C12+'SEP23'!C12+'SEP24'!C12+'SEP25'!C12+'SEP26'!C12</f>
        <v>0</v>
      </c>
      <c r="D12" s="6">
        <f>'SEP21'!D12+'SEP22'!D12+'SEP23'!D12+'SEP24'!D12+'SEP25'!D12+'SEP26'!D12</f>
        <v>0</v>
      </c>
      <c r="E12" s="6">
        <f>'SEP21'!E12+'SEP22'!E12+'SEP23'!E12+'SEP24'!E12+'SEP25'!E12+'SEP26'!E12</f>
        <v>10</v>
      </c>
      <c r="F12" s="6">
        <f>'SEP21'!F12+'SEP22'!F12+'SEP23'!F12+'SEP24'!F12+'SEP25'!F12+'SEP26'!F12</f>
        <v>0</v>
      </c>
      <c r="G12" s="6">
        <f>'SEP21'!G12+'SEP22'!G12+'SEP23'!G12+'SEP24'!G12+'SEP25'!G12+'SEP26'!G12</f>
        <v>26</v>
      </c>
      <c r="H12" s="6">
        <f>'SEP21'!H12+'SEP22'!H12+'SEP23'!H12+'SEP24'!H12+'SEP25'!H12+'SEP26'!H12</f>
        <v>1</v>
      </c>
      <c r="I12" s="6">
        <f>'SEP21'!I12+'SEP22'!I12+'SEP23'!I12+'SEP24'!I12+'SEP25'!I12+'SEP26'!I12</f>
        <v>31</v>
      </c>
      <c r="J12" s="6">
        <f>'SEP21'!J12+'SEP22'!J12+'SEP23'!J12+'SEP24'!J12+'SEP25'!J12+'SEP26'!J12</f>
        <v>19</v>
      </c>
      <c r="K12" s="6">
        <f>'SEP21'!K12+'SEP22'!K12+'SEP23'!K12+'SEP24'!K12+'SEP25'!K12+'SEP26'!K12</f>
        <v>5</v>
      </c>
      <c r="L12" s="6">
        <f>'SEP21'!L12+'SEP22'!L12+'SEP23'!L12+'SEP24'!L12+'SEP25'!L12+'SEP26'!L12</f>
        <v>0</v>
      </c>
      <c r="M12" s="6">
        <f>'SEP21'!M12+'SEP22'!M12+'SEP23'!M12+'SEP24'!M12+'SEP25'!M12+'SEP26'!M12</f>
        <v>0</v>
      </c>
      <c r="N12" s="6">
        <f>'SEP21'!N12+'SEP22'!N12+'SEP23'!N12+'SEP24'!N12+'SEP25'!N12+'SEP26'!N12</f>
        <v>0</v>
      </c>
      <c r="O12" s="6">
        <f>'SEP21'!O12+'SEP22'!O12+'SEP23'!O12+'SEP24'!O12+'SEP25'!O12+'SEP26'!O12</f>
        <v>0</v>
      </c>
      <c r="P12" s="6">
        <f>'SEP21'!P12+'SEP22'!P12+'SEP23'!P12+'SEP24'!P12+'SEP25'!P12+'SEP26'!P12</f>
        <v>0</v>
      </c>
      <c r="Q12" s="6">
        <f>'SEP21'!Q12+'SEP22'!Q12+'SEP23'!Q12+'SEP24'!Q12+'SEP25'!Q12+'SEP26'!Q12</f>
        <v>26</v>
      </c>
      <c r="R12" s="6">
        <f>'SEP21'!R12+'SEP22'!R12+'SEP23'!R12+'SEP24'!R12+'SEP25'!R12+'SEP26'!R12</f>
        <v>13</v>
      </c>
      <c r="S12" s="6">
        <f>'SEP21'!S12+'SEP22'!S12+'SEP23'!S12+'SEP24'!S12+'SEP25'!S12+'SEP26'!S12</f>
        <v>10</v>
      </c>
      <c r="T12" s="6">
        <f>'SEP21'!T12+'SEP22'!T12+'SEP23'!T12+'SEP24'!T12+'SEP25'!T12+'SEP26'!T12</f>
        <v>3</v>
      </c>
      <c r="U12" s="6">
        <f>'SEP21'!U12+'SEP22'!U12+'SEP23'!U12+'SEP24'!U12+'SEP25'!U12+'SEP26'!U12</f>
        <v>3</v>
      </c>
      <c r="V12" s="6">
        <f t="shared" si="1"/>
        <v>164</v>
      </c>
      <c r="W12" s="8">
        <f>'SEP21'!W12+'SEP22'!W12+'SEP23'!W12+'SEP24'!W12+'SEP25'!W12+'SEP26'!W12</f>
        <v>576</v>
      </c>
      <c r="X12" s="13">
        <f t="shared" si="0"/>
        <v>0.28472222222222221</v>
      </c>
      <c r="Y12" s="10" t="s">
        <v>7</v>
      </c>
    </row>
    <row r="13" spans="1:33" ht="20.25" customHeight="1">
      <c r="A13" s="10" t="s">
        <v>8</v>
      </c>
      <c r="B13" s="6">
        <f>'SEP21'!B13+'SEP22'!B13+'SEP23'!B13+'SEP24'!B13+'SEP25'!B13+'SEP26'!B13</f>
        <v>44</v>
      </c>
      <c r="C13" s="6">
        <f>'SEP21'!C13+'SEP22'!C13+'SEP23'!C13+'SEP24'!C13+'SEP25'!C13+'SEP26'!C13</f>
        <v>0</v>
      </c>
      <c r="D13" s="6">
        <f>'SEP21'!D13+'SEP22'!D13+'SEP23'!D13+'SEP24'!D13+'SEP25'!D13+'SEP26'!D13</f>
        <v>0</v>
      </c>
      <c r="E13" s="6">
        <f>'SEP21'!E13+'SEP22'!E13+'SEP23'!E13+'SEP24'!E13+'SEP25'!E13+'SEP26'!E13</f>
        <v>23</v>
      </c>
      <c r="F13" s="6">
        <f>'SEP21'!F13+'SEP22'!F13+'SEP23'!F13+'SEP24'!F13+'SEP25'!F13+'SEP26'!F13</f>
        <v>0</v>
      </c>
      <c r="G13" s="6">
        <f>'SEP21'!G13+'SEP22'!G13+'SEP23'!G13+'SEP24'!G13+'SEP25'!G13+'SEP26'!G13</f>
        <v>16</v>
      </c>
      <c r="H13" s="6">
        <f>'SEP21'!H13+'SEP22'!H13+'SEP23'!H13+'SEP24'!H13+'SEP25'!H13+'SEP26'!H13</f>
        <v>8</v>
      </c>
      <c r="I13" s="6">
        <f>'SEP21'!I13+'SEP22'!I13+'SEP23'!I13+'SEP24'!I13+'SEP25'!I13+'SEP26'!I13</f>
        <v>40</v>
      </c>
      <c r="J13" s="6">
        <f>'SEP21'!J13+'SEP22'!J13+'SEP23'!J13+'SEP24'!J13+'SEP25'!J13+'SEP26'!J13</f>
        <v>7</v>
      </c>
      <c r="K13" s="6">
        <f>'SEP21'!K13+'SEP22'!K13+'SEP23'!K13+'SEP24'!K13+'SEP25'!K13+'SEP26'!K13</f>
        <v>1</v>
      </c>
      <c r="L13" s="6">
        <f>'SEP21'!L13+'SEP22'!L13+'SEP23'!L13+'SEP24'!L13+'SEP25'!L13+'SEP26'!L13</f>
        <v>0</v>
      </c>
      <c r="M13" s="6">
        <f>'SEP21'!M13+'SEP22'!M13+'SEP23'!M13+'SEP24'!M13+'SEP25'!M13+'SEP26'!M13</f>
        <v>8</v>
      </c>
      <c r="N13" s="6">
        <f>'SEP21'!N13+'SEP22'!N13+'SEP23'!N13+'SEP24'!N13+'SEP25'!N13+'SEP26'!N13</f>
        <v>8</v>
      </c>
      <c r="O13" s="6">
        <f>'SEP21'!O13+'SEP22'!O13+'SEP23'!O13+'SEP24'!O13+'SEP25'!O13+'SEP26'!O13</f>
        <v>0</v>
      </c>
      <c r="P13" s="6">
        <f>'SEP21'!P13+'SEP22'!P13+'SEP23'!P13+'SEP24'!P13+'SEP25'!P13+'SEP26'!P13</f>
        <v>1</v>
      </c>
      <c r="Q13" s="6">
        <f>'SEP21'!Q13+'SEP22'!Q13+'SEP23'!Q13+'SEP24'!Q13+'SEP25'!Q13+'SEP26'!Q13</f>
        <v>13</v>
      </c>
      <c r="R13" s="6">
        <f>'SEP21'!R13+'SEP22'!R13+'SEP23'!R13+'SEP24'!R13+'SEP25'!R13+'SEP26'!R13</f>
        <v>0</v>
      </c>
      <c r="S13" s="6">
        <f>'SEP21'!S13+'SEP22'!S13+'SEP23'!S13+'SEP24'!S13+'SEP25'!S13+'SEP26'!S13</f>
        <v>70</v>
      </c>
      <c r="T13" s="6">
        <f>'SEP21'!T13+'SEP22'!T13+'SEP23'!T13+'SEP24'!T13+'SEP25'!T13+'SEP26'!T13</f>
        <v>0</v>
      </c>
      <c r="U13" s="6">
        <f>'SEP21'!U13+'SEP22'!U13+'SEP23'!U13+'SEP24'!U13+'SEP25'!U13+'SEP26'!U13</f>
        <v>0</v>
      </c>
      <c r="V13" s="6">
        <f t="shared" si="1"/>
        <v>239</v>
      </c>
      <c r="W13" s="8">
        <f>'SEP21'!W13+'SEP22'!W13+'SEP23'!W13+'SEP24'!W13+'SEP25'!W13+'SEP26'!W13</f>
        <v>1450</v>
      </c>
      <c r="X13" s="13">
        <f t="shared" si="0"/>
        <v>0.16482758620689655</v>
      </c>
      <c r="Y13" s="10" t="s">
        <v>8</v>
      </c>
    </row>
    <row r="14" spans="1:33" ht="20.25" customHeight="1">
      <c r="A14" s="10" t="s">
        <v>9</v>
      </c>
      <c r="B14" s="6">
        <f>'SEP21'!B14+'SEP22'!B14+'SEP23'!B14+'SEP24'!B14+'SEP25'!B14+'SEP26'!B14</f>
        <v>16</v>
      </c>
      <c r="C14" s="6">
        <f>'SEP21'!C14+'SEP22'!C14+'SEP23'!C14+'SEP24'!C14+'SEP25'!C14+'SEP26'!C14</f>
        <v>0</v>
      </c>
      <c r="D14" s="6">
        <f>'SEP21'!D14+'SEP22'!D14+'SEP23'!D14+'SEP24'!D14+'SEP25'!D14+'SEP26'!D14</f>
        <v>6</v>
      </c>
      <c r="E14" s="6">
        <f>'SEP21'!E14+'SEP22'!E14+'SEP23'!E14+'SEP24'!E14+'SEP25'!E14+'SEP26'!E14</f>
        <v>0</v>
      </c>
      <c r="F14" s="6">
        <f>'SEP21'!F14+'SEP22'!F14+'SEP23'!F14+'SEP24'!F14+'SEP25'!F14+'SEP26'!F14</f>
        <v>6</v>
      </c>
      <c r="G14" s="6">
        <f>'SEP21'!G14+'SEP22'!G14+'SEP23'!G14+'SEP24'!G14+'SEP25'!G14+'SEP26'!G14</f>
        <v>19</v>
      </c>
      <c r="H14" s="6">
        <f>'SEP21'!H14+'SEP22'!H14+'SEP23'!H14+'SEP24'!H14+'SEP25'!H14+'SEP26'!H14</f>
        <v>3</v>
      </c>
      <c r="I14" s="6">
        <f>'SEP21'!I14+'SEP22'!I14+'SEP23'!I14+'SEP24'!I14+'SEP25'!I14+'SEP26'!I14</f>
        <v>26</v>
      </c>
      <c r="J14" s="6">
        <f>'SEP21'!J14+'SEP22'!J14+'SEP23'!J14+'SEP24'!J14+'SEP25'!J14+'SEP26'!J14</f>
        <v>13</v>
      </c>
      <c r="K14" s="6">
        <f>'SEP21'!K14+'SEP22'!K14+'SEP23'!K14+'SEP24'!K14+'SEP25'!K14+'SEP26'!K14</f>
        <v>16</v>
      </c>
      <c r="L14" s="6">
        <f>'SEP21'!L14+'SEP22'!L14+'SEP23'!L14+'SEP24'!L14+'SEP25'!L14+'SEP26'!L14</f>
        <v>0</v>
      </c>
      <c r="M14" s="6">
        <f>'SEP21'!M14+'SEP22'!M14+'SEP23'!M14+'SEP24'!M14+'SEP25'!M14+'SEP26'!M14</f>
        <v>9</v>
      </c>
      <c r="N14" s="6">
        <f>'SEP21'!N14+'SEP22'!N14+'SEP23'!N14+'SEP24'!N14+'SEP25'!N14+'SEP26'!N14</f>
        <v>1</v>
      </c>
      <c r="O14" s="6">
        <f>'SEP21'!O14+'SEP22'!O14+'SEP23'!O14+'SEP24'!O14+'SEP25'!O14+'SEP26'!O14</f>
        <v>0</v>
      </c>
      <c r="P14" s="6">
        <f>'SEP21'!P14+'SEP22'!P14+'SEP23'!P14+'SEP24'!P14+'SEP25'!P14+'SEP26'!P14</f>
        <v>9</v>
      </c>
      <c r="Q14" s="6">
        <f>'SEP21'!Q14+'SEP22'!Q14+'SEP23'!Q14+'SEP24'!Q14+'SEP25'!Q14+'SEP26'!Q14</f>
        <v>4</v>
      </c>
      <c r="R14" s="6">
        <f>'SEP21'!R14+'SEP22'!R14+'SEP23'!R14+'SEP24'!R14+'SEP25'!R14+'SEP26'!R14</f>
        <v>25</v>
      </c>
      <c r="S14" s="6">
        <f>'SEP21'!S14+'SEP22'!S14+'SEP23'!S14+'SEP24'!S14+'SEP25'!S14+'SEP26'!S14</f>
        <v>53</v>
      </c>
      <c r="T14" s="6">
        <f>'SEP21'!T14+'SEP22'!T14+'SEP23'!T14+'SEP24'!T14+'SEP25'!T14+'SEP26'!T14</f>
        <v>0</v>
      </c>
      <c r="U14" s="6">
        <f>'SEP21'!U14+'SEP22'!U14+'SEP23'!U14+'SEP24'!U14+'SEP25'!U14+'SEP26'!U14</f>
        <v>0</v>
      </c>
      <c r="V14" s="6">
        <f t="shared" si="1"/>
        <v>206</v>
      </c>
      <c r="W14" s="8">
        <f>'SEP21'!W14+'SEP22'!W14+'SEP23'!W14+'SEP24'!W14+'SEP25'!W14+'SEP26'!W14</f>
        <v>3126</v>
      </c>
      <c r="X14" s="13">
        <f t="shared" si="0"/>
        <v>6.5898912348048622E-2</v>
      </c>
      <c r="Y14" s="10" t="s">
        <v>9</v>
      </c>
    </row>
    <row r="15" spans="1:33" ht="20.25" customHeight="1">
      <c r="A15" s="10" t="s">
        <v>10</v>
      </c>
      <c r="B15" s="6">
        <f>'SEP21'!B15+'SEP22'!B15+'SEP23'!B15+'SEP24'!B15+'SEP25'!B15+'SEP26'!B15</f>
        <v>42</v>
      </c>
      <c r="C15" s="6">
        <f>'SEP21'!C15+'SEP22'!C15+'SEP23'!C15+'SEP24'!C15+'SEP25'!C15+'SEP26'!C15</f>
        <v>0</v>
      </c>
      <c r="D15" s="6">
        <f>'SEP21'!D15+'SEP22'!D15+'SEP23'!D15+'SEP24'!D15+'SEP25'!D15+'SEP26'!D15</f>
        <v>6</v>
      </c>
      <c r="E15" s="6">
        <f>'SEP21'!E15+'SEP22'!E15+'SEP23'!E15+'SEP24'!E15+'SEP25'!E15+'SEP26'!E15</f>
        <v>0</v>
      </c>
      <c r="F15" s="6">
        <f>'SEP21'!F15+'SEP22'!F15+'SEP23'!F15+'SEP24'!F15+'SEP25'!F15+'SEP26'!F15</f>
        <v>0</v>
      </c>
      <c r="G15" s="6">
        <f>'SEP21'!G15+'SEP22'!G15+'SEP23'!G15+'SEP24'!G15+'SEP25'!G15+'SEP26'!G15</f>
        <v>36</v>
      </c>
      <c r="H15" s="6">
        <f>'SEP21'!H15+'SEP22'!H15+'SEP23'!H15+'SEP24'!H15+'SEP25'!H15+'SEP26'!H15</f>
        <v>0</v>
      </c>
      <c r="I15" s="6">
        <f>'SEP21'!I15+'SEP22'!I15+'SEP23'!I15+'SEP24'!I15+'SEP25'!I15+'SEP26'!I15</f>
        <v>31</v>
      </c>
      <c r="J15" s="6">
        <f>'SEP21'!J15+'SEP22'!J15+'SEP23'!J15+'SEP24'!J15+'SEP25'!J15+'SEP26'!J15</f>
        <v>23</v>
      </c>
      <c r="K15" s="6">
        <f>'SEP21'!K15+'SEP22'!K15+'SEP23'!K15+'SEP24'!K15+'SEP25'!K15+'SEP26'!K15</f>
        <v>20</v>
      </c>
      <c r="L15" s="6">
        <f>'SEP21'!L15+'SEP22'!L15+'SEP23'!L15+'SEP24'!L15+'SEP25'!L15+'SEP26'!L15</f>
        <v>0</v>
      </c>
      <c r="M15" s="6">
        <f>'SEP21'!M15+'SEP22'!M15+'SEP23'!M15+'SEP24'!M15+'SEP25'!M15+'SEP26'!M15</f>
        <v>11</v>
      </c>
      <c r="N15" s="6">
        <f>'SEP21'!N15+'SEP22'!N15+'SEP23'!N15+'SEP24'!N15+'SEP25'!N15+'SEP26'!N15</f>
        <v>1</v>
      </c>
      <c r="O15" s="6">
        <f>'SEP21'!O15+'SEP22'!O15+'SEP23'!O15+'SEP24'!O15+'SEP25'!O15+'SEP26'!O15</f>
        <v>0</v>
      </c>
      <c r="P15" s="6">
        <f>'SEP21'!P15+'SEP22'!P15+'SEP23'!P15+'SEP24'!P15+'SEP25'!P15+'SEP26'!P15</f>
        <v>7</v>
      </c>
      <c r="Q15" s="6">
        <f>'SEP21'!Q15+'SEP22'!Q15+'SEP23'!Q15+'SEP24'!Q15+'SEP25'!Q15+'SEP26'!Q15</f>
        <v>27</v>
      </c>
      <c r="R15" s="6">
        <f>'SEP21'!R15+'SEP22'!R15+'SEP23'!R15+'SEP24'!R15+'SEP25'!R15+'SEP26'!R15</f>
        <v>21</v>
      </c>
      <c r="S15" s="6">
        <f>'SEP21'!S15+'SEP22'!S15+'SEP23'!S15+'SEP24'!S15+'SEP25'!S15+'SEP26'!S15</f>
        <v>37</v>
      </c>
      <c r="T15" s="6">
        <f>'SEP21'!T15+'SEP22'!T15+'SEP23'!T15+'SEP24'!T15+'SEP25'!T15+'SEP26'!T15</f>
        <v>11</v>
      </c>
      <c r="U15" s="6">
        <f>'SEP21'!U15+'SEP22'!U15+'SEP23'!U15+'SEP24'!U15+'SEP25'!U15+'SEP26'!U15</f>
        <v>0</v>
      </c>
      <c r="V15" s="6">
        <f t="shared" si="1"/>
        <v>273</v>
      </c>
      <c r="W15" s="8">
        <f>'SEP21'!W15+'SEP22'!W15+'SEP23'!W15+'SEP24'!W15+'SEP25'!W15+'SEP26'!W15</f>
        <v>4520</v>
      </c>
      <c r="X15" s="13">
        <f t="shared" si="0"/>
        <v>6.0398230088495576E-2</v>
      </c>
      <c r="Y15" s="10" t="s">
        <v>10</v>
      </c>
    </row>
    <row r="16" spans="1:33" ht="20.25" customHeight="1">
      <c r="A16" s="11" t="s">
        <v>11</v>
      </c>
      <c r="B16" s="6">
        <f>'SEP21'!B16+'SEP22'!B16+'SEP23'!B16+'SEP24'!B16+'SEP25'!B16+'SEP26'!B16</f>
        <v>8</v>
      </c>
      <c r="C16" s="6">
        <f>'SEP21'!C16+'SEP22'!C16+'SEP23'!C16+'SEP24'!C16+'SEP25'!C16+'SEP26'!C16</f>
        <v>0</v>
      </c>
      <c r="D16" s="6">
        <f>'SEP21'!D16+'SEP22'!D16+'SEP23'!D16+'SEP24'!D16+'SEP25'!D16+'SEP26'!D16</f>
        <v>0</v>
      </c>
      <c r="E16" s="6">
        <f>'SEP21'!E16+'SEP22'!E16+'SEP23'!E16+'SEP24'!E16+'SEP25'!E16+'SEP26'!E16</f>
        <v>0</v>
      </c>
      <c r="F16" s="6">
        <f>'SEP21'!F16+'SEP22'!F16+'SEP23'!F16+'SEP24'!F16+'SEP25'!F16+'SEP26'!F16</f>
        <v>0</v>
      </c>
      <c r="G16" s="6">
        <f>'SEP21'!G16+'SEP22'!G16+'SEP23'!G16+'SEP24'!G16+'SEP25'!G16+'SEP26'!G16</f>
        <v>0</v>
      </c>
      <c r="H16" s="6">
        <f>'SEP21'!H16+'SEP22'!H16+'SEP23'!H16+'SEP24'!H16+'SEP25'!H16+'SEP26'!H16</f>
        <v>0</v>
      </c>
      <c r="I16" s="6">
        <f>'SEP21'!I16+'SEP22'!I16+'SEP23'!I16+'SEP24'!I16+'SEP25'!I16+'SEP26'!I16</f>
        <v>0</v>
      </c>
      <c r="J16" s="6">
        <f>'SEP21'!J16+'SEP22'!J16+'SEP23'!J16+'SEP24'!J16+'SEP25'!J16+'SEP26'!J16</f>
        <v>8</v>
      </c>
      <c r="K16" s="6">
        <f>'SEP21'!K16+'SEP22'!K16+'SEP23'!K16+'SEP24'!K16+'SEP25'!K16+'SEP26'!K16</f>
        <v>3</v>
      </c>
      <c r="L16" s="6">
        <f>'SEP21'!L16+'SEP22'!L16+'SEP23'!L16+'SEP24'!L16+'SEP25'!L16+'SEP26'!L16</f>
        <v>0</v>
      </c>
      <c r="M16" s="6">
        <f>'SEP21'!M16+'SEP22'!M16+'SEP23'!M16+'SEP24'!M16+'SEP25'!M16+'SEP26'!M16</f>
        <v>0</v>
      </c>
      <c r="N16" s="6">
        <f>'SEP21'!N16+'SEP22'!N16+'SEP23'!N16+'SEP24'!N16+'SEP25'!N16+'SEP26'!N16</f>
        <v>0</v>
      </c>
      <c r="O16" s="6">
        <f>'SEP21'!O16+'SEP22'!O16+'SEP23'!O16+'SEP24'!O16+'SEP25'!O16+'SEP26'!O16</f>
        <v>0</v>
      </c>
      <c r="P16" s="6">
        <f>'SEP21'!P16+'SEP22'!P16+'SEP23'!P16+'SEP24'!P16+'SEP25'!P16+'SEP26'!P16</f>
        <v>4</v>
      </c>
      <c r="Q16" s="6">
        <f>'SEP21'!Q16+'SEP22'!Q16+'SEP23'!Q16+'SEP24'!Q16+'SEP25'!Q16+'SEP26'!Q16</f>
        <v>8</v>
      </c>
      <c r="R16" s="6">
        <f>'SEP21'!R16+'SEP22'!R16+'SEP23'!R16+'SEP24'!R16+'SEP25'!R16+'SEP26'!R16</f>
        <v>2</v>
      </c>
      <c r="S16" s="6">
        <f>'SEP21'!S16+'SEP22'!S16+'SEP23'!S16+'SEP24'!S16+'SEP25'!S16+'SEP26'!S16</f>
        <v>14</v>
      </c>
      <c r="T16" s="6">
        <f>'SEP21'!T16+'SEP22'!T16+'SEP23'!T16+'SEP24'!T16+'SEP25'!T16+'SEP26'!T16</f>
        <v>7</v>
      </c>
      <c r="U16" s="6">
        <f>'SEP21'!U16+'SEP22'!U16+'SEP23'!U16+'SEP24'!U16+'SEP25'!U16+'SEP26'!U16</f>
        <v>0</v>
      </c>
      <c r="V16" s="6">
        <f t="shared" si="1"/>
        <v>54</v>
      </c>
      <c r="W16" s="8">
        <f>'SEP21'!W16+'SEP22'!W16+'SEP23'!W16+'SEP24'!W16+'SEP25'!W16+'SEP26'!W16</f>
        <v>1534</v>
      </c>
      <c r="X16" s="13">
        <f t="shared" si="0"/>
        <v>3.5202086049543675E-2</v>
      </c>
      <c r="Y16" s="10" t="s">
        <v>11</v>
      </c>
    </row>
    <row r="17" spans="1:24" ht="20.25" customHeight="1">
      <c r="A17" s="12" t="s">
        <v>15</v>
      </c>
      <c r="B17" s="8">
        <f t="shared" ref="B17:W17" si="2">SUM(B6:B16)</f>
        <v>209</v>
      </c>
      <c r="C17" s="8">
        <f t="shared" si="2"/>
        <v>0</v>
      </c>
      <c r="D17" s="8">
        <f t="shared" si="2"/>
        <v>124</v>
      </c>
      <c r="E17" s="8">
        <f t="shared" si="2"/>
        <v>104</v>
      </c>
      <c r="F17" s="8">
        <f t="shared" si="2"/>
        <v>42</v>
      </c>
      <c r="G17" s="8">
        <f t="shared" si="2"/>
        <v>151</v>
      </c>
      <c r="H17" s="8">
        <f t="shared" si="2"/>
        <v>72</v>
      </c>
      <c r="I17" s="8">
        <f t="shared" si="2"/>
        <v>189</v>
      </c>
      <c r="J17" s="8">
        <f t="shared" si="2"/>
        <v>103</v>
      </c>
      <c r="K17" s="8">
        <f t="shared" si="2"/>
        <v>103</v>
      </c>
      <c r="L17" s="8">
        <f t="shared" ref="L17" si="3">SUM(L6:L16)</f>
        <v>2</v>
      </c>
      <c r="M17" s="8">
        <f t="shared" ref="M17" si="4">SUM(M6:M16)</f>
        <v>64</v>
      </c>
      <c r="N17" s="8">
        <f t="shared" ref="N17" si="5">SUM(N6:N16)</f>
        <v>18</v>
      </c>
      <c r="O17" s="8">
        <f t="shared" ref="O17" si="6">SUM(O6:O16)</f>
        <v>0</v>
      </c>
      <c r="P17" s="8">
        <f t="shared" ref="P17" si="7">SUM(P6:P16)</f>
        <v>76</v>
      </c>
      <c r="Q17" s="8">
        <f t="shared" ref="Q17" si="8">SUM(Q6:Q16)</f>
        <v>155</v>
      </c>
      <c r="R17" s="8">
        <f t="shared" si="2"/>
        <v>134</v>
      </c>
      <c r="S17" s="8">
        <f t="shared" si="2"/>
        <v>218</v>
      </c>
      <c r="T17" s="8">
        <f t="shared" si="2"/>
        <v>22</v>
      </c>
      <c r="U17" s="8">
        <f t="shared" si="2"/>
        <v>3</v>
      </c>
      <c r="V17" s="8">
        <f t="shared" si="2"/>
        <v>1789</v>
      </c>
      <c r="W17" s="8">
        <f t="shared" si="2"/>
        <v>21575</v>
      </c>
      <c r="X17" s="13">
        <f t="shared" si="0"/>
        <v>8.2920046349942059E-2</v>
      </c>
    </row>
    <row r="19" spans="1:24">
      <c r="A19" s="16" t="s">
        <v>18</v>
      </c>
    </row>
    <row r="21" spans="1:24" ht="19.5" customHeight="1">
      <c r="B21" s="36" t="s">
        <v>23</v>
      </c>
      <c r="C21" s="37"/>
      <c r="D21" s="38"/>
    </row>
    <row r="22" spans="1:24" ht="27.75" customHeight="1">
      <c r="B22" s="19" t="s">
        <v>20</v>
      </c>
      <c r="C22" s="20">
        <f>LARGE(B17:U17,1)</f>
        <v>218</v>
      </c>
      <c r="D22" s="15" t="s">
        <v>42</v>
      </c>
    </row>
    <row r="23" spans="1:24" ht="25.5">
      <c r="B23" s="18" t="s">
        <v>21</v>
      </c>
      <c r="C23" s="20">
        <f>LARGE(B17:U17,2)</f>
        <v>209</v>
      </c>
      <c r="D23" s="15" t="s">
        <v>25</v>
      </c>
    </row>
    <row r="24" spans="1:24" ht="25.5">
      <c r="B24" s="18" t="s">
        <v>22</v>
      </c>
      <c r="C24" s="20">
        <f>LARGE(B17:U17,3)</f>
        <v>189</v>
      </c>
      <c r="D24" s="15" t="s">
        <v>32</v>
      </c>
    </row>
  </sheetData>
  <mergeCells count="5">
    <mergeCell ref="A1:Y3"/>
    <mergeCell ref="B21:D21"/>
    <mergeCell ref="AA5:AG5"/>
    <mergeCell ref="B4:U4"/>
    <mergeCell ref="V4:X4"/>
  </mergeCells>
  <phoneticPr fontId="10" type="noConversion"/>
  <conditionalFormatting sqref="B17:U17">
    <cfRule type="top10" dxfId="1" priority="1" rank="3"/>
  </conditionalFormatting>
  <conditionalFormatting sqref="X6:X16">
    <cfRule type="top10" dxfId="0" priority="44" rank="3"/>
  </conditionalFormatting>
  <pageMargins left="0.7" right="0.7" top="0.75" bottom="0.75" header="0.3" footer="0.3"/>
  <pageSetup paperSize="9" orientation="portrait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SEP21</vt:lpstr>
      <vt:lpstr>SEP22</vt:lpstr>
      <vt:lpstr>SEP23</vt:lpstr>
      <vt:lpstr>SEP24</vt:lpstr>
      <vt:lpstr>SEP25</vt:lpstr>
      <vt:lpstr>SEP26</vt:lpstr>
      <vt:lpstr>week 12</vt:lpstr>
    </vt:vector>
  </TitlesOfParts>
  <Company>(-"-)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 Glory</dc:creator>
  <cp:lastModifiedBy>Em Srey Leak</cp:lastModifiedBy>
  <cp:lastPrinted>2026-09-22T06:58:57Z</cp:lastPrinted>
  <dcterms:created xsi:type="dcterms:W3CDTF">2024-07-23T01:04:28Z</dcterms:created>
  <dcterms:modified xsi:type="dcterms:W3CDTF">2026-09-28T09:33:10Z</dcterms:modified>
</cp:coreProperties>
</file>